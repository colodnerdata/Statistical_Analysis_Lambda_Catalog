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O:\NA-1.3\Staff Folders\Colodner\Statistical Analysis Lambda Toolbox\"/>
    </mc:Choice>
  </mc:AlternateContent>
  <xr:revisionPtr revIDLastSave="0" documentId="13_ncr:1_{4D4FA492-5A98-4C58-9440-9A31C4F00803}" xr6:coauthVersionLast="47" xr6:coauthVersionMax="47" xr10:uidLastSave="{00000000-0000-0000-0000-000000000000}"/>
  <bookViews>
    <workbookView xWindow="-120" yWindow="-120" windowWidth="29040" windowHeight="15720" activeTab="3" xr2:uid="{81B942E5-0033-4148-9F57-6D9B583AA62D}"/>
  </bookViews>
  <sheets>
    <sheet name="LAMBDA_functions" sheetId="1" r:id="rId1"/>
    <sheet name="Life Expectancy Data" sheetId="2" r:id="rId2"/>
    <sheet name="Regression Instructions" sheetId="4" r:id="rId3"/>
    <sheet name="Regression" sheetId="3" r:id="rId4"/>
  </sheets>
  <definedNames>
    <definedName name="Adjusted_R2">_xlfn.LAMBDA(_xlpm.X_s,_xlpm.Y,_xlop.Allow_Intercept,_xlop.Filter,_xlfn.LET(_xlpm.allow_arg,IF(_xlfn.ISOMITTED(_xlpm.Allow_Intercept),TRUE,_xlpm.Allow_Intercept),_xlpm.filt_arg,IF(_xlfn.ISOMITTED(_xlpm.Filter),TRUE,_xlpm.Filter),1-(1-R_squared(_xlpm.X_s,_xlpm.Y,_xlpm.allow_arg,_xlpm.filt_arg))*DF_Total(_xlpm.Y,_xlpm.allow_arg,_xlpm.filt_arg)/DF_Residual(_xlpm.X_s,_xlpm.Y,_xlpm.allow_arg,_xlpm.filt_arg)))</definedName>
    <definedName name="A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+2*_xlpm.p))</definedName>
    <definedName name="AIC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aic,_xlpm.n*LN(_xlpm.ssr/_xlpm.n)+2*_xlpm.p,_xlpm.aic+2*_xlpm.p*(_xlpm.p+1)/(_xlpm.n-_xlpm.p-1)))</definedName>
    <definedName name="All_Xs" localSheetId="3">LifeExpectancyData[[Adult Mortality]:[Schooling]]</definedName>
    <definedName name="Allow_Intercept" localSheetId="3">Regression!$B$2</definedName>
    <definedName name="alpha" localSheetId="3">Regression!$M$12</definedName>
    <definedName name="BIC">_xlfn.LAMBDA(_xlpm.X_s,_xlpm.Y,_xlop.Allow_Intercept,_xlop.Filter,_xlfn.LET(_xlpm.allow_arg,IF(_xlfn.ISOMITTED(_xlpm.Allow_Intercept),TRUE,_xlpm.Allow_Intercept),_xlpm.filt_arg,IF(_xlfn.ISOMITTED(_xlpm.Filter),TRUE,_xlpm.Filter),_xlpm.n,Observations(_xlpm.Y,_xlpm.filt_arg),_xlpm.ssr,SS_Residual(_xlpm.X_s,_xlpm.Y,_xlpm.allow_arg,_xlpm.filt_arg),_xlpm.p,DF_Regression(_xlpm.X_s)+IF(_xlpm.allow_arg,1,0),_xlpm.n*LN(_xlpm.ssr/_xlpm.n)+_xlpm.p*LN(_xlpm.n)))</definedName>
    <definedName name="CI_Low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I_Upper">_xlfn.LAMBDA(_xlpm.X_s,_xlpm.Y,_xlop.Allow_Intercept,_xlop.Filter,_xlop.Alpha,_xlfn.LET(_xlpm.allow_arg,IF(_xlfn.ISOMITTED(_xlpm.Allow_Intercept),TRUE,_xlpm.Allow_Intercept),_xlpm.filt_arg,IF(_xlfn.ISOMITTED(_xlpm.Filter),TRUE,_xlpm.Filter),_xlpm.alpha_arg,IF(_xlfn.ISOMITTED(_xlpm.Alpha),0.05,_xlpm.Alpha),Coefficients(_xlpm.X_s,_xlpm.Y,_xlpm.allow_arg,_xlpm.filt_arg)+_xlfn.T.INV.2T(_xlpm.alpha_arg,DF_Residual(_xlpm.X_s,_xlpm.Y,_xlpm.allow_arg,_xlpm.filt_arg))*SE_Coefficients(_xlpm.X_s,_xlpm.Y,_xlpm.allow_arg,_xlpm.filt_arg)))</definedName>
    <definedName name="Coefficient_Name_Col" localSheetId="3">_xlfn.LAMBDA(_xlpm.All_Xs,_xlop.Filter,_xlfn.LET(_xlpm.n,COLUMNS(_xlpm.All_Xs),_xlpm.headers,TRANSPOSE(OFFSET(_xlpm.All_Xs,-1,0,1,_xlpm.n)),IF(_xlfn.ISOMITTED(_xlpm.Filter),_xlpm.headers,IFERROR(_xlfn._xlws.FILTER(_xlpm.headers,_xlfn.TAKE(_xlpm.Filter,_xlpm.n)),_xlfn.TAKE(_xlpm.headers,1)))))</definedName>
    <definedName name="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FALSE),_xlpm.k,COLUMNS(_xlpm.X_s),TRANSPOSE(IF(_xlpm.allow_arg,_xlfn.HSTACK(INDEX(_xlpm.ls,1,_xlpm.k+1),_xlfn.CHOOSECOLS(_xlpm.ls,_xlfn.SEQUENCE(1,_xlpm.k,_xlpm.k,-1))),_xlfn.CHOOSECOLS(_xlpm.ls,_xlfn.SEQUENCE(1,_xlpm.k,_xlpm.k,-1))))))</definedName>
    <definedName name="Col_Select">_xlfn.LAMBDA(_xlpm.table,_xlpm.col_nums,_xlfn.CHOOSECOLS(_xlpm.table,_xlpm.col_nums))</definedName>
    <definedName name="Complete_Cases_Filter">_xlfn.LAMBDA(_xlpm.X_s,_xlop.Y,_xlfn.LET(_xlpm.combined,IF(_xlfn.ISOMITTED(_xlpm.Y),_xlpm.X_s,_xlfn.HSTACK(_xlpm.X_s,_xlpm.Y)),MMULT((ISNUMBER(_xlpm.combined))*1,_xlfn.SEQUENCE(COLUMNS(_xlpm.combined),1,1,0))=COLUMNS(_xlpm.combined)))</definedName>
    <definedName name="Cooks_Distance">_xlfn.LAMBDA(_xlpm.X_s,_xlpm.Y,_xlop.Allow_Intercept,_xlop.Filter,_xlfn.LET(_xlpm.allow_arg,IF(_xlfn.ISOMITTED(_xlpm.Allow_Intercept),TRUE,_xlpm.Allow_Intercept),_xlpm.filt_arg,IF(_xlfn.ISOMITTED(_xlpm.Filter),TRUE,_xlpm.Filter),_xlpm.r,Studentized_Residuals(_xlpm.X_s,_xlpm.Y,_xlpm.allow_arg,_xlpm.filt_arg),_xlpm.h,Hat_diagonal(_xlpm.X_s,_xlpm.allow_arg,_xlpm.filt_arg),_xlpm.p,COLUMNS(Design_Matrix(_xlpm.X_s,_xlpm.allow_arg,_xlpm.filt_arg)),_xlpm.r^2*_xlpm.h/((1-_xlpm.h)*_xlpm.p)))</definedName>
    <definedName name="Correlation_Matrix">_xlfn.LAMBDA(_xlpm.X_s,_xlop.Filter,_xlfn.LET(_xlpm.filt_arg,IF(_xlfn.ISOMITTED(_xlpm.Filter),TRUE,_xlpm.Filter),_xlpm.xf,_xlfn._xlws.FILTER(_xlpm.X_s,_xlpm.filt_arg),_xlpm.k,COLUMNS(_xlpm.X_s),_xlfn.MAKEARRAY(_xlpm.k,_xlpm.k,_xlfn.LAMBDA(_xlpm.r,_xlpm.c,CORREL(_xlfn.CHOOSECOLS(_xlpm.xf,_xlpm.r),_xlfn.CHOOSECOLS(_xlpm.xf,_xlpm.c))))))</definedName>
    <definedName name="Design_Matrix">_xlfn.LAMBDA(_xlpm.X_s,_xlop.Allow_Intercept,_xlop.Filter,_xlfn.LET(_xlpm.allow_arg,IF(_xlfn.ISOMITTED(_xlpm.Allow_Intercept),TRUE,_xlpm.Allow_Intercept),_xlpm.filt_arg,IF(_xlfn.ISOMITTED(_xlpm.Filter),TRUE,_xlpm.Filter),_xlpm.x_filt,_xlfn._xlws.FILTER(_xlpm.X_s,_xlpm.filt_arg),IF(_xlpm.allow_arg,_xlfn.HSTACK(_xlfn.SEQUENCE(ROWS(_xlpm.x_filt),,1,0),_xlpm.x_filt),_xlpm.x_filt)))</definedName>
    <definedName name="DF_Regression">_xlfn.LAMBDA(_xlpm.X_s,COLUMNS(_xlpm.X_s))</definedName>
    <definedName name="DF_Residual">_xlfn.LAMBDA(_xlpm.X_s,_xlpm.Y,_xlop.Allow_Intercept,_xlop.Filter,_xlfn.LET(_xlpm.allow_arg,IF(_xlfn.ISOMITTED(_xlpm.Allow_Intercept),TRUE,_xlpm.Allow_Intercept),_xlpm.filt_arg,IF(_xlfn.ISOMITTED(_xlpm.Filter),TRUE,_xlpm.Filter),DF_Total(_xlpm.Y,_xlpm.allow_arg,_xlpm.filt_arg)-DF_Regression(_xlpm.X_s)))</definedName>
    <definedName name="DF_Total">_xlfn.LAMBDA(_xlpm.Y,_xlop.Allow_Intercept,_xlop.Filter,_xlfn.LET(_xlpm.allow_arg,IF(_xlfn.ISOMITTED(_xlpm.Allow_Intercept),TRUE,_xlpm.Allow_Intercept),_xlpm.filt_arg,IF(_xlfn.ISOMITTED(_xlpm.Filter),TRUE,_xlpm.Filter),_xlpm.n,Observations(_xlpm.Y,_xlpm.filt_arg),IF(_xlpm.allow_arg,_xlpm.n-1,_xlpm.n)))</definedName>
    <definedName name="Durbin_Watson">_xlfn.LAMBDA(_xlpm.X_s,_xlpm.Y,_xlop.Allow_Intercept,_xlop.Filter,_xlfn.LET(_xlpm.allow_arg,IF(_xlfn.ISOMITTED(_xlpm.Allow_Intercept),TRUE,_xlpm.Allow_Intercept),_xlpm.filt_arg,IF(_xlfn.ISOMITTED(_xlpm.Filter),TRUE,_xlpm.Filter),_xlpm.e,Residuals(_xlpm.X_s,_xlpm.Y,_xlpm.allow_arg,_xlpm.filt_arg),SUM((_xlfn.DROP(_xlpm.e,1)-_xlfn.DROP(_xlpm.e,-1))^2)/SUM(_xlpm.e^2)))</definedName>
    <definedName name="Exclude_row_n">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F_Stat">_xlfn.LAMBDA(_xlpm.X_s,_xlpm.Y,_xlop.Allow_Intercept,_xlop.Filter,_xlfn.LET(_xlpm.allow_arg,IF(_xlfn.ISOMITTED(_xlpm.Allow_Intercept),TRUE,_xlpm.Allow_Intercept),_xlpm.filt_arg,IF(_xlfn.ISOMITTED(_xlpm.Filter),TRUE,_xlpm.Filter),SS_Regression(_xlpm.X_s,_xlpm.Y,_xlpm.allow_arg,_xlpm.filt_arg)/DF_Regression(_xlpm.X_s)/(SS_Residual(_xlpm.X_s,_xlpm.Y,_xlpm.allow_arg,_xlpm.filt_arg)/DF_Residual(_xlpm.X_s,_xlpm.Y,_xlpm.allow_arg,_xlpm.filt_arg))))</definedName>
    <definedName name="fil" localSheetId="3">LifeExpectancyData[Full_Data]</definedName>
    <definedName name="Gram_Inverse">_xlfn.LAMBDA(_xlpm.X,MINVERSE(MMULT(TRANSPOSE(_xlpm.X),_xlpm.X)))</definedName>
    <definedName name="Hat_diagonal">_xlfn.LAMBDA(_xlpm.X_s,_xlop.Allow_Intercept,_xlop.Filter,_xlfn.LET(_xlpm.allow_arg,IF(_xlfn.ISOMITTED(_xlpm.Allow_Intercept),TRUE,_xlpm.Allow_Intercept),_xlpm.filt_arg,IF(_xlfn.ISOMITTED(_xlpm.Filter),TRUE,_xlpm.Filter),_xlpm.X_design,Design_Matrix(_xlpm.X_s,_xlpm.allow_arg,_xlpm.filt_arg),_xlpm.p,COLUMNS(_xlpm.X_design),_xlpm.XtX_inv,Gram_Inverse(_xlpm.X_design),_xlpm.Z,MMULT(_xlpm.X_design,_xlpm.XtX_inv),MMULT(_xlpm.Z*_xlpm.X_design,_xlfn.SEQUENCE(_xlpm.p,1,1,0))))</definedName>
    <definedName name="Ind_Var_Filter" localSheetId="3">_xlfn._TRO_TRAILING(Regression!$B$3:$B$16000)</definedName>
    <definedName name="Kurtosis">_xlfn.LAMBDA(_xlpm.X_s,_xlop.Filter,_xlfn.LET(_xlpm.filt_arg,IF(_xlfn.ISOMITTED(_xlpm.Filter),TRUE,_xlpm.Filter),_xlpm.xf,_xlfn._xlws.FILTER(_xlpm.X_s,_xlpm.filt_arg),_xlfn.MAKEARRAY(COLUMNS(_xlpm.X_s),1,_xlfn.LAMBDA(_xlpm.r,_xlpm.c,KURT(_xlfn.CHOOSECOLS(_xlpm.xf,_xlpm.r))))))</definedName>
    <definedName name="LOO_prediction">_xlfn.LAMBDA(_xlpm.X_s,_xlpm.Y,_xlpm.n,_xlop.Allow_Intercept,_xlop.Filter,_xlfn.LET(_xlpm.allow_arg,IF(_xlfn.ISOMITTED(_xlpm.Allow_Intercept),TRUE,_xlpm.Allow_Intercept),_xlpm.filt_arg,IF(_xlfn.ISOMITTED(_xlpm.Filter),TRUE,_xlpm.Filter),_xlpm.X_filt,_xlfn._xlws.FILTER(_xlpm.X_s,_xlpm.filt_arg),_xlpm.Y_filt,_xlfn._xlws.FILTER(_xlpm.Y,_xlpm.filt_arg),_xlpm.X_loo,Exclude_row_n(_xlpm.X_filt,_xlpm.n),_xlpm.Y_loo,Exclude_row_n(_xlpm.Y_filt,_xlpm.n),_xlpm.x_n,Design_Matrix(_xlfn.CHOOSEROWS(_xlpm.X_filt,_xlpm.n),_xlpm.allow_arg),_xlpm.beta_loo,Coefficients(_xlpm.X_loo,_xlpm.Y_loo,_xlpm.allow_arg),MMULT(_xlpm.x_n,_xlpm.beta_loo)))</definedName>
    <definedName name="LOOCV_prediction">_xlfn.LAMBDA(_xlpm.X_s,_xlpm.Y,_xlop.Allow_Intercept,_xlop.Filter,_xlfn.LET(_xlpm.allow_arg,IF(_xlfn.ISOMITTED(_xlpm.Allow_Intercept),TRUE,_xlpm.Allow_Intercept),_xlpm.filt_arg,IF(_xlfn.ISOMITTED(_xlpm.Filter),TRUE,_xlpm.Filter),_xlpm.yhat,Predictions(_xlpm.X_s,_xlpm.Y,_xlpm.allow_arg,_xlpm.filt_arg),_xlpm.e,_xlfn._xlws.FILTER(_xlpm.Y,_xlpm.filt_arg)-_xlpm.yhat,_xlpm.h,Hat_diagonal(_xlpm.X_s,_xlpm.allow_arg,_xlpm.filt_arg),_xlpm.yhat-_xlpm.h*_xlpm.e/(1-_xlpm.h)))</definedName>
    <definedName name="MS_Regression">_xlfn.LAMBDA(_xlpm.X_s,_xlpm.Y,_xlop.Allow_Intercept,_xlop.Filter,_xlfn.LET(_xlpm.allow_arg,IF(_xlfn.ISOMITTED(_xlpm.Allow_Intercept),TRUE,_xlpm.Allow_Intercept),_xlpm.filt_arg,IF(_xlfn.ISOMITTED(_xlpm.Filter),TRUE,_xlpm.Filter),SS_Regression(_xlpm.X_s,_xlpm.Y,_xlpm.allow_arg,_xlpm.filt_arg)/DF_Regression(_xlpm.X_s)))</definedName>
    <definedName name="MS_Residual">_xlfn.LAMBDA(_xlpm.X_s,_xlpm.Y,_xlop.Allow_Intercept,_xlop.Filter,_xlfn.LET(_xlpm.allow_arg,IF(_xlfn.ISOMITTED(_xlpm.Allow_Intercept),TRUE,_xlpm.Allow_Intercept),_xlpm.filt_arg,IF(_xlfn.ISOMITTED(_xlpm.Filter),TRUE,_xlpm.Filter),SS_Residual(_xlpm.X_s,_xlpm.Y,_xlpm.allow_arg,_xlpm.filt_arg)/DF_Residual(_xlpm.X_s,_xlpm.Y,_xlpm.allow_arg,_xlpm.filt_arg)))</definedName>
    <definedName name="Multiple_R">_xlfn.LAMBDA(_xlpm.X_s,_xlpm.Y,_xlop.Allow_Intercept,_xlop.Filter,_xlfn.LET(_xlpm.allow_arg,IF(_xlfn.ISOMITTED(_xlpm.Allow_Intercept),TRUE,_xlpm.Allow_Intercept),_xlpm.filt_arg,IF(_xlfn.ISOMITTED(_xlpm.Filter),TRUE,_xlpm.Filter),SQRT(R_squared(_xlpm.X_s,_xlpm.Y,_xlpm.allow_arg,_xlpm.filt_arg))))</definedName>
    <definedName name="Normal_Scores">_xlfn.LAMBDA(_xlpm.Y,_xlop.Filter,_xlfn.LET(_xlpm.filtered,_xlfn._xlws.FILTER(_xlpm.Y,IF(_xlfn.ISOMITTED(_xlpm.Filter),TRUE,_xlpm.Filter)),_xlpm.n,ROWS(_xlpm.filtered),_xlfn.NORM.S.INV((_xlfn.BYROW(_xlpm.filtered,_xlfn.LAMBDA(_xlpm.v,SUMPRODUCT((_xlpm.filtered&lt;_xlpm.v)*1)))+0.5)/_xlpm.n)))</definedName>
    <definedName name="Observation_Num">_xlfn.LAMBDA(_xlpm.Y,_xlop.Filter,_xlfn.SEQUENCE(ROWS(_xlfn._xlws.FILTER(_xlpm.Y,IF(_xlfn.ISOMITTED(_xlpm.Filter),TRUE,_xlpm.Filter)))))</definedName>
    <definedName name="Observations">_xlfn.LAMBDA(_xlpm.Y,_xlop.Filter,_xlfn.LET(_xlpm.filt_arg,IF(_xlfn.ISOMITTED(_xlpm.Filter),TRUE,_xlpm.Filter),ROWS(_xlfn._xlws.FILTER(_xlpm.Y,_xlpm.filt_arg))))</definedName>
    <definedName name="P_Value_F">_xlfn.LAMBDA(_xlpm.X_s,_xlpm.Y,_xlop.Allow_Intercept,_xlop.Filter,_xlfn.LET(_xlpm.allow_arg,IF(_xlfn.ISOMITTED(_xlpm.Allow_Intercept),TRUE,_xlpm.Allow_Intercept),_xlpm.filt_arg,IF(_xlfn.ISOMITTED(_xlpm.Filter),TRUE,_xlpm.Filter),_xlfn.F.DIST.RT(F_Stat(_xlpm.X_s,_xlpm.Y,_xlpm.allow_arg,_xlpm.filt_arg),DF_Regression(_xlpm.X_s),DF_Residual(_xlpm.X_s,_xlpm.Y,_xlpm.allow_arg,_xlpm.filt_arg))))</definedName>
    <definedName name="P_Values">_xlfn.LAMBDA(_xlpm.X_s,_xlpm.Y,_xlop.Allow_Intercept,_xlop.Filter,_xlfn.LET(_xlpm.allow_arg,IF(_xlfn.ISOMITTED(_xlpm.Allow_Intercept),TRUE,_xlpm.Allow_Intercept),_xlpm.filt_arg,IF(_xlfn.ISOMITTED(_xlpm.Filter),TRUE,_xlpm.Filter),_xlfn.T.DIST.2T(ABS(T_Stats(_xlpm.X_s,_xlpm.Y,_xlpm.allow_arg,_xlpm.filt_arg)),DF_Residual(_xlpm.X_s,_xlpm.Y,_xlpm.allow_arg,_xlpm.filt_arg))))</definedName>
    <definedName name="Partial_Correlation">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SQRT(_xlpm.t^2+_xlpm.df)))</definedName>
    <definedName name="Partial_R2">_xlfn.LAMBDA(_xlpm.X_s,_xlpm.Y,_xlop.Allow_Intercept,_xlop.Filter,_xlfn.LET(_xlpm.allow_arg,IF(_xlfn.ISOMITTED(_xlpm.Allow_Intercept),TRUE,_xlpm.Allow_Intercept),_xlpm.filt_arg,IF(_xlfn.ISOMITTED(_xlpm.Filter),TRUE,_xlpm.Filter),_xlpm.t,T_Stats(_xlpm.X_s,_xlpm.Y,_xlpm.allow_arg,_xlpm.filt_arg),_xlpm.df,DF_Residual(_xlpm.X_s,_xlpm.Y,_xlpm.allow_arg,_xlpm.filt_arg),_xlpm.t^2/(_xlpm.t^2+_xlpm.df)))</definedName>
    <definedName name="Pearson_R">_xlfn.LAMBDA(_xlpm.X_s,_xlpm.Y,_xlop.Filter,_xlfn.LET(_xlpm.filt_arg,IF(_xlfn.ISOMITTED(_xlpm.Filter),TRUE,_xlpm.Filter),_xlpm.xf,_xlfn._xlws.FILTER(_xlpm.X_s,_xlpm.filt_arg),_xlpm.yf,_xlfn._xlws.FILTER(_xlpm.Y,_xlpm.filt_arg),_xlfn.MAKEARRAY(COLUMNS(_xlpm.X_s),1,_xlfn.LAMBDA(_xlpm.r,_xlpm.c,CORREL(_xlfn.CHOOSECOLS(_xlpm.xf,_xlpm.r),_xlpm.yf)))))</definedName>
    <definedName name="pred_input" localSheetId="3">_xlfn._xlws.FILTER(_xlfn._TRO_TRAILING(Regression!$U$12:$U$1600),_xlfn.VSTACK(Regression!Allow_Intercept,Regression!Ind_Var_Filter))</definedName>
    <definedName name="Prediction_Interval">_xlfn.LAMBDA(_xlpm.X_s,_xlpm.Y,_xlpm.X_new,_xlop.Allow_Intercept,_xlop.Filter,_xlop.alpha,_xlfn.LET(_xlpm.allow_arg,IF(_xlfn.ISOMITTED(_xlpm.Allow_Intercept),TRUE,_xlpm.Allow_Intercept),_xlpm.filt_arg,IF(_xlfn.ISOMITTED(_xlpm.Filter),TRUE,_xlpm.Filter),_xlpm.alpha_arg,IF(_xlfn.ISOMITTED(_xlpm.alpha),0.05,_xlpm.alpha),_xlpm.X_design,Design_Matrix(_xlpm.X_s,_xlpm.allow_arg,_xlpm.filt_arg),_xlpm.beta,Coefficients(_xlpm.X_s,_xlpm.Y,_xlpm.allow_arg,_xlpm.filt_arg),_xlpm.s,SE_Regression(_xlpm.X_s,_xlpm.Y,_xlpm.allow_arg,_xlpm.filt_arg),_xlpm.df,DF_Residual(_xlpm.X_s,_xlpm.Y,_xlpm.allow_arg,_xlpm.filt_arg),_xlpm.t_crit,_xlfn.T.INV.2T(_xlpm.alpha_arg,_xlpm.df),_xlpm.x_new_aligned,IF(_xlpm.allow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Predictions">_xlfn.LAMBDA(_xlpm.X_s,_xlpm.Y,_xlop.Allow_Intercept,_xlop.Filter,_xlfn.LET(_xlpm.allow_arg,IF(_xlfn.ISOMITTED(_xlpm.Allow_Intercept),TRUE,_xlpm.Allow_Intercept),_xlpm.filt_arg,IF(_xlfn.ISOMITTED(_xlpm.Filter),TRUE,_xlpm.Filter),MMULT(Design_Matrix(_xlpm.X_s,_xlpm.allow_arg,_xlpm.filt_arg),Coefficients(_xlpm.X_s,_xlpm.Y,_xlpm.allow_arg,_xlpm.filt_arg))))</definedName>
    <definedName name="PRESS">_xlfn.LAMBDA(_xlpm.X_s,_xlpm.Y,_xlop.Allow_Intercept,_xlop.Filter,_xlfn.LET(_xlpm.allow_arg,IF(_xlfn.ISOMITTED(_xlpm.Allow_Intercept),TRUE,_xlpm.Allow_Intercept),_xlpm.filt_arg,IF(_xlfn.ISOMITTED(_xlpm.Filter),TRUE,_xlpm.Filter),_xlpm.e,Residuals(_xlpm.X_s,_xlpm.Y,_xlpm.allow_arg,_xlpm.filt_arg),_xlpm.h,Hat_diagonal(_xlpm.X_s,_xlpm.allow_arg,_xlpm.filt_arg),SUMSQ(_xlpm.e/(1-_xlpm.h))))</definedName>
    <definedName name="QQ_Correlation">_xlfn.LAMBDA(_xlpm.X_s,_xlpm.Y,_xlop.Allow_Intercept,_xlop.Filter,_xlfn.LET(_xlpm.allow_arg,IF(_xlfn.ISOMITTED(_xlpm.Allow_Intercept),TRUE,_xlpm.Allow_Intercept),_xlpm.filt_arg,IF(_xlfn.ISOMITTED(_xlpm.Filter),TRUE,_xlpm.Filter),_xlpm.sr,Scaled_Residuals_Ranked(_xlpm.X_s,_xlpm.Y,_xlpm.allow_arg,_xlpm.filt_arg),_xlpm.n,ROWS(_xlpm.sr),_xlpm.ns,_xlfn.NORM.S.INV((_xlfn.SEQUENCE(_xlpm.n)-0.5)/_xlpm.n),CORREL(_xlpm.sr,_xlpm.ns)))</definedName>
    <definedName name="R_squared">_xlfn.LAMBDA(_xlpm.X_s,_xlpm.Y,_xlop.Allow_Intercept,_xlop.Filter,_xlfn.LET(_xlpm.allow_arg,IF(_xlfn.ISOMITTED(_xlpm.Allow_Intercept),TRUE,_xlpm.Allow_Intercept),_xlpm.filt_arg,IF(_xlfn.ISOMITTED(_xlpm.Filter),TRUE,_xlpm.Filter),INDEX(LINEST(_xlfn._xlws.FILTER(_xlpm.Y,_xlpm.filt_arg),_xlfn._xlws.FILTER(_xlpm.X_s,_xlpm.filt_arg),_xlpm.allow_arg,TRUE),3,1)))</definedName>
    <definedName name="Rank_Fraction">_xlfn.LAMBDA(_xlpm.Y,_xlop.Filter,_xlfn.LET(_xlpm.filtered,_xlfn._xlws.FILTER(_xlpm.Y,IF(_xlfn.ISOMITTED(_xlpm.Filter),TRUE,_xlpm.Filter)),_xlpm.n,ROWS(_xlpm.filtered),_xlfn.BYROW(_xlpm.filtered,_xlfn.LAMBDA(_xlpm.v,SUMPRODUCT((_xlpm.filtered&lt;=_xlpm.v)*1)))/_xlpm.n))</definedName>
    <definedName name="Residuals">_xlfn.LAMBDA(_xlpm.X_s,_xlpm.Y,_xlop.Allow_Intercept,_xlop.Filter,_xlfn.LET(_xlpm.allow_arg,IF(_xlfn.ISOMITTED(_xlpm.Allow_Intercept),TRUE,_xlpm.Allow_Intercept),_xlpm.filt_arg,IF(_xlfn.ISOMITTED(_xlpm.Filter),TRUE,_xlpm.Filter),_xlfn._xlws.FILTER(_xlpm.Y,_xlpm.filt_arg)-Predictions(_xlpm.X_s,_xlpm.Y,_xlpm.allow_arg,_xlpm.filt_arg)))</definedName>
    <definedName name="Scaled_Residuals">_xlfn.LAMBDA(_xlpm.X_s,_xlpm.Y,_xlop.Allow_Intercept,_xlop.Filter,_xlfn.LET(_xlpm.allow_arg,IF(_xlfn.ISOMITTED(_xlpm.Allow_Intercept),TRUE,_xlpm.Allow_Intercept),_xlpm.filt_arg,IF(_xlfn.ISOMITTED(_xlpm.Filter),TRUE,_xlpm.Filter),Residuals(_xlpm.X_s,_xlpm.Y,_xlpm.allow_arg,_xlpm.filt_arg)/SE_Regression(_xlpm.X_s,_xlpm.Y,_xlpm.allow_arg,_xlpm.filt_arg)))</definedName>
    <definedName name="Scaled_Residuals_Ranked">_xlfn.LAMBDA(_xlpm.X_s,_xlpm.Y,_xlop.Allow_Intercept,_xlop.Filter,_xlfn.LET(_xlpm.allow_arg,IF(_xlfn.ISOMITTED(_xlpm.Allow_Intercept),TRUE,_xlpm.Allow_Intercept),_xlpm.filt_arg,IF(_xlfn.ISOMITTED(_xlpm.Filter),TRUE,_xlpm.Filter),_xlfn._xlws.SORT(Scaled_Residuals(_xlpm.X_s,_xlpm.Y,_xlpm.allow_arg,_xlpm.filt_arg))))</definedName>
    <definedName name="SE_Coefficients">_xlfn.LAMBDA(_xlpm.X_s,_xlpm.Y,_xlop.Allow_Intercept,_xlop.Filter,_xlfn.LET(_xlpm.allow_arg,IF(_xlfn.ISOMITTED(_xlpm.Allow_Intercept),TRUE,_xlpm.Allow_Intercept),_xlpm.filt_arg,IF(_xlfn.ISOMITTED(_xlpm.Filter),TRUE,_xlpm.Filter),_xlpm.ls,LINEST(_xlfn._xlws.FILTER(_xlpm.Y,_xlpm.filt_arg),_xlfn._xlws.FILTER(_xlpm.X_s,_xlpm.filt_arg),_xlpm.allow_arg,TRUE),_xlpm.ses,INDEX(_xlpm.ls,2),_xlpm.k,COLUMNS(_xlpm.X_s),TRANSPOSE(IF(_xlpm.allow_arg,_xlfn.HSTACK(INDEX(_xlpm.ses,1,_xlpm.k+1),_xlfn.CHOOSECOLS(_xlpm.ses,_xlfn.SEQUENCE(1,_xlpm.k,_xlpm.k,-1))),_xlfn.CHOOSECOLS(_xlpm.ses,_xlfn.SEQUENCE(1,_xlpm.k,_xlpm.k,-1))))))</definedName>
    <definedName name="SE_Regression">_xlfn.LAMBDA(_xlpm.X_s,_xlpm.Y,_xlop.Allow_Intercept,_xlop.Filter,_xlfn.LET(_xlpm.allow_arg,IF(_xlfn.ISOMITTED(_xlpm.Allow_Intercept),TRUE,_xlpm.Allow_Intercept),_xlpm.filt_arg,IF(_xlfn.ISOMITTED(_xlpm.Filter),TRUE,_xlpm.Filter),SQRT(SS_Residual(_xlpm.X_s,_xlpm.Y,_xlpm.allow_arg,_xlpm.filt_arg)/DF_Residual(_xlpm.X_s,_xlpm.Y,_xlpm.allow_arg,_xlpm.filt_arg))))</definedName>
    <definedName name="Skewness">_xlfn.LAMBDA(_xlpm.X_s,_xlop.Filter,_xlfn.LET(_xlpm.filt_arg,IF(_xlfn.ISOMITTED(_xlpm.Filter),TRUE,_xlpm.Filter),_xlpm.xf,_xlfn._xlws.FILTER(_xlpm.X_s,_xlpm.filt_arg),_xlfn.MAKEARRAY(COLUMNS(_xlpm.X_s),1,_xlfn.LAMBDA(_xlpm.r,_xlpm.c,SKEW(_xlfn.CHOOSECOLS(_xlpm.xf,_xlpm.r))))))</definedName>
    <definedName name="Spearman_R">_xlfn.LAMBDA(_xlpm.xf,_xlpm.yf,_xlop.Filter,_xlfn.LET(_xlpm.baseFilter,IF(_xlfn.ISOMITTED(_xlpm.Filter),TRUE,_xlpm.Filter),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S_Regression">_xlfn.LAMBDA(_xlpm.X_s,_xlpm.Y,_xlop.Allow_Intercept,_xlop.Filter,_xlfn.LET(_xlpm.allow_arg,IF(_xlfn.ISOMITTED(_xlpm.Allow_Intercept),TRUE,_xlpm.Allow_Intercept),_xlpm.filt_arg,IF(_xlfn.ISOMITTED(_xlpm.Filter),TRUE,_xlpm.Filter),SS_Total(_xlpm.Y,_xlpm.allow_arg,_xlpm.filt_arg)*R_squared(_xlpm.X_s,_xlpm.Y,_xlpm.allow_arg,_xlpm.filt_arg)))</definedName>
    <definedName name="SS_Residual">_xlfn.LAMBDA(_xlpm.X_s,_xlpm.Y,_xlop.Allow_Intercept,_xlop.Filter,_xlfn.LET(_xlpm.allow_arg,IF(_xlfn.ISOMITTED(_xlpm.Allow_Intercept),TRUE,_xlpm.Allow_Intercept),_xlpm.filt_arg,IF(_xlfn.ISOMITTED(_xlpm.Filter),TRUE,_xlpm.Filter),SS_Total(_xlpm.Y,_xlpm.allow_arg,_xlpm.filt_arg)*(1-R_squared(_xlpm.X_s,_xlpm.Y,_xlpm.allow_arg,_xlpm.filt_arg))))</definedName>
    <definedName name="SS_Total">_xlfn.LAMBDA(_xlpm.Y,_xlop.Allow_Intercept,_xlop.Filter,_xlfn.LET(_xlpm.allow_arg,IF(_xlfn.ISOMITTED(_xlpm.Allow_Intercept),TRUE,_xlpm.Allow_Intercept),_xlpm.filt_arg,IF(_xlfn.ISOMITTED(_xlpm.Filter),TRUE,_xlpm.Filter),_xlpm.y_filt,_xlfn._xlws.FILTER(_xlpm.Y,_xlpm.filt_arg),IF(_xlpm.allow_arg,DEVSQ(_xlpm.y_filt),SUMSQ(_xlpm.y_filt))))</definedName>
    <definedName name="Studentized_Residuals">_xlfn.LAMBDA(_xlpm.X_s,_xlpm.Y,_xlop.Allow_Intercept,_xlop.Filter,_xlfn.LET(_xlpm.allow_arg,IF(_xlfn.ISOMITTED(_xlpm.Allow_Intercept),TRUE,_xlpm.Allow_Intercept),_xlpm.filt_arg,IF(_xlfn.ISOMITTED(_xlpm.Filter),TRUE,_xlpm.Filter),_xlpm.e,Residuals(_xlpm.X_s,_xlpm.Y,_xlpm.allow_arg,_xlpm.filt_arg),_xlpm.se,SE_Regression(_xlpm.X_s,_xlpm.Y,_xlpm.allow_arg,_xlpm.filt_arg),_xlpm.h,Hat_diagonal(_xlpm.X_s,_xlpm.allow_arg,_xlpm.filt_arg),_xlpm.e/(_xlpm.se*SQRT(1-_xlpm.h))))</definedName>
    <definedName name="Studentized_Residuals_Ranked">_xlfn.LAMBDA(_xlpm.X_s,_xlpm.Y,_xlop.Allow_Intercept,_xlop.Filter,_xlfn.LET(_xlpm.allow_arg,IF(_xlfn.ISOMITTED(_xlpm.Allow_Intercept),TRUE,_xlpm.Allow_Intercept),_xlpm.filt_arg,IF(_xlfn.ISOMITTED(_xlpm.Filter),TRUE,_xlpm.Filter),_xlfn._xlws.SORT(Studentized_Residuals(_xlpm.X_s,_xlpm.Y,_xlpm.allow_arg,_xlpm.filt_arg))))</definedName>
    <definedName name="T_Stats">_xlfn.LAMBDA(_xlpm.X_s,_xlpm.Y,_xlop.Allow_Intercept,_xlop.Filter,_xlfn.LET(_xlpm.allow_arg,IF(_xlfn.ISOMITTED(_xlpm.Allow_Intercept),TRUE,_xlpm.Allow_Intercept),_xlpm.filt_arg,IF(_xlfn.ISOMITTED(_xlpm.Filter),TRUE,_xlpm.Filter),Coefficients(_xlpm.X_s,_xlpm.Y,_xlpm.allow_arg,_xlpm.filt_arg)/SE_Coefficients(_xlpm.X_s,_xlpm.Y,_xlpm.allow_arg,_xlpm.filt_arg)))</definedName>
    <definedName name="This_row">_xlfn.LAMBDA(_xlpm.array,_xlfn.SEQUENCE(ROWS(_xlpm.array)))</definedName>
    <definedName name="Tolerance">_xlfn.LAMBDA(_xlpm.X_s,_xlop.Allow_Intercept,_xlop.Filter,1/VIF(_xlpm.X_s,_xlpm.Allow_Intercept,_xlpm.Filter))</definedName>
    <definedName name="VIF">_xlfn.LAMBDA(_xlpm.X_s,_xlop.Allow_Intercept,_xlop.Filter,_xlfn.LET(_xlpm.filt_arg,IF(_xlfn.ISOMITTED(_xlpm.Filter),TRUE,_xlpm.Filter),_xlpm.k,COLUMNS(_xlpm.X_s),IF(_xlpm.k=1,1,_xlfn.LET(_xlpm.col_idx,_xlfn.SEQUENCE(1,_xlpm.k),_xlpm.R2_vec,_xlfn.MAKEARRAY(_xlpm.k,1,_xlfn.LAMBDA(_xlpm.j,_xlpm._,R_squared(_xlfn.CHOOSECOLS(_xlpm.X_s,_xlfn._xlws.FILTER(_xlpm.col_idx,_xlpm.col_idx&lt;&gt;_xlpm.j)),_xlfn.CHOOSECOLS(_xlpm.X_s,_xlpm.j),TRUE,_xlpm.filt_arg))),1/(1-_xlpm.R2_vec)))))</definedName>
    <definedName name="x_s" localSheetId="3">_xlfn.LET(_xlpm.n,COLUMNS(Regression!All_Xs),_xlpm.sel,IFERROR(_xlfn._xlws.FILTER(_xlfn.SEQUENCE(_xlpm.n),_xlfn.TAKE(Regression!Ind_Var_Filter,_xlpm.n)),1),_xlfn.CHOOSECOLS(Regression!All_Xs,_xlpm.sel))</definedName>
    <definedName name="y" localSheetId="3">LifeExpectancyData[Life expectancy]</definedName>
    <definedName name="Y_Ranked">_xlfn.LAMBDA(_xlpm.Y,_xlop.Filter,_xlfn._xlws.SORT(_xlfn._xlws.FILTER(_xlpm.Y,IF(_xlfn.ISOMITTED(_xlpm.Filter),TRUE,_xlpm.Filter))))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J3" i="3" l="1" a="1"/>
  <c r="AJ3" i="3" s="1"/>
  <c r="AF3" i="3" a="1"/>
  <c r="AF3" i="3" s="1"/>
  <c r="Y3" i="3" a="1"/>
  <c r="Y3" i="3" s="1"/>
  <c r="X3" i="3" a="1"/>
  <c r="X3" i="3" s="1"/>
  <c r="W2" i="2" a="1"/>
  <c r="W2" i="2" s="1"/>
  <c r="W3" i="2" a="1"/>
  <c r="W3" i="2" s="1"/>
  <c r="W4" i="2" a="1"/>
  <c r="W4" i="2"/>
  <c r="W5" i="2" a="1"/>
  <c r="W5" i="2"/>
  <c r="W6" i="2" a="1"/>
  <c r="W6" i="2"/>
  <c r="W7" i="2" a="1"/>
  <c r="W7" i="2" s="1"/>
  <c r="W8" i="2" a="1"/>
  <c r="W8" i="2"/>
  <c r="W9" i="2" a="1"/>
  <c r="W9" i="2"/>
  <c r="W10" i="2" a="1"/>
  <c r="W10" i="2"/>
  <c r="W11" i="2" a="1"/>
  <c r="W11" i="2"/>
  <c r="W12" i="2" a="1"/>
  <c r="W12" i="2" s="1"/>
  <c r="W13" i="2" a="1"/>
  <c r="W13" i="2" s="1"/>
  <c r="W14" i="2" a="1"/>
  <c r="W14" i="2" s="1"/>
  <c r="W15" i="2" a="1"/>
  <c r="W15" i="2"/>
  <c r="W16" i="2" a="1"/>
  <c r="W16" i="2" s="1"/>
  <c r="W17" i="2" a="1"/>
  <c r="W17" i="2" s="1"/>
  <c r="W18" i="2" a="1"/>
  <c r="W18" i="2"/>
  <c r="W19" i="2" a="1"/>
  <c r="W19" i="2"/>
  <c r="W20" i="2" a="1"/>
  <c r="W20" i="2"/>
  <c r="W21" i="2" a="1"/>
  <c r="W21" i="2" s="1"/>
  <c r="P11" i="3" s="1" a="1"/>
  <c r="P11" i="3" s="1"/>
  <c r="W22" i="2" a="1"/>
  <c r="W22" i="2" s="1"/>
  <c r="W23" i="2" a="1"/>
  <c r="W23" i="2" s="1"/>
  <c r="W24" i="2" a="1"/>
  <c r="W24" i="2"/>
  <c r="W25" i="2" a="1"/>
  <c r="W25" i="2"/>
  <c r="W26" i="2" a="1"/>
  <c r="W26" i="2"/>
  <c r="W27" i="2" a="1"/>
  <c r="W27" i="2" s="1"/>
  <c r="W28" i="2" a="1"/>
  <c r="W28" i="2"/>
  <c r="W29" i="2" a="1"/>
  <c r="W29" i="2"/>
  <c r="W30" i="2" a="1"/>
  <c r="W30" i="2"/>
  <c r="W31" i="2" a="1"/>
  <c r="W31" i="2"/>
  <c r="W32" i="2" a="1"/>
  <c r="W32" i="2" s="1"/>
  <c r="W33" i="2" a="1"/>
  <c r="W33" i="2" s="1"/>
  <c r="W34" i="2" a="1"/>
  <c r="W34" i="2"/>
  <c r="W35" i="2" a="1"/>
  <c r="W35" i="2" s="1"/>
  <c r="W36" i="2" a="1"/>
  <c r="W36" i="2" s="1"/>
  <c r="W37" i="2" a="1"/>
  <c r="W37" i="2" s="1"/>
  <c r="W38" i="2" a="1"/>
  <c r="W38" i="2"/>
  <c r="W39" i="2" a="1"/>
  <c r="W39" i="2"/>
  <c r="W40" i="2" a="1"/>
  <c r="W40" i="2" s="1"/>
  <c r="W41" i="2" a="1"/>
  <c r="W41" i="2"/>
  <c r="W42" i="2" a="1"/>
  <c r="W42" i="2" s="1"/>
  <c r="W43" i="2" a="1"/>
  <c r="W43" i="2" s="1"/>
  <c r="W44" i="2" a="1"/>
  <c r="W44" i="2"/>
  <c r="W45" i="2" a="1"/>
  <c r="W45" i="2" s="1"/>
  <c r="W46" i="2" a="1"/>
  <c r="W46" i="2"/>
  <c r="W47" i="2" a="1"/>
  <c r="W47" i="2" s="1"/>
  <c r="W48" i="2" a="1"/>
  <c r="W48" i="2" s="1"/>
  <c r="W49" i="2" a="1"/>
  <c r="W49" i="2" s="1"/>
  <c r="W50" i="2" a="1"/>
  <c r="W50" i="2" s="1"/>
  <c r="W51" i="2" a="1"/>
  <c r="W51" i="2" s="1"/>
  <c r="W52" i="2" a="1"/>
  <c r="W52" i="2" s="1"/>
  <c r="W53" i="2" a="1"/>
  <c r="W53" i="2" s="1"/>
  <c r="W54" i="2" a="1"/>
  <c r="W54" i="2"/>
  <c r="W55" i="2" a="1"/>
  <c r="W55" i="2"/>
  <c r="W56" i="2" a="1"/>
  <c r="W56" i="2" s="1"/>
  <c r="W57" i="2" a="1"/>
  <c r="W57" i="2" s="1"/>
  <c r="W58" i="2" a="1"/>
  <c r="W58" i="2"/>
  <c r="W59" i="2" a="1"/>
  <c r="W59" i="2"/>
  <c r="W60" i="2" a="1"/>
  <c r="W60" i="2" s="1"/>
  <c r="W61" i="2" a="1"/>
  <c r="W61" i="2"/>
  <c r="W62" i="2" a="1"/>
  <c r="W62" i="2" s="1"/>
  <c r="W63" i="2" a="1"/>
  <c r="W63" i="2" s="1"/>
  <c r="W64" i="2" a="1"/>
  <c r="W64" i="2"/>
  <c r="W65" i="2" a="1"/>
  <c r="W65" i="2" s="1"/>
  <c r="W66" i="2" a="1"/>
  <c r="W66" i="2"/>
  <c r="W67" i="2" a="1"/>
  <c r="W67" i="2" s="1"/>
  <c r="W68" i="2" a="1"/>
  <c r="W68" i="2"/>
  <c r="W69" i="2" a="1"/>
  <c r="W69" i="2"/>
  <c r="W70" i="2" a="1"/>
  <c r="W70" i="2"/>
  <c r="W71" i="2" a="1"/>
  <c r="W71" i="2"/>
  <c r="W72" i="2" a="1"/>
  <c r="W72" i="2" s="1"/>
  <c r="W73" i="2" a="1"/>
  <c r="W73" i="2" s="1"/>
  <c r="W74" i="2" a="1"/>
  <c r="W74" i="2"/>
  <c r="W75" i="2" a="1"/>
  <c r="W75" i="2" s="1"/>
  <c r="W76" i="2" a="1"/>
  <c r="W76" i="2"/>
  <c r="W77" i="2" a="1"/>
  <c r="W77" i="2" s="1"/>
  <c r="W78" i="2" a="1"/>
  <c r="W78" i="2"/>
  <c r="W79" i="2" a="1"/>
  <c r="W79" i="2"/>
  <c r="W80" i="2" a="1"/>
  <c r="W80" i="2" s="1"/>
  <c r="W81" i="2" a="1"/>
  <c r="W81" i="2" s="1"/>
  <c r="W82" i="2" a="1"/>
  <c r="W82" i="2" s="1"/>
  <c r="W83" i="2" a="1"/>
  <c r="W83" i="2" s="1"/>
  <c r="W84" i="2" a="1"/>
  <c r="W84" i="2"/>
  <c r="W85" i="2" a="1"/>
  <c r="W85" i="2"/>
  <c r="W86" i="2" a="1"/>
  <c r="W86" i="2" s="1"/>
  <c r="W87" i="2" a="1"/>
  <c r="W87" i="2" s="1"/>
  <c r="W88" i="2" a="1"/>
  <c r="W88" i="2"/>
  <c r="W89" i="2" a="1"/>
  <c r="W89" i="2" s="1"/>
  <c r="W90" i="2" a="1"/>
  <c r="W90" i="2"/>
  <c r="W91" i="2" a="1"/>
  <c r="W91" i="2"/>
  <c r="W92" i="2" a="1"/>
  <c r="W92" i="2" s="1"/>
  <c r="W93" i="2" a="1"/>
  <c r="W93" i="2" s="1"/>
  <c r="W94" i="2" a="1"/>
  <c r="W94" i="2" s="1"/>
  <c r="W95" i="2" a="1"/>
  <c r="W95" i="2"/>
  <c r="W96" i="2" a="1"/>
  <c r="W96" i="2" s="1"/>
  <c r="W97" i="2" a="1"/>
  <c r="W97" i="2" s="1"/>
  <c r="W98" i="2" a="1"/>
  <c r="W98" i="2"/>
  <c r="W99" i="2" a="1"/>
  <c r="W99" i="2" s="1"/>
  <c r="W100" i="2" a="1"/>
  <c r="W100" i="2"/>
  <c r="W101" i="2" a="1"/>
  <c r="W101" i="2" s="1"/>
  <c r="W102" i="2" a="1"/>
  <c r="W102" i="2" s="1"/>
  <c r="W103" i="2" a="1"/>
  <c r="W103" i="2" s="1"/>
  <c r="W104" i="2" a="1"/>
  <c r="W104" i="2" s="1"/>
  <c r="W105" i="2" a="1"/>
  <c r="W105" i="2"/>
  <c r="W106" i="2" a="1"/>
  <c r="W106" i="2"/>
  <c r="W107" i="2" a="1"/>
  <c r="W107" i="2" s="1"/>
  <c r="W108" i="2" a="1"/>
  <c r="W108" i="2" s="1"/>
  <c r="W109" i="2" a="1"/>
  <c r="W109" i="2"/>
  <c r="W110" i="2" a="1"/>
  <c r="W110" i="2" s="1"/>
  <c r="W111" i="2" a="1"/>
  <c r="W111" i="2"/>
  <c r="W112" i="2" a="1"/>
  <c r="W112" i="2" s="1"/>
  <c r="W113" i="2" a="1"/>
  <c r="W113" i="2" s="1"/>
  <c r="W114" i="2" a="1"/>
  <c r="W114" i="2"/>
  <c r="W115" i="2" a="1"/>
  <c r="W115" i="2"/>
  <c r="W116" i="2" a="1"/>
  <c r="W116" i="2"/>
  <c r="W117" i="2" a="1"/>
  <c r="W117" i="2" s="1"/>
  <c r="W118" i="2" a="1"/>
  <c r="W118" i="2" s="1"/>
  <c r="W119" i="2" a="1"/>
  <c r="W119" i="2"/>
  <c r="W120" i="2" a="1"/>
  <c r="W120" i="2"/>
  <c r="W121" i="2" a="1"/>
  <c r="W121" i="2" s="1"/>
  <c r="W122" i="2" a="1"/>
  <c r="W122" i="2" s="1"/>
  <c r="W123" i="2" a="1"/>
  <c r="W123" i="2" s="1"/>
  <c r="W124" i="2" a="1"/>
  <c r="W124" i="2"/>
  <c r="W125" i="2" a="1"/>
  <c r="W125" i="2"/>
  <c r="W126" i="2" a="1"/>
  <c r="W126" i="2" s="1"/>
  <c r="W127" i="2" a="1"/>
  <c r="W127" i="2" s="1"/>
  <c r="W128" i="2" a="1"/>
  <c r="W128" i="2"/>
  <c r="W129" i="2" a="1"/>
  <c r="W129" i="2" s="1"/>
  <c r="W130" i="2" a="1"/>
  <c r="W130" i="2" s="1"/>
  <c r="W131" i="2" a="1"/>
  <c r="W131" i="2" s="1"/>
  <c r="W132" i="2" a="1"/>
  <c r="W132" i="2" s="1"/>
  <c r="W133" i="2" a="1"/>
  <c r="W133" i="2" s="1"/>
  <c r="W134" i="2" a="1"/>
  <c r="W134" i="2"/>
  <c r="W135" i="2" a="1"/>
  <c r="W135" i="2" s="1"/>
  <c r="W136" i="2" a="1"/>
  <c r="W136" i="2"/>
  <c r="W137" i="2" a="1"/>
  <c r="W137" i="2" s="1"/>
  <c r="W138" i="2" a="1"/>
  <c r="W138" i="2"/>
  <c r="W139" i="2" a="1"/>
  <c r="W139" i="2" s="1"/>
  <c r="W140" i="2" a="1"/>
  <c r="W140" i="2"/>
  <c r="W141" i="2" a="1"/>
  <c r="W141" i="2"/>
  <c r="W142" i="2" a="1"/>
  <c r="W142" i="2" s="1"/>
  <c r="W143" i="2" a="1"/>
  <c r="W143" i="2" s="1"/>
  <c r="W144" i="2" a="1"/>
  <c r="W144" i="2"/>
  <c r="W145" i="2" a="1"/>
  <c r="W145" i="2" s="1"/>
  <c r="W146" i="2" a="1"/>
  <c r="W146" i="2"/>
  <c r="W147" i="2" a="1"/>
  <c r="W147" i="2" s="1"/>
  <c r="W148" i="2" a="1"/>
  <c r="W148" i="2" s="1"/>
  <c r="W149" i="2" a="1"/>
  <c r="W149" i="2" s="1"/>
  <c r="W150" i="2" a="1"/>
  <c r="W150" i="2"/>
  <c r="W151" i="2" a="1"/>
  <c r="W151" i="2"/>
  <c r="W152" i="2" a="1"/>
  <c r="W152" i="2" s="1"/>
  <c r="W153" i="2" a="1"/>
  <c r="W153" i="2" s="1"/>
  <c r="W154" i="2" a="1"/>
  <c r="W154" i="2"/>
  <c r="W155" i="2" a="1"/>
  <c r="W155" i="2" s="1"/>
  <c r="W156" i="2" a="1"/>
  <c r="W156" i="2" s="1"/>
  <c r="W157" i="2" a="1"/>
  <c r="W157" i="2" s="1"/>
  <c r="W158" i="2" a="1"/>
  <c r="W158" i="2" s="1"/>
  <c r="W159" i="2" a="1"/>
  <c r="W159" i="2"/>
  <c r="W160" i="2" a="1"/>
  <c r="W160" i="2"/>
  <c r="W161" i="2" a="1"/>
  <c r="W161" i="2" s="1"/>
  <c r="W162" i="2" a="1"/>
  <c r="W162" i="2" s="1"/>
  <c r="W163" i="2" a="1"/>
  <c r="W163" i="2" s="1"/>
  <c r="W164" i="2" a="1"/>
  <c r="W164" i="2"/>
  <c r="W165" i="2" a="1"/>
  <c r="W165" i="2"/>
  <c r="W166" i="2" a="1"/>
  <c r="W166" i="2"/>
  <c r="W167" i="2" a="1"/>
  <c r="W167" i="2" s="1"/>
  <c r="W168" i="2" a="1"/>
  <c r="W168" i="2"/>
  <c r="W169" i="2" a="1"/>
  <c r="W169" i="2"/>
  <c r="W170" i="2" a="1"/>
  <c r="W170" i="2" s="1"/>
  <c r="W171" i="2" a="1"/>
  <c r="W171" i="2"/>
  <c r="W172" i="2" a="1"/>
  <c r="W172" i="2" s="1"/>
  <c r="W173" i="2" a="1"/>
  <c r="W173" i="2" s="1"/>
  <c r="W174" i="2" a="1"/>
  <c r="W174" i="2"/>
  <c r="W175" i="2" a="1"/>
  <c r="W175" i="2"/>
  <c r="W176" i="2" a="1"/>
  <c r="W176" i="2"/>
  <c r="W177" i="2" a="1"/>
  <c r="W177" i="2" s="1"/>
  <c r="W178" i="2" a="1"/>
  <c r="W178" i="2"/>
  <c r="W179" i="2" a="1"/>
  <c r="W179" i="2"/>
  <c r="W180" i="2" a="1"/>
  <c r="W180" i="2" s="1"/>
  <c r="W181" i="2" a="1"/>
  <c r="W181" i="2"/>
  <c r="W182" i="2" a="1"/>
  <c r="W182" i="2" s="1"/>
  <c r="W183" i="2" a="1"/>
  <c r="W183" i="2" s="1"/>
  <c r="W184" i="2" a="1"/>
  <c r="W184" i="2"/>
  <c r="W185" i="2" a="1"/>
  <c r="W185" i="2" s="1"/>
  <c r="W186" i="2" a="1"/>
  <c r="W186" i="2" s="1"/>
  <c r="W187" i="2" a="1"/>
  <c r="W187" i="2" s="1"/>
  <c r="W188" i="2" a="1"/>
  <c r="W188" i="2"/>
  <c r="W189" i="2" a="1"/>
  <c r="W189" i="2"/>
  <c r="W190" i="2" a="1"/>
  <c r="W190" i="2" s="1"/>
  <c r="W191" i="2" a="1"/>
  <c r="W191" i="2"/>
  <c r="W192" i="2" a="1"/>
  <c r="W192" i="2" s="1"/>
  <c r="W193" i="2" a="1"/>
  <c r="W193" i="2" s="1"/>
  <c r="W194" i="2" a="1"/>
  <c r="W194" i="2" s="1"/>
  <c r="W195" i="2" a="1"/>
  <c r="W195" i="2"/>
  <c r="W196" i="2" a="1"/>
  <c r="W196" i="2"/>
  <c r="W197" i="2" a="1"/>
  <c r="W197" i="2" s="1"/>
  <c r="W198" i="2" a="1"/>
  <c r="W198" i="2" s="1"/>
  <c r="W199" i="2" a="1"/>
  <c r="W199" i="2"/>
  <c r="W200" i="2" a="1"/>
  <c r="W200" i="2" s="1"/>
  <c r="W201" i="2" a="1"/>
  <c r="W201" i="2"/>
  <c r="W202" i="2" a="1"/>
  <c r="W202" i="2" s="1"/>
  <c r="W203" i="2" a="1"/>
  <c r="W203" i="2" s="1"/>
  <c r="W204" i="2" a="1"/>
  <c r="W204" i="2"/>
  <c r="W205" i="2" a="1"/>
  <c r="W205" i="2"/>
  <c r="W206" i="2" a="1"/>
  <c r="W206" i="2"/>
  <c r="W207" i="2" a="1"/>
  <c r="W207" i="2" s="1"/>
  <c r="W208" i="2" a="1"/>
  <c r="W208" i="2"/>
  <c r="W209" i="2" a="1"/>
  <c r="W209" i="2"/>
  <c r="W210" i="2" a="1"/>
  <c r="W210" i="2"/>
  <c r="W211" i="2" a="1"/>
  <c r="W211" i="2"/>
  <c r="W212" i="2" a="1"/>
  <c r="W212" i="2" s="1"/>
  <c r="W213" i="2" a="1"/>
  <c r="W213" i="2" s="1"/>
  <c r="W214" i="2" a="1"/>
  <c r="W214" i="2" s="1"/>
  <c r="W215" i="2" a="1"/>
  <c r="W215" i="2" s="1"/>
  <c r="W216" i="2" a="1"/>
  <c r="W216" i="2"/>
  <c r="W217" i="2" a="1"/>
  <c r="W217" i="2" s="1"/>
  <c r="W218" i="2" a="1"/>
  <c r="W218" i="2" s="1"/>
  <c r="W219" i="2" a="1"/>
  <c r="W219" i="2" s="1"/>
  <c r="W220" i="2" a="1"/>
  <c r="W220" i="2"/>
  <c r="W221" i="2" a="1"/>
  <c r="W221" i="2" s="1"/>
  <c r="W222" i="2" a="1"/>
  <c r="W222" i="2" s="1"/>
  <c r="W223" i="2" a="1"/>
  <c r="W223" i="2" s="1"/>
  <c r="W224" i="2" a="1"/>
  <c r="W224" i="2"/>
  <c r="W225" i="2" a="1"/>
  <c r="W225" i="2" s="1"/>
  <c r="W226" i="2" a="1"/>
  <c r="W226" i="2"/>
  <c r="W227" i="2" a="1"/>
  <c r="W227" i="2" s="1"/>
  <c r="W228" i="2" a="1"/>
  <c r="W228" i="2"/>
  <c r="W229" i="2" a="1"/>
  <c r="W229" i="2" s="1"/>
  <c r="W230" i="2" a="1"/>
  <c r="W230" i="2"/>
  <c r="W231" i="2" a="1"/>
  <c r="W231" i="2"/>
  <c r="W232" i="2" a="1"/>
  <c r="W232" i="2" s="1"/>
  <c r="W233" i="2" a="1"/>
  <c r="W233" i="2" s="1"/>
  <c r="W234" i="2" a="1"/>
  <c r="W234" i="2"/>
  <c r="W235" i="2" a="1"/>
  <c r="W235" i="2" s="1"/>
  <c r="W236" i="2" a="1"/>
  <c r="W236" i="2"/>
  <c r="W237" i="2" a="1"/>
  <c r="W237" i="2" s="1"/>
  <c r="W238" i="2" a="1"/>
  <c r="W238" i="2"/>
  <c r="W239" i="2" a="1"/>
  <c r="W239" i="2" s="1"/>
  <c r="W240" i="2" a="1"/>
  <c r="W240" i="2"/>
  <c r="W241" i="2" a="1"/>
  <c r="W241" i="2"/>
  <c r="W242" i="2" a="1"/>
  <c r="W242" i="2" s="1"/>
  <c r="W243" i="2" a="1"/>
  <c r="W243" i="2" s="1"/>
  <c r="W244" i="2" a="1"/>
  <c r="W244" i="2"/>
  <c r="W245" i="2" a="1"/>
  <c r="W245" i="2" s="1"/>
  <c r="W246" i="2" a="1"/>
  <c r="W246" i="2"/>
  <c r="W247" i="2" a="1"/>
  <c r="W247" i="2" s="1"/>
  <c r="W248" i="2" a="1"/>
  <c r="W248" i="2"/>
  <c r="W249" i="2" a="1"/>
  <c r="W249" i="2" s="1"/>
  <c r="W250" i="2" a="1"/>
  <c r="W250" i="2"/>
  <c r="W251" i="2" a="1"/>
  <c r="W251" i="2"/>
  <c r="W252" i="2" a="1"/>
  <c r="W252" i="2" s="1"/>
  <c r="W253" i="2" a="1"/>
  <c r="W253" i="2" s="1"/>
  <c r="W254" i="2" a="1"/>
  <c r="W254" i="2"/>
  <c r="W255" i="2" a="1"/>
  <c r="W255" i="2" s="1"/>
  <c r="W256" i="2" a="1"/>
  <c r="W256" i="2" s="1"/>
  <c r="W257" i="2" a="1"/>
  <c r="W257" i="2" s="1"/>
  <c r="W258" i="2" a="1"/>
  <c r="W258" i="2"/>
  <c r="W259" i="2" a="1"/>
  <c r="W259" i="2" s="1"/>
  <c r="W260" i="2" a="1"/>
  <c r="W260" i="2"/>
  <c r="W261" i="2" a="1"/>
  <c r="W261" i="2"/>
  <c r="W262" i="2" a="1"/>
  <c r="W262" i="2" s="1"/>
  <c r="W263" i="2" a="1"/>
  <c r="W263" i="2" s="1"/>
  <c r="W264" i="2" a="1"/>
  <c r="W264" i="2" s="1"/>
  <c r="W265" i="2" a="1"/>
  <c r="W265" i="2"/>
  <c r="W266" i="2" a="1"/>
  <c r="W266" i="2"/>
  <c r="W267" i="2" a="1"/>
  <c r="W267" i="2" s="1"/>
  <c r="W268" i="2" a="1"/>
  <c r="W268" i="2" s="1"/>
  <c r="W269" i="2" a="1"/>
  <c r="W269" i="2"/>
  <c r="W270" i="2" a="1"/>
  <c r="W270" i="2"/>
  <c r="W271" i="2" a="1"/>
  <c r="W271" i="2" s="1"/>
  <c r="W272" i="2" a="1"/>
  <c r="W272" i="2" s="1"/>
  <c r="W273" i="2" a="1"/>
  <c r="W273" i="2" s="1"/>
  <c r="W274" i="2" a="1"/>
  <c r="W274" i="2"/>
  <c r="W275" i="2" a="1"/>
  <c r="W275" i="2"/>
  <c r="W276" i="2" a="1"/>
  <c r="W276" i="2" s="1"/>
  <c r="W277" i="2" a="1"/>
  <c r="W277" i="2" s="1"/>
  <c r="W278" i="2" a="1"/>
  <c r="W278" i="2"/>
  <c r="W279" i="2" a="1"/>
  <c r="W279" i="2" s="1"/>
  <c r="W280" i="2" a="1"/>
  <c r="W280" i="2" s="1"/>
  <c r="W281" i="2" a="1"/>
  <c r="W281" i="2"/>
  <c r="W282" i="2" a="1"/>
  <c r="W282" i="2" s="1"/>
  <c r="W283" i="2" a="1"/>
  <c r="W283" i="2" s="1"/>
  <c r="W284" i="2" a="1"/>
  <c r="W284" i="2" s="1"/>
  <c r="W285" i="2" a="1"/>
  <c r="W285" i="2"/>
  <c r="W286" i="2" a="1"/>
  <c r="W286" i="2"/>
  <c r="W287" i="2" a="1"/>
  <c r="W287" i="2" s="1"/>
  <c r="W288" i="2" a="1"/>
  <c r="W288" i="2"/>
  <c r="W289" i="2" a="1"/>
  <c r="W289" i="2" s="1"/>
  <c r="W290" i="2" a="1"/>
  <c r="W290" i="2"/>
  <c r="W291" i="2" a="1"/>
  <c r="W291" i="2"/>
  <c r="W292" i="2" a="1"/>
  <c r="W292" i="2" s="1"/>
  <c r="W293" i="2" a="1"/>
  <c r="W293" i="2" s="1"/>
  <c r="W294" i="2" a="1"/>
  <c r="W294" i="2"/>
  <c r="W295" i="2" a="1"/>
  <c r="W295" i="2"/>
  <c r="W296" i="2" a="1"/>
  <c r="W296" i="2" s="1"/>
  <c r="W297" i="2" a="1"/>
  <c r="W297" i="2" s="1"/>
  <c r="W298" i="2" a="1"/>
  <c r="W298" i="2" s="1"/>
  <c r="W299" i="2" a="1"/>
  <c r="W299" i="2"/>
  <c r="W300" i="2" a="1"/>
  <c r="W300" i="2"/>
  <c r="W301" i="2" a="1"/>
  <c r="W301" i="2"/>
  <c r="W302" i="2" a="1"/>
  <c r="W302" i="2" s="1"/>
  <c r="W303" i="2" a="1"/>
  <c r="W303" i="2" s="1"/>
  <c r="W304" i="2" a="1"/>
  <c r="W304" i="2" s="1"/>
  <c r="W305" i="2" a="1"/>
  <c r="W305" i="2"/>
  <c r="W306" i="2" a="1"/>
  <c r="W306" i="2" s="1"/>
  <c r="W307" i="2" a="1"/>
  <c r="W307" i="2" s="1"/>
  <c r="W308" i="2" a="1"/>
  <c r="W308" i="2" s="1"/>
  <c r="W309" i="2" a="1"/>
  <c r="W309" i="2" s="1"/>
  <c r="W310" i="2" a="1"/>
  <c r="W310" i="2"/>
  <c r="W311" i="2" a="1"/>
  <c r="W311" i="2"/>
  <c r="W312" i="2" a="1"/>
  <c r="W312" i="2" s="1"/>
  <c r="W313" i="2" a="1"/>
  <c r="W313" i="2" s="1"/>
  <c r="W314" i="2" a="1"/>
  <c r="W314" i="2"/>
  <c r="W315" i="2" a="1"/>
  <c r="W315" i="2"/>
  <c r="W316" i="2" a="1"/>
  <c r="W316" i="2"/>
  <c r="W317" i="2" a="1"/>
  <c r="W317" i="2" s="1"/>
  <c r="W318" i="2" a="1"/>
  <c r="W318" i="2"/>
  <c r="W319" i="2" a="1"/>
  <c r="W319" i="2" s="1"/>
  <c r="W320" i="2" a="1"/>
  <c r="W320" i="2"/>
  <c r="W321" i="2" a="1"/>
  <c r="W321" i="2"/>
  <c r="W322" i="2" a="1"/>
  <c r="W322" i="2" s="1"/>
  <c r="W323" i="2" a="1"/>
  <c r="W323" i="2" s="1"/>
  <c r="W324" i="2" a="1"/>
  <c r="W324" i="2"/>
  <c r="W325" i="2" a="1"/>
  <c r="W325" i="2"/>
  <c r="W326" i="2" a="1"/>
  <c r="W326" i="2" s="1"/>
  <c r="W327" i="2" a="1"/>
  <c r="W327" i="2" s="1"/>
  <c r="W328" i="2" a="1"/>
  <c r="W328" i="2"/>
  <c r="W329" i="2" a="1"/>
  <c r="W329" i="2" s="1"/>
  <c r="W330" i="2" a="1"/>
  <c r="W330" i="2"/>
  <c r="W331" i="2" a="1"/>
  <c r="W331" i="2" s="1"/>
  <c r="W332" i="2" a="1"/>
  <c r="W332" i="2" s="1"/>
  <c r="W333" i="2" a="1"/>
  <c r="W333" i="2" s="1"/>
  <c r="W334" i="2" a="1"/>
  <c r="W334" i="2"/>
  <c r="W335" i="2" a="1"/>
  <c r="W335" i="2" s="1"/>
  <c r="W336" i="2" a="1"/>
  <c r="W336" i="2"/>
  <c r="W337" i="2" a="1"/>
  <c r="W337" i="2" s="1"/>
  <c r="W338" i="2" a="1"/>
  <c r="W338" i="2"/>
  <c r="W339" i="2" a="1"/>
  <c r="W339" i="2" s="1"/>
  <c r="W340" i="2" a="1"/>
  <c r="W340" i="2" s="1"/>
  <c r="W341" i="2" a="1"/>
  <c r="W341" i="2"/>
  <c r="W342" i="2" a="1"/>
  <c r="W342" i="2" s="1"/>
  <c r="W343" i="2" a="1"/>
  <c r="W343" i="2" s="1"/>
  <c r="W344" i="2" a="1"/>
  <c r="W344" i="2"/>
  <c r="W345" i="2" a="1"/>
  <c r="W345" i="2" s="1"/>
  <c r="W346" i="2" a="1"/>
  <c r="W346" i="2"/>
  <c r="W347" i="2" a="1"/>
  <c r="W347" i="2" s="1"/>
  <c r="W348" i="2" a="1"/>
  <c r="W348" i="2"/>
  <c r="W349" i="2" a="1"/>
  <c r="W349" i="2"/>
  <c r="W350" i="2" a="1"/>
  <c r="W350" i="2"/>
  <c r="W351" i="2" a="1"/>
  <c r="W351" i="2"/>
  <c r="W352" i="2" a="1"/>
  <c r="W352" i="2" s="1"/>
  <c r="W353" i="2" a="1"/>
  <c r="W353" i="2" s="1"/>
  <c r="W354" i="2" a="1"/>
  <c r="W354" i="2"/>
  <c r="W355" i="2" a="1"/>
  <c r="W355" i="2" s="1"/>
  <c r="W356" i="2" a="1"/>
  <c r="W356" i="2"/>
  <c r="W357" i="2" a="1"/>
  <c r="W357" i="2" s="1"/>
  <c r="W358" i="2" a="1"/>
  <c r="W358" i="2" s="1"/>
  <c r="W359" i="2" a="1"/>
  <c r="W359" i="2"/>
  <c r="W360" i="2" a="1"/>
  <c r="W360" i="2"/>
  <c r="W361" i="2" a="1"/>
  <c r="W361" i="2"/>
  <c r="W362" i="2" a="1"/>
  <c r="W362" i="2" s="1"/>
  <c r="W363" i="2" a="1"/>
  <c r="W363" i="2" s="1"/>
  <c r="W364" i="2" a="1"/>
  <c r="W364" i="2"/>
  <c r="W365" i="2" a="1"/>
  <c r="W365" i="2" s="1"/>
  <c r="W366" i="2" a="1"/>
  <c r="W366" i="2"/>
  <c r="W367" i="2" a="1"/>
  <c r="W367" i="2" s="1"/>
  <c r="W368" i="2" a="1"/>
  <c r="W368" i="2" s="1"/>
  <c r="W369" i="2" a="1"/>
  <c r="W369" i="2"/>
  <c r="W370" i="2" a="1"/>
  <c r="W370" i="2"/>
  <c r="W371" i="2" a="1"/>
  <c r="W371" i="2" s="1"/>
  <c r="W372" i="2" a="1"/>
  <c r="W372" i="2" s="1"/>
  <c r="W373" i="2" a="1"/>
  <c r="W373" i="2" s="1"/>
  <c r="W374" i="2" a="1"/>
  <c r="W374" i="2"/>
  <c r="W375" i="2" a="1"/>
  <c r="W375" i="2"/>
  <c r="W376" i="2" a="1"/>
  <c r="W376" i="2"/>
  <c r="W377" i="2" a="1"/>
  <c r="W377" i="2" s="1"/>
  <c r="W378" i="2" a="1"/>
  <c r="W378" i="2" s="1"/>
  <c r="W379" i="2" a="1"/>
  <c r="W379" i="2"/>
  <c r="W380" i="2" a="1"/>
  <c r="W380" i="2"/>
  <c r="W381" i="2" a="1"/>
  <c r="W381" i="2" s="1"/>
  <c r="W382" i="2" a="1"/>
  <c r="W382" i="2" s="1"/>
  <c r="W383" i="2" a="1"/>
  <c r="W383" i="2" s="1"/>
  <c r="W384" i="2" a="1"/>
  <c r="W384" i="2"/>
  <c r="W385" i="2" a="1"/>
  <c r="W385" i="2"/>
  <c r="W386" i="2" a="1"/>
  <c r="W386" i="2" s="1"/>
  <c r="W387" i="2" a="1"/>
  <c r="W387" i="2" s="1"/>
  <c r="W388" i="2" a="1"/>
  <c r="W388" i="2"/>
  <c r="W389" i="2" a="1"/>
  <c r="W389" i="2"/>
  <c r="W390" i="2" a="1"/>
  <c r="W390" i="2" s="1"/>
  <c r="W391" i="2" a="1"/>
  <c r="W391" i="2" s="1"/>
  <c r="W392" i="2" a="1"/>
  <c r="W392" i="2" s="1"/>
  <c r="W393" i="2" a="1"/>
  <c r="W393" i="2" s="1"/>
  <c r="W394" i="2" a="1"/>
  <c r="W394" i="2" s="1"/>
  <c r="W395" i="2" a="1"/>
  <c r="W395" i="2"/>
  <c r="W396" i="2" a="1"/>
  <c r="W396" i="2" s="1"/>
  <c r="W397" i="2" a="1"/>
  <c r="W397" i="2" s="1"/>
  <c r="W398" i="2" a="1"/>
  <c r="W398" i="2" s="1"/>
  <c r="W399" i="2" a="1"/>
  <c r="W399" i="2" s="1"/>
  <c r="W400" i="2" a="1"/>
  <c r="W400" i="2" s="1"/>
  <c r="W401" i="2" a="1"/>
  <c r="W401" i="2"/>
  <c r="W402" i="2" a="1"/>
  <c r="W402" i="2" s="1"/>
  <c r="W403" i="2" a="1"/>
  <c r="W403" i="2" s="1"/>
  <c r="W404" i="2" a="1"/>
  <c r="W404" i="2"/>
  <c r="W405" i="2" a="1"/>
  <c r="W405" i="2"/>
  <c r="W406" i="2" a="1"/>
  <c r="W406" i="2" s="1"/>
  <c r="W407" i="2" a="1"/>
  <c r="W407" i="2" s="1"/>
  <c r="W408" i="2" a="1"/>
  <c r="W408" i="2"/>
  <c r="W409" i="2" a="1"/>
  <c r="W409" i="2"/>
  <c r="W410" i="2" a="1"/>
  <c r="W410" i="2"/>
  <c r="W411" i="2" a="1"/>
  <c r="W411" i="2" s="1"/>
  <c r="W412" i="2" a="1"/>
  <c r="W412" i="2" s="1"/>
  <c r="W413" i="2" a="1"/>
  <c r="W413" i="2" s="1"/>
  <c r="W414" i="2" a="1"/>
  <c r="W414" i="2" s="1"/>
  <c r="W415" i="2" a="1"/>
  <c r="W415" i="2" s="1"/>
  <c r="W416" i="2" a="1"/>
  <c r="W416" i="2"/>
  <c r="W417" i="2" a="1"/>
  <c r="W417" i="2" s="1"/>
  <c r="W418" i="2" a="1"/>
  <c r="W418" i="2"/>
  <c r="W419" i="2" a="1"/>
  <c r="W419" i="2" s="1"/>
  <c r="W420" i="2" a="1"/>
  <c r="W420" i="2"/>
  <c r="W421" i="2" a="1"/>
  <c r="W421" i="2" s="1"/>
  <c r="W422" i="2" a="1"/>
  <c r="W422" i="2" s="1"/>
  <c r="W423" i="2" a="1"/>
  <c r="W423" i="2" s="1"/>
  <c r="W424" i="2" a="1"/>
  <c r="W424" i="2"/>
  <c r="W425" i="2" a="1"/>
  <c r="W425" i="2" s="1"/>
  <c r="W426" i="2" a="1"/>
  <c r="W426" i="2"/>
  <c r="W427" i="2" a="1"/>
  <c r="W427" i="2" s="1"/>
  <c r="W428" i="2" a="1"/>
  <c r="W428" i="2"/>
  <c r="W429" i="2" a="1"/>
  <c r="W429" i="2"/>
  <c r="W430" i="2" a="1"/>
  <c r="W430" i="2"/>
  <c r="W431" i="2" a="1"/>
  <c r="W431" i="2" s="1"/>
  <c r="W432" i="2" a="1"/>
  <c r="W432" i="2" s="1"/>
  <c r="W433" i="2" a="1"/>
  <c r="W433" i="2" s="1"/>
  <c r="W434" i="2" a="1"/>
  <c r="W434" i="2"/>
  <c r="W435" i="2" a="1"/>
  <c r="W435" i="2"/>
  <c r="W436" i="2" a="1"/>
  <c r="W436" i="2"/>
  <c r="W437" i="2" a="1"/>
  <c r="W437" i="2" s="1"/>
  <c r="W438" i="2" a="1"/>
  <c r="W438" i="2"/>
  <c r="W439" i="2" a="1"/>
  <c r="W439" i="2" s="1"/>
  <c r="W440" i="2" a="1"/>
  <c r="W440" i="2"/>
  <c r="W441" i="2" a="1"/>
  <c r="W441" i="2"/>
  <c r="W442" i="2" a="1"/>
  <c r="W442" i="2" s="1"/>
  <c r="W443" i="2" a="1"/>
  <c r="W443" i="2" s="1"/>
  <c r="W444" i="2" a="1"/>
  <c r="W444" i="2"/>
  <c r="W445" i="2" a="1"/>
  <c r="W445" i="2" s="1"/>
  <c r="W446" i="2" a="1"/>
  <c r="W446" i="2"/>
  <c r="W447" i="2" a="1"/>
  <c r="W447" i="2" s="1"/>
  <c r="W448" i="2" a="1"/>
  <c r="W448" i="2" s="1"/>
  <c r="W449" i="2" a="1"/>
  <c r="W449" i="2" s="1"/>
  <c r="W450" i="2" a="1"/>
  <c r="W450" i="2" s="1"/>
  <c r="W451" i="2" a="1"/>
  <c r="W451" i="2"/>
  <c r="W452" i="2" a="1"/>
  <c r="W452" i="2" s="1"/>
  <c r="W453" i="2" a="1"/>
  <c r="W453" i="2" s="1"/>
  <c r="W454" i="2" a="1"/>
  <c r="W454" i="2"/>
  <c r="W455" i="2" a="1"/>
  <c r="W455" i="2" s="1"/>
  <c r="W456" i="2" a="1"/>
  <c r="W456" i="2" s="1"/>
  <c r="W457" i="2" a="1"/>
  <c r="W457" i="2" s="1"/>
  <c r="W458" i="2" a="1"/>
  <c r="W458" i="2" s="1"/>
  <c r="W459" i="2" a="1"/>
  <c r="W459" i="2"/>
  <c r="W460" i="2" a="1"/>
  <c r="W460" i="2" s="1"/>
  <c r="W461" i="2" a="1"/>
  <c r="W461" i="2"/>
  <c r="W462" i="2" a="1"/>
  <c r="W462" i="2" s="1"/>
  <c r="W463" i="2" a="1"/>
  <c r="W463" i="2" s="1"/>
  <c r="W464" i="2" a="1"/>
  <c r="W464" i="2"/>
  <c r="W465" i="2" a="1"/>
  <c r="W465" i="2" s="1"/>
  <c r="W466" i="2" a="1"/>
  <c r="W466" i="2"/>
  <c r="W467" i="2" a="1"/>
  <c r="W467" i="2" s="1"/>
  <c r="W468" i="2" a="1"/>
  <c r="W468" i="2" s="1"/>
  <c r="W469" i="2" a="1"/>
  <c r="W469" i="2"/>
  <c r="W470" i="2" a="1"/>
  <c r="W470" i="2"/>
  <c r="W471" i="2" a="1"/>
  <c r="W471" i="2"/>
  <c r="W472" i="2" a="1"/>
  <c r="W472" i="2" s="1"/>
  <c r="W473" i="2" a="1"/>
  <c r="W473" i="2" s="1"/>
  <c r="W474" i="2" a="1"/>
  <c r="W474" i="2" s="1"/>
  <c r="W475" i="2" a="1"/>
  <c r="W475" i="2" s="1"/>
  <c r="W476" i="2" a="1"/>
  <c r="W476" i="2" s="1"/>
  <c r="W477" i="2" a="1"/>
  <c r="W477" i="2" s="1"/>
  <c r="W478" i="2" a="1"/>
  <c r="W478" i="2"/>
  <c r="W479" i="2" a="1"/>
  <c r="W479" i="2" s="1"/>
  <c r="W480" i="2" a="1"/>
  <c r="W480" i="2" s="1"/>
  <c r="W481" i="2" a="1"/>
  <c r="W481" i="2"/>
  <c r="W482" i="2" a="1"/>
  <c r="W482" i="2" s="1"/>
  <c r="W483" i="2" a="1"/>
  <c r="W483" i="2" s="1"/>
  <c r="W484" i="2" a="1"/>
  <c r="W484" i="2"/>
  <c r="W485" i="2" a="1"/>
  <c r="W485" i="2"/>
  <c r="W486" i="2" a="1"/>
  <c r="W486" i="2" s="1"/>
  <c r="W487" i="2" a="1"/>
  <c r="W487" i="2" s="1"/>
  <c r="W488" i="2" a="1"/>
  <c r="W488" i="2" s="1"/>
  <c r="W489" i="2" a="1"/>
  <c r="W489" i="2"/>
  <c r="W490" i="2" a="1"/>
  <c r="W490" i="2" s="1"/>
  <c r="W491" i="2" a="1"/>
  <c r="W491" i="2"/>
  <c r="W492" i="2" a="1"/>
  <c r="W492" i="2" s="1"/>
  <c r="W493" i="2" a="1"/>
  <c r="W493" i="2" s="1"/>
  <c r="W494" i="2" a="1"/>
  <c r="W494" i="2" s="1"/>
  <c r="W495" i="2" a="1"/>
  <c r="W495" i="2"/>
  <c r="W496" i="2" a="1"/>
  <c r="W496" i="2" s="1"/>
  <c r="W497" i="2" a="1"/>
  <c r="W497" i="2" s="1"/>
  <c r="W498" i="2" a="1"/>
  <c r="W498" i="2" s="1"/>
  <c r="W499" i="2" a="1"/>
  <c r="W499" i="2" s="1"/>
  <c r="W500" i="2" a="1"/>
  <c r="W500" i="2" s="1"/>
  <c r="W501" i="2" a="1"/>
  <c r="W501" i="2" s="1"/>
  <c r="W502" i="2" a="1"/>
  <c r="W502" i="2" s="1"/>
  <c r="W503" i="2" a="1"/>
  <c r="W503" i="2" s="1"/>
  <c r="W504" i="2" a="1"/>
  <c r="W504" i="2" s="1"/>
  <c r="W505" i="2" a="1"/>
  <c r="W505" i="2" s="1"/>
  <c r="W506" i="2" a="1"/>
  <c r="W506" i="2"/>
  <c r="W507" i="2" a="1"/>
  <c r="W507" i="2" s="1"/>
  <c r="W508" i="2" a="1"/>
  <c r="W508" i="2" s="1"/>
  <c r="W509" i="2" a="1"/>
  <c r="W509" i="2" s="1"/>
  <c r="W510" i="2" a="1"/>
  <c r="W510" i="2" s="1"/>
  <c r="W511" i="2" a="1"/>
  <c r="W511" i="2" s="1"/>
  <c r="W512" i="2" a="1"/>
  <c r="W512" i="2" s="1"/>
  <c r="W513" i="2" a="1"/>
  <c r="W513" i="2" s="1"/>
  <c r="W514" i="2" a="1"/>
  <c r="W514" i="2"/>
  <c r="W515" i="2" a="1"/>
  <c r="W515" i="2" s="1"/>
  <c r="W516" i="2" a="1"/>
  <c r="W516" i="2"/>
  <c r="W517" i="2" a="1"/>
  <c r="W517" i="2" s="1"/>
  <c r="W518" i="2" a="1"/>
  <c r="W518" i="2"/>
  <c r="W519" i="2" a="1"/>
  <c r="W519" i="2" s="1"/>
  <c r="W520" i="2" a="1"/>
  <c r="W520" i="2"/>
  <c r="W521" i="2" a="1"/>
  <c r="W521" i="2"/>
  <c r="W522" i="2" a="1"/>
  <c r="W522" i="2" s="1"/>
  <c r="W523" i="2" a="1"/>
  <c r="W523" i="2" s="1"/>
  <c r="W524" i="2" a="1"/>
  <c r="W524" i="2" s="1"/>
  <c r="W525" i="2" a="1"/>
  <c r="W525" i="2" s="1"/>
  <c r="W526" i="2" a="1"/>
  <c r="W526" i="2"/>
  <c r="W527" i="2" a="1"/>
  <c r="W527" i="2" s="1"/>
  <c r="W528" i="2" a="1"/>
  <c r="W528" i="2"/>
  <c r="W529" i="2" a="1"/>
  <c r="W529" i="2" s="1"/>
  <c r="W530" i="2" a="1"/>
  <c r="W530" i="2"/>
  <c r="W531" i="2" a="1"/>
  <c r="W531" i="2" s="1"/>
  <c r="W532" i="2" a="1"/>
  <c r="W532" i="2" s="1"/>
  <c r="W533" i="2" a="1"/>
  <c r="W533" i="2" s="1"/>
  <c r="W534" i="2" a="1"/>
  <c r="W534" i="2"/>
  <c r="W535" i="2" a="1"/>
  <c r="W535" i="2" s="1"/>
  <c r="W536" i="2" a="1"/>
  <c r="W536" i="2" s="1"/>
  <c r="W537" i="2" a="1"/>
  <c r="W537" i="2" s="1"/>
  <c r="W538" i="2" a="1"/>
  <c r="W538" i="2" s="1"/>
  <c r="W539" i="2" a="1"/>
  <c r="W539" i="2" s="1"/>
  <c r="W540" i="2" a="1"/>
  <c r="W540" i="2" s="1"/>
  <c r="W541" i="2" a="1"/>
  <c r="W541" i="2"/>
  <c r="W542" i="2" a="1"/>
  <c r="W542" i="2" s="1"/>
  <c r="W543" i="2" a="1"/>
  <c r="W543" i="2" s="1"/>
  <c r="W544" i="2" a="1"/>
  <c r="W544" i="2"/>
  <c r="W545" i="2" a="1"/>
  <c r="W545" i="2"/>
  <c r="W546" i="2" a="1"/>
  <c r="W546" i="2"/>
  <c r="W547" i="2" a="1"/>
  <c r="W547" i="2" s="1"/>
  <c r="W548" i="2" a="1"/>
  <c r="W548" i="2"/>
  <c r="W549" i="2" a="1"/>
  <c r="W549" i="2" s="1"/>
  <c r="W550" i="2" a="1"/>
  <c r="W550" i="2" s="1"/>
  <c r="W551" i="2" a="1"/>
  <c r="W551" i="2"/>
  <c r="W552" i="2" a="1"/>
  <c r="W552" i="2" s="1"/>
  <c r="W553" i="2" a="1"/>
  <c r="W553" i="2" s="1"/>
  <c r="W554" i="2" a="1"/>
  <c r="W554" i="2" s="1"/>
  <c r="W555" i="2" a="1"/>
  <c r="W555" i="2" s="1"/>
  <c r="W556" i="2" a="1"/>
  <c r="W556" i="2" s="1"/>
  <c r="W557" i="2" a="1"/>
  <c r="W557" i="2" s="1"/>
  <c r="W558" i="2" a="1"/>
  <c r="W558" i="2"/>
  <c r="W559" i="2" a="1"/>
  <c r="W559" i="2"/>
  <c r="W560" i="2" a="1"/>
  <c r="W560" i="2"/>
  <c r="W561" i="2" a="1"/>
  <c r="W561" i="2"/>
  <c r="W562" i="2" a="1"/>
  <c r="W562" i="2" s="1"/>
  <c r="W563" i="2" a="1"/>
  <c r="W563" i="2" s="1"/>
  <c r="W564" i="2" a="1"/>
  <c r="W564" i="2" s="1"/>
  <c r="W565" i="2" a="1"/>
  <c r="W565" i="2" s="1"/>
  <c r="W566" i="2" a="1"/>
  <c r="W566" i="2" s="1"/>
  <c r="W567" i="2" a="1"/>
  <c r="W567" i="2" s="1"/>
  <c r="W568" i="2" a="1"/>
  <c r="W568" i="2" s="1"/>
  <c r="W569" i="2" a="1"/>
  <c r="W569" i="2"/>
  <c r="W570" i="2" a="1"/>
  <c r="W570" i="2" s="1"/>
  <c r="W571" i="2" a="1"/>
  <c r="W571" i="2" s="1"/>
  <c r="W572" i="2" a="1"/>
  <c r="W572" i="2" s="1"/>
  <c r="W573" i="2" a="1"/>
  <c r="W573" i="2" s="1"/>
  <c r="W574" i="2" a="1"/>
  <c r="W574" i="2"/>
  <c r="W575" i="2" a="1"/>
  <c r="W575" i="2"/>
  <c r="W576" i="2" a="1"/>
  <c r="W576" i="2"/>
  <c r="W577" i="2" a="1"/>
  <c r="W577" i="2" s="1"/>
  <c r="W578" i="2" a="1"/>
  <c r="W578" i="2" s="1"/>
  <c r="W579" i="2" a="1"/>
  <c r="W579" i="2"/>
  <c r="W580" i="2" a="1"/>
  <c r="W580" i="2"/>
  <c r="W581" i="2" a="1"/>
  <c r="W581" i="2"/>
  <c r="W582" i="2" a="1"/>
  <c r="W582" i="2" s="1"/>
  <c r="W583" i="2" a="1"/>
  <c r="W583" i="2" s="1"/>
  <c r="W584" i="2" a="1"/>
  <c r="W584" i="2" s="1"/>
  <c r="W585" i="2" a="1"/>
  <c r="W585" i="2"/>
  <c r="W586" i="2" a="1"/>
  <c r="W586" i="2" s="1"/>
  <c r="W587" i="2" a="1"/>
  <c r="W587" i="2" s="1"/>
  <c r="W588" i="2" a="1"/>
  <c r="W588" i="2" s="1"/>
  <c r="W589" i="2" a="1"/>
  <c r="W589" i="2"/>
  <c r="W590" i="2" a="1"/>
  <c r="W590" i="2" s="1"/>
  <c r="W591" i="2" a="1"/>
  <c r="W591" i="2"/>
  <c r="W592" i="2" a="1"/>
  <c r="W592" i="2" s="1"/>
  <c r="W593" i="2" a="1"/>
  <c r="W593" i="2" s="1"/>
  <c r="W594" i="2" a="1"/>
  <c r="W594" i="2"/>
  <c r="W595" i="2" a="1"/>
  <c r="W595" i="2"/>
  <c r="W596" i="2" a="1"/>
  <c r="W596" i="2"/>
  <c r="W597" i="2" a="1"/>
  <c r="W597" i="2" s="1"/>
  <c r="W598" i="2" a="1"/>
  <c r="W598" i="2" s="1"/>
  <c r="W599" i="2" a="1"/>
  <c r="W599" i="2" s="1"/>
  <c r="W600" i="2" a="1"/>
  <c r="W600" i="2"/>
  <c r="W601" i="2" a="1"/>
  <c r="W601" i="2" s="1"/>
  <c r="W602" i="2" a="1"/>
  <c r="W602" i="2" s="1"/>
  <c r="W603" i="2" a="1"/>
  <c r="W603" i="2" s="1"/>
  <c r="W604" i="2" a="1"/>
  <c r="W604" i="2"/>
  <c r="W605" i="2" a="1"/>
  <c r="W605" i="2" s="1"/>
  <c r="W606" i="2" a="1"/>
  <c r="W606" i="2"/>
  <c r="W607" i="2" a="1"/>
  <c r="W607" i="2" s="1"/>
  <c r="W608" i="2" a="1"/>
  <c r="W608" i="2" s="1"/>
  <c r="W609" i="2" a="1"/>
  <c r="W609" i="2"/>
  <c r="W610" i="2" a="1"/>
  <c r="W610" i="2"/>
  <c r="W611" i="2" a="1"/>
  <c r="W611" i="2"/>
  <c r="W612" i="2" a="1"/>
  <c r="W612" i="2" s="1"/>
  <c r="W613" i="2" a="1"/>
  <c r="W613" i="2" s="1"/>
  <c r="W614" i="2" a="1"/>
  <c r="W614" i="2" s="1"/>
  <c r="W615" i="2" a="1"/>
  <c r="W615" i="2"/>
  <c r="W616" i="2" a="1"/>
  <c r="W616" i="2"/>
  <c r="W617" i="2" a="1"/>
  <c r="W617" i="2" s="1"/>
  <c r="W618" i="2" a="1"/>
  <c r="W618" i="2"/>
  <c r="W619" i="2" a="1"/>
  <c r="W619" i="2" s="1"/>
  <c r="W620" i="2" a="1"/>
  <c r="W620" i="2" s="1"/>
  <c r="W621" i="2" a="1"/>
  <c r="W621" i="2" s="1"/>
  <c r="W622" i="2" a="1"/>
  <c r="W622" i="2" s="1"/>
  <c r="W623" i="2" a="1"/>
  <c r="W623" i="2" s="1"/>
  <c r="W624" i="2" a="1"/>
  <c r="W624" i="2"/>
  <c r="W625" i="2" a="1"/>
  <c r="W625" i="2" s="1"/>
  <c r="W626" i="2" a="1"/>
  <c r="W626" i="2"/>
  <c r="W627" i="2" a="1"/>
  <c r="W627" i="2" s="1"/>
  <c r="W628" i="2" a="1"/>
  <c r="W628" i="2" s="1"/>
  <c r="W629" i="2" a="1"/>
  <c r="W629" i="2"/>
  <c r="W630" i="2" a="1"/>
  <c r="W630" i="2"/>
  <c r="W631" i="2" a="1"/>
  <c r="W631" i="2"/>
  <c r="W632" i="2" a="1"/>
  <c r="W632" i="2" s="1"/>
  <c r="W633" i="2" a="1"/>
  <c r="W633" i="2" s="1"/>
  <c r="W634" i="2" a="1"/>
  <c r="W634" i="2"/>
  <c r="W635" i="2" a="1"/>
  <c r="W635" i="2" s="1"/>
  <c r="W636" i="2" a="1"/>
  <c r="W636" i="2" s="1"/>
  <c r="W637" i="2" a="1"/>
  <c r="W637" i="2" s="1"/>
  <c r="W638" i="2" a="1"/>
  <c r="W638" i="2"/>
  <c r="W639" i="2" a="1"/>
  <c r="W639" i="2" s="1"/>
  <c r="W640" i="2" a="1"/>
  <c r="W640" i="2"/>
  <c r="W641" i="2" a="1"/>
  <c r="W641" i="2" s="1"/>
  <c r="W642" i="2" a="1"/>
  <c r="W642" i="2" s="1"/>
  <c r="W643" i="2" a="1"/>
  <c r="W643" i="2" s="1"/>
  <c r="W644" i="2" a="1"/>
  <c r="W644" i="2"/>
  <c r="W645" i="2" a="1"/>
  <c r="W645" i="2" s="1"/>
  <c r="W646" i="2" a="1"/>
  <c r="W646" i="2" s="1"/>
  <c r="W647" i="2" a="1"/>
  <c r="W647" i="2" s="1"/>
  <c r="W648" i="2" a="1"/>
  <c r="W648" i="2" s="1"/>
  <c r="W649" i="2" a="1"/>
  <c r="W649" i="2" s="1"/>
  <c r="W650" i="2" a="1"/>
  <c r="W650" i="2" s="1"/>
  <c r="W651" i="2" a="1"/>
  <c r="W651" i="2"/>
  <c r="W652" i="2" a="1"/>
  <c r="W652" i="2" s="1"/>
  <c r="W653" i="2" a="1"/>
  <c r="W653" i="2" s="1"/>
  <c r="W654" i="2" a="1"/>
  <c r="W654" i="2"/>
  <c r="W655" i="2" a="1"/>
  <c r="W655" i="2"/>
  <c r="W656" i="2" a="1"/>
  <c r="W656" i="2" s="1"/>
  <c r="W657" i="2" a="1"/>
  <c r="W657" i="2" s="1"/>
  <c r="W658" i="2" a="1"/>
  <c r="W658" i="2" s="1"/>
  <c r="W659" i="2" a="1"/>
  <c r="W659" i="2"/>
  <c r="W660" i="2" a="1"/>
  <c r="W660" i="2" s="1"/>
  <c r="W661" i="2" a="1"/>
  <c r="W661" i="2"/>
  <c r="W662" i="2" a="1"/>
  <c r="W662" i="2" s="1"/>
  <c r="W663" i="2" a="1"/>
  <c r="W663" i="2" s="1"/>
  <c r="W664" i="2" a="1"/>
  <c r="W664" i="2" s="1"/>
  <c r="W665" i="2" a="1"/>
  <c r="W665" i="2"/>
  <c r="W666" i="2" a="1"/>
  <c r="W666" i="2" s="1"/>
  <c r="W667" i="2" a="1"/>
  <c r="W667" i="2" s="1"/>
  <c r="W668" i="2" a="1"/>
  <c r="W668" i="2" s="1"/>
  <c r="W669" i="2" a="1"/>
  <c r="W669" i="2"/>
  <c r="W670" i="2" a="1"/>
  <c r="W670" i="2" s="1"/>
  <c r="W671" i="2" a="1"/>
  <c r="W671" i="2" s="1"/>
  <c r="W672" i="2" a="1"/>
  <c r="W672" i="2" s="1"/>
  <c r="W673" i="2" a="1"/>
  <c r="W673" i="2" s="1"/>
  <c r="W674" i="2" a="1"/>
  <c r="W674" i="2"/>
  <c r="W675" i="2" a="1"/>
  <c r="W675" i="2"/>
  <c r="W676" i="2" a="1"/>
  <c r="W676" i="2" s="1"/>
  <c r="W677" i="2" a="1"/>
  <c r="W677" i="2" s="1"/>
  <c r="W678" i="2" a="1"/>
  <c r="W678" i="2" s="1"/>
  <c r="W679" i="2" a="1"/>
  <c r="W679" i="2"/>
  <c r="W680" i="2" a="1"/>
  <c r="W680" i="2" s="1"/>
  <c r="W681" i="2" a="1"/>
  <c r="W681" i="2" s="1"/>
  <c r="W682" i="2" a="1"/>
  <c r="W682" i="2" s="1"/>
  <c r="W683" i="2" a="1"/>
  <c r="W683" i="2" s="1"/>
  <c r="W684" i="2" a="1"/>
  <c r="W684" i="2"/>
  <c r="W685" i="2" a="1"/>
  <c r="W685" i="2"/>
  <c r="W686" i="2" a="1"/>
  <c r="W686" i="2" s="1"/>
  <c r="W687" i="2" a="1"/>
  <c r="W687" i="2" s="1"/>
  <c r="W688" i="2" a="1"/>
  <c r="W688" i="2" s="1"/>
  <c r="W689" i="2" a="1"/>
  <c r="W689" i="2"/>
  <c r="W690" i="2" a="1"/>
  <c r="W690" i="2" s="1"/>
  <c r="W691" i="2" a="1"/>
  <c r="W691" i="2"/>
  <c r="W692" i="2" a="1"/>
  <c r="W692" i="2" s="1"/>
  <c r="W693" i="2" a="1"/>
  <c r="W693" i="2" s="1"/>
  <c r="W694" i="2" a="1"/>
  <c r="W694" i="2" s="1"/>
  <c r="W695" i="2" a="1"/>
  <c r="W695" i="2"/>
  <c r="W696" i="2" a="1"/>
  <c r="W696" i="2" s="1"/>
  <c r="W697" i="2" a="1"/>
  <c r="W697" i="2" s="1"/>
  <c r="W698" i="2" a="1"/>
  <c r="W698" i="2"/>
  <c r="W699" i="2" a="1"/>
  <c r="W699" i="2" s="1"/>
  <c r="W700" i="2" a="1"/>
  <c r="W700" i="2" s="1"/>
  <c r="W701" i="2" a="1"/>
  <c r="W701" i="2"/>
  <c r="W702" i="2" a="1"/>
  <c r="W702" i="2" s="1"/>
  <c r="W703" i="2" a="1"/>
  <c r="W703" i="2" s="1"/>
  <c r="W704" i="2" a="1"/>
  <c r="W704" i="2" s="1"/>
  <c r="W705" i="2" a="1"/>
  <c r="W705" i="2" s="1"/>
  <c r="W706" i="2" a="1"/>
  <c r="W706" i="2"/>
  <c r="W707" i="2" a="1"/>
  <c r="W707" i="2" s="1"/>
  <c r="W708" i="2" a="1"/>
  <c r="W708" i="2" s="1"/>
  <c r="W709" i="2" a="1"/>
  <c r="W709" i="2" s="1"/>
  <c r="W710" i="2" a="1"/>
  <c r="W710" i="2"/>
  <c r="W711" i="2" a="1"/>
  <c r="W711" i="2"/>
  <c r="W712" i="2" a="1"/>
  <c r="W712" i="2" s="1"/>
  <c r="W713" i="2" a="1"/>
  <c r="W713" i="2" s="1"/>
  <c r="W714" i="2" a="1"/>
  <c r="W714" i="2" s="1"/>
  <c r="W715" i="2" a="1"/>
  <c r="W715" i="2"/>
  <c r="W716" i="2" a="1"/>
  <c r="W716" i="2"/>
  <c r="W717" i="2" a="1"/>
  <c r="W717" i="2" s="1"/>
  <c r="W718" i="2" a="1"/>
  <c r="W718" i="2" s="1"/>
  <c r="W719" i="2" a="1"/>
  <c r="W719" i="2"/>
  <c r="W720" i="2" a="1"/>
  <c r="W720" i="2"/>
  <c r="W721" i="2" a="1"/>
  <c r="W721" i="2"/>
  <c r="W722" i="2" a="1"/>
  <c r="W722" i="2" s="1"/>
  <c r="W723" i="2" a="1"/>
  <c r="W723" i="2" s="1"/>
  <c r="W724" i="2" a="1"/>
  <c r="W724" i="2" s="1"/>
  <c r="W725" i="2" a="1"/>
  <c r="W725" i="2"/>
  <c r="W726" i="2" a="1"/>
  <c r="W726" i="2"/>
  <c r="W727" i="2" a="1"/>
  <c r="W727" i="2" s="1"/>
  <c r="W728" i="2" a="1"/>
  <c r="W728" i="2"/>
  <c r="W729" i="2" a="1"/>
  <c r="W729" i="2"/>
  <c r="W730" i="2" a="1"/>
  <c r="W730" i="2"/>
  <c r="W731" i="2" a="1"/>
  <c r="W731" i="2" s="1"/>
  <c r="W732" i="2" a="1"/>
  <c r="W732" i="2" s="1"/>
  <c r="W733" i="2" a="1"/>
  <c r="W733" i="2" s="1"/>
  <c r="W734" i="2" a="1"/>
  <c r="W734" i="2"/>
  <c r="W735" i="2" a="1"/>
  <c r="W735" i="2"/>
  <c r="W736" i="2" a="1"/>
  <c r="W736" i="2" s="1"/>
  <c r="W737" i="2" a="1"/>
  <c r="W737" i="2" s="1"/>
  <c r="W738" i="2" a="1"/>
  <c r="W738" i="2" s="1"/>
  <c r="W739" i="2" a="1"/>
  <c r="W739" i="2" s="1"/>
  <c r="W740" i="2" a="1"/>
  <c r="W740" i="2" s="1"/>
  <c r="W741" i="2" a="1"/>
  <c r="W741" i="2"/>
  <c r="W742" i="2" a="1"/>
  <c r="W742" i="2" s="1"/>
  <c r="W743" i="2" a="1"/>
  <c r="W743" i="2" s="1"/>
  <c r="W744" i="2" a="1"/>
  <c r="W744" i="2"/>
  <c r="W745" i="2" a="1"/>
  <c r="W745" i="2"/>
  <c r="W746" i="2" a="1"/>
  <c r="W746" i="2" s="1"/>
  <c r="W747" i="2" a="1"/>
  <c r="W747" i="2" s="1"/>
  <c r="W748" i="2" a="1"/>
  <c r="W748" i="2"/>
  <c r="W749" i="2" a="1"/>
  <c r="W749" i="2"/>
  <c r="W750" i="2" a="1"/>
  <c r="W750" i="2" s="1"/>
  <c r="W751" i="2" a="1"/>
  <c r="W751" i="2"/>
  <c r="W752" i="2" a="1"/>
  <c r="W752" i="2" s="1"/>
  <c r="W753" i="2" a="1"/>
  <c r="W753" i="2" s="1"/>
  <c r="W754" i="2" a="1"/>
  <c r="W754" i="2" s="1"/>
  <c r="W755" i="2" a="1"/>
  <c r="W755" i="2" s="1"/>
  <c r="W756" i="2" a="1"/>
  <c r="W756" i="2"/>
  <c r="W757" i="2" a="1"/>
  <c r="W757" i="2" s="1"/>
  <c r="W758" i="2" a="1"/>
  <c r="W758" i="2"/>
  <c r="W759" i="2" a="1"/>
  <c r="W759" i="2" s="1"/>
  <c r="W760" i="2" a="1"/>
  <c r="W760" i="2" s="1"/>
  <c r="W761" i="2" a="1"/>
  <c r="W761" i="2"/>
  <c r="W762" i="2" a="1"/>
  <c r="W762" i="2" s="1"/>
  <c r="W763" i="2" a="1"/>
  <c r="W763" i="2" s="1"/>
  <c r="W764" i="2" a="1"/>
  <c r="W764" i="2"/>
  <c r="W765" i="2" a="1"/>
  <c r="W765" i="2"/>
  <c r="W766" i="2" a="1"/>
  <c r="W766" i="2"/>
  <c r="W767" i="2" a="1"/>
  <c r="W767" i="2" s="1"/>
  <c r="W768" i="2" a="1"/>
  <c r="W768" i="2"/>
  <c r="W769" i="2" a="1"/>
  <c r="W769" i="2"/>
  <c r="W770" i="2" a="1"/>
  <c r="W770" i="2"/>
  <c r="W771" i="2" a="1"/>
  <c r="W771" i="2"/>
  <c r="W772" i="2" a="1"/>
  <c r="W772" i="2" s="1"/>
  <c r="W773" i="2" a="1"/>
  <c r="W773" i="2" s="1"/>
  <c r="W774" i="2" a="1"/>
  <c r="W774" i="2" s="1"/>
  <c r="W775" i="2" a="1"/>
  <c r="W775" i="2"/>
  <c r="W776" i="2" a="1"/>
  <c r="W776" i="2" s="1"/>
  <c r="W777" i="2" a="1"/>
  <c r="W777" i="2" s="1"/>
  <c r="W778" i="2" a="1"/>
  <c r="W778" i="2" s="1"/>
  <c r="W779" i="2" a="1"/>
  <c r="W779" i="2"/>
  <c r="W780" i="2" a="1"/>
  <c r="W780" i="2"/>
  <c r="W781" i="2" a="1"/>
  <c r="W781" i="2"/>
  <c r="W782" i="2" a="1"/>
  <c r="W782" i="2" s="1"/>
  <c r="W783" i="2" a="1"/>
  <c r="W783" i="2" s="1"/>
  <c r="W784" i="2" a="1"/>
  <c r="W784" i="2"/>
  <c r="W785" i="2" a="1"/>
  <c r="W785" i="2"/>
  <c r="W786" i="2" a="1"/>
  <c r="W786" i="2" s="1"/>
  <c r="W787" i="2" a="1"/>
  <c r="W787" i="2" s="1"/>
  <c r="W788" i="2" a="1"/>
  <c r="W788" i="2"/>
  <c r="W789" i="2" a="1"/>
  <c r="W789" i="2"/>
  <c r="W790" i="2" a="1"/>
  <c r="W790" i="2" s="1"/>
  <c r="W791" i="2" a="1"/>
  <c r="W791" i="2"/>
  <c r="W792" i="2" a="1"/>
  <c r="W792" i="2" s="1"/>
  <c r="W793" i="2" a="1"/>
  <c r="W793" i="2" s="1"/>
  <c r="W794" i="2" a="1"/>
  <c r="W794" i="2" s="1"/>
  <c r="W795" i="2" a="1"/>
  <c r="W795" i="2"/>
  <c r="W796" i="2" a="1"/>
  <c r="W796" i="2"/>
  <c r="W797" i="2" a="1"/>
  <c r="W797" i="2" s="1"/>
  <c r="W798" i="2" a="1"/>
  <c r="W798" i="2" s="1"/>
  <c r="W799" i="2" a="1"/>
  <c r="W799" i="2"/>
  <c r="W800" i="2" a="1"/>
  <c r="W800" i="2"/>
  <c r="W801" i="2" a="1"/>
  <c r="W801" i="2" s="1"/>
  <c r="W802" i="2" a="1"/>
  <c r="W802" i="2" s="1"/>
  <c r="W803" i="2" a="1"/>
  <c r="W803" i="2" s="1"/>
  <c r="W804" i="2" a="1"/>
  <c r="W804" i="2" s="1"/>
  <c r="W805" i="2" a="1"/>
  <c r="W805" i="2"/>
  <c r="W806" i="2" a="1"/>
  <c r="W806" i="2"/>
  <c r="W807" i="2" a="1"/>
  <c r="W807" i="2" s="1"/>
  <c r="W808" i="2" a="1"/>
  <c r="W808" i="2"/>
  <c r="W809" i="2" a="1"/>
  <c r="W809" i="2"/>
  <c r="W810" i="2" a="1"/>
  <c r="W810" i="2"/>
  <c r="W811" i="2" a="1"/>
  <c r="W811" i="2" s="1"/>
  <c r="W812" i="2" a="1"/>
  <c r="W812" i="2" s="1"/>
  <c r="W813" i="2" a="1"/>
  <c r="W813" i="2" s="1"/>
  <c r="W814" i="2" a="1"/>
  <c r="W814" i="2" s="1"/>
  <c r="W815" i="2" a="1"/>
  <c r="W815" i="2"/>
  <c r="W816" i="2" a="1"/>
  <c r="W816" i="2" s="1"/>
  <c r="W817" i="2" a="1"/>
  <c r="W817" i="2" s="1"/>
  <c r="W818" i="2" a="1"/>
  <c r="W818" i="2"/>
  <c r="W819" i="2" a="1"/>
  <c r="W819" i="2"/>
  <c r="W820" i="2" a="1"/>
  <c r="W820" i="2"/>
  <c r="W821" i="2" a="1"/>
  <c r="W821" i="2" s="1"/>
  <c r="W822" i="2" a="1"/>
  <c r="W822" i="2" s="1"/>
  <c r="W823" i="2" a="1"/>
  <c r="W823" i="2" s="1"/>
  <c r="W824" i="2" a="1"/>
  <c r="W824" i="2" s="1"/>
  <c r="W825" i="2" a="1"/>
  <c r="W825" i="2" s="1"/>
  <c r="W826" i="2" a="1"/>
  <c r="W826" i="2" s="1"/>
  <c r="W827" i="2" a="1"/>
  <c r="W827" i="2" s="1"/>
  <c r="W828" i="2" a="1"/>
  <c r="W828" i="2" s="1"/>
  <c r="W829" i="2" a="1"/>
  <c r="W829" i="2"/>
  <c r="W830" i="2" a="1"/>
  <c r="W830" i="2" s="1"/>
  <c r="W831" i="2" a="1"/>
  <c r="W831" i="2" s="1"/>
  <c r="W832" i="2" a="1"/>
  <c r="W832" i="2" s="1"/>
  <c r="W833" i="2" a="1"/>
  <c r="W833" i="2"/>
  <c r="W834" i="2" a="1"/>
  <c r="W834" i="2" s="1"/>
  <c r="W835" i="2" a="1"/>
  <c r="W835" i="2"/>
  <c r="W836" i="2" a="1"/>
  <c r="W836" i="2" s="1"/>
  <c r="W837" i="2" a="1"/>
  <c r="W837" i="2" s="1"/>
  <c r="W838" i="2" a="1"/>
  <c r="W838" i="2" s="1"/>
  <c r="W839" i="2" a="1"/>
  <c r="W839" i="2"/>
  <c r="W840" i="2" a="1"/>
  <c r="W840" i="2" s="1"/>
  <c r="W841" i="2" a="1"/>
  <c r="W841" i="2"/>
  <c r="W842" i="2" a="1"/>
  <c r="W842" i="2" s="1"/>
  <c r="W843" i="2" a="1"/>
  <c r="W843" i="2"/>
  <c r="W844" i="2" a="1"/>
  <c r="W844" i="2"/>
  <c r="W845" i="2" a="1"/>
  <c r="W845" i="2" s="1"/>
  <c r="W846" i="2" a="1"/>
  <c r="W846" i="2"/>
  <c r="W847" i="2" a="1"/>
  <c r="W847" i="2" s="1"/>
  <c r="W848" i="2" a="1"/>
  <c r="W848" i="2"/>
  <c r="W849" i="2" a="1"/>
  <c r="W849" i="2" s="1"/>
  <c r="W850" i="2" a="1"/>
  <c r="W850" i="2" s="1"/>
  <c r="W851" i="2" a="1"/>
  <c r="W851" i="2" s="1"/>
  <c r="W852" i="2" a="1"/>
  <c r="W852" i="2"/>
  <c r="W853" i="2" a="1"/>
  <c r="W853" i="2"/>
  <c r="W854" i="2" a="1"/>
  <c r="W854" i="2" s="1"/>
  <c r="W855" i="2" a="1"/>
  <c r="W855" i="2"/>
  <c r="W856" i="2" a="1"/>
  <c r="W856" i="2"/>
  <c r="W857" i="2" a="1"/>
  <c r="W857" i="2"/>
  <c r="W858" i="2" a="1"/>
  <c r="W858" i="2"/>
  <c r="W859" i="2" a="1"/>
  <c r="W859" i="2"/>
  <c r="W860" i="2" a="1"/>
  <c r="W860" i="2"/>
  <c r="W861" i="2" a="1"/>
  <c r="W861" i="2" s="1"/>
  <c r="W862" i="2" a="1"/>
  <c r="W862" i="2" s="1"/>
  <c r="W863" i="2" a="1"/>
  <c r="W863" i="2"/>
  <c r="W864" i="2" a="1"/>
  <c r="W864" i="2" s="1"/>
  <c r="W865" i="2" a="1"/>
  <c r="W865" i="2"/>
  <c r="W866" i="2" a="1"/>
  <c r="W866" i="2" s="1"/>
  <c r="W867" i="2" a="1"/>
  <c r="W867" i="2" s="1"/>
  <c r="W868" i="2" a="1"/>
  <c r="W868" i="2"/>
  <c r="W869" i="2" a="1"/>
  <c r="W869" i="2"/>
  <c r="W870" i="2" a="1"/>
  <c r="W870" i="2" s="1"/>
  <c r="W871" i="2" a="1"/>
  <c r="W871" i="2" s="1"/>
  <c r="W872" i="2" a="1"/>
  <c r="W872" i="2"/>
  <c r="W873" i="2" a="1"/>
  <c r="W873" i="2" s="1"/>
  <c r="W874" i="2" a="1"/>
  <c r="W874" i="2" s="1"/>
  <c r="W875" i="2" a="1"/>
  <c r="W875" i="2" s="1"/>
  <c r="W876" i="2" a="1"/>
  <c r="W876" i="2"/>
  <c r="W877" i="2" a="1"/>
  <c r="W877" i="2" s="1"/>
  <c r="W878" i="2" a="1"/>
  <c r="W878" i="2"/>
  <c r="W879" i="2" a="1"/>
  <c r="W879" i="2" s="1"/>
  <c r="W880" i="2" a="1"/>
  <c r="W880" i="2"/>
  <c r="W881" i="2" a="1"/>
  <c r="W881" i="2"/>
  <c r="W882" i="2" a="1"/>
  <c r="W882" i="2"/>
  <c r="W883" i="2" a="1"/>
  <c r="W883" i="2" s="1"/>
  <c r="W884" i="2" a="1"/>
  <c r="W884" i="2" s="1"/>
  <c r="W885" i="2" a="1"/>
  <c r="W885" i="2"/>
  <c r="W886" i="2" a="1"/>
  <c r="W886" i="2"/>
  <c r="W887" i="2" a="1"/>
  <c r="W887" i="2"/>
  <c r="W888" i="2" a="1"/>
  <c r="W888" i="2"/>
  <c r="W889" i="2" a="1"/>
  <c r="W889" i="2" s="1"/>
  <c r="W890" i="2" a="1"/>
  <c r="W890" i="2"/>
  <c r="W891" i="2" a="1"/>
  <c r="W891" i="2" s="1"/>
  <c r="W892" i="2" a="1"/>
  <c r="W892" i="2" s="1"/>
  <c r="W893" i="2" a="1"/>
  <c r="W893" i="2" s="1"/>
  <c r="W894" i="2" a="1"/>
  <c r="W894" i="2" s="1"/>
  <c r="W895" i="2" a="1"/>
  <c r="W895" i="2" s="1"/>
  <c r="W896" i="2" a="1"/>
  <c r="W896" i="2"/>
  <c r="W897" i="2" a="1"/>
  <c r="W897" i="2"/>
  <c r="W898" i="2" a="1"/>
  <c r="W898" i="2"/>
  <c r="W899" i="2" a="1"/>
  <c r="W899" i="2" s="1"/>
  <c r="W900" i="2" a="1"/>
  <c r="W900" i="2" s="1"/>
  <c r="W901" i="2" a="1"/>
  <c r="W901" i="2"/>
  <c r="W902" i="2" a="1"/>
  <c r="W902" i="2"/>
  <c r="W903" i="2" a="1"/>
  <c r="W903" i="2"/>
  <c r="W904" i="2" a="1"/>
  <c r="W904" i="2" s="1"/>
  <c r="W905" i="2" a="1"/>
  <c r="W905" i="2" s="1"/>
  <c r="W906" i="2" a="1"/>
  <c r="W906" i="2"/>
  <c r="W907" i="2" a="1"/>
  <c r="W907" i="2"/>
  <c r="W908" i="2" a="1"/>
  <c r="W908" i="2"/>
  <c r="W909" i="2" a="1"/>
  <c r="W909" i="2"/>
  <c r="W910" i="2" a="1"/>
  <c r="W910" i="2" s="1"/>
  <c r="W911" i="2" a="1"/>
  <c r="W911" i="2"/>
  <c r="W912" i="2" a="1"/>
  <c r="W912" i="2" s="1"/>
  <c r="W913" i="2" a="1"/>
  <c r="W913" i="2"/>
  <c r="W914" i="2" a="1"/>
  <c r="W914" i="2" s="1"/>
  <c r="W915" i="2" a="1"/>
  <c r="W915" i="2" s="1"/>
  <c r="W916" i="2" a="1"/>
  <c r="W916" i="2"/>
  <c r="W917" i="2" a="1"/>
  <c r="W917" i="2"/>
  <c r="W918" i="2" a="1"/>
  <c r="W918" i="2"/>
  <c r="W919" i="2" a="1"/>
  <c r="W919" i="2" s="1"/>
  <c r="W920" i="2" a="1"/>
  <c r="W920" i="2"/>
  <c r="W921" i="2" a="1"/>
  <c r="W921" i="2" s="1"/>
  <c r="W922" i="2" a="1"/>
  <c r="W922" i="2"/>
  <c r="W923" i="2" a="1"/>
  <c r="W923" i="2"/>
  <c r="W924" i="2" a="1"/>
  <c r="W924" i="2" s="1"/>
  <c r="W925" i="2" a="1"/>
  <c r="W925" i="2"/>
  <c r="W926" i="2" a="1"/>
  <c r="W926" i="2" s="1"/>
  <c r="W927" i="2" a="1"/>
  <c r="W927" i="2"/>
  <c r="W928" i="2" a="1"/>
  <c r="W928" i="2"/>
  <c r="W929" i="2" a="1"/>
  <c r="W929" i="2"/>
  <c r="W930" i="2" a="1"/>
  <c r="W930" i="2" s="1"/>
  <c r="W931" i="2" a="1"/>
  <c r="W931" i="2"/>
  <c r="W932" i="2" a="1"/>
  <c r="W932" i="2"/>
  <c r="W933" i="2" a="1"/>
  <c r="W933" i="2" s="1"/>
  <c r="W934" i="2" a="1"/>
  <c r="W934" i="2" s="1"/>
  <c r="W935" i="2" a="1"/>
  <c r="W935" i="2"/>
  <c r="W936" i="2" a="1"/>
  <c r="W936" i="2" s="1"/>
  <c r="W937" i="2" a="1"/>
  <c r="W937" i="2" s="1"/>
  <c r="W938" i="2" a="1"/>
  <c r="W938" i="2"/>
  <c r="W939" i="2" a="1"/>
  <c r="W939" i="2"/>
  <c r="W940" i="2" a="1"/>
  <c r="W940" i="2"/>
  <c r="W941" i="2" a="1"/>
  <c r="W941" i="2" s="1"/>
  <c r="W942" i="2" a="1"/>
  <c r="W942" i="2" s="1"/>
  <c r="W943" i="2" a="1"/>
  <c r="W943" i="2"/>
  <c r="W944" i="2" a="1"/>
  <c r="W944" i="2" s="1"/>
  <c r="W945" i="2" a="1"/>
  <c r="W945" i="2" s="1"/>
  <c r="W946" i="2" a="1"/>
  <c r="W946" i="2"/>
  <c r="W947" i="2" a="1"/>
  <c r="W947" i="2" s="1"/>
  <c r="W948" i="2" a="1"/>
  <c r="W948" i="2"/>
  <c r="W949" i="2" a="1"/>
  <c r="W949" i="2"/>
  <c r="W950" i="2" a="1"/>
  <c r="W950" i="2"/>
  <c r="W951" i="2" a="1"/>
  <c r="W951" i="2"/>
  <c r="W952" i="2" a="1"/>
  <c r="W952" i="2" s="1"/>
  <c r="W953" i="2" a="1"/>
  <c r="W953" i="2"/>
  <c r="W954" i="2" a="1"/>
  <c r="W954" i="2" s="1"/>
  <c r="W955" i="2" a="1"/>
  <c r="W955" i="2"/>
  <c r="W956" i="2" a="1"/>
  <c r="W956" i="2"/>
  <c r="W957" i="2" a="1"/>
  <c r="W957" i="2"/>
  <c r="W958" i="2" a="1"/>
  <c r="W958" i="2"/>
  <c r="W959" i="2" a="1"/>
  <c r="W959" i="2" s="1"/>
  <c r="W960" i="2" a="1"/>
  <c r="W960" i="2" s="1"/>
  <c r="W961" i="2" a="1"/>
  <c r="W961" i="2" s="1"/>
  <c r="W962" i="2" a="1"/>
  <c r="W962" i="2" s="1"/>
  <c r="W963" i="2" a="1"/>
  <c r="W963" i="2" s="1"/>
  <c r="W964" i="2" a="1"/>
  <c r="W964" i="2" s="1"/>
  <c r="W965" i="2" a="1"/>
  <c r="W965" i="2" s="1"/>
  <c r="W966" i="2" a="1"/>
  <c r="W966" i="2" s="1"/>
  <c r="W967" i="2" a="1"/>
  <c r="W967" i="2" s="1"/>
  <c r="W968" i="2" a="1"/>
  <c r="W968" i="2"/>
  <c r="W969" i="2" a="1"/>
  <c r="W969" i="2"/>
  <c r="W970" i="2" a="1"/>
  <c r="W970" i="2"/>
  <c r="W971" i="2" a="1"/>
  <c r="W971" i="2"/>
  <c r="W972" i="2" a="1"/>
  <c r="W972" i="2" s="1"/>
  <c r="W973" i="2" a="1"/>
  <c r="W973" i="2"/>
  <c r="W974" i="2" a="1"/>
  <c r="W974" i="2" s="1"/>
  <c r="W975" i="2" a="1"/>
  <c r="W975" i="2"/>
  <c r="W976" i="2" a="1"/>
  <c r="W976" i="2"/>
  <c r="W977" i="2" a="1"/>
  <c r="W977" i="2"/>
  <c r="W978" i="2" a="1"/>
  <c r="W978" i="2"/>
  <c r="W979" i="2" a="1"/>
  <c r="W979" i="2"/>
  <c r="W980" i="2" a="1"/>
  <c r="W980" i="2"/>
  <c r="W981" i="2" a="1"/>
  <c r="W981" i="2"/>
  <c r="W982" i="2" a="1"/>
  <c r="W982" i="2" s="1"/>
  <c r="W983" i="2" a="1"/>
  <c r="W983" i="2" s="1"/>
  <c r="W984" i="2" a="1"/>
  <c r="W984" i="2" s="1"/>
  <c r="W985" i="2" a="1"/>
  <c r="W985" i="2"/>
  <c r="W986" i="2" a="1"/>
  <c r="W986" i="2" s="1"/>
  <c r="W987" i="2" a="1"/>
  <c r="W987" i="2" s="1"/>
  <c r="W988" i="2" a="1"/>
  <c r="W988" i="2"/>
  <c r="W989" i="2" a="1"/>
  <c r="W989" i="2" s="1"/>
  <c r="W990" i="2" a="1"/>
  <c r="W990" i="2"/>
  <c r="W991" i="2" a="1"/>
  <c r="W991" i="2"/>
  <c r="W992" i="2" a="1"/>
  <c r="W992" i="2"/>
  <c r="W993" i="2" a="1"/>
  <c r="W993" i="2"/>
  <c r="W994" i="2" a="1"/>
  <c r="W994" i="2" s="1"/>
  <c r="W995" i="2" a="1"/>
  <c r="W995" i="2" s="1"/>
  <c r="W996" i="2" a="1"/>
  <c r="W996" i="2"/>
  <c r="W997" i="2" a="1"/>
  <c r="W997" i="2"/>
  <c r="W998" i="2" a="1"/>
  <c r="W998" i="2"/>
  <c r="W999" i="2" a="1"/>
  <c r="W999" i="2"/>
  <c r="W1000" i="2" a="1"/>
  <c r="W1000" i="2" s="1"/>
  <c r="W1001" i="2" a="1"/>
  <c r="W1001" i="2" s="1"/>
  <c r="W1002" i="2" a="1"/>
  <c r="W1002" i="2"/>
  <c r="W1003" i="2" a="1"/>
  <c r="W1003" i="2"/>
  <c r="W1004" i="2" a="1"/>
  <c r="W1004" i="2" s="1"/>
  <c r="W1005" i="2" a="1"/>
  <c r="W1005" i="2"/>
  <c r="W1006" i="2" a="1"/>
  <c r="W1006" i="2"/>
  <c r="W1007" i="2" a="1"/>
  <c r="W1007" i="2" s="1"/>
  <c r="W1008" i="2" a="1"/>
  <c r="W1008" i="2" s="1"/>
  <c r="W1009" i="2" a="1"/>
  <c r="W1009" i="2" s="1"/>
  <c r="W1010" i="2" a="1"/>
  <c r="W1010" i="2"/>
  <c r="W1011" i="2" a="1"/>
  <c r="W1011" i="2" s="1"/>
  <c r="W1012" i="2" a="1"/>
  <c r="W1012" i="2" s="1"/>
  <c r="W1013" i="2" a="1"/>
  <c r="W1013" i="2"/>
  <c r="W1014" i="2" a="1"/>
  <c r="W1014" i="2" s="1"/>
  <c r="W1015" i="2" a="1"/>
  <c r="W1015" i="2" s="1"/>
  <c r="W1016" i="2" a="1"/>
  <c r="W1016" i="2" s="1"/>
  <c r="W1017" i="2" a="1"/>
  <c r="W1017" i="2"/>
  <c r="W1018" i="2" a="1"/>
  <c r="W1018" i="2"/>
  <c r="W1019" i="2" a="1"/>
  <c r="W1019" i="2" s="1"/>
  <c r="W1020" i="2" a="1"/>
  <c r="W1020" i="2" s="1"/>
  <c r="W1021" i="2" a="1"/>
  <c r="W1021" i="2"/>
  <c r="W1022" i="2" a="1"/>
  <c r="W1022" i="2" s="1"/>
  <c r="W1023" i="2" a="1"/>
  <c r="W1023" i="2" s="1"/>
  <c r="W1024" i="2" a="1"/>
  <c r="W1024" i="2" s="1"/>
  <c r="W1025" i="2" a="1"/>
  <c r="W1025" i="2"/>
  <c r="W1026" i="2" a="1"/>
  <c r="W1026" i="2"/>
  <c r="W1027" i="2" a="1"/>
  <c r="W1027" i="2"/>
  <c r="W1028" i="2" a="1"/>
  <c r="W1028" i="2" s="1"/>
  <c r="W1029" i="2" a="1"/>
  <c r="W1029" i="2"/>
  <c r="W1030" i="2" a="1"/>
  <c r="W1030" i="2" s="1"/>
  <c r="W1031" i="2" a="1"/>
  <c r="W1031" i="2"/>
  <c r="W1032" i="2" a="1"/>
  <c r="W1032" i="2"/>
  <c r="W1033" i="2" a="1"/>
  <c r="W1033" i="2" s="1"/>
  <c r="W1034" i="2" a="1"/>
  <c r="W1034" i="2" s="1"/>
  <c r="W1035" i="2" a="1"/>
  <c r="W1035" i="2"/>
  <c r="W1036" i="2" a="1"/>
  <c r="W1036" i="2"/>
  <c r="W1037" i="2" a="1"/>
  <c r="W1037" i="2" s="1"/>
  <c r="W1038" i="2" a="1"/>
  <c r="W1038" i="2"/>
  <c r="W1039" i="2" a="1"/>
  <c r="W1039" i="2"/>
  <c r="W1040" i="2" a="1"/>
  <c r="W1040" i="2"/>
  <c r="W1041" i="2" a="1"/>
  <c r="W1041" i="2" s="1"/>
  <c r="W1042" i="2" a="1"/>
  <c r="W1042" i="2"/>
  <c r="W1043" i="2" a="1"/>
  <c r="W1043" i="2"/>
  <c r="W1044" i="2" a="1"/>
  <c r="W1044" i="2" s="1"/>
  <c r="W1045" i="2" a="1"/>
  <c r="W1045" i="2"/>
  <c r="W1046" i="2" a="1"/>
  <c r="W1046" i="2"/>
  <c r="W1047" i="2" a="1"/>
  <c r="W1047" i="2"/>
  <c r="W1048" i="2" a="1"/>
  <c r="W1048" i="2"/>
  <c r="W1049" i="2" a="1"/>
  <c r="W1049" i="2" s="1"/>
  <c r="W1050" i="2" a="1"/>
  <c r="W1050" i="2" s="1"/>
  <c r="W1051" i="2" a="1"/>
  <c r="W1051" i="2" s="1"/>
  <c r="W1052" i="2" a="1"/>
  <c r="W1052" i="2" s="1"/>
  <c r="W1053" i="2" a="1"/>
  <c r="W1053" i="2"/>
  <c r="W1054" i="2" a="1"/>
  <c r="W1054" i="2" s="1"/>
  <c r="W1055" i="2" a="1"/>
  <c r="W1055" i="2"/>
  <c r="W1056" i="2" a="1"/>
  <c r="W1056" i="2" s="1"/>
  <c r="W1057" i="2" a="1"/>
  <c r="W1057" i="2" s="1"/>
  <c r="W1058" i="2" a="1"/>
  <c r="W1058" i="2" s="1"/>
  <c r="W1059" i="2" a="1"/>
  <c r="W1059" i="2"/>
  <c r="W1060" i="2" a="1"/>
  <c r="W1060" i="2"/>
  <c r="W1061" i="2" a="1"/>
  <c r="W1061" i="2" s="1"/>
  <c r="W1062" i="2" a="1"/>
  <c r="W1062" i="2"/>
  <c r="W1063" i="2" a="1"/>
  <c r="W1063" i="2"/>
  <c r="W1064" i="2" a="1"/>
  <c r="W1064" i="2" s="1"/>
  <c r="W1065" i="2" a="1"/>
  <c r="W1065" i="2" s="1"/>
  <c r="W1066" i="2" a="1"/>
  <c r="W1066" i="2" s="1"/>
  <c r="W1067" i="2" a="1"/>
  <c r="W1067" i="2"/>
  <c r="W1068" i="2" a="1"/>
  <c r="W1068" i="2" s="1"/>
  <c r="W1069" i="2" a="1"/>
  <c r="W1069" i="2"/>
  <c r="W1070" i="2" a="1"/>
  <c r="W1070" i="2" s="1"/>
  <c r="W1071" i="2" a="1"/>
  <c r="W1071" i="2"/>
  <c r="W1072" i="2" a="1"/>
  <c r="W1072" i="2" s="1"/>
  <c r="W1073" i="2" a="1"/>
  <c r="W1073" i="2" s="1"/>
  <c r="W1074" i="2" a="1"/>
  <c r="W1074" i="2" s="1"/>
  <c r="W1075" i="2" a="1"/>
  <c r="W1075" i="2" s="1"/>
  <c r="W1076" i="2" a="1"/>
  <c r="W1076" i="2" s="1"/>
  <c r="W1077" i="2" a="1"/>
  <c r="W1077" i="2" s="1"/>
  <c r="W1078" i="2" a="1"/>
  <c r="W1078" i="2"/>
  <c r="W1079" i="2" a="1"/>
  <c r="W1079" i="2" s="1"/>
  <c r="W1080" i="2" a="1"/>
  <c r="W1080" i="2"/>
  <c r="W1081" i="2" a="1"/>
  <c r="W1081" i="2"/>
  <c r="W1082" i="2" a="1"/>
  <c r="W1082" i="2"/>
  <c r="W1083" i="2" a="1"/>
  <c r="W1083" i="2" s="1"/>
  <c r="W1084" i="2" a="1"/>
  <c r="W1084" i="2" s="1"/>
  <c r="W1085" i="2" a="1"/>
  <c r="W1085" i="2" s="1"/>
  <c r="W1086" i="2" a="1"/>
  <c r="W1086" i="2"/>
  <c r="W1087" i="2" a="1"/>
  <c r="W1087" i="2" s="1"/>
  <c r="W1088" i="2" a="1"/>
  <c r="W1088" i="2"/>
  <c r="W1089" i="2" a="1"/>
  <c r="W1089" i="2" s="1"/>
  <c r="W1090" i="2" a="1"/>
  <c r="W1090" i="2"/>
  <c r="W1091" i="2" a="1"/>
  <c r="W1091" i="2" s="1"/>
  <c r="W1092" i="2" a="1"/>
  <c r="W1092" i="2" s="1"/>
  <c r="W1093" i="2" a="1"/>
  <c r="W1093" i="2" s="1"/>
  <c r="W1094" i="2" a="1"/>
  <c r="W1094" i="2" s="1"/>
  <c r="W1095" i="2" a="1"/>
  <c r="W1095" i="2"/>
  <c r="W1096" i="2" a="1"/>
  <c r="W1096" i="2"/>
  <c r="W1097" i="2" a="1"/>
  <c r="W1097" i="2"/>
  <c r="W1098" i="2" a="1"/>
  <c r="W1098" i="2"/>
  <c r="W1099" i="2" a="1"/>
  <c r="W1099" i="2" s="1"/>
  <c r="W1100" i="2" a="1"/>
  <c r="W1100" i="2" s="1"/>
  <c r="W1101" i="2" a="1"/>
  <c r="W1101" i="2"/>
  <c r="W1102" i="2" a="1"/>
  <c r="W1102" i="2"/>
  <c r="W1103" i="2" a="1"/>
  <c r="W1103" i="2" s="1"/>
  <c r="W1104" i="2" a="1"/>
  <c r="W1104" i="2" s="1"/>
  <c r="W1105" i="2" a="1"/>
  <c r="W1105" i="2" s="1"/>
  <c r="W1106" i="2" a="1"/>
  <c r="W1106" i="2"/>
  <c r="W1107" i="2" a="1"/>
  <c r="W1107" i="2"/>
  <c r="W1108" i="2" a="1"/>
  <c r="W1108" i="2"/>
  <c r="W1109" i="2" a="1"/>
  <c r="W1109" i="2"/>
  <c r="W1110" i="2" a="1"/>
  <c r="W1110" i="2"/>
  <c r="W1111" i="2" a="1"/>
  <c r="W1111" i="2"/>
  <c r="W1112" i="2" a="1"/>
  <c r="W1112" i="2"/>
  <c r="W1113" i="2" a="1"/>
  <c r="W1113" i="2" s="1"/>
  <c r="W1114" i="2" a="1"/>
  <c r="W1114" i="2" s="1"/>
  <c r="W1115" i="2" a="1"/>
  <c r="W1115" i="2"/>
  <c r="W1116" i="2" a="1"/>
  <c r="W1116" i="2"/>
  <c r="W1117" i="2" a="1"/>
  <c r="W1117" i="2"/>
  <c r="W1118" i="2" a="1"/>
  <c r="W1118" i="2"/>
  <c r="W1119" i="2" a="1"/>
  <c r="W1119" i="2" s="1"/>
  <c r="W1120" i="2" a="1"/>
  <c r="W1120" i="2"/>
  <c r="W1121" i="2" a="1"/>
  <c r="W1121" i="2" s="1"/>
  <c r="W1122" i="2" a="1"/>
  <c r="W1122" i="2"/>
  <c r="W1123" i="2" a="1"/>
  <c r="W1123" i="2"/>
  <c r="W1124" i="2" a="1"/>
  <c r="W1124" i="2" s="1"/>
  <c r="W1125" i="2" a="1"/>
  <c r="W1125" i="2" s="1"/>
  <c r="W1126" i="2" a="1"/>
  <c r="W1126" i="2" s="1"/>
  <c r="W1127" i="2" a="1"/>
  <c r="W1127" i="2"/>
  <c r="W1128" i="2" a="1"/>
  <c r="W1128" i="2"/>
  <c r="W1129" i="2" a="1"/>
  <c r="W1129" i="2"/>
  <c r="W1130" i="2" a="1"/>
  <c r="W1130" i="2" s="1"/>
  <c r="W1131" i="2" a="1"/>
  <c r="W1131" i="2"/>
  <c r="W1132" i="2" a="1"/>
  <c r="W1132" i="2"/>
  <c r="W1133" i="2" a="1"/>
  <c r="W1133" i="2" s="1"/>
  <c r="W1134" i="2" a="1"/>
  <c r="W1134" i="2" s="1"/>
  <c r="W1135" i="2" a="1"/>
  <c r="W1135" i="2"/>
  <c r="W1136" i="2" a="1"/>
  <c r="W1136" i="2"/>
  <c r="W1137" i="2" a="1"/>
  <c r="W1137" i="2" s="1"/>
  <c r="W1138" i="2" a="1"/>
  <c r="W1138" i="2"/>
  <c r="W1139" i="2" a="1"/>
  <c r="W1139" i="2"/>
  <c r="W1140" i="2" a="1"/>
  <c r="W1140" i="2"/>
  <c r="W1141" i="2" a="1"/>
  <c r="W1141" i="2"/>
  <c r="W1142" i="2" a="1"/>
  <c r="W1142" i="2" s="1"/>
  <c r="W1143" i="2" a="1"/>
  <c r="W1143" i="2"/>
  <c r="W1144" i="2" a="1"/>
  <c r="W1144" i="2" s="1"/>
  <c r="W1145" i="2" a="1"/>
  <c r="W1145" i="2" s="1"/>
  <c r="W1146" i="2" a="1"/>
  <c r="W1146" i="2"/>
  <c r="W1147" i="2" a="1"/>
  <c r="W1147" i="2"/>
  <c r="W1148" i="2" a="1"/>
  <c r="W1148" i="2" s="1"/>
  <c r="W1149" i="2" a="1"/>
  <c r="W1149" i="2" s="1"/>
  <c r="W1150" i="2" a="1"/>
  <c r="W1150" i="2" s="1"/>
  <c r="W1151" i="2" a="1"/>
  <c r="W1151" i="2"/>
  <c r="W1152" i="2" a="1"/>
  <c r="W1152" i="2"/>
  <c r="W1153" i="2" a="1"/>
  <c r="W1153" i="2"/>
  <c r="W1154" i="2" a="1"/>
  <c r="W1154" i="2" s="1"/>
  <c r="W1155" i="2" a="1"/>
  <c r="W1155" i="2" s="1"/>
  <c r="W1156" i="2" a="1"/>
  <c r="W1156" i="2"/>
  <c r="W1157" i="2" a="1"/>
  <c r="W1157" i="2"/>
  <c r="W1158" i="2" a="1"/>
  <c r="W1158" i="2"/>
  <c r="W1159" i="2" a="1"/>
  <c r="W1159" i="2"/>
  <c r="W1160" i="2" a="1"/>
  <c r="W1160" i="2"/>
  <c r="W1161" i="2" a="1"/>
  <c r="W1161" i="2"/>
  <c r="W1162" i="2" a="1"/>
  <c r="W1162" i="2" s="1"/>
  <c r="W1163" i="2" a="1"/>
  <c r="W1163" i="2" s="1"/>
  <c r="W1164" i="2" a="1"/>
  <c r="W1164" i="2" s="1"/>
  <c r="W1165" i="2" a="1"/>
  <c r="W1165" i="2"/>
  <c r="W1166" i="2" a="1"/>
  <c r="W1166" i="2"/>
  <c r="W1167" i="2" a="1"/>
  <c r="W1167" i="2"/>
  <c r="W1168" i="2" a="1"/>
  <c r="W1168" i="2" s="1"/>
  <c r="W1169" i="2" a="1"/>
  <c r="W1169" i="2" s="1"/>
  <c r="W1170" i="2" a="1"/>
  <c r="W1170" i="2"/>
  <c r="W1171" i="2" a="1"/>
  <c r="W1171" i="2" s="1"/>
  <c r="W1172" i="2" a="1"/>
  <c r="W1172" i="2" s="1"/>
  <c r="W1173" i="2" a="1"/>
  <c r="W1173" i="2" s="1"/>
  <c r="W1174" i="2" a="1"/>
  <c r="W1174" i="2" s="1"/>
  <c r="W1175" i="2" a="1"/>
  <c r="W1175" i="2"/>
  <c r="W1176" i="2" a="1"/>
  <c r="W1176" i="2" s="1"/>
  <c r="W1177" i="2" a="1"/>
  <c r="W1177" i="2" s="1"/>
  <c r="W1178" i="2" a="1"/>
  <c r="W1178" i="2"/>
  <c r="W1179" i="2" a="1"/>
  <c r="W1179" i="2" s="1"/>
  <c r="W1180" i="2" a="1"/>
  <c r="W1180" i="2" s="1"/>
  <c r="W1181" i="2" a="1"/>
  <c r="W1181" i="2"/>
  <c r="W1182" i="2" a="1"/>
  <c r="W1182" i="2" s="1"/>
  <c r="W1183" i="2" a="1"/>
  <c r="W1183" i="2"/>
  <c r="W1184" i="2" a="1"/>
  <c r="W1184" i="2" s="1"/>
  <c r="W1185" i="2" a="1"/>
  <c r="W1185" i="2"/>
  <c r="W1186" i="2" a="1"/>
  <c r="W1186" i="2" s="1"/>
  <c r="W1187" i="2" a="1"/>
  <c r="W1187" i="2"/>
  <c r="W1188" i="2" a="1"/>
  <c r="W1188" i="2" s="1"/>
  <c r="W1189" i="2" a="1"/>
  <c r="W1189" i="2"/>
  <c r="W1190" i="2" a="1"/>
  <c r="W1190" i="2" s="1"/>
  <c r="W1191" i="2" a="1"/>
  <c r="W1191" i="2"/>
  <c r="W1192" i="2" a="1"/>
  <c r="W1192" i="2"/>
  <c r="W1193" i="2" a="1"/>
  <c r="W1193" i="2" s="1"/>
  <c r="W1194" i="2" a="1"/>
  <c r="W1194" i="2" s="1"/>
  <c r="W1195" i="2" a="1"/>
  <c r="W1195" i="2" s="1"/>
  <c r="W1196" i="2" a="1"/>
  <c r="W1196" i="2"/>
  <c r="W1197" i="2" a="1"/>
  <c r="W1197" i="2" s="1"/>
  <c r="W1198" i="2" a="1"/>
  <c r="W1198" i="2" s="1"/>
  <c r="W1199" i="2" a="1"/>
  <c r="W1199" i="2"/>
  <c r="W1200" i="2" a="1"/>
  <c r="W1200" i="2"/>
  <c r="W1201" i="2" a="1"/>
  <c r="W1201" i="2" s="1"/>
  <c r="W1202" i="2" a="1"/>
  <c r="W1202" i="2"/>
  <c r="W1203" i="2" a="1"/>
  <c r="W1203" i="2"/>
  <c r="W1204" i="2" a="1"/>
  <c r="W1204" i="2" s="1"/>
  <c r="W1205" i="2" a="1"/>
  <c r="W1205" i="2"/>
  <c r="W1206" i="2" a="1"/>
  <c r="W1206" i="2"/>
  <c r="W1207" i="2" a="1"/>
  <c r="W1207" i="2"/>
  <c r="W1208" i="2" a="1"/>
  <c r="W1208" i="2" s="1"/>
  <c r="W1209" i="2" a="1"/>
  <c r="W1209" i="2" s="1"/>
  <c r="W1210" i="2" a="1"/>
  <c r="W1210" i="2" s="1"/>
  <c r="W1211" i="2" a="1"/>
  <c r="W1211" i="2" s="1"/>
  <c r="W1212" i="2" a="1"/>
  <c r="W1212" i="2" s="1"/>
  <c r="W1213" i="2" a="1"/>
  <c r="W1213" i="2"/>
  <c r="W1214" i="2" a="1"/>
  <c r="W1214" i="2" s="1"/>
  <c r="W1215" i="2" a="1"/>
  <c r="W1215" i="2"/>
  <c r="W1216" i="2" a="1"/>
  <c r="W1216" i="2" s="1"/>
  <c r="W1217" i="2" a="1"/>
  <c r="W1217" i="2"/>
  <c r="W1218" i="2" a="1"/>
  <c r="W1218" i="2"/>
  <c r="W1219" i="2" a="1"/>
  <c r="W1219" i="2" s="1"/>
  <c r="W1220" i="2" a="1"/>
  <c r="W1220" i="2" s="1"/>
  <c r="W1221" i="2" a="1"/>
  <c r="W1221" i="2" s="1"/>
  <c r="W1222" i="2" a="1"/>
  <c r="W1222" i="2"/>
  <c r="W1223" i="2" a="1"/>
  <c r="W1223" i="2" s="1"/>
  <c r="W1224" i="2" a="1"/>
  <c r="W1224" i="2" s="1"/>
  <c r="W1225" i="2" a="1"/>
  <c r="W1225" i="2"/>
  <c r="W1226" i="2" a="1"/>
  <c r="W1226" i="2"/>
  <c r="W1227" i="2" a="1"/>
  <c r="W1227" i="2"/>
  <c r="W1228" i="2" a="1"/>
  <c r="W1228" i="2" s="1"/>
  <c r="W1229" i="2" a="1"/>
  <c r="W1229" i="2"/>
  <c r="W1230" i="2" a="1"/>
  <c r="W1230" i="2"/>
  <c r="W1231" i="2" a="1"/>
  <c r="W1231" i="2"/>
  <c r="W1232" i="2" a="1"/>
  <c r="W1232" i="2"/>
  <c r="W1233" i="2" a="1"/>
  <c r="W1233" i="2"/>
  <c r="W1234" i="2" a="1"/>
  <c r="W1234" i="2" s="1"/>
  <c r="W1235" i="2" a="1"/>
  <c r="W1235" i="2"/>
  <c r="W1236" i="2" a="1"/>
  <c r="W1236" i="2"/>
  <c r="W1237" i="2" a="1"/>
  <c r="W1237" i="2" s="1"/>
  <c r="W1238" i="2" a="1"/>
  <c r="W1238" i="2"/>
  <c r="W1239" i="2" a="1"/>
  <c r="W1239" i="2" s="1"/>
  <c r="W1240" i="2" a="1"/>
  <c r="W1240" i="2"/>
  <c r="W1241" i="2" a="1"/>
  <c r="W1241" i="2" s="1"/>
  <c r="W1242" i="2" a="1"/>
  <c r="W1242" i="2" s="1"/>
  <c r="W1243" i="2" a="1"/>
  <c r="W1243" i="2" s="1"/>
  <c r="W1244" i="2" a="1"/>
  <c r="W1244" i="2" s="1"/>
  <c r="W1245" i="2" a="1"/>
  <c r="W1245" i="2" s="1"/>
  <c r="W1246" i="2" a="1"/>
  <c r="W1246" i="2" s="1"/>
  <c r="W1247" i="2" a="1"/>
  <c r="W1247" i="2" s="1"/>
  <c r="W1248" i="2" a="1"/>
  <c r="W1248" i="2"/>
  <c r="W1249" i="2" a="1"/>
  <c r="W1249" i="2"/>
  <c r="W1250" i="2" a="1"/>
  <c r="W1250" i="2" s="1"/>
  <c r="W1251" i="2" a="1"/>
  <c r="W1251" i="2"/>
  <c r="W1252" i="2" a="1"/>
  <c r="W1252" i="2"/>
  <c r="W1253" i="2" a="1"/>
  <c r="W1253" i="2" s="1"/>
  <c r="W1254" i="2" a="1"/>
  <c r="W1254" i="2" s="1"/>
  <c r="W1255" i="2" a="1"/>
  <c r="W1255" i="2" s="1"/>
  <c r="W1256" i="2" a="1"/>
  <c r="W1256" i="2"/>
  <c r="W1257" i="2" a="1"/>
  <c r="W1257" i="2"/>
  <c r="W1258" i="2" a="1"/>
  <c r="W1258" i="2" s="1"/>
  <c r="W1259" i="2" a="1"/>
  <c r="W1259" i="2"/>
  <c r="W1260" i="2" a="1"/>
  <c r="W1260" i="2"/>
  <c r="W1261" i="2" a="1"/>
  <c r="W1261" i="2" s="1"/>
  <c r="W1262" i="2" a="1"/>
  <c r="W1262" i="2"/>
  <c r="W1263" i="2" a="1"/>
  <c r="W1263" i="2"/>
  <c r="W1264" i="2" a="1"/>
  <c r="W1264" i="2" s="1"/>
  <c r="W1265" i="2" a="1"/>
  <c r="W1265" i="2" s="1"/>
  <c r="W1266" i="2" a="1"/>
  <c r="W1266" i="2" s="1"/>
  <c r="W1267" i="2" a="1"/>
  <c r="W1267" i="2" s="1"/>
  <c r="W1268" i="2" a="1"/>
  <c r="W1268" i="2"/>
  <c r="W1269" i="2" a="1"/>
  <c r="W1269" i="2"/>
  <c r="W1270" i="2" a="1"/>
  <c r="W1270" i="2" s="1"/>
  <c r="W1271" i="2" a="1"/>
  <c r="W1271" i="2" s="1"/>
  <c r="W1272" i="2" a="1"/>
  <c r="W1272" i="2" s="1"/>
  <c r="W1273" i="2" a="1"/>
  <c r="W1273" i="2"/>
  <c r="W1274" i="2" a="1"/>
  <c r="W1274" i="2" s="1"/>
  <c r="W1275" i="2" a="1"/>
  <c r="W1275" i="2"/>
  <c r="W1276" i="2" a="1"/>
  <c r="W1276" i="2"/>
  <c r="W1277" i="2" a="1"/>
  <c r="W1277" i="2" s="1"/>
  <c r="W1278" i="2" a="1"/>
  <c r="W1278" i="2" s="1"/>
  <c r="W1279" i="2" a="1"/>
  <c r="W1279" i="2" s="1"/>
  <c r="W1280" i="2" a="1"/>
  <c r="W1280" i="2"/>
  <c r="W1281" i="2" a="1"/>
  <c r="W1281" i="2" s="1"/>
  <c r="W1282" i="2" a="1"/>
  <c r="W1282" i="2"/>
  <c r="W1283" i="2" a="1"/>
  <c r="W1283" i="2"/>
  <c r="W1284" i="2" a="1"/>
  <c r="W1284" i="2" s="1"/>
  <c r="W1285" i="2" a="1"/>
  <c r="W1285" i="2"/>
  <c r="W1286" i="2" a="1"/>
  <c r="W1286" i="2"/>
  <c r="W1287" i="2" a="1"/>
  <c r="W1287" i="2"/>
  <c r="W1288" i="2" a="1"/>
  <c r="W1288" i="2"/>
  <c r="W1289" i="2" a="1"/>
  <c r="W1289" i="2"/>
  <c r="W1290" i="2" a="1"/>
  <c r="W1290" i="2"/>
  <c r="W1291" i="2" a="1"/>
  <c r="W1291" i="2" s="1"/>
  <c r="W1292" i="2" a="1"/>
  <c r="W1292" i="2"/>
  <c r="W1293" i="2" a="1"/>
  <c r="W1293" i="2" s="1"/>
  <c r="W1294" i="2" a="1"/>
  <c r="W1294" i="2" s="1"/>
  <c r="W1295" i="2" a="1"/>
  <c r="W1295" i="2"/>
  <c r="W1296" i="2" a="1"/>
  <c r="W1296" i="2"/>
  <c r="W1297" i="2" a="1"/>
  <c r="W1297" i="2"/>
  <c r="W1298" i="2" a="1"/>
  <c r="W1298" i="2"/>
  <c r="W1299" i="2" a="1"/>
  <c r="W1299" i="2" s="1"/>
  <c r="W1300" i="2" a="1"/>
  <c r="W1300" i="2" s="1"/>
  <c r="W1301" i="2" a="1"/>
  <c r="W1301" i="2"/>
  <c r="W1302" i="2" a="1"/>
  <c r="W1302" i="2" s="1"/>
  <c r="W1303" i="2" a="1"/>
  <c r="W1303" i="2"/>
  <c r="W1304" i="2" a="1"/>
  <c r="W1304" i="2" s="1"/>
  <c r="W1305" i="2" a="1"/>
  <c r="W1305" i="2"/>
  <c r="W1306" i="2" a="1"/>
  <c r="W1306" i="2"/>
  <c r="W1307" i="2" a="1"/>
  <c r="W1307" i="2"/>
  <c r="W1308" i="2" a="1"/>
  <c r="W1308" i="2" s="1"/>
  <c r="W1309" i="2" a="1"/>
  <c r="W1309" i="2"/>
  <c r="W1310" i="2" a="1"/>
  <c r="W1310" i="2" s="1"/>
  <c r="W1311" i="2" a="1"/>
  <c r="W1311" i="2"/>
  <c r="W1312" i="2" a="1"/>
  <c r="W1312" i="2"/>
  <c r="W1313" i="2" a="1"/>
  <c r="W1313" i="2" s="1"/>
  <c r="W1314" i="2" a="1"/>
  <c r="W1314" i="2" s="1"/>
  <c r="W1315" i="2" a="1"/>
  <c r="W1315" i="2" s="1"/>
  <c r="W1316" i="2" a="1"/>
  <c r="W1316" i="2"/>
  <c r="W1317" i="2" a="1"/>
  <c r="W1317" i="2"/>
  <c r="W1318" i="2" a="1"/>
  <c r="W1318" i="2"/>
  <c r="W1319" i="2" a="1"/>
  <c r="W1319" i="2" s="1"/>
  <c r="W1320" i="2" a="1"/>
  <c r="W1320" i="2"/>
  <c r="W1321" i="2" a="1"/>
  <c r="W1321" i="2" s="1"/>
  <c r="W1322" i="2" a="1"/>
  <c r="W1322" i="2"/>
  <c r="W1323" i="2" a="1"/>
  <c r="W1323" i="2" s="1"/>
  <c r="W1324" i="2" a="1"/>
  <c r="W1324" i="2" s="1"/>
  <c r="W1325" i="2" a="1"/>
  <c r="W1325" i="2"/>
  <c r="W1326" i="2" a="1"/>
  <c r="W1326" i="2"/>
  <c r="W1327" i="2" a="1"/>
  <c r="W1327" i="2"/>
  <c r="W1328" i="2" a="1"/>
  <c r="W1328" i="2"/>
  <c r="W1329" i="2" a="1"/>
  <c r="W1329" i="2"/>
  <c r="W1330" i="2" a="1"/>
  <c r="W1330" i="2" s="1"/>
  <c r="W1331" i="2" a="1"/>
  <c r="W1331" i="2" s="1"/>
  <c r="W1332" i="2" a="1"/>
  <c r="W1332" i="2"/>
  <c r="W1333" i="2" a="1"/>
  <c r="W1333" i="2"/>
  <c r="W1334" i="2" a="1"/>
  <c r="W1334" i="2" s="1"/>
  <c r="W1335" i="2" a="1"/>
  <c r="W1335" i="2" s="1"/>
  <c r="W1336" i="2" a="1"/>
  <c r="W1336" i="2" s="1"/>
  <c r="W1337" i="2" a="1"/>
  <c r="W1337" i="2"/>
  <c r="W1338" i="2" a="1"/>
  <c r="W1338" i="2"/>
  <c r="W1339" i="2" a="1"/>
  <c r="W1339" i="2"/>
  <c r="W1340" i="2" a="1"/>
  <c r="W1340" i="2"/>
  <c r="W1341" i="2" a="1"/>
  <c r="W1341" i="2" s="1"/>
  <c r="W1342" i="2" a="1"/>
  <c r="W1342" i="2" s="1"/>
  <c r="W1343" i="2" a="1"/>
  <c r="W1343" i="2"/>
  <c r="W1344" i="2" a="1"/>
  <c r="W1344" i="2" s="1"/>
  <c r="W1345" i="2" a="1"/>
  <c r="W1345" i="2"/>
  <c r="W1346" i="2" a="1"/>
  <c r="W1346" i="2" s="1"/>
  <c r="W1347" i="2" a="1"/>
  <c r="W1347" i="2"/>
  <c r="W1348" i="2" a="1"/>
  <c r="W1348" i="2" s="1"/>
  <c r="W1349" i="2" a="1"/>
  <c r="W1349" i="2" s="1"/>
  <c r="W1350" i="2" a="1"/>
  <c r="W1350" i="2" s="1"/>
  <c r="W1351" i="2" a="1"/>
  <c r="W1351" i="2"/>
  <c r="W1352" i="2" a="1"/>
  <c r="W1352" i="2" s="1"/>
  <c r="W1353" i="2" a="1"/>
  <c r="W1353" i="2"/>
  <c r="W1354" i="2" a="1"/>
  <c r="W1354" i="2" s="1"/>
  <c r="W1355" i="2" a="1"/>
  <c r="W1355" i="2" s="1"/>
  <c r="W1356" i="2" a="1"/>
  <c r="W1356" i="2"/>
  <c r="W1357" i="2" a="1"/>
  <c r="W1357" i="2"/>
  <c r="W1358" i="2" a="1"/>
  <c r="W1358" i="2"/>
  <c r="W1359" i="2" a="1"/>
  <c r="W1359" i="2"/>
  <c r="W1360" i="2" a="1"/>
  <c r="W1360" i="2"/>
  <c r="W1361" i="2" a="1"/>
  <c r="W1361" i="2"/>
  <c r="W1362" i="2" a="1"/>
  <c r="W1362" i="2"/>
  <c r="W1363" i="2" a="1"/>
  <c r="W1363" i="2" s="1"/>
  <c r="W1364" i="2" a="1"/>
  <c r="W1364" i="2" s="1"/>
  <c r="W1365" i="2" a="1"/>
  <c r="W1365" i="2"/>
  <c r="W1366" i="2" a="1"/>
  <c r="W1366" i="2" s="1"/>
  <c r="W1367" i="2" a="1"/>
  <c r="W1367" i="2" s="1"/>
  <c r="W1368" i="2" a="1"/>
  <c r="W1368" i="2"/>
  <c r="W1369" i="2" a="1"/>
  <c r="W1369" i="2"/>
  <c r="W1370" i="2" a="1"/>
  <c r="W1370" i="2"/>
  <c r="W1371" i="2" a="1"/>
  <c r="W1371" i="2"/>
  <c r="W1372" i="2" a="1"/>
  <c r="W1372" i="2"/>
  <c r="W1373" i="2" a="1"/>
  <c r="W1373" i="2"/>
  <c r="W1374" i="2" a="1"/>
  <c r="W1374" i="2" s="1"/>
  <c r="W1375" i="2" a="1"/>
  <c r="W1375" i="2"/>
  <c r="W1376" i="2" a="1"/>
  <c r="W1376" i="2"/>
  <c r="W1377" i="2" a="1"/>
  <c r="W1377" i="2"/>
  <c r="W1378" i="2" a="1"/>
  <c r="W1378" i="2" s="1"/>
  <c r="W1379" i="2" a="1"/>
  <c r="W1379" i="2"/>
  <c r="W1380" i="2" a="1"/>
  <c r="W1380" i="2"/>
  <c r="W1381" i="2" a="1"/>
  <c r="W1381" i="2"/>
  <c r="W1382" i="2" a="1"/>
  <c r="W1382" i="2"/>
  <c r="W1383" i="2" a="1"/>
  <c r="W1383" i="2"/>
  <c r="W1384" i="2" a="1"/>
  <c r="W1384" i="2" s="1"/>
  <c r="W1385" i="2" a="1"/>
  <c r="W1385" i="2"/>
  <c r="W1386" i="2" a="1"/>
  <c r="W1386" i="2" s="1"/>
  <c r="W1387" i="2" a="1"/>
  <c r="W1387" i="2"/>
  <c r="W1388" i="2" a="1"/>
  <c r="W1388" i="2"/>
  <c r="W1389" i="2" a="1"/>
  <c r="W1389" i="2"/>
  <c r="W1390" i="2" a="1"/>
  <c r="W1390" i="2"/>
  <c r="W1391" i="2" a="1"/>
  <c r="W1391" i="2"/>
  <c r="W1392" i="2" a="1"/>
  <c r="W1392" i="2" s="1"/>
  <c r="W1393" i="2" a="1"/>
  <c r="W1393" i="2" s="1"/>
  <c r="W1394" i="2" a="1"/>
  <c r="W1394" i="2" s="1"/>
  <c r="W1395" i="2" a="1"/>
  <c r="W1395" i="2" s="1"/>
  <c r="W1396" i="2" a="1"/>
  <c r="W1396" i="2"/>
  <c r="W1397" i="2" a="1"/>
  <c r="W1397" i="2" s="1"/>
  <c r="W1398" i="2" a="1"/>
  <c r="W1398" i="2" s="1"/>
  <c r="W1399" i="2" a="1"/>
  <c r="W1399" i="2"/>
  <c r="W1400" i="2" a="1"/>
  <c r="W1400" i="2"/>
  <c r="W1401" i="2" a="1"/>
  <c r="W1401" i="2"/>
  <c r="W1402" i="2" a="1"/>
  <c r="W1402" i="2"/>
  <c r="W1403" i="2" a="1"/>
  <c r="W1403" i="2" s="1"/>
  <c r="W1404" i="2" a="1"/>
  <c r="W1404" i="2" s="1"/>
  <c r="W1405" i="2" a="1"/>
  <c r="W1405" i="2"/>
  <c r="W1406" i="2" a="1"/>
  <c r="W1406" i="2"/>
  <c r="W1407" i="2" a="1"/>
  <c r="W1407" i="2" s="1"/>
  <c r="W1408" i="2" a="1"/>
  <c r="W1408" i="2" s="1"/>
  <c r="W1409" i="2" a="1"/>
  <c r="W1409" i="2" s="1"/>
  <c r="W1410" i="2" a="1"/>
  <c r="W1410" i="2" s="1"/>
  <c r="W1411" i="2" a="1"/>
  <c r="W1411" i="2" s="1"/>
  <c r="W1412" i="2" a="1"/>
  <c r="W1412" i="2" s="1"/>
  <c r="W1413" i="2" a="1"/>
  <c r="W1413" i="2" s="1"/>
  <c r="W1414" i="2" a="1"/>
  <c r="W1414" i="2" s="1"/>
  <c r="W1415" i="2" a="1"/>
  <c r="W1415" i="2" s="1"/>
  <c r="W1416" i="2" a="1"/>
  <c r="W1416" i="2"/>
  <c r="W1417" i="2" a="1"/>
  <c r="W1417" i="2"/>
  <c r="W1418" i="2" a="1"/>
  <c r="W1418" i="2" s="1"/>
  <c r="W1419" i="2" a="1"/>
  <c r="W1419" i="2"/>
  <c r="W1420" i="2" a="1"/>
  <c r="W1420" i="2" s="1"/>
  <c r="W1421" i="2" a="1"/>
  <c r="W1421" i="2" s="1"/>
  <c r="W1422" i="2" a="1"/>
  <c r="W1422" i="2"/>
  <c r="W1423" i="2" a="1"/>
  <c r="W1423" i="2"/>
  <c r="W1424" i="2" a="1"/>
  <c r="W1424" i="2" s="1"/>
  <c r="W1425" i="2" a="1"/>
  <c r="W1425" i="2"/>
  <c r="W1426" i="2" a="1"/>
  <c r="W1426" i="2"/>
  <c r="W1427" i="2" a="1"/>
  <c r="W1427" i="2"/>
  <c r="W1428" i="2" a="1"/>
  <c r="W1428" i="2"/>
  <c r="W1429" i="2" a="1"/>
  <c r="W1429" i="2" s="1"/>
  <c r="W1430" i="2" a="1"/>
  <c r="W1430" i="2" s="1"/>
  <c r="W1431" i="2" a="1"/>
  <c r="W1431" i="2"/>
  <c r="W1432" i="2" a="1"/>
  <c r="W1432" i="2" s="1"/>
  <c r="W1433" i="2" a="1"/>
  <c r="W1433" i="2" s="1"/>
  <c r="W1434" i="2" a="1"/>
  <c r="W1434" i="2"/>
  <c r="W1435" i="2" a="1"/>
  <c r="W1435" i="2" s="1"/>
  <c r="W1436" i="2" a="1"/>
  <c r="W1436" i="2"/>
  <c r="W1437" i="2" a="1"/>
  <c r="W1437" i="2"/>
  <c r="W1438" i="2" a="1"/>
  <c r="W1438" i="2"/>
  <c r="W1439" i="2" a="1"/>
  <c r="W1439" i="2"/>
  <c r="W1440" i="2" a="1"/>
  <c r="W1440" i="2" s="1"/>
  <c r="W1441" i="2" a="1"/>
  <c r="W1441" i="2" s="1"/>
  <c r="W1442" i="2" a="1"/>
  <c r="W1442" i="2"/>
  <c r="W1443" i="2" a="1"/>
  <c r="W1443" i="2"/>
  <c r="W1444" i="2" a="1"/>
  <c r="W1444" i="2"/>
  <c r="W1445" i="2" a="1"/>
  <c r="W1445" i="2"/>
  <c r="W1446" i="2" a="1"/>
  <c r="W1446" i="2"/>
  <c r="W1447" i="2" a="1"/>
  <c r="W1447" i="2"/>
  <c r="W1448" i="2" a="1"/>
  <c r="W1448" i="2"/>
  <c r="W1449" i="2" a="1"/>
  <c r="W1449" i="2"/>
  <c r="W1450" i="2" a="1"/>
  <c r="W1450" i="2" s="1"/>
  <c r="W1451" i="2" a="1"/>
  <c r="W1451" i="2"/>
  <c r="W1452" i="2" a="1"/>
  <c r="W1452" i="2"/>
  <c r="W1453" i="2" a="1"/>
  <c r="W1453" i="2" s="1"/>
  <c r="W1454" i="2" a="1"/>
  <c r="W1454" i="2"/>
  <c r="W1455" i="2" a="1"/>
  <c r="W1455" i="2"/>
  <c r="W1456" i="2" a="1"/>
  <c r="W1456" i="2"/>
  <c r="W1457" i="2" a="1"/>
  <c r="W1457" i="2" s="1"/>
  <c r="W1458" i="2" a="1"/>
  <c r="W1458" i="2"/>
  <c r="W1459" i="2" a="1"/>
  <c r="W1459" i="2"/>
  <c r="W1460" i="2" a="1"/>
  <c r="W1460" i="2" s="1"/>
  <c r="W1461" i="2" a="1"/>
  <c r="W1461" i="2"/>
  <c r="W1462" i="2" a="1"/>
  <c r="W1462" i="2" s="1"/>
  <c r="W1463" i="2" a="1"/>
  <c r="W1463" i="2"/>
  <c r="W1464" i="2" a="1"/>
  <c r="W1464" i="2"/>
  <c r="W1465" i="2" a="1"/>
  <c r="W1465" i="2" s="1"/>
  <c r="W1466" i="2" a="1"/>
  <c r="W1466" i="2"/>
  <c r="W1467" i="2" a="1"/>
  <c r="W1467" i="2"/>
  <c r="W1468" i="2" a="1"/>
  <c r="W1468" i="2"/>
  <c r="W1469" i="2" a="1"/>
  <c r="W1469" i="2"/>
  <c r="W1470" i="2" a="1"/>
  <c r="W1470" i="2" s="1"/>
  <c r="W1471" i="2" a="1"/>
  <c r="W1471" i="2"/>
  <c r="W1472" i="2" a="1"/>
  <c r="W1472" i="2"/>
  <c r="W1473" i="2" a="1"/>
  <c r="W1473" i="2"/>
  <c r="W1474" i="2" a="1"/>
  <c r="W1474" i="2" s="1"/>
  <c r="W1475" i="2" a="1"/>
  <c r="W1475" i="2" s="1"/>
  <c r="W1476" i="2" a="1"/>
  <c r="W1476" i="2"/>
  <c r="W1477" i="2" a="1"/>
  <c r="W1477" i="2" s="1"/>
  <c r="W1478" i="2" a="1"/>
  <c r="W1478" i="2" s="1"/>
  <c r="W1479" i="2" a="1"/>
  <c r="W1479" i="2"/>
  <c r="W1480" i="2" a="1"/>
  <c r="W1480" i="2" s="1"/>
  <c r="W1481" i="2" a="1"/>
  <c r="W1481" i="2" s="1"/>
  <c r="W1482" i="2" a="1"/>
  <c r="W1482" i="2" s="1"/>
  <c r="W1483" i="2" a="1"/>
  <c r="W1483" i="2" s="1"/>
  <c r="W1484" i="2" a="1"/>
  <c r="W1484" i="2"/>
  <c r="W1485" i="2" a="1"/>
  <c r="W1485" i="2"/>
  <c r="W1486" i="2" a="1"/>
  <c r="W1486" i="2"/>
  <c r="W1487" i="2" a="1"/>
  <c r="W1487" i="2" s="1"/>
  <c r="W1488" i="2" a="1"/>
  <c r="W1488" i="2"/>
  <c r="W1489" i="2" a="1"/>
  <c r="W1489" i="2"/>
  <c r="W1490" i="2" a="1"/>
  <c r="W1490" i="2" s="1"/>
  <c r="W1491" i="2" a="1"/>
  <c r="W1491" i="2"/>
  <c r="W1492" i="2" a="1"/>
  <c r="W1492" i="2" s="1"/>
  <c r="W1493" i="2" a="1"/>
  <c r="W1493" i="2" s="1"/>
  <c r="W1494" i="2" a="1"/>
  <c r="W1494" i="2"/>
  <c r="W1495" i="2" a="1"/>
  <c r="W1495" i="2" s="1"/>
  <c r="W1496" i="2" a="1"/>
  <c r="W1496" i="2"/>
  <c r="W1497" i="2" a="1"/>
  <c r="W1497" i="2"/>
  <c r="W1498" i="2" a="1"/>
  <c r="W1498" i="2" s="1"/>
  <c r="W1499" i="2" a="1"/>
  <c r="W1499" i="2" s="1"/>
  <c r="W1500" i="2" a="1"/>
  <c r="W1500" i="2" s="1"/>
  <c r="W1501" i="2" a="1"/>
  <c r="W1501" i="2"/>
  <c r="W1502" i="2" a="1"/>
  <c r="W1502" i="2"/>
  <c r="W1503" i="2" a="1"/>
  <c r="W1503" i="2"/>
  <c r="W1504" i="2" a="1"/>
  <c r="W1504" i="2" s="1"/>
  <c r="W1505" i="2" a="1"/>
  <c r="W1505" i="2" s="1"/>
  <c r="W1506" i="2" a="1"/>
  <c r="W1506" i="2"/>
  <c r="W1507" i="2" a="1"/>
  <c r="W1507" i="2"/>
  <c r="W1508" i="2" a="1"/>
  <c r="W1508" i="2"/>
  <c r="W1509" i="2" a="1"/>
  <c r="W1509" i="2"/>
  <c r="W1510" i="2" a="1"/>
  <c r="W1510" i="2" s="1"/>
  <c r="W1511" i="2" a="1"/>
  <c r="W1511" i="2"/>
  <c r="W1512" i="2" a="1"/>
  <c r="W1512" i="2"/>
  <c r="W1513" i="2" a="1"/>
  <c r="W1513" i="2"/>
  <c r="W1514" i="2" a="1"/>
  <c r="W1514" i="2"/>
  <c r="W1515" i="2" a="1"/>
  <c r="W1515" i="2"/>
  <c r="W1516" i="2" a="1"/>
  <c r="W1516" i="2"/>
  <c r="W1517" i="2" a="1"/>
  <c r="W1517" i="2"/>
  <c r="W1518" i="2" a="1"/>
  <c r="W1518" i="2"/>
  <c r="W1519" i="2" a="1"/>
  <c r="W1519" i="2" s="1"/>
  <c r="W1520" i="2" a="1"/>
  <c r="W1520" i="2" s="1"/>
  <c r="W1521" i="2" a="1"/>
  <c r="W1521" i="2"/>
  <c r="W1522" i="2" a="1"/>
  <c r="W1522" i="2"/>
  <c r="W1523" i="2" a="1"/>
  <c r="W1523" i="2"/>
  <c r="W1524" i="2" a="1"/>
  <c r="W1524" i="2"/>
  <c r="W1525" i="2" a="1"/>
  <c r="W1525" i="2" s="1"/>
  <c r="W1526" i="2" a="1"/>
  <c r="W1526" i="2"/>
  <c r="W1527" i="2" a="1"/>
  <c r="W1527" i="2"/>
  <c r="W1528" i="2" a="1"/>
  <c r="W1528" i="2"/>
  <c r="W1529" i="2" a="1"/>
  <c r="W1529" i="2"/>
  <c r="W1530" i="2" a="1"/>
  <c r="W1530" i="2" s="1"/>
  <c r="W1531" i="2" a="1"/>
  <c r="W1531" i="2" s="1"/>
  <c r="W1532" i="2" a="1"/>
  <c r="W1532" i="2"/>
  <c r="W1533" i="2" a="1"/>
  <c r="W1533" i="2" s="1"/>
  <c r="W1534" i="2" a="1"/>
  <c r="W1534" i="2" s="1"/>
  <c r="W1535" i="2" a="1"/>
  <c r="W1535" i="2" s="1"/>
  <c r="W1536" i="2" a="1"/>
  <c r="W1536" i="2"/>
  <c r="W1537" i="2" a="1"/>
  <c r="W1537" i="2" s="1"/>
  <c r="W1538" i="2" a="1"/>
  <c r="W1538" i="2" s="1"/>
  <c r="W1539" i="2" a="1"/>
  <c r="W1539" i="2" s="1"/>
  <c r="W1540" i="2" a="1"/>
  <c r="W1540" i="2" s="1"/>
  <c r="W1541" i="2" a="1"/>
  <c r="W1541" i="2"/>
  <c r="W1542" i="2" a="1"/>
  <c r="W1542" i="2"/>
  <c r="W1543" i="2" a="1"/>
  <c r="W1543" i="2"/>
  <c r="W1544" i="2" a="1"/>
  <c r="W1544" i="2" s="1"/>
  <c r="W1545" i="2" a="1"/>
  <c r="W1545" i="2" s="1"/>
  <c r="W1546" i="2" a="1"/>
  <c r="W1546" i="2"/>
  <c r="W1547" i="2" a="1"/>
  <c r="W1547" i="2" s="1"/>
  <c r="W1548" i="2" a="1"/>
  <c r="W1548" i="2"/>
  <c r="W1549" i="2" a="1"/>
  <c r="W1549" i="2"/>
  <c r="W1550" i="2" a="1"/>
  <c r="W1550" i="2" s="1"/>
  <c r="W1551" i="2" a="1"/>
  <c r="W1551" i="2" s="1"/>
  <c r="W1552" i="2" a="1"/>
  <c r="W1552" i="2" s="1"/>
  <c r="W1553" i="2" a="1"/>
  <c r="W1553" i="2"/>
  <c r="W1554" i="2" a="1"/>
  <c r="W1554" i="2"/>
  <c r="W1555" i="2" a="1"/>
  <c r="W1555" i="2"/>
  <c r="W1556" i="2" a="1"/>
  <c r="W1556" i="2"/>
  <c r="W1557" i="2" a="1"/>
  <c r="W1557" i="2"/>
  <c r="W1558" i="2" a="1"/>
  <c r="W1558" i="2" s="1"/>
  <c r="W1559" i="2" a="1"/>
  <c r="W1559" i="2" s="1"/>
  <c r="W1560" i="2" a="1"/>
  <c r="W1560" i="2" s="1"/>
  <c r="W1561" i="2" a="1"/>
  <c r="W1561" i="2" s="1"/>
  <c r="W1562" i="2" a="1"/>
  <c r="W1562" i="2"/>
  <c r="W1563" i="2" a="1"/>
  <c r="W1563" i="2"/>
  <c r="W1564" i="2" a="1"/>
  <c r="W1564" i="2"/>
  <c r="W1565" i="2" a="1"/>
  <c r="W1565" i="2"/>
  <c r="W1566" i="2" a="1"/>
  <c r="W1566" i="2"/>
  <c r="W1567" i="2" a="1"/>
  <c r="W1567" i="2" s="1"/>
  <c r="W1568" i="2" a="1"/>
  <c r="W1568" i="2" s="1"/>
  <c r="W1569" i="2" a="1"/>
  <c r="W1569" i="2"/>
  <c r="W1570" i="2" a="1"/>
  <c r="W1570" i="2" s="1"/>
  <c r="W1571" i="2" a="1"/>
  <c r="W1571" i="2"/>
  <c r="W1572" i="2" a="1"/>
  <c r="W1572" i="2" s="1"/>
  <c r="W1573" i="2" a="1"/>
  <c r="W1573" i="2" s="1"/>
  <c r="W1574" i="2" a="1"/>
  <c r="W1574" i="2"/>
  <c r="W1575" i="2" a="1"/>
  <c r="W1575" i="2"/>
  <c r="W1576" i="2" a="1"/>
  <c r="W1576" i="2"/>
  <c r="W1577" i="2" a="1"/>
  <c r="W1577" i="2"/>
  <c r="W1578" i="2" a="1"/>
  <c r="W1578" i="2"/>
  <c r="W1579" i="2" a="1"/>
  <c r="W1579" i="2" s="1"/>
  <c r="W1580" i="2" a="1"/>
  <c r="W1580" i="2" s="1"/>
  <c r="W1581" i="2" a="1"/>
  <c r="W1581" i="2"/>
  <c r="W1582" i="2" a="1"/>
  <c r="W1582" i="2"/>
  <c r="W1583" i="2" a="1"/>
  <c r="W1583" i="2"/>
  <c r="W1584" i="2" a="1"/>
  <c r="W1584" i="2"/>
  <c r="W1585" i="2" a="1"/>
  <c r="W1585" i="2" s="1"/>
  <c r="W1586" i="2" a="1"/>
  <c r="W1586" i="2"/>
  <c r="W1587" i="2" a="1"/>
  <c r="W1587" i="2"/>
  <c r="W1588" i="2" a="1"/>
  <c r="W1588" i="2" s="1"/>
  <c r="W1589" i="2" a="1"/>
  <c r="W1589" i="2"/>
  <c r="W1590" i="2" a="1"/>
  <c r="W1590" i="2" s="1"/>
  <c r="W1591" i="2" a="1"/>
  <c r="W1591" i="2"/>
  <c r="W1592" i="2" a="1"/>
  <c r="W1592" i="2"/>
  <c r="W1593" i="2" a="1"/>
  <c r="W1593" i="2" s="1"/>
  <c r="W1594" i="2" a="1"/>
  <c r="W1594" i="2" s="1"/>
  <c r="W1595" i="2" a="1"/>
  <c r="W1595" i="2"/>
  <c r="W1596" i="2" a="1"/>
  <c r="W1596" i="2"/>
  <c r="W1597" i="2" a="1"/>
  <c r="W1597" i="2" s="1"/>
  <c r="W1598" i="2" a="1"/>
  <c r="W1598" i="2"/>
  <c r="W1599" i="2" a="1"/>
  <c r="W1599" i="2"/>
  <c r="W1600" i="2" a="1"/>
  <c r="W1600" i="2" s="1"/>
  <c r="W1601" i="2" a="1"/>
  <c r="W1601" i="2"/>
  <c r="W1602" i="2" a="1"/>
  <c r="W1602" i="2" s="1"/>
  <c r="W1603" i="2" a="1"/>
  <c r="W1603" i="2" s="1"/>
  <c r="W1604" i="2" a="1"/>
  <c r="W1604" i="2"/>
  <c r="W1605" i="2" a="1"/>
  <c r="W1605" i="2"/>
  <c r="W1606" i="2" a="1"/>
  <c r="W1606" i="2"/>
  <c r="W1607" i="2" a="1"/>
  <c r="W1607" i="2"/>
  <c r="W1608" i="2" a="1"/>
  <c r="W1608" i="2"/>
  <c r="W1609" i="2" a="1"/>
  <c r="W1609" i="2" s="1"/>
  <c r="W1610" i="2" a="1"/>
  <c r="W1610" i="2" s="1"/>
  <c r="W1611" i="2" a="1"/>
  <c r="W1611" i="2" s="1"/>
  <c r="W1612" i="2" a="1"/>
  <c r="W1612" i="2"/>
  <c r="W1613" i="2" a="1"/>
  <c r="W1613" i="2"/>
  <c r="W1614" i="2" a="1"/>
  <c r="W1614" i="2" s="1"/>
  <c r="W1615" i="2" a="1"/>
  <c r="W1615" i="2" s="1"/>
  <c r="W1616" i="2" a="1"/>
  <c r="W1616" i="2"/>
  <c r="W1617" i="2" a="1"/>
  <c r="W1617" i="2"/>
  <c r="W1618" i="2" a="1"/>
  <c r="W1618" i="2"/>
  <c r="W1619" i="2" a="1"/>
  <c r="W1619" i="2" s="1"/>
  <c r="W1620" i="2" a="1"/>
  <c r="W1620" i="2" s="1"/>
  <c r="W1621" i="2" a="1"/>
  <c r="W1621" i="2"/>
  <c r="W1622" i="2" a="1"/>
  <c r="W1622" i="2"/>
  <c r="W1623" i="2" a="1"/>
  <c r="W1623" i="2"/>
  <c r="W1624" i="2" a="1"/>
  <c r="W1624" i="2"/>
  <c r="W1625" i="2" a="1"/>
  <c r="W1625" i="2"/>
  <c r="W1626" i="2" a="1"/>
  <c r="W1626" i="2"/>
  <c r="W1627" i="2" a="1"/>
  <c r="W1627" i="2" s="1"/>
  <c r="W1628" i="2" a="1"/>
  <c r="W1628" i="2" s="1"/>
  <c r="W1629" i="2" a="1"/>
  <c r="W1629" i="2"/>
  <c r="W1630" i="2" a="1"/>
  <c r="W1630" i="2" s="1"/>
  <c r="W1631" i="2" a="1"/>
  <c r="W1631" i="2"/>
  <c r="W1632" i="2" a="1"/>
  <c r="W1632" i="2" s="1"/>
  <c r="W1633" i="2" a="1"/>
  <c r="W1633" i="2"/>
  <c r="W1634" i="2" a="1"/>
  <c r="W1634" i="2"/>
  <c r="W1635" i="2" a="1"/>
  <c r="W1635" i="2" s="1"/>
  <c r="W1636" i="2" a="1"/>
  <c r="W1636" i="2"/>
  <c r="W1637" i="2" a="1"/>
  <c r="W1637" i="2"/>
  <c r="W1638" i="2" a="1"/>
  <c r="W1638" i="2"/>
  <c r="W1639" i="2" a="1"/>
  <c r="W1639" i="2"/>
  <c r="W1640" i="2" a="1"/>
  <c r="W1640" i="2" s="1"/>
  <c r="W1641" i="2" a="1"/>
  <c r="W1641" i="2" s="1"/>
  <c r="W1642" i="2" a="1"/>
  <c r="W1642" i="2" s="1"/>
  <c r="W1643" i="2" a="1"/>
  <c r="W1643" i="2"/>
  <c r="W1644" i="2" a="1"/>
  <c r="W1644" i="2"/>
  <c r="W1645" i="2" a="1"/>
  <c r="W1645" i="2"/>
  <c r="W1646" i="2" a="1"/>
  <c r="W1646" i="2"/>
  <c r="W1647" i="2" a="1"/>
  <c r="W1647" i="2"/>
  <c r="W1648" i="2" a="1"/>
  <c r="W1648" i="2"/>
  <c r="W1649" i="2" a="1"/>
  <c r="W1649" i="2"/>
  <c r="W1650" i="2" a="1"/>
  <c r="W1650" i="2" s="1"/>
  <c r="W1651" i="2" a="1"/>
  <c r="W1651" i="2" s="1"/>
  <c r="W1652" i="2" a="1"/>
  <c r="W1652" i="2"/>
  <c r="W1653" i="2" a="1"/>
  <c r="W1653" i="2" s="1"/>
  <c r="W1654" i="2" a="1"/>
  <c r="W1654" i="2" s="1"/>
  <c r="W1655" i="2" a="1"/>
  <c r="W1655" i="2"/>
  <c r="W1656" i="2" a="1"/>
  <c r="W1656" i="2"/>
  <c r="W1657" i="2" a="1"/>
  <c r="W1657" i="2" s="1"/>
  <c r="W1658" i="2" a="1"/>
  <c r="W1658" i="2"/>
  <c r="W1659" i="2" a="1"/>
  <c r="W1659" i="2" s="1"/>
  <c r="W1660" i="2" a="1"/>
  <c r="W1660" i="2" s="1"/>
  <c r="W1661" i="2" a="1"/>
  <c r="W1661" i="2"/>
  <c r="W1662" i="2" a="1"/>
  <c r="W1662" i="2" s="1"/>
  <c r="W1663" i="2" a="1"/>
  <c r="W1663" i="2" s="1"/>
  <c r="W1664" i="2" a="1"/>
  <c r="W1664" i="2"/>
  <c r="W1665" i="2" a="1"/>
  <c r="W1665" i="2" s="1"/>
  <c r="W1666" i="2" a="1"/>
  <c r="W1666" i="2"/>
  <c r="W1667" i="2" a="1"/>
  <c r="W1667" i="2"/>
  <c r="W1668" i="2" a="1"/>
  <c r="W1668" i="2"/>
  <c r="W1669" i="2" a="1"/>
  <c r="W1669" i="2"/>
  <c r="W1670" i="2" a="1"/>
  <c r="W1670" i="2" s="1"/>
  <c r="W1671" i="2" a="1"/>
  <c r="W1671" i="2"/>
  <c r="W1672" i="2" a="1"/>
  <c r="W1672" i="2"/>
  <c r="W1673" i="2" a="1"/>
  <c r="W1673" i="2"/>
  <c r="W1674" i="2" a="1"/>
  <c r="W1674" i="2" s="1"/>
  <c r="W1675" i="2" a="1"/>
  <c r="W1675" i="2"/>
  <c r="W1676" i="2" a="1"/>
  <c r="W1676" i="2"/>
  <c r="W1677" i="2" a="1"/>
  <c r="W1677" i="2" s="1"/>
  <c r="W1678" i="2" a="1"/>
  <c r="W1678" i="2" s="1"/>
  <c r="W1679" i="2" a="1"/>
  <c r="W1679" i="2"/>
  <c r="W1680" i="2" a="1"/>
  <c r="W1680" i="2" s="1"/>
  <c r="W1681" i="2" a="1"/>
  <c r="W1681" i="2"/>
  <c r="W1682" i="2" a="1"/>
  <c r="W1682" i="2"/>
  <c r="W1683" i="2" a="1"/>
  <c r="W1683" i="2"/>
  <c r="W1684" i="2" a="1"/>
  <c r="W1684" i="2"/>
  <c r="W1685" i="2" a="1"/>
  <c r="W1685" i="2"/>
  <c r="W1686" i="2" a="1"/>
  <c r="W1686" i="2"/>
  <c r="W1687" i="2" a="1"/>
  <c r="W1687" i="2" s="1"/>
  <c r="W1688" i="2" a="1"/>
  <c r="W1688" i="2"/>
  <c r="W1689" i="2" a="1"/>
  <c r="W1689" i="2"/>
  <c r="W1690" i="2" a="1"/>
  <c r="W1690" i="2" s="1"/>
  <c r="W1691" i="2" a="1"/>
  <c r="W1691" i="2"/>
  <c r="W1692" i="2" a="1"/>
  <c r="W1692" i="2"/>
  <c r="W1693" i="2" a="1"/>
  <c r="W1693" i="2" s="1"/>
  <c r="W1694" i="2" a="1"/>
  <c r="W1694" i="2" s="1"/>
  <c r="W1695" i="2" a="1"/>
  <c r="W1695" i="2" s="1"/>
  <c r="W1696" i="2" a="1"/>
  <c r="W1696" i="2"/>
  <c r="W1697" i="2" a="1"/>
  <c r="W1697" i="2"/>
  <c r="W1698" i="2" a="1"/>
  <c r="W1698" i="2" s="1"/>
  <c r="W1699" i="2" a="1"/>
  <c r="W1699" i="2" s="1"/>
  <c r="W1700" i="2" a="1"/>
  <c r="W1700" i="2" s="1"/>
  <c r="W1701" i="2" a="1"/>
  <c r="W1701" i="2"/>
  <c r="W1702" i="2" a="1"/>
  <c r="W1702" i="2"/>
  <c r="W1703" i="2" a="1"/>
  <c r="W1703" i="2"/>
  <c r="W1704" i="2" a="1"/>
  <c r="W1704" i="2"/>
  <c r="W1705" i="2" a="1"/>
  <c r="W1705" i="2" s="1"/>
  <c r="W1706" i="2" a="1"/>
  <c r="W1706" i="2"/>
  <c r="W1707" i="2" a="1"/>
  <c r="W1707" i="2" s="1"/>
  <c r="W1708" i="2" a="1"/>
  <c r="W1708" i="2" s="1"/>
  <c r="W1709" i="2" a="1"/>
  <c r="W1709" i="2"/>
  <c r="W1710" i="2" a="1"/>
  <c r="W1710" i="2" s="1"/>
  <c r="W1711" i="2" a="1"/>
  <c r="W1711" i="2"/>
  <c r="W1712" i="2" a="1"/>
  <c r="W1712" i="2"/>
  <c r="W1713" i="2" a="1"/>
  <c r="W1713" i="2"/>
  <c r="W1714" i="2" a="1"/>
  <c r="W1714" i="2"/>
  <c r="W1715" i="2" a="1"/>
  <c r="W1715" i="2"/>
  <c r="W1716" i="2" a="1"/>
  <c r="W1716" i="2"/>
  <c r="W1717" i="2" a="1"/>
  <c r="W1717" i="2"/>
  <c r="W1718" i="2" a="1"/>
  <c r="W1718" i="2"/>
  <c r="W1719" i="2" a="1"/>
  <c r="W1719" i="2" s="1"/>
  <c r="W1720" i="2" a="1"/>
  <c r="W1720" i="2" s="1"/>
  <c r="W1721" i="2" a="1"/>
  <c r="W1721" i="2"/>
  <c r="W1722" i="2" a="1"/>
  <c r="W1722" i="2" s="1"/>
  <c r="W1723" i="2" a="1"/>
  <c r="W1723" i="2"/>
  <c r="W1724" i="2" a="1"/>
  <c r="W1724" i="2"/>
  <c r="W1725" i="2" a="1"/>
  <c r="W1725" i="2"/>
  <c r="W1726" i="2" a="1"/>
  <c r="W1726" i="2"/>
  <c r="W1727" i="2" a="1"/>
  <c r="W1727" i="2"/>
  <c r="W1728" i="2" a="1"/>
  <c r="W1728" i="2"/>
  <c r="W1729" i="2" a="1"/>
  <c r="W1729" i="2"/>
  <c r="W1730" i="2" a="1"/>
  <c r="W1730" i="2" s="1"/>
  <c r="W1731" i="2" a="1"/>
  <c r="W1731" i="2" s="1"/>
  <c r="W1732" i="2" a="1"/>
  <c r="W1732" i="2"/>
  <c r="W1733" i="2" a="1"/>
  <c r="W1733" i="2" s="1"/>
  <c r="W1734" i="2" a="1"/>
  <c r="W1734" i="2"/>
  <c r="W1735" i="2" a="1"/>
  <c r="W1735" i="2"/>
  <c r="W1736" i="2" a="1"/>
  <c r="W1736" i="2"/>
  <c r="W1737" i="2" a="1"/>
  <c r="W1737" i="2" s="1"/>
  <c r="W1738" i="2" a="1"/>
  <c r="W1738" i="2" s="1"/>
  <c r="W1739" i="2" a="1"/>
  <c r="W1739" i="2" s="1"/>
  <c r="W1740" i="2" a="1"/>
  <c r="W1740" i="2" s="1"/>
  <c r="W1741" i="2" a="1"/>
  <c r="W1741" i="2"/>
  <c r="W1742" i="2" a="1"/>
  <c r="W1742" i="2"/>
  <c r="W1743" i="2" a="1"/>
  <c r="W1743" i="2" s="1"/>
  <c r="W1744" i="2" a="1"/>
  <c r="W1744" i="2" s="1"/>
  <c r="W1745" i="2" a="1"/>
  <c r="W1745" i="2"/>
  <c r="W1746" i="2" a="1"/>
  <c r="W1746" i="2"/>
  <c r="W1747" i="2" a="1"/>
  <c r="W1747" i="2"/>
  <c r="W1748" i="2" a="1"/>
  <c r="W1748" i="2"/>
  <c r="W1749" i="2" a="1"/>
  <c r="W1749" i="2"/>
  <c r="W1750" i="2" a="1"/>
  <c r="W1750" i="2" s="1"/>
  <c r="W1751" i="2" a="1"/>
  <c r="W1751" i="2" s="1"/>
  <c r="W1752" i="2" a="1"/>
  <c r="W1752" i="2" s="1"/>
  <c r="W1753" i="2" a="1"/>
  <c r="W1753" i="2"/>
  <c r="W1754" i="2" a="1"/>
  <c r="W1754" i="2"/>
  <c r="W1755" i="2" a="1"/>
  <c r="W1755" i="2"/>
  <c r="W1756" i="2" a="1"/>
  <c r="W1756" i="2"/>
  <c r="W1757" i="2" a="1"/>
  <c r="W1757" i="2"/>
  <c r="W1758" i="2" a="1"/>
  <c r="W1758" i="2" s="1"/>
  <c r="W1759" i="2" a="1"/>
  <c r="W1759" i="2"/>
  <c r="W1760" i="2" a="1"/>
  <c r="W1760" i="2" s="1"/>
  <c r="W1761" i="2" a="1"/>
  <c r="W1761" i="2" s="1"/>
  <c r="W1762" i="2" a="1"/>
  <c r="W1762" i="2"/>
  <c r="W1763" i="2" a="1"/>
  <c r="W1763" i="2"/>
  <c r="W1764" i="2" a="1"/>
  <c r="W1764" i="2" s="1"/>
  <c r="W1765" i="2" a="1"/>
  <c r="W1765" i="2"/>
  <c r="W1766" i="2" a="1"/>
  <c r="W1766" i="2"/>
  <c r="W1767" i="2" a="1"/>
  <c r="W1767" i="2"/>
  <c r="W1768" i="2" a="1"/>
  <c r="W1768" i="2"/>
  <c r="W1769" i="2" a="1"/>
  <c r="W1769" i="2"/>
  <c r="W1770" i="2" a="1"/>
  <c r="W1770" i="2" s="1"/>
  <c r="W1771" i="2" a="1"/>
  <c r="W1771" i="2" s="1"/>
  <c r="W1772" i="2" a="1"/>
  <c r="W1772" i="2" s="1"/>
  <c r="W1773" i="2" a="1"/>
  <c r="W1773" i="2" s="1"/>
  <c r="W1774" i="2" a="1"/>
  <c r="W1774" i="2"/>
  <c r="W1775" i="2" a="1"/>
  <c r="W1775" i="2"/>
  <c r="W1776" i="2" a="1"/>
  <c r="W1776" i="2"/>
  <c r="W1777" i="2" a="1"/>
  <c r="W1777" i="2" s="1"/>
  <c r="W1778" i="2" a="1"/>
  <c r="W1778" i="2" s="1"/>
  <c r="W1779" i="2" a="1"/>
  <c r="W1779" i="2" s="1"/>
  <c r="W1780" i="2" a="1"/>
  <c r="W1780" i="2" s="1"/>
  <c r="W1781" i="2" a="1"/>
  <c r="W1781" i="2"/>
  <c r="W1782" i="2" a="1"/>
  <c r="W1782" i="2"/>
  <c r="W1783" i="2" a="1"/>
  <c r="W1783" i="2"/>
  <c r="W1784" i="2" a="1"/>
  <c r="W1784" i="2"/>
  <c r="W1785" i="2" a="1"/>
  <c r="W1785" i="2"/>
  <c r="W1786" i="2" a="1"/>
  <c r="W1786" i="2"/>
  <c r="W1787" i="2" a="1"/>
  <c r="W1787" i="2"/>
  <c r="W1788" i="2" a="1"/>
  <c r="W1788" i="2" s="1"/>
  <c r="W1789" i="2" a="1"/>
  <c r="W1789" i="2" s="1"/>
  <c r="W1790" i="2" a="1"/>
  <c r="W1790" i="2" s="1"/>
  <c r="W1791" i="2" a="1"/>
  <c r="W1791" i="2"/>
  <c r="W1792" i="2" a="1"/>
  <c r="W1792" i="2"/>
  <c r="W1793" i="2" a="1"/>
  <c r="W1793" i="2" s="1"/>
  <c r="W1794" i="2" a="1"/>
  <c r="W1794" i="2" s="1"/>
  <c r="W1795" i="2" a="1"/>
  <c r="W1795" i="2"/>
  <c r="W1796" i="2" a="1"/>
  <c r="W1796" i="2"/>
  <c r="W1797" i="2" a="1"/>
  <c r="W1797" i="2" s="1"/>
  <c r="W1798" i="2" a="1"/>
  <c r="W1798" i="2" s="1"/>
  <c r="W1799" i="2" a="1"/>
  <c r="W1799" i="2"/>
  <c r="W1800" i="2" a="1"/>
  <c r="W1800" i="2" s="1"/>
  <c r="W1801" i="2" a="1"/>
  <c r="W1801" i="2"/>
  <c r="W1802" i="2" a="1"/>
  <c r="W1802" i="2"/>
  <c r="W1803" i="2" a="1"/>
  <c r="W1803" i="2"/>
  <c r="W1804" i="2" a="1"/>
  <c r="W1804" i="2"/>
  <c r="W1805" i="2" a="1"/>
  <c r="W1805" i="2"/>
  <c r="W1806" i="2" a="1"/>
  <c r="W1806" i="2"/>
  <c r="W1807" i="2" a="1"/>
  <c r="W1807" i="2"/>
  <c r="W1808" i="2" a="1"/>
  <c r="W1808" i="2"/>
  <c r="W1809" i="2" a="1"/>
  <c r="W1809" i="2"/>
  <c r="W1810" i="2" a="1"/>
  <c r="W1810" i="2" s="1"/>
  <c r="W1811" i="2" a="1"/>
  <c r="W1811" i="2" s="1"/>
  <c r="W1812" i="2" a="1"/>
  <c r="W1812" i="2" s="1"/>
  <c r="W1813" i="2" a="1"/>
  <c r="W1813" i="2"/>
  <c r="W1814" i="2" a="1"/>
  <c r="W1814" i="2" s="1"/>
  <c r="W1815" i="2" a="1"/>
  <c r="W1815" i="2" s="1"/>
  <c r="W1816" i="2" a="1"/>
  <c r="W1816" i="2"/>
  <c r="W1817" i="2" a="1"/>
  <c r="W1817" i="2"/>
  <c r="W1818" i="2" a="1"/>
  <c r="W1818" i="2"/>
  <c r="W1819" i="2" a="1"/>
  <c r="W1819" i="2"/>
  <c r="W1820" i="2" a="1"/>
  <c r="W1820" i="2" s="1"/>
  <c r="W1821" i="2" a="1"/>
  <c r="W1821" i="2" s="1"/>
  <c r="W1822" i="2" a="1"/>
  <c r="W1822" i="2"/>
  <c r="W1823" i="2" a="1"/>
  <c r="W1823" i="2"/>
  <c r="W1824" i="2" a="1"/>
  <c r="W1824" i="2"/>
  <c r="W1825" i="2" a="1"/>
  <c r="W1825" i="2"/>
  <c r="W1826" i="2" a="1"/>
  <c r="W1826" i="2"/>
  <c r="W1827" i="2" a="1"/>
  <c r="W1827" i="2"/>
  <c r="W1828" i="2" a="1"/>
  <c r="W1828" i="2" s="1"/>
  <c r="W1829" i="2" a="1"/>
  <c r="W1829" i="2" s="1"/>
  <c r="W1830" i="2" a="1"/>
  <c r="W1830" i="2" s="1"/>
  <c r="W1831" i="2" a="1"/>
  <c r="W1831" i="2"/>
  <c r="W1832" i="2" a="1"/>
  <c r="W1832" i="2" s="1"/>
  <c r="W1833" i="2" a="1"/>
  <c r="W1833" i="2"/>
  <c r="W1834" i="2" a="1"/>
  <c r="W1834" i="2"/>
  <c r="W1835" i="2" a="1"/>
  <c r="W1835" i="2" s="1"/>
  <c r="W1836" i="2" a="1"/>
  <c r="W1836" i="2"/>
  <c r="W1837" i="2" a="1"/>
  <c r="W1837" i="2"/>
  <c r="W1838" i="2" a="1"/>
  <c r="W1838" i="2"/>
  <c r="W1839" i="2" a="1"/>
  <c r="W1839" i="2"/>
  <c r="W1840" i="2" a="1"/>
  <c r="W1840" i="2" s="1"/>
  <c r="W1841" i="2" a="1"/>
  <c r="W1841" i="2" s="1"/>
  <c r="W1842" i="2" a="1"/>
  <c r="W1842" i="2" s="1"/>
  <c r="W1843" i="2" a="1"/>
  <c r="W1843" i="2"/>
  <c r="W1844" i="2" a="1"/>
  <c r="W1844" i="2"/>
  <c r="W1845" i="2" a="1"/>
  <c r="W1845" i="2"/>
  <c r="W1846" i="2" a="1"/>
  <c r="W1846" i="2"/>
  <c r="W1847" i="2" a="1"/>
  <c r="W1847" i="2"/>
  <c r="W1848" i="2" a="1"/>
  <c r="W1848" i="2"/>
  <c r="W1849" i="2" a="1"/>
  <c r="W1849" i="2"/>
  <c r="W1850" i="2" a="1"/>
  <c r="W1850" i="2" s="1"/>
  <c r="W1851" i="2" a="1"/>
  <c r="W1851" i="2"/>
  <c r="W1852" i="2" a="1"/>
  <c r="W1852" i="2"/>
  <c r="W1853" i="2" a="1"/>
  <c r="W1853" i="2" s="1"/>
  <c r="W1854" i="2" a="1"/>
  <c r="W1854" i="2" s="1"/>
  <c r="W1855" i="2" a="1"/>
  <c r="W1855" i="2"/>
  <c r="W1856" i="2" a="1"/>
  <c r="W1856" i="2"/>
  <c r="W1857" i="2" a="1"/>
  <c r="W1857" i="2" s="1"/>
  <c r="W1858" i="2" a="1"/>
  <c r="W1858" i="2"/>
  <c r="W1859" i="2" a="1"/>
  <c r="W1859" i="2"/>
  <c r="W1860" i="2" a="1"/>
  <c r="W1860" i="2" s="1"/>
  <c r="W1861" i="2" a="1"/>
  <c r="W1861" i="2"/>
  <c r="W1862" i="2" a="1"/>
  <c r="W1862" i="2" s="1"/>
  <c r="W1863" i="2" a="1"/>
  <c r="W1863" i="2" s="1"/>
  <c r="W1864" i="2" a="1"/>
  <c r="W1864" i="2"/>
  <c r="W1865" i="2" a="1"/>
  <c r="W1865" i="2" s="1"/>
  <c r="W1866" i="2" a="1"/>
  <c r="W1866" i="2"/>
  <c r="W1867" i="2" a="1"/>
  <c r="W1867" i="2"/>
  <c r="W1868" i="2" a="1"/>
  <c r="W1868" i="2"/>
  <c r="W1869" i="2" a="1"/>
  <c r="W1869" i="2" s="1"/>
  <c r="W1870" i="2" a="1"/>
  <c r="W1870" i="2" s="1"/>
  <c r="W1871" i="2" a="1"/>
  <c r="W1871" i="2"/>
  <c r="W1872" i="2" a="1"/>
  <c r="W1872" i="2"/>
  <c r="W1873" i="2" a="1"/>
  <c r="W1873" i="2"/>
  <c r="W1874" i="2" a="1"/>
  <c r="W1874" i="2" s="1"/>
  <c r="W1875" i="2" a="1"/>
  <c r="W1875" i="2" s="1"/>
  <c r="W1876" i="2" a="1"/>
  <c r="W1876" i="2"/>
  <c r="W1877" i="2" a="1"/>
  <c r="W1877" i="2" s="1"/>
  <c r="W1878" i="2" a="1"/>
  <c r="W1878" i="2" s="1"/>
  <c r="W1879" i="2" a="1"/>
  <c r="W1879" i="2" s="1"/>
  <c r="W1880" i="2" a="1"/>
  <c r="W1880" i="2" s="1"/>
  <c r="W1881" i="2" a="1"/>
  <c r="W1881" i="2"/>
  <c r="W1882" i="2" a="1"/>
  <c r="W1882" i="2"/>
  <c r="W1883" i="2" a="1"/>
  <c r="W1883" i="2"/>
  <c r="W1884" i="2" a="1"/>
  <c r="W1884" i="2"/>
  <c r="W1885" i="2" a="1"/>
  <c r="W1885" i="2"/>
  <c r="W1886" i="2" a="1"/>
  <c r="W1886" i="2"/>
  <c r="W1887" i="2" a="1"/>
  <c r="W1887" i="2"/>
  <c r="W1888" i="2" a="1"/>
  <c r="W1888" i="2"/>
  <c r="W1889" i="2" a="1"/>
  <c r="W1889" i="2"/>
  <c r="W1890" i="2" a="1"/>
  <c r="W1890" i="2" s="1"/>
  <c r="W1891" i="2" a="1"/>
  <c r="W1891" i="2"/>
  <c r="W1892" i="2" a="1"/>
  <c r="W1892" i="2" s="1"/>
  <c r="W1893" i="2" a="1"/>
  <c r="W1893" i="2"/>
  <c r="W1894" i="2" a="1"/>
  <c r="W1894" i="2"/>
  <c r="W1895" i="2" a="1"/>
  <c r="W1895" i="2" s="1"/>
  <c r="W1896" i="2" a="1"/>
  <c r="W1896" i="2"/>
  <c r="W1897" i="2" a="1"/>
  <c r="W1897" i="2"/>
  <c r="W1898" i="2" a="1"/>
  <c r="W1898" i="2" s="1"/>
  <c r="W1899" i="2" a="1"/>
  <c r="W1899" i="2" s="1"/>
  <c r="W1900" i="2" a="1"/>
  <c r="W1900" i="2" s="1"/>
  <c r="W1901" i="2" a="1"/>
  <c r="W1901" i="2"/>
  <c r="W1902" i="2" a="1"/>
  <c r="W1902" i="2" s="1"/>
  <c r="W1903" i="2" a="1"/>
  <c r="W1903" i="2"/>
  <c r="W1904" i="2" a="1"/>
  <c r="W1904" i="2" s="1"/>
  <c r="W1905" i="2" a="1"/>
  <c r="W1905" i="2"/>
  <c r="W1906" i="2" a="1"/>
  <c r="W1906" i="2" s="1"/>
  <c r="W1907" i="2" a="1"/>
  <c r="W1907" i="2" s="1"/>
  <c r="W1908" i="2" a="1"/>
  <c r="W1908" i="2"/>
  <c r="W1909" i="2" a="1"/>
  <c r="W1909" i="2" s="1"/>
  <c r="W1910" i="2" a="1"/>
  <c r="W1910" i="2" s="1"/>
  <c r="W1911" i="2" a="1"/>
  <c r="W1911" i="2"/>
  <c r="W1912" i="2" a="1"/>
  <c r="W1912" i="2"/>
  <c r="W1913" i="2" a="1"/>
  <c r="W1913" i="2" s="1"/>
  <c r="W1914" i="2" a="1"/>
  <c r="W1914" i="2" s="1"/>
  <c r="W1915" i="2" a="1"/>
  <c r="W1915" i="2"/>
  <c r="W1916" i="2" a="1"/>
  <c r="W1916" i="2" s="1"/>
  <c r="W1917" i="2" a="1"/>
  <c r="W1917" i="2"/>
  <c r="W1918" i="2" a="1"/>
  <c r="W1918" i="2"/>
  <c r="W1919" i="2" a="1"/>
  <c r="W1919" i="2" s="1"/>
  <c r="W1920" i="2" a="1"/>
  <c r="W1920" i="2"/>
  <c r="W1921" i="2" a="1"/>
  <c r="W1921" i="2" s="1"/>
  <c r="W1922" i="2" a="1"/>
  <c r="W1922" i="2"/>
  <c r="W1923" i="2" a="1"/>
  <c r="W1923" i="2"/>
  <c r="W1924" i="2" a="1"/>
  <c r="W1924" i="2" s="1"/>
  <c r="W1925" i="2" a="1"/>
  <c r="W1925" i="2" s="1"/>
  <c r="W1926" i="2" a="1"/>
  <c r="W1926" i="2" s="1"/>
  <c r="W1927" i="2" a="1"/>
  <c r="W1927" i="2" s="1"/>
  <c r="W1928" i="2" a="1"/>
  <c r="W1928" i="2"/>
  <c r="W1929" i="2" a="1"/>
  <c r="W1929" i="2"/>
  <c r="W1930" i="2" a="1"/>
  <c r="W1930" i="2" s="1"/>
  <c r="W1931" i="2" a="1"/>
  <c r="W1931" i="2"/>
  <c r="W1932" i="2" a="1"/>
  <c r="W1932" i="2"/>
  <c r="W1933" i="2" a="1"/>
  <c r="W1933" i="2" s="1"/>
  <c r="W1934" i="2" a="1"/>
  <c r="W1934" i="2"/>
  <c r="W1935" i="2" a="1"/>
  <c r="W1935" i="2"/>
  <c r="W1936" i="2" a="1"/>
  <c r="W1936" i="2" s="1"/>
  <c r="W1937" i="2" a="1"/>
  <c r="W1937" i="2"/>
  <c r="W1938" i="2" a="1"/>
  <c r="W1938" i="2" s="1"/>
  <c r="W1939" i="2" a="1"/>
  <c r="W1939" i="2"/>
  <c r="W1940" i="2" a="1"/>
  <c r="W1940" i="2"/>
  <c r="W1941" i="2" a="1"/>
  <c r="W1941" i="2" s="1"/>
  <c r="W1942" i="2" a="1"/>
  <c r="W1942" i="2" s="1"/>
  <c r="W1943" i="2" a="1"/>
  <c r="W1943" i="2"/>
  <c r="W1944" i="2" a="1"/>
  <c r="W1944" i="2" s="1"/>
  <c r="W1945" i="2" a="1"/>
  <c r="W1945" i="2" s="1"/>
  <c r="W1946" i="2" a="1"/>
  <c r="W1946" i="2" s="1"/>
  <c r="W1947" i="2" a="1"/>
  <c r="W1947" i="2" s="1"/>
  <c r="W1948" i="2" a="1"/>
  <c r="W1948" i="2" s="1"/>
  <c r="W1949" i="2" a="1"/>
  <c r="W1949" i="2" s="1"/>
  <c r="W1950" i="2" a="1"/>
  <c r="W1950" i="2" s="1"/>
  <c r="W1951" i="2" a="1"/>
  <c r="W1951" i="2"/>
  <c r="W1952" i="2" a="1"/>
  <c r="W1952" i="2" s="1"/>
  <c r="W1953" i="2" a="1"/>
  <c r="W1953" i="2"/>
  <c r="W1954" i="2" a="1"/>
  <c r="W1954" i="2"/>
  <c r="W1955" i="2" a="1"/>
  <c r="W1955" i="2"/>
  <c r="W1956" i="2" a="1"/>
  <c r="W1956" i="2" s="1"/>
  <c r="W1957" i="2" a="1"/>
  <c r="W1957" i="2" s="1"/>
  <c r="W1958" i="2" a="1"/>
  <c r="W1958" i="2"/>
  <c r="W1959" i="2" a="1"/>
  <c r="W1959" i="2"/>
  <c r="W1960" i="2" a="1"/>
  <c r="W1960" i="2"/>
  <c r="W1961" i="2" a="1"/>
  <c r="W1961" i="2" s="1"/>
  <c r="W1962" i="2" a="1"/>
  <c r="W1962" i="2"/>
  <c r="W1963" i="2" a="1"/>
  <c r="W1963" i="2" s="1"/>
  <c r="W1964" i="2" a="1"/>
  <c r="W1964" i="2" s="1"/>
  <c r="W1965" i="2" a="1"/>
  <c r="W1965" i="2" s="1"/>
  <c r="W1966" i="2" a="1"/>
  <c r="W1966" i="2" s="1"/>
  <c r="W1967" i="2" a="1"/>
  <c r="W1967" i="2"/>
  <c r="W1968" i="2" a="1"/>
  <c r="W1968" i="2"/>
  <c r="W1969" i="2" a="1"/>
  <c r="W1969" i="2"/>
  <c r="W1970" i="2" a="1"/>
  <c r="W1970" i="2" s="1"/>
  <c r="W1971" i="2" a="1"/>
  <c r="W1971" i="2"/>
  <c r="W1972" i="2" a="1"/>
  <c r="W1972" i="2"/>
  <c r="W1973" i="2" a="1"/>
  <c r="W1973" i="2"/>
  <c r="W1974" i="2" a="1"/>
  <c r="W1974" i="2"/>
  <c r="W1975" i="2" a="1"/>
  <c r="W1975" i="2"/>
  <c r="W1976" i="2" a="1"/>
  <c r="W1976" i="2" s="1"/>
  <c r="W1977" i="2" a="1"/>
  <c r="W1977" i="2" s="1"/>
  <c r="W1978" i="2" a="1"/>
  <c r="W1978" i="2" s="1"/>
  <c r="W1979" i="2" a="1"/>
  <c r="W1979" i="2" s="1"/>
  <c r="W1980" i="2" a="1"/>
  <c r="W1980" i="2"/>
  <c r="W1981" i="2" a="1"/>
  <c r="W1981" i="2" s="1"/>
  <c r="W1982" i="2" a="1"/>
  <c r="W1982" i="2" s="1"/>
  <c r="W1983" i="2" a="1"/>
  <c r="W1983" i="2"/>
  <c r="W1984" i="2" a="1"/>
  <c r="W1984" i="2" s="1"/>
  <c r="W1985" i="2" a="1"/>
  <c r="W1985" i="2"/>
  <c r="W1986" i="2" a="1"/>
  <c r="W1986" i="2" s="1"/>
  <c r="W1987" i="2" a="1"/>
  <c r="W1987" i="2"/>
  <c r="W1988" i="2" a="1"/>
  <c r="W1988" i="2"/>
  <c r="W1989" i="2" a="1"/>
  <c r="W1989" i="2"/>
  <c r="W1990" i="2" a="1"/>
  <c r="W1990" i="2"/>
  <c r="W1991" i="2" a="1"/>
  <c r="W1991" i="2"/>
  <c r="W1992" i="2" a="1"/>
  <c r="W1992" i="2" s="1"/>
  <c r="W1993" i="2" a="1"/>
  <c r="W1993" i="2" s="1"/>
  <c r="W1994" i="2" a="1"/>
  <c r="W1994" i="2"/>
  <c r="W1995" i="2" a="1"/>
  <c r="W1995" i="2"/>
  <c r="W1996" i="2" a="1"/>
  <c r="W1996" i="2" s="1"/>
  <c r="W1997" i="2" a="1"/>
  <c r="W1997" i="2"/>
  <c r="W1998" i="2" a="1"/>
  <c r="W1998" i="2"/>
  <c r="W1999" i="2" a="1"/>
  <c r="W1999" i="2"/>
  <c r="W2000" i="2" a="1"/>
  <c r="W2000" i="2"/>
  <c r="W2001" i="2" a="1"/>
  <c r="W2001" i="2"/>
  <c r="W2002" i="2" a="1"/>
  <c r="W2002" i="2"/>
  <c r="W2003" i="2" a="1"/>
  <c r="W2003" i="2"/>
  <c r="W2004" i="2" a="1"/>
  <c r="W2004" i="2" s="1"/>
  <c r="W2005" i="2" a="1"/>
  <c r="W2005" i="2" s="1"/>
  <c r="W2006" i="2" a="1"/>
  <c r="W2006" i="2" s="1"/>
  <c r="W2007" i="2" a="1"/>
  <c r="W2007" i="2"/>
  <c r="W2008" i="2" a="1"/>
  <c r="W2008" i="2"/>
  <c r="W2009" i="2" a="1"/>
  <c r="W2009" i="2"/>
  <c r="W2010" i="2" a="1"/>
  <c r="W2010" i="2"/>
  <c r="W2011" i="2" a="1"/>
  <c r="W2011" i="2"/>
  <c r="W2012" i="2" a="1"/>
  <c r="W2012" i="2"/>
  <c r="W2013" i="2" a="1"/>
  <c r="W2013" i="2"/>
  <c r="W2014" i="2" a="1"/>
  <c r="W2014" i="2"/>
  <c r="W2015" i="2" a="1"/>
  <c r="W2015" i="2" s="1"/>
  <c r="W2016" i="2" a="1"/>
  <c r="W2016" i="2" s="1"/>
  <c r="W2017" i="2" a="1"/>
  <c r="W2017" i="2" s="1"/>
  <c r="W2018" i="2" a="1"/>
  <c r="W2018" i="2"/>
  <c r="W2019" i="2" a="1"/>
  <c r="W2019" i="2"/>
  <c r="W2020" i="2" a="1"/>
  <c r="W2020" i="2"/>
  <c r="W2021" i="2" a="1"/>
  <c r="W2021" i="2"/>
  <c r="W2022" i="2" a="1"/>
  <c r="W2022" i="2"/>
  <c r="W2023" i="2" a="1"/>
  <c r="W2023" i="2"/>
  <c r="W2024" i="2" a="1"/>
  <c r="W2024" i="2" s="1"/>
  <c r="W2025" i="2" a="1"/>
  <c r="W2025" i="2"/>
  <c r="W2026" i="2" a="1"/>
  <c r="W2026" i="2" s="1"/>
  <c r="W2027" i="2" a="1"/>
  <c r="W2027" i="2" s="1"/>
  <c r="W2028" i="2" a="1"/>
  <c r="W2028" i="2"/>
  <c r="W2029" i="2" a="1"/>
  <c r="W2029" i="2"/>
  <c r="W2030" i="2" a="1"/>
  <c r="W2030" i="2"/>
  <c r="W2031" i="2" a="1"/>
  <c r="W2031" i="2"/>
  <c r="W2032" i="2" a="1"/>
  <c r="W2032" i="2"/>
  <c r="W2033" i="2" a="1"/>
  <c r="W2033" i="2"/>
  <c r="W2034" i="2" a="1"/>
  <c r="W2034" i="2"/>
  <c r="W2035" i="2" a="1"/>
  <c r="W2035" i="2"/>
  <c r="W2036" i="2" a="1"/>
  <c r="W2036" i="2" s="1"/>
  <c r="W2037" i="2" a="1"/>
  <c r="W2037" i="2"/>
  <c r="W2038" i="2" a="1"/>
  <c r="W2038" i="2" s="1"/>
  <c r="W2039" i="2" a="1"/>
  <c r="W2039" i="2"/>
  <c r="W2040" i="2" a="1"/>
  <c r="W2040" i="2"/>
  <c r="W2041" i="2" a="1"/>
  <c r="W2041" i="2"/>
  <c r="W2042" i="2" a="1"/>
  <c r="W2042" i="2"/>
  <c r="W2043" i="2" a="1"/>
  <c r="W2043" i="2"/>
  <c r="W2044" i="2" a="1"/>
  <c r="W2044" i="2"/>
  <c r="W2045" i="2" a="1"/>
  <c r="W2045" i="2" s="1"/>
  <c r="W2046" i="2" a="1"/>
  <c r="W2046" i="2" s="1"/>
  <c r="W2047" i="2" a="1"/>
  <c r="W2047" i="2"/>
  <c r="W2048" i="2" a="1"/>
  <c r="W2048" i="2" s="1"/>
  <c r="W2049" i="2" a="1"/>
  <c r="W2049" i="2"/>
  <c r="W2050" i="2" a="1"/>
  <c r="W2050" i="2"/>
  <c r="W2051" i="2" a="1"/>
  <c r="W2051" i="2"/>
  <c r="W2052" i="2" a="1"/>
  <c r="W2052" i="2"/>
  <c r="W2053" i="2" a="1"/>
  <c r="W2053" i="2"/>
  <c r="W2054" i="2" a="1"/>
  <c r="W2054" i="2"/>
  <c r="W2055" i="2" a="1"/>
  <c r="W2055" i="2"/>
  <c r="W2056" i="2" a="1"/>
  <c r="W2056" i="2" s="1"/>
  <c r="W2057" i="2" a="1"/>
  <c r="W2057" i="2" s="1"/>
  <c r="W2058" i="2" a="1"/>
  <c r="W2058" i="2"/>
  <c r="W2059" i="2" a="1"/>
  <c r="W2059" i="2" s="1"/>
  <c r="W2060" i="2" a="1"/>
  <c r="W2060" i="2" s="1"/>
  <c r="W2061" i="2" a="1"/>
  <c r="W2061" i="2"/>
  <c r="W2062" i="2" a="1"/>
  <c r="W2062" i="2"/>
  <c r="W2063" i="2" a="1"/>
  <c r="W2063" i="2"/>
  <c r="W2064" i="2" a="1"/>
  <c r="W2064" i="2"/>
  <c r="W2065" i="2" a="1"/>
  <c r="W2065" i="2"/>
  <c r="W2066" i="2" a="1"/>
  <c r="W2066" i="2" s="1"/>
  <c r="W2067" i="2" a="1"/>
  <c r="W2067" i="2"/>
  <c r="W2068" i="2" a="1"/>
  <c r="W2068" i="2" s="1"/>
  <c r="W2069" i="2" a="1"/>
  <c r="W2069" i="2"/>
  <c r="W2070" i="2" a="1"/>
  <c r="W2070" i="2"/>
  <c r="W2071" i="2" a="1"/>
  <c r="W2071" i="2"/>
  <c r="W2072" i="2" a="1"/>
  <c r="W2072" i="2" s="1"/>
  <c r="W2073" i="2" a="1"/>
  <c r="W2073" i="2"/>
  <c r="W2074" i="2" a="1"/>
  <c r="W2074" i="2"/>
  <c r="W2075" i="2" a="1"/>
  <c r="W2075" i="2" s="1"/>
  <c r="W2076" i="2" a="1"/>
  <c r="W2076" i="2" s="1"/>
  <c r="W2077" i="2" a="1"/>
  <c r="W2077" i="2" s="1"/>
  <c r="W2078" i="2" a="1"/>
  <c r="W2078" i="2" s="1"/>
  <c r="W2079" i="2" a="1"/>
  <c r="W2079" i="2" s="1"/>
  <c r="W2080" i="2" a="1"/>
  <c r="W2080" i="2" s="1"/>
  <c r="W2081" i="2" a="1"/>
  <c r="W2081" i="2" s="1"/>
  <c r="W2082" i="2" a="1"/>
  <c r="W2082" i="2" s="1"/>
  <c r="W2083" i="2" a="1"/>
  <c r="W2083" i="2"/>
  <c r="W2084" i="2" a="1"/>
  <c r="W2084" i="2"/>
  <c r="W2085" i="2" a="1"/>
  <c r="W2085" i="2"/>
  <c r="W2086" i="2" a="1"/>
  <c r="W2086" i="2" s="1"/>
  <c r="W2087" i="2" a="1"/>
  <c r="W2087" i="2" s="1"/>
  <c r="W2088" i="2" a="1"/>
  <c r="W2088" i="2"/>
  <c r="W2089" i="2" a="1"/>
  <c r="W2089" i="2" s="1"/>
  <c r="W2090" i="2" a="1"/>
  <c r="W2090" i="2" s="1"/>
  <c r="W2091" i="2" a="1"/>
  <c r="W2091" i="2"/>
  <c r="W2092" i="2" a="1"/>
  <c r="W2092" i="2"/>
  <c r="W2093" i="2" a="1"/>
  <c r="W2093" i="2"/>
  <c r="W2094" i="2" a="1"/>
  <c r="W2094" i="2" s="1"/>
  <c r="W2095" i="2" a="1"/>
  <c r="W2095" i="2"/>
  <c r="W2096" i="2" a="1"/>
  <c r="W2096" i="2" s="1"/>
  <c r="W2097" i="2" a="1"/>
  <c r="W2097" i="2"/>
  <c r="W2098" i="2" a="1"/>
  <c r="W2098" i="2" s="1"/>
  <c r="W2099" i="2" a="1"/>
  <c r="W2099" i="2" s="1"/>
  <c r="W2100" i="2" a="1"/>
  <c r="W2100" i="2" s="1"/>
  <c r="W2101" i="2" a="1"/>
  <c r="W2101" i="2" s="1"/>
  <c r="W2102" i="2" a="1"/>
  <c r="W2102" i="2"/>
  <c r="W2103" i="2" a="1"/>
  <c r="W2103" i="2" s="1"/>
  <c r="W2104" i="2" a="1"/>
  <c r="W2104" i="2" s="1"/>
  <c r="W2105" i="2" a="1"/>
  <c r="W2105" i="2"/>
  <c r="W2106" i="2" a="1"/>
  <c r="W2106" i="2" s="1"/>
  <c r="W2107" i="2" a="1"/>
  <c r="W2107" i="2"/>
  <c r="W2108" i="2" a="1"/>
  <c r="W2108" i="2"/>
  <c r="W2109" i="2" a="1"/>
  <c r="W2109" i="2"/>
  <c r="W2110" i="2" a="1"/>
  <c r="W2110" i="2" s="1"/>
  <c r="W2111" i="2" a="1"/>
  <c r="W2111" i="2" s="1"/>
  <c r="W2112" i="2" a="1"/>
  <c r="W2112" i="2"/>
  <c r="W2113" i="2" a="1"/>
  <c r="W2113" i="2"/>
  <c r="W2114" i="2" a="1"/>
  <c r="W2114" i="2"/>
  <c r="W2115" i="2" a="1"/>
  <c r="W2115" i="2"/>
  <c r="W2116" i="2" a="1"/>
  <c r="W2116" i="2" s="1"/>
  <c r="W2117" i="2" a="1"/>
  <c r="W2117" i="2"/>
  <c r="W2118" i="2" a="1"/>
  <c r="W2118" i="2"/>
  <c r="W2119" i="2" a="1"/>
  <c r="W2119" i="2" s="1"/>
  <c r="W2120" i="2" a="1"/>
  <c r="W2120" i="2" s="1"/>
  <c r="W2121" i="2" a="1"/>
  <c r="W2121" i="2" s="1"/>
  <c r="W2122" i="2" a="1"/>
  <c r="W2122" i="2" s="1"/>
  <c r="W2123" i="2" a="1"/>
  <c r="W2123" i="2"/>
  <c r="W2124" i="2" a="1"/>
  <c r="W2124" i="2"/>
  <c r="W2125" i="2" a="1"/>
  <c r="W2125" i="2" s="1"/>
  <c r="W2126" i="2" a="1"/>
  <c r="W2126" i="2" s="1"/>
  <c r="W2127" i="2" a="1"/>
  <c r="W2127" i="2"/>
  <c r="W2128" i="2" a="1"/>
  <c r="W2128" i="2" s="1"/>
  <c r="W2129" i="2" a="1"/>
  <c r="W2129" i="2"/>
  <c r="W2130" i="2" a="1"/>
  <c r="W2130" i="2"/>
  <c r="W2131" i="2" a="1"/>
  <c r="W2131" i="2" s="1"/>
  <c r="W2132" i="2" a="1"/>
  <c r="W2132" i="2" s="1"/>
  <c r="W2133" i="2" a="1"/>
  <c r="W2133" i="2"/>
  <c r="W2134" i="2" a="1"/>
  <c r="W2134" i="2" s="1"/>
  <c r="W2135" i="2" a="1"/>
  <c r="W2135" i="2"/>
  <c r="W2136" i="2" a="1"/>
  <c r="W2136" i="2" s="1"/>
  <c r="W2137" i="2" a="1"/>
  <c r="W2137" i="2" s="1"/>
  <c r="W2138" i="2" a="1"/>
  <c r="W2138" i="2"/>
  <c r="W2139" i="2" a="1"/>
  <c r="W2139" i="2"/>
  <c r="W2140" i="2" a="1"/>
  <c r="W2140" i="2" s="1"/>
  <c r="W2141" i="2" a="1"/>
  <c r="W2141" i="2"/>
  <c r="W2142" i="2" a="1"/>
  <c r="W2142" i="2" s="1"/>
  <c r="W2143" i="2" a="1"/>
  <c r="W2143" i="2" s="1"/>
  <c r="W2144" i="2" a="1"/>
  <c r="W2144" i="2"/>
  <c r="W2145" i="2" a="1"/>
  <c r="W2145" i="2"/>
  <c r="W2146" i="2" a="1"/>
  <c r="W2146" i="2" s="1"/>
  <c r="W2147" i="2" a="1"/>
  <c r="W2147" i="2"/>
  <c r="W2148" i="2" a="1"/>
  <c r="W2148" i="2"/>
  <c r="W2149" i="2" a="1"/>
  <c r="W2149" i="2"/>
  <c r="W2150" i="2" a="1"/>
  <c r="W2150" i="2" s="1"/>
  <c r="W2151" i="2" a="1"/>
  <c r="W2151" i="2"/>
  <c r="W2152" i="2" a="1"/>
  <c r="W2152" i="2"/>
  <c r="W2153" i="2" a="1"/>
  <c r="W2153" i="2" s="1"/>
  <c r="W2154" i="2" a="1"/>
  <c r="W2154" i="2"/>
  <c r="W2155" i="2" a="1"/>
  <c r="W2155" i="2" s="1"/>
  <c r="W2156" i="2" a="1"/>
  <c r="W2156" i="2" s="1"/>
  <c r="W2157" i="2" a="1"/>
  <c r="W2157" i="2"/>
  <c r="W2158" i="2" a="1"/>
  <c r="W2158" i="2" s="1"/>
  <c r="W2159" i="2" a="1"/>
  <c r="W2159" i="2" s="1"/>
  <c r="W2160" i="2" a="1"/>
  <c r="W2160" i="2"/>
  <c r="W2161" i="2" a="1"/>
  <c r="W2161" i="2" s="1"/>
  <c r="W2162" i="2" a="1"/>
  <c r="W2162" i="2"/>
  <c r="W2163" i="2" a="1"/>
  <c r="W2163" i="2"/>
  <c r="W2164" i="2" a="1"/>
  <c r="W2164" i="2" s="1"/>
  <c r="W2165" i="2" a="1"/>
  <c r="W2165" i="2"/>
  <c r="W2166" i="2" a="1"/>
  <c r="W2166" i="2" s="1"/>
  <c r="W2167" i="2" a="1"/>
  <c r="W2167" i="2" s="1"/>
  <c r="W2168" i="2" a="1"/>
  <c r="W2168" i="2" s="1"/>
  <c r="W2169" i="2" a="1"/>
  <c r="W2169" i="2"/>
  <c r="W2170" i="2" a="1"/>
  <c r="W2170" i="2"/>
  <c r="W2171" i="2" a="1"/>
  <c r="W2171" i="2"/>
  <c r="W2172" i="2" a="1"/>
  <c r="W2172" i="2"/>
  <c r="W2173" i="2" a="1"/>
  <c r="W2173" i="2"/>
  <c r="W2174" i="2" a="1"/>
  <c r="W2174" i="2"/>
  <c r="W2175" i="2" a="1"/>
  <c r="W2175" i="2"/>
  <c r="W2176" i="2" a="1"/>
  <c r="W2176" i="2" s="1"/>
  <c r="W2177" i="2" a="1"/>
  <c r="W2177" i="2"/>
  <c r="W2178" i="2" a="1"/>
  <c r="W2178" i="2"/>
  <c r="W2179" i="2" a="1"/>
  <c r="W2179" i="2"/>
  <c r="W2180" i="2" a="1"/>
  <c r="W2180" i="2" s="1"/>
  <c r="W2181" i="2" a="1"/>
  <c r="W2181" i="2" s="1"/>
  <c r="W2182" i="2" a="1"/>
  <c r="W2182" i="2" s="1"/>
  <c r="W2183" i="2" a="1"/>
  <c r="W2183" i="2" s="1"/>
  <c r="W2184" i="2" a="1"/>
  <c r="W2184" i="2"/>
  <c r="W2185" i="2" a="1"/>
  <c r="W2185" i="2" s="1"/>
  <c r="W2186" i="2" a="1"/>
  <c r="W2186" i="2" s="1"/>
  <c r="W2187" i="2" a="1"/>
  <c r="W2187" i="2" s="1"/>
  <c r="W2188" i="2" a="1"/>
  <c r="W2188" i="2" s="1"/>
  <c r="W2189" i="2" a="1"/>
  <c r="W2189" i="2" s="1"/>
  <c r="W2190" i="2" a="1"/>
  <c r="W2190" i="2" s="1"/>
  <c r="W2191" i="2" a="1"/>
  <c r="W2191" i="2"/>
  <c r="W2192" i="2" a="1"/>
  <c r="W2192" i="2"/>
  <c r="W2193" i="2" a="1"/>
  <c r="W2193" i="2"/>
  <c r="W2194" i="2" a="1"/>
  <c r="W2194" i="2" s="1"/>
  <c r="W2195" i="2" a="1"/>
  <c r="W2195" i="2"/>
  <c r="W2196" i="2" a="1"/>
  <c r="W2196" i="2" s="1"/>
  <c r="W2197" i="2" a="1"/>
  <c r="W2197" i="2"/>
  <c r="W2198" i="2" a="1"/>
  <c r="W2198" i="2"/>
  <c r="W2199" i="2" a="1"/>
  <c r="W2199" i="2"/>
  <c r="W2200" i="2" a="1"/>
  <c r="W2200" i="2"/>
  <c r="W2201" i="2" a="1"/>
  <c r="W2201" i="2"/>
  <c r="W2202" i="2" a="1"/>
  <c r="W2202" i="2" s="1"/>
  <c r="W2203" i="2" a="1"/>
  <c r="W2203" i="2" s="1"/>
  <c r="W2204" i="2" a="1"/>
  <c r="W2204" i="2"/>
  <c r="W2205" i="2" a="1"/>
  <c r="W2205" i="2" s="1"/>
  <c r="W2206" i="2" a="1"/>
  <c r="W2206" i="2" s="1"/>
  <c r="W2207" i="2" a="1"/>
  <c r="W2207" i="2"/>
  <c r="W2208" i="2" a="1"/>
  <c r="W2208" i="2"/>
  <c r="W2209" i="2" a="1"/>
  <c r="W2209" i="2"/>
  <c r="W2210" i="2" a="1"/>
  <c r="W2210" i="2"/>
  <c r="W2211" i="2" a="1"/>
  <c r="W2211" i="2"/>
  <c r="W2212" i="2" a="1"/>
  <c r="W2212" i="2"/>
  <c r="W2213" i="2" a="1"/>
  <c r="W2213" i="2" s="1"/>
  <c r="W2214" i="2" a="1"/>
  <c r="W2214" i="2"/>
  <c r="W2215" i="2" a="1"/>
  <c r="W2215" i="2"/>
  <c r="W2216" i="2" a="1"/>
  <c r="W2216" i="2" s="1"/>
  <c r="W2217" i="2" a="1"/>
  <c r="W2217" i="2" s="1"/>
  <c r="W2218" i="2" a="1"/>
  <c r="W2218" i="2"/>
  <c r="W2219" i="2" a="1"/>
  <c r="W2219" i="2"/>
  <c r="W2220" i="2" a="1"/>
  <c r="W2220" i="2"/>
  <c r="W2221" i="2" a="1"/>
  <c r="W2221" i="2"/>
  <c r="W2222" i="2" a="1"/>
  <c r="W2222" i="2"/>
  <c r="W2223" i="2" a="1"/>
  <c r="W2223" i="2"/>
  <c r="W2224" i="2" a="1"/>
  <c r="W2224" i="2" s="1"/>
  <c r="W2225" i="2" a="1"/>
  <c r="W2225" i="2"/>
  <c r="W2226" i="2" a="1"/>
  <c r="W2226" i="2" s="1"/>
  <c r="W2227" i="2" a="1"/>
  <c r="W2227" i="2"/>
  <c r="W2228" i="2" a="1"/>
  <c r="W2228" i="2"/>
  <c r="W2229" i="2" a="1"/>
  <c r="W2229" i="2"/>
  <c r="W2230" i="2" a="1"/>
  <c r="W2230" i="2"/>
  <c r="W2231" i="2" a="1"/>
  <c r="W2231" i="2"/>
  <c r="W2232" i="2" a="1"/>
  <c r="W2232" i="2"/>
  <c r="W2233" i="2" a="1"/>
  <c r="W2233" i="2"/>
  <c r="W2234" i="2" a="1"/>
  <c r="W2234" i="2"/>
  <c r="W2235" i="2" a="1"/>
  <c r="W2235" i="2"/>
  <c r="W2236" i="2" a="1"/>
  <c r="W2236" i="2" s="1"/>
  <c r="W2237" i="2" a="1"/>
  <c r="W2237" i="2"/>
  <c r="W2238" i="2" a="1"/>
  <c r="W2238" i="2" s="1"/>
  <c r="W2239" i="2" a="1"/>
  <c r="W2239" i="2"/>
  <c r="W2240" i="2" a="1"/>
  <c r="W2240" i="2"/>
  <c r="W2241" i="2" a="1"/>
  <c r="W2241" i="2"/>
  <c r="W2242" i="2" a="1"/>
  <c r="W2242" i="2"/>
  <c r="W2243" i="2" a="1"/>
  <c r="W2243" i="2"/>
  <c r="W2244" i="2" a="1"/>
  <c r="W2244" i="2"/>
  <c r="W2245" i="2" a="1"/>
  <c r="W2245" i="2" s="1"/>
  <c r="W2246" i="2" a="1"/>
  <c r="W2246" i="2" s="1"/>
  <c r="W2247" i="2" a="1"/>
  <c r="W2247" i="2" s="1"/>
  <c r="W2248" i="2" a="1"/>
  <c r="W2248" i="2" s="1"/>
  <c r="W2249" i="2" a="1"/>
  <c r="W2249" i="2"/>
  <c r="W2250" i="2" a="1"/>
  <c r="W2250" i="2"/>
  <c r="W2251" i="2" a="1"/>
  <c r="W2251" i="2"/>
  <c r="W2252" i="2" a="1"/>
  <c r="W2252" i="2"/>
  <c r="W2253" i="2" a="1"/>
  <c r="W2253" i="2"/>
  <c r="W2254" i="2" a="1"/>
  <c r="W2254" i="2"/>
  <c r="W2255" i="2" a="1"/>
  <c r="W2255" i="2"/>
  <c r="W2256" i="2" a="1"/>
  <c r="W2256" i="2" s="1"/>
  <c r="W2257" i="2" a="1"/>
  <c r="W2257" i="2"/>
  <c r="W2258" i="2" a="1"/>
  <c r="W2258" i="2"/>
  <c r="W2259" i="2" a="1"/>
  <c r="W2259" i="2" s="1"/>
  <c r="W2260" i="2" a="1"/>
  <c r="W2260" i="2"/>
  <c r="W2261" i="2" a="1"/>
  <c r="W2261" i="2"/>
  <c r="W2262" i="2" a="1"/>
  <c r="W2262" i="2"/>
  <c r="W2263" i="2" a="1"/>
  <c r="W2263" i="2"/>
  <c r="W2264" i="2" a="1"/>
  <c r="W2264" i="2"/>
  <c r="W2265" i="2" a="1"/>
  <c r="W2265" i="2"/>
  <c r="W2266" i="2" a="1"/>
  <c r="W2266" i="2" s="1"/>
  <c r="W2267" i="2" a="1"/>
  <c r="W2267" i="2"/>
  <c r="W2268" i="2" a="1"/>
  <c r="W2268" i="2"/>
  <c r="W2269" i="2" a="1"/>
  <c r="W2269" i="2"/>
  <c r="W2270" i="2" a="1"/>
  <c r="W2270" i="2"/>
  <c r="W2271" i="2" a="1"/>
  <c r="W2271" i="2" s="1"/>
  <c r="W2272" i="2" a="1"/>
  <c r="W2272" i="2"/>
  <c r="W2273" i="2" a="1"/>
  <c r="W2273" i="2"/>
  <c r="W2274" i="2" a="1"/>
  <c r="W2274" i="2" s="1"/>
  <c r="W2275" i="2" a="1"/>
  <c r="W2275" i="2" s="1"/>
  <c r="W2276" i="2" a="1"/>
  <c r="W2276" i="2" s="1"/>
  <c r="W2277" i="2" a="1"/>
  <c r="W2277" i="2" s="1"/>
  <c r="W2278" i="2" a="1"/>
  <c r="W2278" i="2" s="1"/>
  <c r="W2279" i="2" a="1"/>
  <c r="W2279" i="2"/>
  <c r="W2280" i="2" a="1"/>
  <c r="W2280" i="2" s="1"/>
  <c r="W2281" i="2" a="1"/>
  <c r="W2281" i="2" s="1"/>
  <c r="W2282" i="2" a="1"/>
  <c r="W2282" i="2"/>
  <c r="W2283" i="2" a="1"/>
  <c r="W2283" i="2"/>
  <c r="W2284" i="2" a="1"/>
  <c r="W2284" i="2"/>
  <c r="W2285" i="2" a="1"/>
  <c r="W2285" i="2"/>
  <c r="W2286" i="2" a="1"/>
  <c r="W2286" i="2" s="1"/>
  <c r="W2287" i="2" a="1"/>
  <c r="W2287" i="2" s="1"/>
  <c r="W2288" i="2" a="1"/>
  <c r="W2288" i="2"/>
  <c r="W2289" i="2" a="1"/>
  <c r="W2289" i="2" s="1"/>
  <c r="W2290" i="2" a="1"/>
  <c r="W2290" i="2"/>
  <c r="W2291" i="2" a="1"/>
  <c r="W2291" i="2"/>
  <c r="W2292" i="2" a="1"/>
  <c r="W2292" i="2"/>
  <c r="W2293" i="2" a="1"/>
  <c r="W2293" i="2" s="1"/>
  <c r="W2294" i="2" a="1"/>
  <c r="W2294" i="2" s="1"/>
  <c r="W2295" i="2" a="1"/>
  <c r="W2295" i="2"/>
  <c r="W2296" i="2" a="1"/>
  <c r="W2296" i="2" s="1"/>
  <c r="W2297" i="2" a="1"/>
  <c r="W2297" i="2"/>
  <c r="W2298" i="2" a="1"/>
  <c r="W2298" i="2" s="1"/>
  <c r="W2299" i="2" a="1"/>
  <c r="W2299" i="2" s="1"/>
  <c r="W2300" i="2" a="1"/>
  <c r="W2300" i="2" s="1"/>
  <c r="W2301" i="2" a="1"/>
  <c r="W2301" i="2" s="1"/>
  <c r="W2302" i="2" a="1"/>
  <c r="W2302" i="2" s="1"/>
  <c r="W2303" i="2" a="1"/>
  <c r="W2303" i="2" s="1"/>
  <c r="W2304" i="2" a="1"/>
  <c r="W2304" i="2"/>
  <c r="W2305" i="2" a="1"/>
  <c r="W2305" i="2"/>
  <c r="W2306" i="2" a="1"/>
  <c r="W2306" i="2" s="1"/>
  <c r="W2307" i="2" a="1"/>
  <c r="W2307" i="2"/>
  <c r="W2308" i="2" a="1"/>
  <c r="W2308" i="2" s="1"/>
  <c r="W2309" i="2" a="1"/>
  <c r="W2309" i="2"/>
  <c r="W2310" i="2" a="1"/>
  <c r="W2310" i="2" s="1"/>
  <c r="W2311" i="2" a="1"/>
  <c r="W2311" i="2" s="1"/>
  <c r="W2312" i="2" a="1"/>
  <c r="W2312" i="2"/>
  <c r="W2313" i="2" a="1"/>
  <c r="W2313" i="2"/>
  <c r="W2314" i="2" a="1"/>
  <c r="W2314" i="2"/>
  <c r="W2315" i="2" a="1"/>
  <c r="W2315" i="2"/>
  <c r="W2316" i="2" a="1"/>
  <c r="W2316" i="2" s="1"/>
  <c r="W2317" i="2" a="1"/>
  <c r="W2317" i="2"/>
  <c r="W2318" i="2" a="1"/>
  <c r="W2318" i="2"/>
  <c r="W2319" i="2" a="1"/>
  <c r="W2319" i="2" s="1"/>
  <c r="W2320" i="2" a="1"/>
  <c r="W2320" i="2" s="1"/>
  <c r="W2321" i="2" a="1"/>
  <c r="W2321" i="2" s="1"/>
  <c r="W2322" i="2" a="1"/>
  <c r="W2322" i="2" s="1"/>
  <c r="W2323" i="2" a="1"/>
  <c r="W2323" i="2"/>
  <c r="W2324" i="2" a="1"/>
  <c r="W2324" i="2" s="1"/>
  <c r="W2325" i="2" a="1"/>
  <c r="W2325" i="2" s="1"/>
  <c r="W2326" i="2" a="1"/>
  <c r="W2326" i="2" s="1"/>
  <c r="W2327" i="2" a="1"/>
  <c r="W2327" i="2"/>
  <c r="W2328" i="2" a="1"/>
  <c r="W2328" i="2" s="1"/>
  <c r="W2329" i="2" a="1"/>
  <c r="W2329" i="2"/>
  <c r="W2330" i="2" a="1"/>
  <c r="W2330" i="2"/>
  <c r="W2331" i="2" a="1"/>
  <c r="W2331" i="2" s="1"/>
  <c r="W2332" i="2" a="1"/>
  <c r="W2332" i="2" s="1"/>
  <c r="W2333" i="2" a="1"/>
  <c r="W2333" i="2"/>
  <c r="W2334" i="2" a="1"/>
  <c r="W2334" i="2"/>
  <c r="W2335" i="2" a="1"/>
  <c r="W2335" i="2"/>
  <c r="W2336" i="2" a="1"/>
  <c r="W2336" i="2" s="1"/>
  <c r="W2337" i="2" a="1"/>
  <c r="W2337" i="2"/>
  <c r="W2338" i="2" a="1"/>
  <c r="W2338" i="2"/>
  <c r="W2339" i="2" a="1"/>
  <c r="W2339" i="2"/>
  <c r="W2340" i="2" a="1"/>
  <c r="W2340" i="2" s="1"/>
  <c r="W2341" i="2" a="1"/>
  <c r="W2341" i="2" s="1"/>
  <c r="W2342" i="2" a="1"/>
  <c r="W2342" i="2" s="1"/>
  <c r="W2343" i="2" a="1"/>
  <c r="W2343" i="2" s="1"/>
  <c r="W2344" i="2" a="1"/>
  <c r="W2344" i="2"/>
  <c r="W2345" i="2" a="1"/>
  <c r="W2345" i="2"/>
  <c r="W2346" i="2" a="1"/>
  <c r="W2346" i="2" s="1"/>
  <c r="W2347" i="2" a="1"/>
  <c r="W2347" i="2"/>
  <c r="W2348" i="2" a="1"/>
  <c r="W2348" i="2"/>
  <c r="W2349" i="2" a="1"/>
  <c r="W2349" i="2"/>
  <c r="W2350" i="2" a="1"/>
  <c r="W2350" i="2" s="1"/>
  <c r="W2351" i="2" a="1"/>
  <c r="W2351" i="2"/>
  <c r="W2352" i="2" a="1"/>
  <c r="W2352" i="2" s="1"/>
  <c r="W2353" i="2" a="1"/>
  <c r="W2353" i="2" s="1"/>
  <c r="W2354" i="2" a="1"/>
  <c r="W2354" i="2"/>
  <c r="W2355" i="2" a="1"/>
  <c r="W2355" i="2" s="1"/>
  <c r="W2356" i="2" a="1"/>
  <c r="W2356" i="2" s="1"/>
  <c r="W2357" i="2" a="1"/>
  <c r="W2357" i="2" s="1"/>
  <c r="W2358" i="2" a="1"/>
  <c r="W2358" i="2" s="1"/>
  <c r="W2359" i="2" a="1"/>
  <c r="W2359" i="2"/>
  <c r="W2360" i="2" a="1"/>
  <c r="W2360" i="2"/>
  <c r="W2361" i="2" a="1"/>
  <c r="W2361" i="2" s="1"/>
  <c r="W2362" i="2" a="1"/>
  <c r="W2362" i="2"/>
  <c r="W2363" i="2" a="1"/>
  <c r="W2363" i="2" s="1"/>
  <c r="W2364" i="2" a="1"/>
  <c r="W2364" i="2" s="1"/>
  <c r="W2365" i="2" a="1"/>
  <c r="W2365" i="2"/>
  <c r="W2366" i="2" a="1"/>
  <c r="W2366" i="2" s="1"/>
  <c r="W2367" i="2" a="1"/>
  <c r="W2367" i="2" s="1"/>
  <c r="W2368" i="2" a="1"/>
  <c r="W2368" i="2"/>
  <c r="W2369" i="2" a="1"/>
  <c r="W2369" i="2"/>
  <c r="W2370" i="2" a="1"/>
  <c r="W2370" i="2"/>
  <c r="W2371" i="2" a="1"/>
  <c r="W2371" i="2"/>
  <c r="W2372" i="2" a="1"/>
  <c r="W2372" i="2"/>
  <c r="W2373" i="2" a="1"/>
  <c r="W2373" i="2"/>
  <c r="W2374" i="2" a="1"/>
  <c r="W2374" i="2" s="1"/>
  <c r="W2375" i="2" a="1"/>
  <c r="W2375" i="2"/>
  <c r="W2376" i="2" a="1"/>
  <c r="W2376" i="2" s="1"/>
  <c r="W2377" i="2" a="1"/>
  <c r="W2377" i="2"/>
  <c r="W2378" i="2" a="1"/>
  <c r="W2378" i="2"/>
  <c r="W2379" i="2" a="1"/>
  <c r="W2379" i="2" s="1"/>
  <c r="W2380" i="2" a="1"/>
  <c r="W2380" i="2" s="1"/>
  <c r="W2381" i="2" a="1"/>
  <c r="W2381" i="2"/>
  <c r="W2382" i="2" a="1"/>
  <c r="W2382" i="2" s="1"/>
  <c r="W2383" i="2" a="1"/>
  <c r="W2383" i="2" s="1"/>
  <c r="W2384" i="2" a="1"/>
  <c r="W2384" i="2"/>
  <c r="W2385" i="2" a="1"/>
  <c r="W2385" i="2" s="1"/>
  <c r="W2386" i="2" a="1"/>
  <c r="W2386" i="2" s="1"/>
  <c r="W2387" i="2" a="1"/>
  <c r="W2387" i="2" s="1"/>
  <c r="W2388" i="2" a="1"/>
  <c r="W2388" i="2" s="1"/>
  <c r="W2389" i="2" a="1"/>
  <c r="W2389" i="2" s="1"/>
  <c r="W2390" i="2" a="1"/>
  <c r="W2390" i="2"/>
  <c r="W2391" i="2" a="1"/>
  <c r="W2391" i="2"/>
  <c r="W2392" i="2" a="1"/>
  <c r="W2392" i="2"/>
  <c r="W2393" i="2" a="1"/>
  <c r="W2393" i="2"/>
  <c r="W2394" i="2" a="1"/>
  <c r="W2394" i="2" s="1"/>
  <c r="W2395" i="2" a="1"/>
  <c r="W2395" i="2"/>
  <c r="W2396" i="2" a="1"/>
  <c r="W2396" i="2" s="1"/>
  <c r="W2397" i="2" a="1"/>
  <c r="W2397" i="2"/>
  <c r="W2398" i="2" a="1"/>
  <c r="W2398" i="2"/>
  <c r="W2399" i="2" a="1"/>
  <c r="W2399" i="2"/>
  <c r="W2400" i="2" a="1"/>
  <c r="W2400" i="2"/>
  <c r="W2401" i="2" a="1"/>
  <c r="W2401" i="2" s="1"/>
  <c r="W2402" i="2" a="1"/>
  <c r="W2402" i="2" s="1"/>
  <c r="W2403" i="2" a="1"/>
  <c r="W2403" i="2" s="1"/>
  <c r="W2404" i="2" a="1"/>
  <c r="W2404" i="2"/>
  <c r="W2405" i="2" a="1"/>
  <c r="W2405" i="2" s="1"/>
  <c r="W2406" i="2" a="1"/>
  <c r="W2406" i="2" s="1"/>
  <c r="W2407" i="2" a="1"/>
  <c r="W2407" i="2"/>
  <c r="W2408" i="2" a="1"/>
  <c r="W2408" i="2"/>
  <c r="W2409" i="2" a="1"/>
  <c r="W2409" i="2"/>
  <c r="W2410" i="2" a="1"/>
  <c r="W2410" i="2"/>
  <c r="W2411" i="2" a="1"/>
  <c r="W2411" i="2"/>
  <c r="W2412" i="2" a="1"/>
  <c r="W2412" i="2" s="1"/>
  <c r="W2413" i="2" a="1"/>
  <c r="W2413" i="2" s="1"/>
  <c r="W2414" i="2" a="1"/>
  <c r="W2414" i="2"/>
  <c r="W2415" i="2" a="1"/>
  <c r="W2415" i="2"/>
  <c r="W2416" i="2" a="1"/>
  <c r="W2416" i="2" s="1"/>
  <c r="W2417" i="2" a="1"/>
  <c r="W2417" i="2" s="1"/>
  <c r="W2418" i="2" a="1"/>
  <c r="W2418" i="2"/>
  <c r="W2419" i="2" a="1"/>
  <c r="W2419" i="2"/>
  <c r="W2420" i="2" a="1"/>
  <c r="W2420" i="2"/>
  <c r="W2421" i="2" a="1"/>
  <c r="W2421" i="2"/>
  <c r="W2422" i="2" a="1"/>
  <c r="W2422" i="2"/>
  <c r="W2423" i="2" a="1"/>
  <c r="W2423" i="2" s="1"/>
  <c r="W2424" i="2" a="1"/>
  <c r="W2424" i="2" s="1"/>
  <c r="W2425" i="2" a="1"/>
  <c r="W2425" i="2"/>
  <c r="W2426" i="2" a="1"/>
  <c r="W2426" i="2" s="1"/>
  <c r="W2427" i="2" a="1"/>
  <c r="W2427" i="2"/>
  <c r="W2428" i="2" a="1"/>
  <c r="W2428" i="2"/>
  <c r="W2429" i="2" a="1"/>
  <c r="W2429" i="2"/>
  <c r="W2430" i="2" a="1"/>
  <c r="W2430" i="2"/>
  <c r="W2431" i="2" a="1"/>
  <c r="W2431" i="2"/>
  <c r="W2432" i="2" a="1"/>
  <c r="W2432" i="2"/>
  <c r="W2433" i="2" a="1"/>
  <c r="W2433" i="2"/>
  <c r="W2434" i="2" a="1"/>
  <c r="W2434" i="2" s="1"/>
  <c r="W2435" i="2" a="1"/>
  <c r="W2435" i="2"/>
  <c r="W2436" i="2" a="1"/>
  <c r="W2436" i="2" s="1"/>
  <c r="W2437" i="2" a="1"/>
  <c r="W2437" i="2"/>
  <c r="W2438" i="2" a="1"/>
  <c r="W2438" i="2" s="1"/>
  <c r="W2439" i="2" a="1"/>
  <c r="W2439" i="2"/>
  <c r="W2440" i="2" a="1"/>
  <c r="W2440" i="2"/>
  <c r="W2441" i="2" a="1"/>
  <c r="W2441" i="2"/>
  <c r="W2442" i="2" a="1"/>
  <c r="W2442" i="2"/>
  <c r="W2443" i="2" a="1"/>
  <c r="W2443" i="2"/>
  <c r="W2444" i="2" a="1"/>
  <c r="W2444" i="2"/>
  <c r="W2445" i="2" a="1"/>
  <c r="W2445" i="2" s="1"/>
  <c r="W2446" i="2" a="1"/>
  <c r="W2446" i="2" s="1"/>
  <c r="W2447" i="2" a="1"/>
  <c r="W2447" i="2" s="1"/>
  <c r="W2448" i="2" a="1"/>
  <c r="W2448" i="2"/>
  <c r="W2449" i="2" a="1"/>
  <c r="W2449" i="2"/>
  <c r="W2450" i="2" a="1"/>
  <c r="W2450" i="2"/>
  <c r="W2451" i="2" a="1"/>
  <c r="W2451" i="2"/>
  <c r="W2452" i="2" a="1"/>
  <c r="W2452" i="2"/>
  <c r="W2453" i="2" a="1"/>
  <c r="W2453" i="2"/>
  <c r="W2454" i="2" a="1"/>
  <c r="W2454" i="2"/>
  <c r="W2455" i="2" a="1"/>
  <c r="W2455" i="2"/>
  <c r="W2456" i="2" a="1"/>
  <c r="W2456" i="2" s="1"/>
  <c r="W2457" i="2" a="1"/>
  <c r="W2457" i="2"/>
  <c r="W2458" i="2" a="1"/>
  <c r="W2458" i="2"/>
  <c r="W2459" i="2" a="1"/>
  <c r="W2459" i="2" s="1"/>
  <c r="W2460" i="2" a="1"/>
  <c r="W2460" i="2"/>
  <c r="W2461" i="2" a="1"/>
  <c r="W2461" i="2"/>
  <c r="W2462" i="2" a="1"/>
  <c r="W2462" i="2"/>
  <c r="W2463" i="2" a="1"/>
  <c r="W2463" i="2"/>
  <c r="W2464" i="2" a="1"/>
  <c r="W2464" i="2"/>
  <c r="W2465" i="2" a="1"/>
  <c r="W2465" i="2"/>
  <c r="W2466" i="2" a="1"/>
  <c r="W2466" i="2" s="1"/>
  <c r="W2467" i="2" a="1"/>
  <c r="W2467" i="2"/>
  <c r="W2468" i="2" a="1"/>
  <c r="W2468" i="2"/>
  <c r="W2469" i="2" a="1"/>
  <c r="W2469" i="2"/>
  <c r="W2470" i="2" a="1"/>
  <c r="W2470" i="2"/>
  <c r="W2471" i="2" a="1"/>
  <c r="W2471" i="2" s="1"/>
  <c r="W2472" i="2" a="1"/>
  <c r="W2472" i="2"/>
  <c r="W2473" i="2" a="1"/>
  <c r="W2473" i="2" s="1"/>
  <c r="W2474" i="2" a="1"/>
  <c r="W2474" i="2" s="1"/>
  <c r="W2475" i="2" a="1"/>
  <c r="W2475" i="2" s="1"/>
  <c r="W2476" i="2" a="1"/>
  <c r="W2476" i="2" s="1"/>
  <c r="W2477" i="2" a="1"/>
  <c r="W2477" i="2" s="1"/>
  <c r="W2478" i="2" a="1"/>
  <c r="W2478" i="2"/>
  <c r="W2479" i="2" a="1"/>
  <c r="W2479" i="2"/>
  <c r="W2480" i="2" a="1"/>
  <c r="W2480" i="2" s="1"/>
  <c r="W2481" i="2" a="1"/>
  <c r="W2481" i="2"/>
  <c r="W2482" i="2" a="1"/>
  <c r="W2482" i="2"/>
  <c r="W2483" i="2" a="1"/>
  <c r="W2483" i="2"/>
  <c r="W2484" i="2" a="1"/>
  <c r="W2484" i="2"/>
  <c r="W2485" i="2" a="1"/>
  <c r="W2485" i="2"/>
  <c r="W2486" i="2" a="1"/>
  <c r="W2486" i="2" s="1"/>
  <c r="W2487" i="2" a="1"/>
  <c r="W2487" i="2" s="1"/>
  <c r="W2488" i="2" a="1"/>
  <c r="W2488" i="2"/>
  <c r="W2489" i="2" a="1"/>
  <c r="W2489" i="2"/>
  <c r="W2490" i="2" a="1"/>
  <c r="W2490" i="2"/>
  <c r="W2491" i="2" a="1"/>
  <c r="W2491" i="2"/>
  <c r="W2492" i="2" a="1"/>
  <c r="W2492" i="2"/>
  <c r="W2493" i="2" a="1"/>
  <c r="W2493" i="2" s="1"/>
  <c r="W2494" i="2" a="1"/>
  <c r="W2494" i="2"/>
  <c r="W2495" i="2" a="1"/>
  <c r="W2495" i="2" s="1"/>
  <c r="W2496" i="2" a="1"/>
  <c r="W2496" i="2" s="1"/>
  <c r="W2497" i="2" a="1"/>
  <c r="W2497" i="2"/>
  <c r="W2498" i="2" a="1"/>
  <c r="W2498" i="2" s="1"/>
  <c r="W2499" i="2" a="1"/>
  <c r="W2499" i="2" s="1"/>
  <c r="W2500" i="2" a="1"/>
  <c r="W2500" i="2"/>
  <c r="W2501" i="2" a="1"/>
  <c r="W2501" i="2" s="1"/>
  <c r="W2502" i="2" a="1"/>
  <c r="W2502" i="2" s="1"/>
  <c r="W2503" i="2" a="1"/>
  <c r="W2503" i="2"/>
  <c r="W2504" i="2" a="1"/>
  <c r="W2504" i="2"/>
  <c r="W2505" i="2" a="1"/>
  <c r="W2505" i="2"/>
  <c r="W2506" i="2" a="1"/>
  <c r="W2506" i="2" s="1"/>
  <c r="W2507" i="2" a="1"/>
  <c r="W2507" i="2"/>
  <c r="W2508" i="2" a="1"/>
  <c r="W2508" i="2" s="1"/>
  <c r="W2509" i="2" a="1"/>
  <c r="W2509" i="2"/>
  <c r="W2510" i="2" a="1"/>
  <c r="W2510" i="2" s="1"/>
  <c r="W2511" i="2" a="1"/>
  <c r="W2511" i="2"/>
  <c r="W2512" i="2" a="1"/>
  <c r="W2512" i="2"/>
  <c r="W2513" i="2" a="1"/>
  <c r="W2513" i="2"/>
  <c r="W2514" i="2" a="1"/>
  <c r="W2514" i="2"/>
  <c r="W2515" i="2" a="1"/>
  <c r="W2515" i="2" s="1"/>
  <c r="W2516" i="2" a="1"/>
  <c r="W2516" i="2" s="1"/>
  <c r="W2517" i="2" a="1"/>
  <c r="W2517" i="2"/>
  <c r="W2518" i="2" a="1"/>
  <c r="W2518" i="2"/>
  <c r="W2519" i="2" a="1"/>
  <c r="W2519" i="2" s="1"/>
  <c r="W2520" i="2" a="1"/>
  <c r="W2520" i="2" s="1"/>
  <c r="W2521" i="2" a="1"/>
  <c r="W2521" i="2" s="1"/>
  <c r="W2522" i="2" a="1"/>
  <c r="W2522" i="2" s="1"/>
  <c r="W2523" i="2" a="1"/>
  <c r="W2523" i="2" s="1"/>
  <c r="W2524" i="2" a="1"/>
  <c r="W2524" i="2" s="1"/>
  <c r="W2525" i="2" a="1"/>
  <c r="W2525" i="2"/>
  <c r="W2526" i="2" a="1"/>
  <c r="W2526" i="2" s="1"/>
  <c r="W2527" i="2" a="1"/>
  <c r="W2527" i="2" s="1"/>
  <c r="W2528" i="2" a="1"/>
  <c r="W2528" i="2"/>
  <c r="W2529" i="2" a="1"/>
  <c r="W2529" i="2"/>
  <c r="W2530" i="2" a="1"/>
  <c r="W2530" i="2"/>
  <c r="W2531" i="2" a="1"/>
  <c r="W2531" i="2" s="1"/>
  <c r="W2532" i="2" a="1"/>
  <c r="W2532" i="2" s="1"/>
  <c r="W2533" i="2" a="1"/>
  <c r="W2533" i="2"/>
  <c r="W2534" i="2" a="1"/>
  <c r="W2534" i="2"/>
  <c r="W2535" i="2" a="1"/>
  <c r="W2535" i="2"/>
  <c r="W2536" i="2" a="1"/>
  <c r="W2536" i="2" s="1"/>
  <c r="W2537" i="2" a="1"/>
  <c r="W2537" i="2"/>
  <c r="W2538" i="2" a="1"/>
  <c r="W2538" i="2"/>
  <c r="W2539" i="2" a="1"/>
  <c r="W2539" i="2"/>
  <c r="W2540" i="2" a="1"/>
  <c r="W2540" i="2" s="1"/>
  <c r="W2541" i="2" a="1"/>
  <c r="W2541" i="2" s="1"/>
  <c r="W2542" i="2" a="1"/>
  <c r="W2542" i="2" s="1"/>
  <c r="W2543" i="2" a="1"/>
  <c r="W2543" i="2" s="1"/>
  <c r="W2544" i="2" a="1"/>
  <c r="W2544" i="2"/>
  <c r="W2545" i="2" a="1"/>
  <c r="W2545" i="2" s="1"/>
  <c r="W2546" i="2" a="1"/>
  <c r="W2546" i="2" s="1"/>
  <c r="W2547" i="2" a="1"/>
  <c r="W2547" i="2"/>
  <c r="W2548" i="2" a="1"/>
  <c r="W2548" i="2"/>
  <c r="W2549" i="2" a="1"/>
  <c r="W2549" i="2" s="1"/>
  <c r="W2550" i="2" a="1"/>
  <c r="W2550" i="2"/>
  <c r="W2551" i="2" a="1"/>
  <c r="W2551" i="2"/>
  <c r="W2552" i="2" a="1"/>
  <c r="W2552" i="2" s="1"/>
  <c r="W2553" i="2" a="1"/>
  <c r="W2553" i="2" s="1"/>
  <c r="W2554" i="2" a="1"/>
  <c r="W2554" i="2"/>
  <c r="W2555" i="2" a="1"/>
  <c r="W2555" i="2"/>
  <c r="W2556" i="2" a="1"/>
  <c r="W2556" i="2" s="1"/>
  <c r="W2557" i="2" a="1"/>
  <c r="W2557" i="2" s="1"/>
  <c r="W2558" i="2" a="1"/>
  <c r="W2558" i="2"/>
  <c r="W2559" i="2" a="1"/>
  <c r="W2559" i="2"/>
  <c r="W2560" i="2" a="1"/>
  <c r="W2560" i="2"/>
  <c r="W2561" i="2" a="1"/>
  <c r="W2561" i="2" s="1"/>
  <c r="W2562" i="2" a="1"/>
  <c r="W2562" i="2" s="1"/>
  <c r="W2563" i="2" a="1"/>
  <c r="W2563" i="2" s="1"/>
  <c r="W2564" i="2" a="1"/>
  <c r="W2564" i="2" s="1"/>
  <c r="W2565" i="2" a="1"/>
  <c r="W2565" i="2"/>
  <c r="W2566" i="2" a="1"/>
  <c r="W2566" i="2" s="1"/>
  <c r="W2567" i="2" a="1"/>
  <c r="W2567" i="2"/>
  <c r="W2568" i="2" a="1"/>
  <c r="W2568" i="2"/>
  <c r="W2569" i="2" a="1"/>
  <c r="W2569" i="2"/>
  <c r="W2570" i="2" a="1"/>
  <c r="W2570" i="2"/>
  <c r="W2571" i="2" a="1"/>
  <c r="W2571" i="2" s="1"/>
  <c r="W2572" i="2" a="1"/>
  <c r="W2572" i="2"/>
  <c r="W2573" i="2" a="1"/>
  <c r="W2573" i="2"/>
  <c r="W2574" i="2" a="1"/>
  <c r="W2574" i="2" s="1"/>
  <c r="W2575" i="2" a="1"/>
  <c r="W2575" i="2"/>
  <c r="W2576" i="2" a="1"/>
  <c r="W2576" i="2" s="1"/>
  <c r="W2577" i="2" a="1"/>
  <c r="W2577" i="2"/>
  <c r="W2578" i="2" a="1"/>
  <c r="W2578" i="2" s="1"/>
  <c r="W2579" i="2" a="1"/>
  <c r="W2579" i="2" s="1"/>
  <c r="W2580" i="2" a="1"/>
  <c r="W2580" i="2"/>
  <c r="W2581" i="2" a="1"/>
  <c r="W2581" i="2"/>
  <c r="W2582" i="2" a="1"/>
  <c r="W2582" i="2" s="1"/>
  <c r="W2583" i="2" a="1"/>
  <c r="W2583" i="2"/>
  <c r="W2584" i="2" a="1"/>
  <c r="W2584" i="2"/>
  <c r="W2585" i="2" a="1"/>
  <c r="W2585" i="2" s="1"/>
  <c r="W2586" i="2" a="1"/>
  <c r="W2586" i="2" s="1"/>
  <c r="W2587" i="2" a="1"/>
  <c r="W2587" i="2" s="1"/>
  <c r="W2588" i="2" a="1"/>
  <c r="W2588" i="2" s="1"/>
  <c r="W2589" i="2" a="1"/>
  <c r="W2589" i="2"/>
  <c r="W2590" i="2" a="1"/>
  <c r="W2590" i="2"/>
  <c r="W2591" i="2" a="1"/>
  <c r="W2591" i="2"/>
  <c r="W2592" i="2" a="1"/>
  <c r="W2592" i="2"/>
  <c r="W2593" i="2" a="1"/>
  <c r="W2593" i="2"/>
  <c r="W2594" i="2" a="1"/>
  <c r="W2594" i="2"/>
  <c r="W2595" i="2" a="1"/>
  <c r="W2595" i="2" s="1"/>
  <c r="W2596" i="2" a="1"/>
  <c r="W2596" i="2" s="1"/>
  <c r="W2597" i="2" a="1"/>
  <c r="W2597" i="2"/>
  <c r="W2598" i="2" a="1"/>
  <c r="W2598" i="2"/>
  <c r="W2599" i="2" a="1"/>
  <c r="W2599" i="2"/>
  <c r="W2600" i="2" a="1"/>
  <c r="W2600" i="2" s="1"/>
  <c r="W2601" i="2" a="1"/>
  <c r="W2601" i="2" s="1"/>
  <c r="W2602" i="2" a="1"/>
  <c r="W2602" i="2"/>
  <c r="W2603" i="2" a="1"/>
  <c r="W2603" i="2" s="1"/>
  <c r="W2604" i="2" a="1"/>
  <c r="W2604" i="2" s="1"/>
  <c r="W2605" i="2" a="1"/>
  <c r="W2605" i="2"/>
  <c r="W2606" i="2" a="1"/>
  <c r="W2606" i="2" s="1"/>
  <c r="W2607" i="2" a="1"/>
  <c r="W2607" i="2"/>
  <c r="W2608" i="2" a="1"/>
  <c r="W2608" i="2"/>
  <c r="W2609" i="2" a="1"/>
  <c r="W2609" i="2"/>
  <c r="W2610" i="2" a="1"/>
  <c r="W2610" i="2"/>
  <c r="W2611" i="2" a="1"/>
  <c r="W2611" i="2" s="1"/>
  <c r="W2612" i="2" a="1"/>
  <c r="W2612" i="2" s="1"/>
  <c r="W2613" i="2" a="1"/>
  <c r="W2613" i="2"/>
  <c r="W2614" i="2" a="1"/>
  <c r="W2614" i="2"/>
  <c r="W2615" i="2" a="1"/>
  <c r="W2615" i="2"/>
  <c r="W2616" i="2" a="1"/>
  <c r="W2616" i="2" s="1"/>
  <c r="W2617" i="2" a="1"/>
  <c r="W2617" i="2" s="1"/>
  <c r="W2618" i="2" a="1"/>
  <c r="W2618" i="2"/>
  <c r="W2619" i="2" a="1"/>
  <c r="W2619" i="2"/>
  <c r="W2620" i="2" a="1"/>
  <c r="W2620" i="2"/>
  <c r="W2621" i="2" a="1"/>
  <c r="W2621" i="2"/>
  <c r="W2622" i="2" a="1"/>
  <c r="W2622" i="2" s="1"/>
  <c r="W2623" i="2" a="1"/>
  <c r="W2623" i="2" s="1"/>
  <c r="W2624" i="2" a="1"/>
  <c r="W2624" i="2" s="1"/>
  <c r="W2625" i="2" a="1"/>
  <c r="W2625" i="2"/>
  <c r="W2626" i="2" a="1"/>
  <c r="W2626" i="2" s="1"/>
  <c r="W2627" i="2" a="1"/>
  <c r="W2627" i="2"/>
  <c r="W2628" i="2" a="1"/>
  <c r="W2628" i="2"/>
  <c r="W2629" i="2" a="1"/>
  <c r="W2629" i="2"/>
  <c r="W2630" i="2" a="1"/>
  <c r="W2630" i="2"/>
  <c r="W2631" i="2" a="1"/>
  <c r="W2631" i="2"/>
  <c r="W2632" i="2" a="1"/>
  <c r="W2632" i="2"/>
  <c r="W2633" i="2" a="1"/>
  <c r="W2633" i="2" s="1"/>
  <c r="W2634" i="2" a="1"/>
  <c r="W2634" i="2" s="1"/>
  <c r="W2635" i="2" a="1"/>
  <c r="W2635" i="2"/>
  <c r="W2636" i="2" a="1"/>
  <c r="W2636" i="2" s="1"/>
  <c r="W2637" i="2" a="1"/>
  <c r="W2637" i="2" s="1"/>
  <c r="W2638" i="2" a="1"/>
  <c r="W2638" i="2" s="1"/>
  <c r="W2639" i="2" a="1"/>
  <c r="W2639" i="2"/>
  <c r="W2640" i="2" a="1"/>
  <c r="W2640" i="2"/>
  <c r="W2641" i="2" a="1"/>
  <c r="W2641" i="2"/>
  <c r="W2642" i="2" a="1"/>
  <c r="W2642" i="2"/>
  <c r="W2643" i="2" a="1"/>
  <c r="W2643" i="2"/>
  <c r="W2644" i="2" a="1"/>
  <c r="W2644" i="2" s="1"/>
  <c r="W2645" i="2" a="1"/>
  <c r="W2645" i="2" s="1"/>
  <c r="W2646" i="2" a="1"/>
  <c r="W2646" i="2" s="1"/>
  <c r="W2647" i="2" a="1"/>
  <c r="W2647" i="2"/>
  <c r="W2648" i="2" a="1"/>
  <c r="W2648" i="2"/>
  <c r="W2649" i="2" a="1"/>
  <c r="W2649" i="2"/>
  <c r="W2650" i="2" a="1"/>
  <c r="W2650" i="2"/>
  <c r="W2651" i="2" a="1"/>
  <c r="W2651" i="2"/>
  <c r="W2652" i="2" a="1"/>
  <c r="W2652" i="2"/>
  <c r="W2653" i="2" a="1"/>
  <c r="W2653" i="2"/>
  <c r="W2654" i="2" a="1"/>
  <c r="W2654" i="2"/>
  <c r="W2655" i="2" a="1"/>
  <c r="W2655" i="2" s="1"/>
  <c r="W2656" i="2" a="1"/>
  <c r="W2656" i="2" s="1"/>
  <c r="W2657" i="2" a="1"/>
  <c r="W2657" i="2"/>
  <c r="W2658" i="2" a="1"/>
  <c r="W2658" i="2"/>
  <c r="W2659" i="2" a="1"/>
  <c r="W2659" i="2" s="1"/>
  <c r="W2660" i="2" a="1"/>
  <c r="W2660" i="2"/>
  <c r="W2661" i="2" a="1"/>
  <c r="W2661" i="2"/>
  <c r="W2662" i="2" a="1"/>
  <c r="W2662" i="2"/>
  <c r="W2663" i="2" a="1"/>
  <c r="W2663" i="2"/>
  <c r="W2664" i="2" a="1"/>
  <c r="W2664" i="2"/>
  <c r="W2665" i="2" a="1"/>
  <c r="W2665" i="2"/>
  <c r="W2666" i="2" a="1"/>
  <c r="W2666" i="2" s="1"/>
  <c r="W2667" i="2" a="1"/>
  <c r="W2667" i="2"/>
  <c r="W2668" i="2" a="1"/>
  <c r="W2668" i="2"/>
  <c r="W2669" i="2" a="1"/>
  <c r="W2669" i="2"/>
  <c r="W2670" i="2" a="1"/>
  <c r="W2670" i="2"/>
  <c r="W2671" i="2" a="1"/>
  <c r="W2671" i="2"/>
  <c r="W2672" i="2" a="1"/>
  <c r="W2672" i="2"/>
  <c r="W2673" i="2" a="1"/>
  <c r="W2673" i="2" s="1"/>
  <c r="W2674" i="2" a="1"/>
  <c r="W2674" i="2" s="1"/>
  <c r="W2675" i="2" a="1"/>
  <c r="W2675" i="2" s="1"/>
  <c r="W2676" i="2" a="1"/>
  <c r="W2676" i="2" s="1"/>
  <c r="W2677" i="2" a="1"/>
  <c r="W2677" i="2" s="1"/>
  <c r="W2678" i="2" a="1"/>
  <c r="W2678" i="2"/>
  <c r="W2679" i="2" a="1"/>
  <c r="W2679" i="2"/>
  <c r="W2680" i="2" a="1"/>
  <c r="W2680" i="2" s="1"/>
  <c r="W2681" i="2" a="1"/>
  <c r="W2681" i="2"/>
  <c r="W2682" i="2" a="1"/>
  <c r="W2682" i="2"/>
  <c r="W2683" i="2" a="1"/>
  <c r="W2683" i="2"/>
  <c r="W2684" i="2" a="1"/>
  <c r="W2684" i="2"/>
  <c r="W2685" i="2" a="1"/>
  <c r="W2685" i="2"/>
  <c r="W2686" i="2" a="1"/>
  <c r="W2686" i="2" s="1"/>
  <c r="W2687" i="2" a="1"/>
  <c r="W2687" i="2" s="1"/>
  <c r="W2688" i="2" a="1"/>
  <c r="W2688" i="2"/>
  <c r="W2689" i="2" a="1"/>
  <c r="W2689" i="2"/>
  <c r="W2690" i="2" a="1"/>
  <c r="W2690" i="2"/>
  <c r="W2691" i="2" a="1"/>
  <c r="W2691" i="2"/>
  <c r="W2692" i="2" a="1"/>
  <c r="W2692" i="2" s="1"/>
  <c r="W2693" i="2" a="1"/>
  <c r="W2693" i="2"/>
  <c r="W2694" i="2" a="1"/>
  <c r="W2694" i="2"/>
  <c r="W2695" i="2" a="1"/>
  <c r="W2695" i="2" s="1"/>
  <c r="W2696" i="2" a="1"/>
  <c r="W2696" i="2" s="1"/>
  <c r="W2697" i="2" a="1"/>
  <c r="W2697" i="2"/>
  <c r="W2698" i="2" a="1"/>
  <c r="W2698" i="2" s="1"/>
  <c r="W2699" i="2" a="1"/>
  <c r="W2699" i="2"/>
  <c r="W2700" i="2" a="1"/>
  <c r="W2700" i="2"/>
  <c r="W2701" i="2" a="1"/>
  <c r="W2701" i="2" s="1"/>
  <c r="W2702" i="2" a="1"/>
  <c r="W2702" i="2"/>
  <c r="W2703" i="2" a="1"/>
  <c r="W2703" i="2"/>
  <c r="W2704" i="2" a="1"/>
  <c r="W2704" i="2"/>
  <c r="W2705" i="2" a="1"/>
  <c r="W2705" i="2"/>
  <c r="W2706" i="2" a="1"/>
  <c r="W2706" i="2" s="1"/>
  <c r="W2707" i="2" a="1"/>
  <c r="W2707" i="2" s="1"/>
  <c r="W2708" i="2" a="1"/>
  <c r="W2708" i="2" s="1"/>
  <c r="W2709" i="2" a="1"/>
  <c r="W2709" i="2"/>
  <c r="W2710" i="2" a="1"/>
  <c r="W2710" i="2"/>
  <c r="W2711" i="2" a="1"/>
  <c r="W2711" i="2"/>
  <c r="W2712" i="2" a="1"/>
  <c r="W2712" i="2"/>
  <c r="W2713" i="2" a="1"/>
  <c r="W2713" i="2"/>
  <c r="W2714" i="2" a="1"/>
  <c r="W2714" i="2" s="1"/>
  <c r="W2715" i="2" a="1"/>
  <c r="W2715" i="2"/>
  <c r="W2716" i="2" a="1"/>
  <c r="W2716" i="2" s="1"/>
  <c r="W2717" i="2" a="1"/>
  <c r="W2717" i="2"/>
  <c r="W2718" i="2" a="1"/>
  <c r="W2718" i="2"/>
  <c r="W2719" i="2" a="1"/>
  <c r="W2719" i="2" s="1"/>
  <c r="W2720" i="2" a="1"/>
  <c r="W2720" i="2" s="1"/>
  <c r="W2721" i="2" a="1"/>
  <c r="W2721" i="2"/>
  <c r="W2722" i="2" a="1"/>
  <c r="W2722" i="2" s="1"/>
  <c r="W2723" i="2" a="1"/>
  <c r="W2723" i="2" s="1"/>
  <c r="W2724" i="2" a="1"/>
  <c r="W2724" i="2"/>
  <c r="W2725" i="2" a="1"/>
  <c r="W2725" i="2"/>
  <c r="W2726" i="2" a="1"/>
  <c r="W2726" i="2" s="1"/>
  <c r="W2727" i="2" a="1"/>
  <c r="W2727" i="2"/>
  <c r="W2728" i="2" a="1"/>
  <c r="W2728" i="2"/>
  <c r="W2729" i="2" a="1"/>
  <c r="W2729" i="2" s="1"/>
  <c r="W2730" i="2" a="1"/>
  <c r="W2730" i="2"/>
  <c r="W2731" i="2" a="1"/>
  <c r="W2731" i="2" s="1"/>
  <c r="W2732" i="2" a="1"/>
  <c r="W2732" i="2"/>
  <c r="W2733" i="2" a="1"/>
  <c r="W2733" i="2"/>
  <c r="W2734" i="2" a="1"/>
  <c r="W2734" i="2"/>
  <c r="W2735" i="2" a="1"/>
  <c r="W2735" i="2"/>
  <c r="W2736" i="2" a="1"/>
  <c r="W2736" i="2" s="1"/>
  <c r="W2737" i="2" a="1"/>
  <c r="W2737" i="2"/>
  <c r="W2738" i="2" a="1"/>
  <c r="W2738" i="2"/>
  <c r="W2739" i="2" a="1"/>
  <c r="W2739" i="2"/>
  <c r="W2740" i="2" a="1"/>
  <c r="W2740" i="2" s="1"/>
  <c r="W2741" i="2" a="1"/>
  <c r="W2741" i="2" s="1"/>
  <c r="W2742" i="2" a="1"/>
  <c r="W2742" i="2" s="1"/>
  <c r="W2743" i="2" a="1"/>
  <c r="W2743" i="2" s="1"/>
  <c r="W2744" i="2" a="1"/>
  <c r="W2744" i="2" s="1"/>
  <c r="W2745" i="2" a="1"/>
  <c r="W2745" i="2" s="1"/>
  <c r="W2746" i="2" a="1"/>
  <c r="W2746" i="2" s="1"/>
  <c r="W2747" i="2" a="1"/>
  <c r="W2747" i="2"/>
  <c r="W2748" i="2" a="1"/>
  <c r="W2748" i="2" s="1"/>
  <c r="W2749" i="2" a="1"/>
  <c r="W2749" i="2"/>
  <c r="W2750" i="2" a="1"/>
  <c r="W2750" i="2"/>
  <c r="W2751" i="2" a="1"/>
  <c r="W2751" i="2" s="1"/>
  <c r="W2752" i="2" a="1"/>
  <c r="W2752" i="2" s="1"/>
  <c r="W2753" i="2" a="1"/>
  <c r="W2753" i="2" s="1"/>
  <c r="W2754" i="2" a="1"/>
  <c r="W2754" i="2"/>
  <c r="W2755" i="2" a="1"/>
  <c r="W2755" i="2"/>
  <c r="W2756" i="2" a="1"/>
  <c r="W2756" i="2"/>
  <c r="W2757" i="2" a="1"/>
  <c r="W2757" i="2"/>
  <c r="W2758" i="2" a="1"/>
  <c r="W2758" i="2" s="1"/>
  <c r="W2759" i="2" a="1"/>
  <c r="W2759" i="2"/>
  <c r="W2760" i="2" a="1"/>
  <c r="W2760" i="2"/>
  <c r="W2761" i="2" a="1"/>
  <c r="W2761" i="2" s="1"/>
  <c r="W2762" i="2" a="1"/>
  <c r="W2762" i="2" s="1"/>
  <c r="W2763" i="2" a="1"/>
  <c r="W2763" i="2" s="1"/>
  <c r="W2764" i="2" a="1"/>
  <c r="W2764" i="2"/>
  <c r="W2765" i="2" a="1"/>
  <c r="W2765" i="2"/>
  <c r="W2766" i="2" a="1"/>
  <c r="W2766" i="2"/>
  <c r="W2767" i="2" a="1"/>
  <c r="W2767" i="2"/>
  <c r="W2768" i="2" a="1"/>
  <c r="W2768" i="2" s="1"/>
  <c r="W2769" i="2" a="1"/>
  <c r="W2769" i="2"/>
  <c r="W2770" i="2" a="1"/>
  <c r="W2770" i="2"/>
  <c r="W2771" i="2" a="1"/>
  <c r="W2771" i="2" s="1"/>
  <c r="W2772" i="2" a="1"/>
  <c r="W2772" i="2" s="1"/>
  <c r="W2773" i="2" a="1"/>
  <c r="W2773" i="2" s="1"/>
  <c r="W2774" i="2" a="1"/>
  <c r="W2774" i="2"/>
  <c r="W2775" i="2" a="1"/>
  <c r="W2775" i="2"/>
  <c r="W2776" i="2" a="1"/>
  <c r="W2776" i="2"/>
  <c r="W2777" i="2" a="1"/>
  <c r="W2777" i="2"/>
  <c r="W2778" i="2" a="1"/>
  <c r="W2778" i="2" s="1"/>
  <c r="W2779" i="2" a="1"/>
  <c r="W2779" i="2"/>
  <c r="W2780" i="2" a="1"/>
  <c r="W2780" i="2"/>
  <c r="W2781" i="2" a="1"/>
  <c r="W2781" i="2" s="1"/>
  <c r="W2782" i="2" a="1"/>
  <c r="W2782" i="2" s="1"/>
  <c r="W2783" i="2" a="1"/>
  <c r="W2783" i="2" s="1"/>
  <c r="W2784" i="2" a="1"/>
  <c r="W2784" i="2"/>
  <c r="W2785" i="2" a="1"/>
  <c r="W2785" i="2"/>
  <c r="W2786" i="2" a="1"/>
  <c r="W2786" i="2"/>
  <c r="W2787" i="2" a="1"/>
  <c r="W2787" i="2"/>
  <c r="W2788" i="2" a="1"/>
  <c r="W2788" i="2" s="1"/>
  <c r="W2789" i="2" a="1"/>
  <c r="W2789" i="2"/>
  <c r="W2790" i="2" a="1"/>
  <c r="W2790" i="2"/>
  <c r="W2791" i="2" a="1"/>
  <c r="W2791" i="2" s="1"/>
  <c r="W2792" i="2" a="1"/>
  <c r="W2792" i="2" s="1"/>
  <c r="W2793" i="2" a="1"/>
  <c r="W2793" i="2" s="1"/>
  <c r="W2794" i="2" a="1"/>
  <c r="W2794" i="2"/>
  <c r="W2795" i="2" a="1"/>
  <c r="W2795" i="2"/>
  <c r="W2796" i="2" a="1"/>
  <c r="W2796" i="2"/>
  <c r="W2797" i="2" a="1"/>
  <c r="W2797" i="2"/>
  <c r="W2798" i="2" a="1"/>
  <c r="W2798" i="2" s="1"/>
  <c r="W2799" i="2" a="1"/>
  <c r="W2799" i="2"/>
  <c r="W2800" i="2" a="1"/>
  <c r="W2800" i="2"/>
  <c r="W2801" i="2" a="1"/>
  <c r="W2801" i="2" s="1"/>
  <c r="W2802" i="2" a="1"/>
  <c r="W2802" i="2" s="1"/>
  <c r="W2803" i="2" a="1"/>
  <c r="W2803" i="2" s="1"/>
  <c r="W2804" i="2" a="1"/>
  <c r="W2804" i="2"/>
  <c r="W2805" i="2" a="1"/>
  <c r="W2805" i="2" s="1"/>
  <c r="W2806" i="2" a="1"/>
  <c r="W2806" i="2"/>
  <c r="W2807" i="2" a="1"/>
  <c r="W2807" i="2"/>
  <c r="W2808" i="2" a="1"/>
  <c r="W2808" i="2" s="1"/>
  <c r="W2809" i="2" a="1"/>
  <c r="W2809" i="2"/>
  <c r="W2810" i="2" a="1"/>
  <c r="W2810" i="2"/>
  <c r="W2811" i="2" a="1"/>
  <c r="W2811" i="2" s="1"/>
  <c r="W2812" i="2" a="1"/>
  <c r="W2812" i="2" s="1"/>
  <c r="W2813" i="2" a="1"/>
  <c r="W2813" i="2" s="1"/>
  <c r="W2814" i="2" a="1"/>
  <c r="W2814" i="2"/>
  <c r="W2815" i="2" a="1"/>
  <c r="W2815" i="2" s="1"/>
  <c r="W2816" i="2" a="1"/>
  <c r="W2816" i="2"/>
  <c r="W2817" i="2" a="1"/>
  <c r="W2817" i="2"/>
  <c r="W2818" i="2" a="1"/>
  <c r="W2818" i="2" s="1"/>
  <c r="W2819" i="2" a="1"/>
  <c r="W2819" i="2"/>
  <c r="W2820" i="2" a="1"/>
  <c r="W2820" i="2"/>
  <c r="W2821" i="2" a="1"/>
  <c r="W2821" i="2" s="1"/>
  <c r="W2822" i="2" a="1"/>
  <c r="W2822" i="2" s="1"/>
  <c r="W2823" i="2" a="1"/>
  <c r="W2823" i="2" s="1"/>
  <c r="W2824" i="2" a="1"/>
  <c r="W2824" i="2"/>
  <c r="W2825" i="2" a="1"/>
  <c r="W2825" i="2" s="1"/>
  <c r="W2826" i="2" a="1"/>
  <c r="W2826" i="2"/>
  <c r="W2827" i="2" a="1"/>
  <c r="W2827" i="2"/>
  <c r="W2828" i="2" a="1"/>
  <c r="W2828" i="2" s="1"/>
  <c r="W2829" i="2" a="1"/>
  <c r="W2829" i="2"/>
  <c r="W2830" i="2" a="1"/>
  <c r="W2830" i="2"/>
  <c r="W2831" i="2" a="1"/>
  <c r="W2831" i="2" s="1"/>
  <c r="W2832" i="2" a="1"/>
  <c r="W2832" i="2" s="1"/>
  <c r="W2833" i="2" a="1"/>
  <c r="W2833" i="2" s="1"/>
  <c r="W2834" i="2" a="1"/>
  <c r="W2834" i="2"/>
  <c r="W2835" i="2" a="1"/>
  <c r="W2835" i="2" s="1"/>
  <c r="W2836" i="2" a="1"/>
  <c r="W2836" i="2"/>
  <c r="W2837" i="2" a="1"/>
  <c r="W2837" i="2"/>
  <c r="W2838" i="2" a="1"/>
  <c r="W2838" i="2" s="1"/>
  <c r="W2839" i="2" a="1"/>
  <c r="W2839" i="2"/>
  <c r="W2840" i="2" a="1"/>
  <c r="W2840" i="2"/>
  <c r="W2841" i="2" a="1"/>
  <c r="W2841" i="2" s="1"/>
  <c r="W2842" i="2" a="1"/>
  <c r="W2842" i="2" s="1"/>
  <c r="W2843" i="2" a="1"/>
  <c r="W2843" i="2" s="1"/>
  <c r="W2844" i="2" a="1"/>
  <c r="W2844" i="2"/>
  <c r="W2845" i="2" a="1"/>
  <c r="W2845" i="2" s="1"/>
  <c r="W2846" i="2" a="1"/>
  <c r="W2846" i="2"/>
  <c r="W2847" i="2" a="1"/>
  <c r="W2847" i="2"/>
  <c r="W2848" i="2" a="1"/>
  <c r="W2848" i="2" s="1"/>
  <c r="W2849" i="2" a="1"/>
  <c r="W2849" i="2"/>
  <c r="W2850" i="2" a="1"/>
  <c r="W2850" i="2"/>
  <c r="W2851" i="2" a="1"/>
  <c r="W2851" i="2" s="1"/>
  <c r="W2852" i="2" a="1"/>
  <c r="W2852" i="2" s="1"/>
  <c r="W2853" i="2" a="1"/>
  <c r="W2853" i="2" s="1"/>
  <c r="W2854" i="2" a="1"/>
  <c r="W2854" i="2"/>
  <c r="W2855" i="2" a="1"/>
  <c r="W2855" i="2" s="1"/>
  <c r="W2856" i="2" a="1"/>
  <c r="W2856" i="2"/>
  <c r="W2857" i="2" a="1"/>
  <c r="W2857" i="2"/>
  <c r="W2858" i="2" a="1"/>
  <c r="W2858" i="2" s="1"/>
  <c r="W2859" i="2" a="1"/>
  <c r="W2859" i="2"/>
  <c r="W2860" i="2" a="1"/>
  <c r="W2860" i="2" s="1"/>
  <c r="W2861" i="2" a="1"/>
  <c r="W2861" i="2" s="1"/>
  <c r="W2862" i="2" a="1"/>
  <c r="W2862" i="2" s="1"/>
  <c r="W2863" i="2" a="1"/>
  <c r="W2863" i="2" s="1"/>
  <c r="W2864" i="2" a="1"/>
  <c r="W2864" i="2"/>
  <c r="W2865" i="2" a="1"/>
  <c r="W2865" i="2" s="1"/>
  <c r="W2866" i="2" a="1"/>
  <c r="W2866" i="2"/>
  <c r="W2867" i="2" a="1"/>
  <c r="W2867" i="2"/>
  <c r="W2868" i="2" a="1"/>
  <c r="W2868" i="2" s="1"/>
  <c r="W2869" i="2" a="1"/>
  <c r="W2869" i="2"/>
  <c r="W2870" i="2" a="1"/>
  <c r="W2870" i="2"/>
  <c r="W2871" i="2" a="1"/>
  <c r="W2871" i="2" s="1"/>
  <c r="W2872" i="2" a="1"/>
  <c r="W2872" i="2" s="1"/>
  <c r="W2873" i="2" a="1"/>
  <c r="W2873" i="2" s="1"/>
  <c r="W2874" i="2" a="1"/>
  <c r="W2874" i="2"/>
  <c r="W2875" i="2" a="1"/>
  <c r="W2875" i="2" s="1"/>
  <c r="W2876" i="2" a="1"/>
  <c r="W2876" i="2"/>
  <c r="W2877" i="2" a="1"/>
  <c r="W2877" i="2"/>
  <c r="W2878" i="2" a="1"/>
  <c r="W2878" i="2" s="1"/>
  <c r="W2879" i="2" a="1"/>
  <c r="W2879" i="2"/>
  <c r="W2880" i="2" a="1"/>
  <c r="W2880" i="2"/>
  <c r="W2881" i="2" a="1"/>
  <c r="W2881" i="2" s="1"/>
  <c r="W2882" i="2" a="1"/>
  <c r="W2882" i="2" s="1"/>
  <c r="W2883" i="2" a="1"/>
  <c r="W2883" i="2" s="1"/>
  <c r="W2884" i="2" a="1"/>
  <c r="W2884" i="2"/>
  <c r="W2885" i="2" a="1"/>
  <c r="W2885" i="2" s="1"/>
  <c r="W2886" i="2" a="1"/>
  <c r="W2886" i="2"/>
  <c r="W2887" i="2" a="1"/>
  <c r="W2887" i="2"/>
  <c r="W2888" i="2" a="1"/>
  <c r="W2888" i="2" s="1"/>
  <c r="W2889" i="2" a="1"/>
  <c r="W2889" i="2"/>
  <c r="W2890" i="2" a="1"/>
  <c r="W2890" i="2"/>
  <c r="W2891" i="2" a="1"/>
  <c r="W2891" i="2" s="1"/>
  <c r="W2892" i="2" a="1"/>
  <c r="W2892" i="2" s="1"/>
  <c r="W2893" i="2" a="1"/>
  <c r="W2893" i="2" s="1"/>
  <c r="W2894" i="2" a="1"/>
  <c r="W2894" i="2"/>
  <c r="W2895" i="2" a="1"/>
  <c r="W2895" i="2" s="1"/>
  <c r="W2896" i="2" a="1"/>
  <c r="W2896" i="2"/>
  <c r="W2897" i="2" a="1"/>
  <c r="W2897" i="2"/>
  <c r="W2898" i="2" a="1"/>
  <c r="W2898" i="2" s="1"/>
  <c r="W2899" i="2" a="1"/>
  <c r="W2899" i="2"/>
  <c r="W2900" i="2" a="1"/>
  <c r="W2900" i="2"/>
  <c r="W2901" i="2" a="1"/>
  <c r="W2901" i="2" s="1"/>
  <c r="W2902" i="2" a="1"/>
  <c r="W2902" i="2" s="1"/>
  <c r="W2903" i="2" a="1"/>
  <c r="W2903" i="2" s="1"/>
  <c r="W2904" i="2" a="1"/>
  <c r="W2904" i="2"/>
  <c r="W2905" i="2" a="1"/>
  <c r="W2905" i="2" s="1"/>
  <c r="W2906" i="2" a="1"/>
  <c r="W2906" i="2"/>
  <c r="W2907" i="2" a="1"/>
  <c r="W2907" i="2"/>
  <c r="W2908" i="2" a="1"/>
  <c r="W2908" i="2" s="1"/>
  <c r="W2909" i="2" a="1"/>
  <c r="W2909" i="2"/>
  <c r="W2910" i="2" a="1"/>
  <c r="W2910" i="2"/>
  <c r="W2911" i="2" a="1"/>
  <c r="W2911" i="2" s="1"/>
  <c r="W2912" i="2" a="1"/>
  <c r="W2912" i="2" s="1"/>
  <c r="W2913" i="2" a="1"/>
  <c r="W2913" i="2" s="1"/>
  <c r="W2914" i="2" a="1"/>
  <c r="W2914" i="2"/>
  <c r="W2915" i="2" a="1"/>
  <c r="W2915" i="2" s="1"/>
  <c r="W2916" i="2" a="1"/>
  <c r="W2916" i="2"/>
  <c r="W2917" i="2" a="1"/>
  <c r="W2917" i="2"/>
  <c r="W2918" i="2" a="1"/>
  <c r="W2918" i="2" s="1"/>
  <c r="W2919" i="2" a="1"/>
  <c r="W2919" i="2"/>
  <c r="W2920" i="2" a="1"/>
  <c r="W2920" i="2"/>
  <c r="W2921" i="2" a="1"/>
  <c r="W2921" i="2" s="1"/>
  <c r="W2922" i="2" a="1"/>
  <c r="W2922" i="2" s="1"/>
  <c r="W2923" i="2" a="1"/>
  <c r="W2923" i="2" s="1"/>
  <c r="W2924" i="2" a="1"/>
  <c r="W2924" i="2"/>
  <c r="W2925" i="2" a="1"/>
  <c r="W2925" i="2" s="1"/>
  <c r="W2926" i="2" a="1"/>
  <c r="W2926" i="2"/>
  <c r="W2927" i="2" a="1"/>
  <c r="W2927" i="2"/>
  <c r="W2928" i="2" a="1"/>
  <c r="W2928" i="2" s="1"/>
  <c r="W2929" i="2" a="1"/>
  <c r="W2929" i="2"/>
  <c r="W2930" i="2" a="1"/>
  <c r="W2930" i="2"/>
  <c r="W2931" i="2" a="1"/>
  <c r="W2931" i="2" s="1"/>
  <c r="W2932" i="2" a="1"/>
  <c r="W2932" i="2" s="1"/>
  <c r="W2933" i="2" a="1"/>
  <c r="W2933" i="2" s="1"/>
  <c r="W2934" i="2" a="1"/>
  <c r="W2934" i="2"/>
  <c r="W2935" i="2" a="1"/>
  <c r="W2935" i="2" s="1"/>
  <c r="W2936" i="2" a="1"/>
  <c r="W2936" i="2"/>
  <c r="W2937" i="2" a="1"/>
  <c r="W2937" i="2"/>
  <c r="W2938" i="2" a="1"/>
  <c r="W2938" i="2" s="1"/>
  <c r="W2939" i="2" a="1"/>
  <c r="W2939" i="2"/>
  <c r="C3" i="3" a="1"/>
  <c r="C3" i="3" s="1"/>
  <c r="L21" i="3" a="1"/>
  <c r="M15" i="3" a="1"/>
  <c r="T13" i="3" a="1"/>
  <c r="U12" i="3"/>
  <c r="D3" i="3" a="1"/>
  <c r="A3" i="3" a="1"/>
  <c r="U14" i="3"/>
  <c r="Q21" i="3" l="1" a="1"/>
  <c r="Q21" i="3" s="1"/>
  <c r="Q15" i="3" a="1"/>
  <c r="Q15" i="3" s="1"/>
  <c r="AB3" i="3" a="1"/>
  <c r="AB3" i="3" s="1"/>
  <c r="E3" i="3" a="1"/>
  <c r="E3" i="3" s="1"/>
  <c r="H3" i="3" a="1"/>
  <c r="H3" i="3" s="1"/>
  <c r="I3" i="3" a="1"/>
  <c r="I3" i="3" s="1"/>
  <c r="J3" i="3" a="1"/>
  <c r="J3" i="3" s="1"/>
  <c r="N21" i="3" a="1"/>
  <c r="N21" i="3" s="1"/>
  <c r="AC3" i="3" a="1"/>
  <c r="AC3" i="3" s="1"/>
  <c r="P21" i="3" a="1"/>
  <c r="P21" i="3" s="1"/>
  <c r="P8" i="3" a="1"/>
  <c r="P8" i="3" s="1"/>
  <c r="P10" i="3" a="1"/>
  <c r="P10" i="3" s="1"/>
  <c r="AK3" i="3" a="1"/>
  <c r="AK3" i="3" s="1"/>
  <c r="AA3" i="3" a="1"/>
  <c r="AA3" i="3" s="1"/>
  <c r="Z3" i="3" a="1"/>
  <c r="Z3" i="3" s="1"/>
  <c r="P9" i="3" a="1"/>
  <c r="P9" i="3" s="1"/>
  <c r="R21" i="3" a="1"/>
  <c r="R21" i="3" s="1"/>
  <c r="AD3" i="3" a="1"/>
  <c r="AD3" i="3" s="1"/>
  <c r="N15" i="3" a="1"/>
  <c r="N15" i="3" s="1"/>
  <c r="AE3" i="3" a="1"/>
  <c r="AE3" i="3" s="1"/>
  <c r="O15" i="3" a="1"/>
  <c r="O15" i="3" s="1"/>
  <c r="AG3" i="3" a="1"/>
  <c r="AG3" i="3" s="1"/>
  <c r="P15" i="3" a="1"/>
  <c r="P15" i="3" s="1"/>
  <c r="AH3" i="3" a="1"/>
  <c r="AH3" i="3" s="1"/>
  <c r="M16" i="3" a="1"/>
  <c r="M16" i="3" s="1"/>
  <c r="N16" i="3" a="1"/>
  <c r="N16" i="3" s="1"/>
  <c r="P4" i="3" a="1"/>
  <c r="P4" i="3" s="1"/>
  <c r="O16" i="3" a="1"/>
  <c r="O16" i="3" s="1"/>
  <c r="F3" i="3" a="1"/>
  <c r="F3" i="3" s="1"/>
  <c r="M5" i="3" a="1"/>
  <c r="M5" i="3" s="1"/>
  <c r="M17" i="3" a="1"/>
  <c r="M17" i="3" s="1"/>
  <c r="M4" i="3" a="1"/>
  <c r="M4" i="3" s="1"/>
  <c r="G3" i="3" a="1"/>
  <c r="G3" i="3" s="1"/>
  <c r="P5" i="3" a="1"/>
  <c r="P5" i="3" s="1"/>
  <c r="N17" i="3" a="1"/>
  <c r="N17" i="3" s="1"/>
  <c r="M6" i="3" a="1"/>
  <c r="M6" i="3" s="1"/>
  <c r="P6" i="3" a="1"/>
  <c r="P6" i="3" s="1"/>
  <c r="M21" i="3" a="1"/>
  <c r="M21" i="3" s="1"/>
  <c r="M7" i="3" a="1"/>
  <c r="M7" i="3" s="1"/>
  <c r="W3" i="3" a="1"/>
  <c r="W3" i="3" s="1"/>
  <c r="P7" i="3" a="1"/>
  <c r="P7" i="3" s="1"/>
  <c r="O21" i="3" a="1"/>
  <c r="O21" i="3" s="1"/>
  <c r="M8" i="3" a="1"/>
  <c r="M8" i="3" s="1"/>
  <c r="L21" i="3"/>
  <c r="M15" i="3"/>
  <c r="T13" i="3"/>
  <c r="D3" i="3"/>
  <c r="A3" i="3"/>
  <c r="U18" i="3"/>
  <c r="U15" i="3"/>
  <c r="U19" i="3"/>
  <c r="U16" i="3"/>
  <c r="U28" i="3"/>
  <c r="U24" i="3"/>
  <c r="U21" i="3"/>
  <c r="U27" i="3"/>
  <c r="U25" i="3"/>
  <c r="U29" i="3"/>
  <c r="U23" i="3"/>
  <c r="U17" i="3"/>
  <c r="U26" i="3"/>
  <c r="U22" i="3"/>
  <c r="U30" i="3"/>
  <c r="U20" i="3"/>
  <c r="U13" i="3"/>
  <c r="U3" i="3" l="1" a="1"/>
  <c r="U3"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<sst xmlns="http://schemas.openxmlformats.org/spreadsheetml/2006/main" count="6270" uniqueCount="536">
  <si>
    <t>Function Name</t>
  </si>
  <si>
    <t>Definition</t>
  </si>
  <si>
    <t>Arguments</t>
  </si>
  <si>
    <t>Yields</t>
  </si>
  <si>
    <t>Description</t>
  </si>
  <si>
    <t>Observations</t>
  </si>
  <si>
    <t>=LAMBDA(Y, [Filter],
  LET(
    filt_arg, IF(ISOMITTED(Filter), TRUE, Filter),
    ROWS(FILTER(Y, filt_arg))
  ))</t>
  </si>
  <si>
    <t>Y: single-column outcome range
[Filter]: boolean array — TRUE includes the row, FALSE excludes it</t>
  </si>
  <si>
    <t>n — count of rows used in the regression as a scalar integer</t>
  </si>
  <si>
    <t>n (number of observations) is the count of data points available to the model after any filtering is applied. It is the fundamental sample size that drives all degrees-of-freedom calculations.
Returns ROWS(FILTER(Y, filt_arg)). X_s is not required because row count is fully determined by Y.</t>
  </si>
  <si>
    <t>DF_Regression</t>
  </si>
  <si>
    <t>=LAMBDA(X_s,
  COLUMNS(X_s))</t>
  </si>
  <si>
    <t>X_s: column range of predictors (single or multi-column)</t>
  </si>
  <si>
    <t>df_regression (k, number of predictors) as a scalar integer</t>
  </si>
  <si>
    <t>df_regression is the number of degrees of freedom attributable to the regression model — equal to k, the number of predictor columns. The intercept term (if any) is not counted here; it is accounted for implicitly in df_total.
Returns COLUMNS(X_s). Filter and Allow_Intercept do not affect this value.</t>
  </si>
  <si>
    <t>DF_Total</t>
  </si>
  <si>
    <t>=LAMBDA(Y, [Allow_Intercept], [Filter],
  LET(
    allow_arg, IF(ISOMITTED(Allow_Intercept), TRUE, Allow_Intercept),
    filt_arg,  IF(ISOMITTED(Filter),          TRUE, Filter),
    n,         Observations(Y, filt_arg),
    IF(allow_arg, n - 1, n)
  ))</t>
  </si>
  <si>
    <t>Y: single-column outcome range
[Allow_Intercept]: TRUE/FALSE — fit intercept? Default TRUE
[Filter]: boolean array — TRUE includes the row, FALSE excludes it</t>
  </si>
  <si>
    <t>df_total (n-1 with intercept, n without) as a scalar integer</t>
  </si>
  <si>
    <t>df_total is the total degrees of freedom for the sum of squares. When an intercept is fit (default), one df is spent estimating the grand mean, giving n - 1. When the model is forced through the origin (Allow_Intercept = FALSE), no df is spent on the mean, giving n. df_total partitions into df_regression + df_residual.
Calls Observations() for n, then returns IF(allow_arg, n-1, n).</t>
  </si>
  <si>
    <t>R_squared</t>
  </si>
  <si>
    <t>=LAMBDA(X_s, Y, [Allow_Intercept], [Filter],
  LET(
    allow_arg, IF(ISOMITTED(Allow_Intercept), TRUE, Allow_Intercept),
    filt_arg,  IF(ISOMITTED(Filter),          TRUE, Filter),
    INDEX(LINEST(FILTER(Y, filt_arg), FILTER(X_s, filt_arg), allow_arg, TRUE), 3, 1)
  ))</t>
  </si>
  <si>
    <t>X_s: column range of predictors (single or multi-column)
Y: single-column outcome range
[Allow_Intercept]: TRUE/FALSE — fit intercept? Default TRUE
[Filter]: boolean array — TRUE includes the row, FALSE excludes it</t>
  </si>
  <si>
    <t>R² (coefficient of determination) as a scalar in [0, 1]</t>
  </si>
  <si>
    <t>R² (coefficient of determination) is the proportion of variance in Y explained by the regression model. It equals SS_regression / SS_total, ranges from 0 (no explanatory power) to 1 (perfect fit), and is the square of Multiple R.
Returns INDEX(LINEST(...), 3, 1) directly. R_squared is the base statistic from which Multiple_R and Adjusted_R2 are derived.</t>
  </si>
  <si>
    <t>DF_Residual</t>
  </si>
  <si>
    <t>=LAMBDA(X_s, Y, [Allow_Intercept], [Filter],
  LET(
    allow_arg, IF(ISOMITTED(Allow_Intercept), TRUE, Allow_Intercept),
    filt_arg,  IF(ISOMITTED(Filter),          TRUE, Filter),
    DF_Total(Y, allow_arg, filt_arg) - DF_Regression(X_s)
  ))</t>
  </si>
  <si>
    <t>df_residual (n-k-1 with intercept, n-k without) as a scalar integer</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</si>
  <si>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DF_Total(...) - DF_Regression(...), inheriting the Allow_Intercept correction from DF_Total.</t>
  </si>
  <si>
    <t>Multiple_R</t>
  </si>
  <si>
    <t>=LAMBDA(X_s, Y, [Allow_Intercept], [Filter],
  LET(
    allow_arg, IF(ISOMITTED(Allow_Intercept), TRUE, Allow_Intercept),
    filt_arg,  IF(ISOMITTED(Filter),          TRUE, Filter),
    SQRT(R_squared(X_s, Y, allow_arg, filt_arg))
  ))</t>
  </si>
  <si>
    <t>Multiple R (correlation coefficient) as a scalar in [0, 1]</t>
  </si>
  <si>
    <t>Multiple R is the Pearson correlation between the observed values of Y and the values predicted by the regression model. It ranges from 0 (no linear relationship) to 1 (perfect linear fit) and is the square root of R².
Computed as SQRT(R_squared(...)).</t>
  </si>
  <si>
    <t>Adjusted_R2</t>
  </si>
  <si>
    <t>=LAMBDA(X_s, Y, [Allow_Intercept], [Filter],
  LET(
    allow_arg, IF(ISOMITTED(Allow_Intercept), TRUE, Allow_Intercept),
    filt_arg,  IF(ISOMITTED(Filter),          TRUE, Filter),
    1 - (1 - R_squared(X_s, Y, allow_arg, filt_arg))
      * DF_Total(Y, allow_arg, filt_arg)
      / DF_Residual(X_s, Y, allow_arg, filt_arg)
  ))</t>
  </si>
  <si>
    <t>Adjusted R² as a scalar, typically in [0, 1] but can be negative</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</si>
  <si>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DF_Total(...) / DF_Residual(...), inheriting the Allow_Intercept correction from both df functions.</t>
  </si>
  <si>
    <t>SS_Total</t>
  </si>
  <si>
    <t>=LAMBDA(Y, [Allow_Intercept], [Filter],
  LET(
    allow_arg, IF(ISOMITTED(Allow_Intercept), TRUE, Allow_Intercept),
    filt_arg,  IF(ISOMITTED(Filter),          TRUE, Filter),
    y_filt, FILTER(Y, filt_arg),
    IF(allow_arg, DEVSQ(y_filt), SUMSQ(y_filt))
  ))</t>
  </si>
  <si>
    <t>SS_total (total sum of squares) as a scalar</t>
  </si>
  <si>
    <t>SS_total is the total variation in Y before any predictors are added. With an intercept it equals the sum of squared deviations from the mean — DEVSQ(Y). Without an intercept it equals the raw sum of squares — SUMSQ(Y). It is the denominator in the R² formula and partitions into SS_regression + SS_residual.
Returns DEVSQ(filtered_Y) when Allow_Intercept is TRUE, SUMSQ(filtered_Y) when FALSE. Does not require X_s.</t>
  </si>
  <si>
    <t>SS_Residual</t>
  </si>
  <si>
    <t>=LAMBDA(X_s, Y, [Allow_Intercept], [Filter],
  LET(
    allow_arg, IF(ISOMITTED(Allow_Intercept), TRUE, Allow_Intercept),
    filt_arg,  IF(ISOMITTED(Filter),          TRUE, Filter),
    SS_Total(Y, allow_arg, filt_arg) * (1 - R_squared(X_s, Y, allow_arg, filt_arg))
  ))</t>
  </si>
  <si>
    <t>SS_residual (residual/error sum of squares) as a scalar</t>
  </si>
  <si>
    <t>SS_residual (also called SS_error) is the variation in Y left unexplained by the regression model — the sum of squared differences between observed and fitted values. It equals SS_total × (1 - R²) and shrinks as the model improves.
Computed as SS_Total(...) * (1 - R_squared(...)).</t>
  </si>
  <si>
    <t>SS_Regression</t>
  </si>
  <si>
    <t>=LAMBDA(X_s, Y, [Allow_Intercept], [Filter],
  LET(
    allow_arg, IF(ISOMITTED(Allow_Intercept), TRUE, Allow_Intercept),
    filt_arg,  IF(ISOMITTED(Filter),          TRUE, Filter),
    SS_Total(Y, allow_arg, filt_arg) * R_squared(X_s, Y, allow_arg, filt_arg)
  ))</t>
  </si>
  <si>
    <t>SS_regression (explained/model sum of squares) as a scalar</t>
  </si>
  <si>
    <t>SS_regression (also called SS_model or SS_explained) is the variation in Y explained by the regression model — the reduction in total variation achieved by adding the predictors. It equals SS_total × R² and grows as the model explains more.
Computed as SS_Total(...) * R_squared(...).</t>
  </si>
  <si>
    <t>MS_Regression</t>
  </si>
  <si>
    <t>=LAMBDA(X_s, Y, [Allow_Intercept], [Filter],
  LET(
    allow_arg, IF(ISOMITTED(Allow_Intercept), TRUE, Allow_Intercept),
    filt_arg,  IF(ISOMITTED(Filter),          TRUE, Filter),
    SS_Regression(X_s, Y, allow_arg, filt_arg) / DF_Regression(X_s)
  ))</t>
  </si>
  <si>
    <t>mean square for regression (MS_regression = SS_regression / df_regression) as a scalar</t>
  </si>
  <si>
    <t>MS_Regression is the mean square for the regression model: SS_Regression divided by df_Regression. It is the numerator of the overall F-statistic and represents the average explained variation per predictor degree of freedom.</t>
  </si>
  <si>
    <t>MS_Residual</t>
  </si>
  <si>
    <t>=LAMBDA(X_s, Y, [Allow_Intercept], [Filter],
  LET(
    allow_arg, IF(ISOMITTED(Allow_Intercept), TRUE, Allow_Intercept),
    filt_arg,  IF(ISOMITTED(Filter),          TRUE, Filter),
    SS_Residual(X_s, Y, allow_arg, filt_arg) / DF_Residual(X_s, Y, allow_arg, filt_arg)
  ))</t>
  </si>
  <si>
    <t>mean square for residual error (MS_residual = SS_residual / df_residual) as a scalar</t>
  </si>
  <si>
    <t>MS_Residual is the mean square for residual error: SS_Residual divided by df_Residual. It equals SE_Regression² and is the denominator of the overall F-statistic. It represents the average unexplained variation per residual degree of freedom.</t>
  </si>
  <si>
    <t>SE_Regression</t>
  </si>
  <si>
    <t>=LAMBDA(X_s, Y, [Allow_Intercept], [Filter],
  LET(
    allow_arg, IF(ISOMITTED(Allow_Intercept), TRUE, Allow_Intercept),
    filt_arg,  IF(ISOMITTED(Filter),          TRUE, Filter),
    SQRT(SS_Residual(X_s, Y, allow_arg, filt_arg) / DF_Residual(X_s, Y, allow_arg, filt_arg))
  ))</t>
  </si>
  <si>
    <t>SE_regression (standard error of the regression) as a scalar</t>
  </si>
  <si>
    <t>SE_regression (also called the root mean square error or S) measures the typical distance between observed Y values and the regression line, in the same units as Y. It equals √(SS_residual / df_residual) = √MSE. Smaller values indicate a tighter fit.
Computed as SQRT(SS_Residual(...) / DF_Residual(...)).</t>
  </si>
  <si>
    <t>PRESS</t>
  </si>
  <si>
    <t>=LAMBDA(X_s, Y, [Allow_Intercept], [Filter],
  LET(
    allow_arg, IF(ISOMITTED(Allow_Intercept), TRUE, Allow_Intercept),
    filt_arg,  IF(ISOMITTED(Filter),          TRUE, Filter),
    e,         Residuals(X_s, Y, allow_arg, filt_arg),
    h,         Hat_diagonal(X_s, allow_arg, filt_arg),
    SUMSQ(e / (1 - h))
  ))</t>
  </si>
  <si>
    <t>PRESS (Prediction Residual Error Sum of Squares) as a scalar</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</si>
  <si>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Leverage is obtained from Hat_diagonal, which delegates the matrix inversion to Gram_Inverse. Then SUMSQ(e / (1 − h)) gives PRESS as a scalar.</t>
  </si>
  <si>
    <t>AIC</t>
  </si>
  <si>
    <t>=LAMBDA(X_s, Y, [Allow_Intercept], [Filter],
  LET(
    allow_arg, IF(ISOMITTED(Allow_Intercept), TRUE, Allow_Intercept),
    filt_arg,  IF(ISOMITTED(Filter), TRUE, Filter),
    n,   Observations(Y, filt_arg),
    ssr, SS_Residual(X_s, Y, allow_arg, filt_arg),
    p,   DF_Regression(X_s) + IF(allow_arg, 1, 0),
    n * LN(ssr / n) + 2 * p
  ))</t>
  </si>
  <si>
    <t>Akaike Information Criterion (AIC) scalar</t>
  </si>
  <si>
    <t>AIC = n·ln(SSR/n) + 2p, where p = number of regression parameters (predictors + intercept when Allow_Intercept is TRUE). Smaller values indicate better-fitting models; compare across models on the same dataset.</t>
  </si>
  <si>
    <t>BIC</t>
  </si>
  <si>
    <t>=LAMBDA(X_s, Y, [Allow_Intercept], [Filter],
  LET(
    allow_arg, IF(ISOMITTED(Allow_Intercept), TRUE, Allow_Intercept),
    filt_arg,  IF(ISOMITTED(Filter), TRUE, Filter),
    n,   Observations(Y, filt_arg),
    ssr, SS_Residual(X_s, Y, allow_arg, filt_arg),
    p,   DF_Regression(X_s) + IF(allow_arg, 1, 0),
    n * LN(ssr / n) + p * LN(n)
  ))</t>
  </si>
  <si>
    <t>Bayesian Information Criterion (BIC) scalar</t>
  </si>
  <si>
    <t>BIC = n·ln(SSR/n) + p·ln(n), where p = number of regression parameters. Applies a heavier penalty than AIC for additional parameters, favouring sparser models in large samples.</t>
  </si>
  <si>
    <t>AICc</t>
  </si>
  <si>
    <t>=LAMBDA(X_s, Y, [Allow_Intercept], [Filter],
  LET(
    allow_arg, IF(ISOMITTED(Allow_Intercept), TRUE, Allow_Intercept),
    filt_arg,  IF(ISOMITTED(Filter), TRUE, Filter),
    n,   Observations(Y, filt_arg),
    ssr, SS_Residual(X_s, Y, allow_arg, filt_arg),
    p,   DF_Regression(X_s) + IF(allow_arg, 1, 0),
    aic, n * LN(ssr / n) + 2 * p,
    aic + 2 * p * (p + 1) / (n - p - 1)
  ))</t>
  </si>
  <si>
    <t>Corrected Akaike Information Criterion (AICc) scalar</t>
  </si>
  <si>
    <t>AICc = AIC + 2p(p+1)/(n−p−1). The small-sample correction reduces upward bias in AIC when n/p &lt; 40. Converges to AIC as n → ∞.</t>
  </si>
  <si>
    <t>Durbin_Watson</t>
  </si>
  <si>
    <t>=LAMBDA(X_s, Y, [Allow_Intercept], [Filter],
  LET(
    allow_arg, IF(ISOMITTED(Allow_Intercept), TRUE, Allow_Intercept),
    filt_arg,  IF(ISOMITTED(Filter),          TRUE, Filter),
    e,         Residuals(X_s, Y, allow_arg, filt_arg),
    SUM((DROP(e, 1) - DROP(e, -1))^2) / SUM(e^2)
  ))</t>
  </si>
  <si>
    <t>Durbin-Watson statistic as a scalar</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</si>
  <si>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</si>
  <si>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QQ_Correlation</t>
  </si>
  <si>
    <t>=LAMBDA(X_s, Y, [Allow_Intercept], [Filter],
  LET(
    allow_arg, IF(ISOMITTED(Allow_Intercept), TRUE, Allow_Intercept),
    filt_arg,  IF(ISOMITTED(Filter), TRUE, Filter),
    sr,        Scaled_Residuals_Ranked(X_s, Y, allow_arg, filt_arg),
    n,         ROWS(sr),
    ns,        NORM.S.INV((SEQUENCE(n) - 0.5) / n),
    CORREL(sr, ns)
  ))</t>
  </si>
  <si>
    <t>Filliben Q-Q correlation coefficient (normality statistic) scalar</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</si>
  <si>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</si>
  <si>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</si>
  <si>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=LAMBDA(X_s, Y, [Allow_Intercept], [Filter],
  LET(
    allow_arg, IF(ISOMITTED(Allow_Intercept), TRUE, Allow_Intercept),
    filt_arg,  IF(ISOMITTED(Filter),          TRUE, Filter),
    ls,        LINEST(FILTER(Y, filt_arg), FILTER(X_s, filt_arg), allow_arg, FALSE),
    k,         COLUMNS(X_s),
    TRANSPOSE(IF(allow_arg,
      HSTACK(INDEX(ls, 1, k + 1), CHOOSECOLS(ls, SEQUENCE(1, k, k, -1))),
      CHOOSECOLS(ls, SEQUENCE(1, k, k, -1))
    ))
  ))</t>
  </si>
  <si>
    <t>vertical array of fitted OLS coefficients — intercept first (when included), then predictors in input order</t>
  </si>
  <si>
    <t>Returns a vertical spill array of the fitted OLS regression coefficients. When Allow_Intercept is TRUE the intercept is the first element, followed by the coefficients for each column of X_s in input order. When Allow_Intercept is FALSE the output contains only the k predictor coefficients.
Uses LINEST with stats=FALSE (row 1 only), then reverses and optionally prepends the intercept to match X_s column order.</t>
  </si>
  <si>
    <t>SE_Coefficients</t>
  </si>
  <si>
    <t>=LAMBDA(X_s, Y, [Allow_Intercept], [Filter],
  LET(
    allow_arg, IF(ISOMITTED(Allow_Intercept), TRUE, Allow_Intercept),
    filt_arg,  IF(ISOMITTED(Filter),          TRUE, Filter),
    ls,        LINEST(FILTER(Y, filt_arg), FILTER(X_s, filt_arg), allow_arg, TRUE),
    ses,       INDEX(ls, 2),
    k,         COLUMNS(X_s),
    TRANSPOSE(IF(allow_arg,
      HSTACK(INDEX(ses, 1, k + 1), CHOOSECOLS(ses, SEQUENCE(1, k, k, -1))),
      CHOOSECOLS(ses, SEQUENCE(1, k, k, -1))
    ))
  ))</t>
  </si>
  <si>
    <t>vertical array of standard errors of the OLS coefficients — same order as Coefficients</t>
  </si>
  <si>
    <t>Returns a vertical spill array of the standard errors of the fitted OLS coefficients, in the same order as Coefficients (intercept first when included).
Uses LINEST with stats=TRUE and extracts row 2 (the standard error row), then applies the same reversal as Coefficients.</t>
  </si>
  <si>
    <t>T_Stats</t>
  </si>
  <si>
    <t>=LAMBDA(X_s, Y, [Allow_Intercept], [Filter],
  LET(
    allow_arg, IF(ISOMITTED(Allow_Intercept), TRUE, Allow_Intercept),
    filt_arg,  IF(ISOMITTED(Filter),          TRUE, Filter),
    Coefficients(X_s, Y, allow_arg, filt_arg) / SE_Coefficients(X_s, Y, allow_arg, filt_arg)
  ))</t>
  </si>
  <si>
    <t>vertical array of t-statistics for each coefficient (coefficient / standard error)</t>
  </si>
  <si>
    <t>Returns a vertical spill array of t-statistics for each OLS coefficient. Each element equals the corresponding Coefficients value divided by its SE_Coefficients value.
Computed as Coefficients(...) / SE_Coefficients(...).</t>
  </si>
  <si>
    <t>P_Values</t>
  </si>
  <si>
    <t>=LAMBDA(X_s, Y, [Allow_Intercept], [Filter],
  LET(
    allow_arg, IF(ISOMITTED(Allow_Intercept), TRUE, Allow_Intercept),
    filt_arg,  IF(ISOMITTED(Filter),          TRUE, Filter),
    T.DIST.2T(ABS(T_Stats(X_s, Y, allow_arg, filt_arg)), DF_Residual(X_s, Y, allow_arg, filt_arg))
  ))</t>
  </si>
  <si>
    <t>vertical array of two-tailed p-values for each coefficient</t>
  </si>
  <si>
    <t>Returns a vertical spill array of two-tailed p-values for each OLS coefficient, testing the null hypothesis that the true coefficient equals zero.
Computed as T.DIST.2T(ABS(T_Stats(...)), DF_Residual(...)).</t>
  </si>
  <si>
    <t>CI_Lower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</si>
  <si>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</si>
  <si>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X_s: column range of predictors (single or multi-column)
Y: single-column outcome range
[Allow_Intercept]: TRUE/FALSE — fit intercept? Default TRUE
[Filter]: boolean array — TRUE includes the row, FALSE excludes it
[Alpha]: significance level (0–1); default 0.05 yields 95% CIs.</t>
  </si>
  <si>
    <t>vertical array of lower confidence interval bounds for each coefficient</t>
  </si>
  <si>
    <t>Returns a vertical spill array of the lower bounds of the confidence intervals for each OLS coefficient. Uses a two-tailed t critical value at significance level Alpha (default 0.05, yielding 95% CIs).
Computed as Coefficients(...) - T.INV.2T(Alpha, DF_Residual(...)) * SE_Coefficients(...).</t>
  </si>
  <si>
    <t>CI_Upper</t>
  </si>
  <si>
    <t>=LAMBDA(X_s, Y, [Allow_Intercept], [Filter], [Alpha],
  LET(
    allow_arg,   IF(ISOMITTED(Allow_Intercept), TRUE, Allow_Intercept),
    filt_arg,    IF(ISOMITTED(Filter),          TRUE, Filter),
    alpha_arg,   IF(ISOMITTED(Alpha),           0.05, Alpha),
    Coefficients(X_s, Y, allow_arg, filt_arg)
      + T.INV.2T(alpha_arg, DF_Residual(X_s, Y, allow_arg, filt_arg))
        * SE_Coefficients(X_s, Y, allow_arg, filt_arg)
  ))</t>
  </si>
  <si>
    <t>vertical array of upper confidence interval bounds for each coefficient</t>
  </si>
  <si>
    <t>Returns a vertical spill array of the upper bounds of the confidence intervals for each OLS coefficient. Uses a two-tailed t critical value at significance level Alpha (default 0.05, yielding 95% CIs).
Computed as Coefficients(...) + T.INV.2T(Alpha, DF_Residual(...)) * SE_Coefficients(...).</t>
  </si>
  <si>
    <t>Partial_R2</t>
  </si>
  <si>
    <t>=LAMBDA(X_s, Y, [Allow_Intercept], [Filter],
  LET(
    allow_arg, IF(ISOMITTED(Allow_Intercept), TRUE, Allow_Intercept),
    filt_arg,  IF(ISOMITTED(Filter),          TRUE, Filter),
    t,         T_Stats(X_s, Y, allow_arg, filt_arg),
    df,        DF_Residual(X_s, Y, allow_arg, filt_arg),
    t^2 / (t^2 + df)
  ))</t>
  </si>
  <si>
    <t>vertical array of partial R² values — same order as Coefficients (intercept first when included)</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</si>
  <si>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T_Stats² / (T_Stats² + DF_Residual), element-wise. The intercept row is included (row 1) for consistency with T_Stats and P_Values.</t>
  </si>
  <si>
    <t>Partial_Correlation</t>
  </si>
  <si>
    <t>=LAMBDA(X_s, Y, [Allow_Intercept], [Filter],
  LET(
    allow_arg, IF(ISOMITTED(Allow_Intercept), TRUE, Allow_Intercept),
    filt_arg,  IF(ISOMITTED(Filter),          TRUE, Filter),
    t,         T_Stats(X_s, Y, allow_arg, filt_arg),
    df,        DF_Residual(X_s, Y, allow_arg, filt_arg),
    t / SQRT(t^2 + df)
  ))</t>
  </si>
  <si>
    <t>vertical array of partial correlation coefficients — same order as Coefficients (intercept first when included)</t>
  </si>
  <si>
    <t>Partial correlation for coefficient j = tⱼ / √(t²ⱼ + df_residual), the sign-preserving linear correlation between Y and Xⱼ after partialling out all other predictors from both Y and Xⱼ. Equals √(Partial_R2) × sign(t).
Computed as T_Stats / SQRT(T_Stats² + DF_Residual), element-wise. Ranges from −1 to +1.</t>
  </si>
  <si>
    <t>VIF</t>
  </si>
  <si>
    <t>=LAMBDA(X_s, [Allow_Intercept], [Filter],
  LET(
    filt_arg, IF(ISOMITTED(Filter), TRUE, Filter),
    k,        COLUMNS(X_s),
    IF(k = 1,
      1,
      LET(
        col_idx, SEQUENCE(1, k),
        R2_vec,  MAKEARRAY(k, 1, LAMBDA(j, _,
          R_squared(
            CHOOSECOLS(X_s, FILTER(col_idx, col_idx &lt;&gt; j)),
            CHOOSECOLS(X_s, j),
            TRUE,
            filt_arg
          )
        )),
        1 / (1 - R2_vec)
      )
    )
  ))</t>
  </si>
  <si>
    <t>X_s: column range of predictors (single or multi-column)
[Allow_Intercept]: TRUE/FALSE — included for interface consistency; VIF always fits intercept in auxiliary regressions
[Filter]: boolean array — TRUE includes the row, FALSE excludes it</t>
  </si>
  <si>
    <t>k×1 column vector of VIF values, one per predictor (does not include an intercept row)</t>
  </si>
  <si>
    <t>Variance Inflation Factor for each predictor Xⱼ = 1 / (1 − R²ⱼ), where R²ⱼ is the R² from regressing Xⱼ on all other predictors. VIF measures how much the variance of coefficient j is inflated by multicollinearity. VIF = 1 means no collinearity; VIF &gt; 10 (or &gt; 5 by stricter convention) signals a problem.
Auxiliary regressions always include an intercept regardless of the main model's Allow_Intercept setting (standard convention). When k = 1 the function returns 1 (no collinearity possible with a single predictor). Uses MAKEARRAY + FILTER to iterate over column indices without VBA or helper columns.</t>
  </si>
  <si>
    <t>Tolerance</t>
  </si>
  <si>
    <t>=LAMBDA(X_s, [Allow_Intercept], [Filter],
  1 / VIF(X_s, Allow_Intercept, Filter)
)</t>
  </si>
  <si>
    <t>X_s: column range of predictors (single or multi-column)
[Allow_Intercept]: TRUE/FALSE — passed through to VIF; included for interface consistency
[Filter]: boolean array — TRUE includes the row, FALSE excludes it</t>
  </si>
  <si>
    <t>k×1 column vector of Tolerance values (= 1/VIF), one per predictor</t>
  </si>
  <si>
    <t>Tolerance = 1 − R²ⱼ = 1 / VIF, where R²ⱼ is the coefficient of determination from regressing Xⱼ on all other predictors. Values below 0.1 (VIF &gt; 10) conventionally flag severe multicollinearity; values below 0.2 (VIF &gt; 5) flag moderate concern.
Computed as 1 / VIF(...), forwarding all arguments.</t>
  </si>
  <si>
    <t>Prediction_Interval</t>
  </si>
  <si>
    <t>=LAMBDA(X_s, Y, X_new, [Allow_Intercept], [Filter], [alpha],
  LET(
    allow_arg,     IF(ISOMITTED(Allow_Intercept), TRUE, Allow_Intercept),
    filt_arg,      IF(ISOMITTED(Filter),          TRUE, Filter),
    alpha_arg,     IF(ISOMITTED(alpha),           0.05, alpha),
    X_design,      Design_Matrix(X_s, allow_arg, filt_arg),
    beta,          Coefficients(X_s, Y, allow_arg, filt_arg),
    s,             SE_Regression(X_s, Y, allow_arg, filt_arg),
    df,            DF_Residual(X_s, Y, allow_arg, filt_arg),
    t_crit,        T.INV.2T(alpha_arg, df),
    x_new_aligned, IF(allow_arg,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</si>
  <si>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X_s: column range of predictors (single or multi-column)
Y: single-column outcome range
X_new: column vector of predictor values for the new observation — intercept term first (=1 or 0) when Allow_Intercept is TRUE, matching the layout of pred_input on the Regression sheet
[Allow_Intercept]: TRUE/FALSE — fit intercept? Default TRUE
[Filter]: boolean array — TRUE includes the row, FALSE excludes it
[alpha]: significance level (0–1); default 0.05 yields 95% prediction intervals</t>
  </si>
  <si>
    <t>6-element vertical array: [Point Estimate, SE Prediction, t Critical, Lower bound, Upper bound, Confidence Level]</t>
  </si>
  <si>
    <t>Returns a 6-element VSTACK: (1) point estimate = x_new · beta, (2) SE of prediction = s √(1 + x_new'(X'X)⁻¹x_new), (3) t critical value at alpha, (4) lower prediction bound, (5) upper prediction bound, (6) confidence level = 1 − alpha.
When Allow_Intercept is FALSE the first element of X_new (the intercept placeholder) is dropped before the dot product and leverage calculation to align dimensions with the k-column design matrix. Leverage h_new is computed as x_new'(X'X)⁻¹x_new using Gram_Inverse(X_design) and MMULT.</t>
  </si>
  <si>
    <t>Observation_Num</t>
  </si>
  <si>
    <t>=LAMBDA(Y, [Filter],
  SEQUENCE(ROWS(FILTER(Y, IF(ISOMITTED(Filter), TRUE, Filter))))
)</t>
  </si>
  <si>
    <t>1..n observation index as a spilled vector</t>
  </si>
  <si>
    <t>Spills 1..n, where n is the number of filtered observations.</t>
  </si>
  <si>
    <t>Rank_Fraction</t>
  </si>
  <si>
    <t>=LAMBDA(Y, [Filter],
  LET(
    filtered, FILTER(Y, IF(ISOMITTED(Filter), TRUE, Filter)),
    n,        ROWS(filtered),
    BYROW(filtered, LAMBDA(v, SUMPRODUCT((filtered &lt;= v) * 1))) / n
  ))</t>
  </si>
  <si>
    <t>empirical-CDF fractions as a spilled vector, in original data order</t>
  </si>
  <si>
    <t>Empirical CDF: fraction of filtered observations with value &lt;= each observation. Equivalent to SUMPRODUCT((filtered&lt;=v)*1)/n for each v. Output is in original data order.</t>
  </si>
  <si>
    <t>Y_Ranked</t>
  </si>
  <si>
    <t>=LAMBDA(Y, [Filter],
  SORT(FILTER(Y, IF(ISOMITTED(Filter), TRUE, Filter)))
)</t>
  </si>
  <si>
    <t>sorted filtered Y values as a spilled vector</t>
  </si>
  <si>
    <t>Useful for empirical distribution/probability plots of the response variable.</t>
  </si>
  <si>
    <t>Normal_Scores</t>
  </si>
  <si>
    <t>=LAMBDA(Y, [Filter],
  LET(
    filtered, FILTER(Y, IF(ISOMITTED(Filter), TRUE, Filter)),
    n,        ROWS(filtered),
    NORM.S.INV(
      (BYROW(filtered, LAMBDA(v, SUMPRODUCT((filtered &lt; v) * 1))) + 0.5) / n
    )
  ))</t>
  </si>
  <si>
    <t>theoretical standard-normal scores as a spilled vector</t>
  </si>
  <si>
    <t>Intended for normal probability plot x-values.</t>
  </si>
  <si>
    <t>Design_Matrix</t>
  </si>
  <si>
    <t>=LAMBDA(X_s, [Allow_Intercept], [Filter],
  LET(
    allow_arg, IF(ISOMITTED(Allow_Intercept), TRUE, Allow_Intercept),
    filt_arg,  IF(ISOMITTED(Filter), TRUE, Filter),
    x_filt,    FILTER(X_s, filt_arg),
    IF(
      allow_arg,
      HSTACK(SEQUENCE(ROWS(x_filt), , 1, 0), x_filt),
      x_filt
    )
  ))</t>
  </si>
  <si>
    <t>X_s: column range of predictors (single or multi-column)
[Allow_Intercept]: TRUE/FALSE — fit intercept? Default TRUE
[Filter]: boolean array — TRUE includes the row, FALSE excludes it</t>
  </si>
  <si>
    <t>filtered numeric design matrix as spilled array</t>
  </si>
  <si>
    <t>Returns the matrix used for prediction: with intercept, a leading column of 1s followed by filtered X columns; without intercept, filtered X columns only. Factor encoding is intentionally deferred.</t>
  </si>
  <si>
    <t>Gram_Inverse</t>
  </si>
  <si>
    <t>=LAMBDA(X,
  MINVERSE(MMULT(TRANSPOSE(X), X))
)</t>
  </si>
  <si>
    <t>X: design matrix (already filtered and intercept-augmented as needed)</t>
  </si>
  <si>
    <t>p×p matrix — the inverse of the Gram matrix (X'X)⁻¹</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</si>
  <si>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</si>
  <si>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</si>
  <si>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=LAMBDA(X_s, Y, [Allow_Intercept], [Filter],
  LET(
    allow_arg, IF(ISOMITTED(Allow_Intercept), TRUE, Allow_Intercept),
    filt_arg,  IF(ISOMITTED(Filter), TRUE, Filter),
    MMULT(
      Design_Matrix(X_s, allow_arg, filt_arg),
      Coefficients(X_s, Y, allow_arg, filt_arg)
    )
  ))</t>
  </si>
  <si>
    <t>fitted Y values as a spilled vector</t>
  </si>
  <si>
    <t>Computes X_design * beta using MMULT.</t>
  </si>
  <si>
    <t>Residuals</t>
  </si>
  <si>
    <t>=LAMBDA(X_s, Y, [Allow_Intercept], [Filter],
  LET(
    allow_arg, IF(ISOMITTED(Allow_Intercept), TRUE, Allow_Intercept),
    filt_arg,  IF(ISOMITTED(Filter), TRUE, Filter),
    FILTER(Y, filt_arg) - Predictions(X_s, Y, allow_arg, filt_arg)
  ))</t>
  </si>
  <si>
    <t>raw residuals as a spilled vector</t>
  </si>
  <si>
    <t>Residuals are Y - fitted Y.</t>
  </si>
  <si>
    <t>Scaled_Residuals</t>
  </si>
  <si>
    <t>=LAMBDA(X_s, Y, [Allow_Intercept], [Filter],
  LET(
    allow_arg, IF(ISOMITTED(Allow_Intercept), TRUE, Allow_Intercept),
    filt_arg,  IF(ISOMITTED(Filter), TRUE, Filter),
    Residuals(X_s, Y, allow_arg, filt_arg)
      / SE_Regression(X_s, Y, allow_arg, filt_arg)
  ))</t>
  </si>
  <si>
    <t>residual divided by SE_Regression as a spilled vector</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</si>
  <si>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</si>
  <si>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</si>
  <si>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</si>
  <si>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</si>
  <si>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</si>
  <si>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</si>
  <si>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</si>
  <si>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</si>
  <si>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</si>
  <si>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</si>
  <si>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</si>
  <si>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LOO_prediction</t>
  </si>
  <si>
    <t>=LAMBDA(X_s, Y, n, [Allow_Intercept], [Filter],
  LET(
    allow_arg, IF(ISOMITTED(Allow_Intercept), TRUE, Allow_Intercept),
    filt_arg,  IF(ISOMITTED(Filter),          TRUE, Filter),
    X_filt,    FILTER(X_s, filt_arg),
    Y_filt,    FILTER(Y, filt_arg),
    X_loo,     Exclude_row_n(X_filt, n),
    Y_loo,     Exclude_row_n(Y_filt, n),
    x_n,       Design_Matrix(CHOOSEROWS(X_filt, n), allow_arg),
    beta_loo,  Coefficients(X_loo, Y_loo, allow_arg),
    MMULT(x_n, beta_loo)
  )
)</t>
  </si>
  <si>
    <t>X_s: column range of predictors (single or multi-column)
Y: single-column outcome range
n: relative row index of the observation to predict (1-based within the filtered dataset; negative values count from the end)
[Allow_Intercept]: TRUE/FALSE — fit intercept? Default TRUE
[Filter]: boolean array — TRUE includes the row, FALSE excludes it</t>
  </si>
  <si>
    <t>scalar LOO prediction for observation n — the fitted value from a model trained on all rows except n, evaluated at row n of X_s</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</si>
  <si>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</si>
  <si>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</si>
  <si>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=LAMBDA(X_s, Y, [Allow_Intercept], [Filter],
  LET(
    allow_arg, IF(ISOMITTED(Allow_Intercept), TRUE, Allow_Intercept),
    filt_arg,  IF(ISOMITTED(Filter),          TRUE, Filter),
    yhat,      Predictions(X_s, Y, allow_arg, filt_arg),
    e,         FILTER(Y, filt_arg) - yhat,
    h,         Hat_diagonal(X_s, allow_arg, filt_arg),
    yhat - h * e / (1 - h)
  )
)</t>
  </si>
  <si>
    <t>n-element spill vector of LOO predictions for every filtered observation</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</si>
  <si>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so SUMSQ(LOOCV_residuals) = PRESS.</t>
  </si>
  <si>
    <t>Hat_diagonal</t>
  </si>
  <si>
    <t>=LAMBDA(X_s, [Allow_Intercept], [Filter],
  LET(
    allow_arg, IF(ISOMITTED(Allow_Intercept), TRUE, Allow_Intercept),
    filt_arg,  IF(ISOMITTED(Filter), TRUE, Filter),
    X_design,  Design_Matrix(X_s, allow_arg, filt_arg),
    p,         COLUMNS(X_design),
    XtX_inv,   Gram_Inverse(X_design),
    Z,         MMULT(X_design, XtX_inv),
    MMULT(Z * X_design, SEQUENCE(p, 1, 1, 0))
  ))</t>
  </si>
  <si>
    <t>n-element hat-matrix diagonal (leverage values) as spilled vector</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</si>
  <si>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</si>
  <si>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</si>
  <si>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=LAMBDA(X_s, Y, [Allow_Intercept], [Filter],
  LET(
    allow_arg, IF(ISOMITTED(Allow_Intercept), TRUE, Allow_Intercept),
    filt_arg,  IF(ISOMITTED(Filter), TRUE, Filter),
    e,         Residuals(X_s, Y, allow_arg, filt_arg),
    se,        SE_Regression(X_s, Y, allow_arg, filt_arg),
    h,         Hat_diagonal(X_s, allow_arg, filt_arg),
    e / (se * SQRT(1 - h))
  ))</t>
  </si>
  <si>
    <t>n-element vector of internally studentized residuals</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</si>
  <si>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t>
  </si>
  <si>
    <t>Studentized_Residuals_Ranked</t>
  </si>
  <si>
    <t>=LAMBDA(X_s, Y, [Allow_Intercept], [Filter],
  LET(
    allow_arg, IF(ISOMITTED(Allow_Intercept), TRUE, Allow_Intercept),
    filt_arg,  IF(ISOMITTED(Filter), TRUE, Filter),
    SORT(Studentized_Residuals(X_s, Y, allow_arg, filt_arg))
  ))</t>
  </si>
  <si>
    <t>sorted studentized residuals as spilled vector</t>
  </si>
  <si>
    <t>Ascending sort of Studentized_Residuals. Paired with Normal_Scores gives a leverage-corrected Q-Q plot; paired with Percentile gives a cumulative distribution plot.</t>
  </si>
  <si>
    <t>Cooks_Distance</t>
  </si>
  <si>
    <t>=LAMBDA(X_s, Y, [Allow_Intercept], [Filter],
  LET(
    allow_arg, IF(ISOMITTED(Allow_Intercept), TRUE, Allow_Intercept),
    filt_arg,  IF(ISOMITTED(Filter), TRUE, Filter),
    r,         Studentized_Residuals(X_s, Y, allow_arg, filt_arg),
    h,         Hat_diagonal(X_s, allow_arg, filt_arg),
    p,         COLUMNS(Design_Matrix(X_s, allow_arg, filt_arg)),
    r ^ 2 * h / ((1 - h) * p)
  ))</t>
  </si>
  <si>
    <t>n-element vector of Cook’s distances</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</si>
  <si>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</si>
  <si>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</si>
  <si>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=LAMBDA(X_s, Y, [Allow_Intercept], [Filter],
  LET(
    allow_arg, IF(ISOMITTED(Allow_Intercept), TRUE, Allow_Intercept),
    filt_arg,  IF(ISOMITTED(Filter), TRUE, Filter),
    SORT(Scaled_Residuals(X_s, Y, allow_arg, filt_arg))
  ))</t>
  </si>
  <si>
    <t>sorted scaled residuals as spilled vector</t>
  </si>
  <si>
    <t>Sorted Scaled_Residuals, intended for plotting against Normal_Scores.</t>
  </si>
  <si>
    <t>Col_Select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</si>
  <si>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</si>
  <si>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</si>
  <si>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</si>
  <si>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Wraps CHOOSECOLS to give column selection a named, self-documenting form. The output is a calculated array with the same row count as the source table, valid as X_s in any library function.
Primary use: define a named range — e.g. X_Predictors = Col_Select(LifeData, {3,7,9}) — then pass that name as X_s. Non-contiguous column sets are fully supported. Combine with Complete_Cases_Filter to drop rows that have missing or non-numeric values in the chosen columns.</t>
  </si>
  <si>
    <t>Complete_Cases_Filter</t>
  </si>
  <si>
    <t>=LAMBDA(X_s, [Y],
  LET(
    combined, IF(ISOMITTED(Y), X_s, HSTACK(X_s, Y)),
    MMULT((ISNUMBER(combined)) * 1, SEQUENCE(COLUMNS(combined), 1, 1, 0)) = COLUMNS(combined)
  )
)</t>
  </si>
  <si>
    <t>X_s: column range of predictors (single or multi-column), or a Col_Select result
[Y]: single-column outcome range; when supplied, rows where Y is also non-numeric are excluded</t>
  </si>
  <si>
    <t>boolean column vector — TRUE for rows where every included column is numeric</t>
  </si>
  <si>
    <t>Produces a ready-made Filter argument for any library function. TRUE rows have no blanks, text, or errors in any of the supplied columns.
When Y is omitted, only X_s columns are checked. When Y is provided, it is HSTACKed onto X_s so that a single MMULT row-sum determines completeness across all regression inputs at once. ISNUMBER returns FALSE for errors and blanks, so error cells are safely treated as incomplete without propagating into the MMULT result.
Typical usage: R_squared(X_s, Y, , Complete_Cases_Filter(X_s, Y))</t>
  </si>
  <si>
    <t>Pearson_R</t>
  </si>
  <si>
    <t>=LAMBDA(X_s, Y, [Filter],
  LET(
    filt_arg, IF(ISOMITTED(Filter), TRUE, Filter),
    xf, FILTER(X_s, filt_arg),
    yf, FILTER(Y,   filt_arg),
    MAKEARRAY(COLUMNS(X_s), 1, LAMBDA(r, c, CORREL(CHOOSECOLS(xf, r), yf)))
  ))</t>
  </si>
  <si>
    <t>X_s: predictor column range (single or multi-column); returns one correlation per column
Y: single-column outcome range
[Filter]: boolean array — TRUE includes the row, FALSE excludes it</t>
  </si>
  <si>
    <t>k×1 column vector of Pearson correlations between each predictor and Y</t>
  </si>
  <si>
    <t>Pearson_R computes the linear (Pearson product-moment) correlation between each column of X_s and Y, after applying the optional filter. When X_s has a single column the result is a scalar; when X_s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</si>
  <si>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Spearman_R</t>
  </si>
  <si>
    <t>k×1 column vector of Spearman rank correlations between each predictor and Y</t>
  </si>
  <si>
    <t>Skewness</t>
  </si>
  <si>
    <t>=LAMBDA(X_s, [Filter],
  LET(
    filt_arg, IF(ISOMITTED(Filter), TRUE, Filter),
    xf, FILTER(X_s, filt_arg),
    MAKEARRAY(COLUMNS(X_s), 1, LAMBDA(r, c, SKEW(CHOOSECOLS(xf, r))))
  ))</t>
  </si>
  <si>
    <t>X_s: column range to summarize (single or multi-column); returns one value per column
[Filter]: boolean array — TRUE includes the row, FALSE excludes it</t>
  </si>
  <si>
    <t>k×1 column vector of sample skewness values (one per column of X_s)</t>
  </si>
  <si>
    <t>Skewness returns the sample skewness (Fisher-Pearson standardized third moment) for each column of X_s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</si>
  <si>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Kurtosis</t>
  </si>
  <si>
    <t>=LAMBDA(X_s, [Filter],
  LET(
    filt_arg, IF(ISOMITTED(Filter), TRUE, Filter),
    xf, FILTER(X_s, filt_arg),
    MAKEARRAY(COLUMNS(X_s), 1, LAMBDA(r, c, KURT(CHOOSECOLS(xf, r))))
  ))</t>
  </si>
  <si>
    <t>k×1 column vector of excess kurtosis values (one per column of X_s)</t>
  </si>
  <si>
    <t>Kurtosis returns the excess kurtosis for each filtered column of X_s.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</si>
  <si>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F_Stat</t>
  </si>
  <si>
    <t>=LAMBDA(X_s, Y, [Allow_Intercept], [Filter],
  LET(
    allow_arg, IF(ISOMITTED(Allow_Intercept), TRUE, Allow_Intercept),
    filt_arg,  IF(ISOMITTED(Filter),          TRUE, Filter),
    SS_Regression(X_s, Y, allow_arg, filt_arg) / DF_Regression(X_s) /
    (SS_Residual(X_s, Y, allow_arg, filt_arg) / DF_Residual(X_s, Y, allow_arg, filt_arg))
  ))</t>
  </si>
  <si>
    <t>F-statistic for the overall regression model as a scalar</t>
  </si>
  <si>
    <t>F_Stat returns the F-statistic for the omnibus test of the null hypothesis that all regression coefficients are simultaneously zero. It equals (MS_Regression / MS_Residual) = (SS_Regression / df_regression) / (SS_Residual / df_residual).
A large F-statistic (and correspondingly small P_Value_F) means the model explains significantly more variance than would be expected by chance. Note that a significant F does not guarantee that every individual predictor is significant — individual t-statistics (T_Stats) address that question. F_Stat appears in the ANOVA table on the Regression sheet; this function exposes it as a named reference for use in other formulas.</t>
  </si>
  <si>
    <t>P_Value_F</t>
  </si>
  <si>
    <t>=LAMBDA(X_s, Y, [Allow_Intercept], [Filter],
  LET(
    allow_arg, IF(ISOMITTED(Allow_Intercept), TRUE, Allow_Intercept),
    filt_arg,  IF(ISOMITTED(Filter),          TRUE, Filter),
    F.DIST.RT(
      F_Stat(X_s, Y, allow_arg, filt_arg),
      DF_Regression(X_s),
      DF_Residual(X_s, Y, allow_arg, filt_arg)
    )
  ))</t>
  </si>
  <si>
    <t>p-value for the overall F-test (right-tail probability of the F distribution)</t>
  </si>
  <si>
    <t>P_Value_F returns the p-value for the overall model F-test: the probability of observing an F-statistic at least as large as F_Stat under the null hypothesis that all coefficients are zero. Computed as F.DIST.RT(F_Stat, df_regression, df_residual).
Conventionally, P_Value_F &lt; 0.05 indicates that the model as a whole fits the data significantly better than a null model. This p-value appears in the Significance F column of the Regression sheet ANOVA table; this function exposes it for programmatic use.</t>
  </si>
  <si>
    <t>Correlation_Matrix</t>
  </si>
  <si>
    <t>=LAMBDA(X_s, [Filter],
  LET(
    filt_arg, IF(ISOMITTED(Filter), TRUE, Filter),
    xf, FILTER(X_s, filt_arg),
    k,  COLUMNS(X_s),
    MAKEARRAY(k, k, LAMBDA(r, c, CORREL(CHOOSECOLS(xf, r), CHOOSECOLS(xf, c))))
  ))</t>
  </si>
  <si>
    <t>X_s: column range of variables (single or multi-column); returns a k×k symmetric matrix
[Filter]: boolean array — TRUE includes the row, FALSE excludes it</t>
  </si>
  <si>
    <t>k×k symmetric matrix of pairwise Pearson correlations (diagonal = 1)</t>
  </si>
  <si>
    <t>Correlation_Matrix returns the k×k Pearson correlation matrix for all columns of X_s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</si>
  <si>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</si>
  <si>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</si>
  <si>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</si>
  <si>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</si>
  <si>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</si>
  <si>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</si>
  <si>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</si>
  <si>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</si>
  <si>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</si>
  <si>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</si>
  <si>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</si>
  <si>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</si>
  <si>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</si>
  <si>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</si>
  <si>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</si>
  <si>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</si>
  <si>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</si>
  <si>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</si>
  <si>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</si>
  <si>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</si>
  <si>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</si>
  <si>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</si>
  <si>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</si>
  <si>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</si>
  <si>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</si>
  <si>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</si>
  <si>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</si>
  <si>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</si>
  <si>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</si>
  <si>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</si>
  <si>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</si>
  <si>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</si>
  <si>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</si>
  <si>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</si>
  <si>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</si>
  <si>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</si>
  <si>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</si>
  <si>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</si>
  <si>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</si>
  <si>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</si>
  <si>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</si>
  <si>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</si>
  <si>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</si>
  <si>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</si>
  <si>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</si>
  <si>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</si>
  <si>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</si>
  <si>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</si>
  <si>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</si>
  <si>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</si>
  <si>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</si>
  <si>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</si>
  <si>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</si>
  <si>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</si>
  <si>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</si>
  <si>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</si>
  <si>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</si>
  <si>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</si>
  <si>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</si>
  <si>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</si>
  <si>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</si>
  <si>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</si>
  <si>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</si>
  <si>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</si>
  <si>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</si>
  <si>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</si>
  <si>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</si>
  <si>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</si>
  <si>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</si>
  <si>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</si>
  <si>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</si>
  <si>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</si>
  <si>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</si>
  <si>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</si>
  <si>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</si>
  <si>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</si>
  <si>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</si>
  <si>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</si>
  <si>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</si>
  <si>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</si>
  <si>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</si>
  <si>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</si>
  <si>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</si>
  <si>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</si>
  <si>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</si>
  <si>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</si>
  <si>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</si>
  <si>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</si>
  <si>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</si>
  <si>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</si>
  <si>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</si>
  <si>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</si>
  <si>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</si>
  <si>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</si>
  <si>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</si>
  <si>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</si>
  <si>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</si>
  <si>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</si>
  <si>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</si>
  <si>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</si>
  <si>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</si>
  <si>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</si>
  <si>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</si>
  <si>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</si>
  <si>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</si>
  <si>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</si>
  <si>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</si>
  <si>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</si>
  <si>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</si>
  <si>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</si>
  <si>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</si>
  <si>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</si>
  <si>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</si>
  <si>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</si>
  <si>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</si>
  <si>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</si>
  <si>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</si>
  <si>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</si>
  <si>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</si>
  <si>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</si>
  <si>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</si>
  <si>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</si>
  <si>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</si>
  <si>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</si>
  <si>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</si>
  <si>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</si>
  <si>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</si>
  <si>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</si>
  <si>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</si>
  <si>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</si>
  <si>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</si>
  <si>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</si>
  <si>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</si>
  <si>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</si>
  <si>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</si>
  <si>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</si>
  <si>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</si>
  <si>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</si>
  <si>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</si>
  <si>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</si>
  <si>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</si>
  <si>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</si>
  <si>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</si>
  <si>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</si>
  <si>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</si>
  <si>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</si>
  <si>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</si>
  <si>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</si>
  <si>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</si>
  <si>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</si>
  <si>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</si>
  <si>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</si>
  <si>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</si>
  <si>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</si>
  <si>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</si>
  <si>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</si>
  <si>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</si>
  <si>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</si>
  <si>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</si>
  <si>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</si>
  <si>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</si>
  <si>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</si>
  <si>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</si>
  <si>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</si>
  <si>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</si>
  <si>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</si>
  <si>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</si>
  <si>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</si>
  <si>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</si>
  <si>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</si>
  <si>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</si>
  <si>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</si>
  <si>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</si>
  <si>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</si>
  <si>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</si>
  <si>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</si>
  <si>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</si>
  <si>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</si>
  <si>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</si>
  <si>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</si>
  <si>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</si>
  <si>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</si>
  <si>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</si>
  <si>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</si>
  <si>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</si>
  <si>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</si>
  <si>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</si>
  <si>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</si>
  <si>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</si>
  <si>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</si>
  <si>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</si>
  <si>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</si>
  <si>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</si>
  <si>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</si>
  <si>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</si>
  <si>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</si>
  <si>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</si>
  <si>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</si>
  <si>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</si>
  <si>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</si>
  <si>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</si>
  <si>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</si>
  <si>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</si>
  <si>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</si>
  <si>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</si>
  <si>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</si>
  <si>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</si>
  <si>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</si>
  <si>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</si>
  <si>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</si>
  <si>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</si>
  <si>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</si>
  <si>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</si>
  <si>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</si>
  <si>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</si>
  <si>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</si>
  <si>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</si>
  <si>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</si>
  <si>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PREDICTION INPUTS</t>
  </si>
  <si>
    <t>In linear model?</t>
  </si>
  <si>
    <t>Allow Intercept</t>
  </si>
  <si>
    <t>PREDICTOR SUMMARY</t>
  </si>
  <si>
    <t>Pearson R</t>
  </si>
  <si>
    <t>Spearman R</t>
  </si>
  <si>
    <t>REGRESSION OUTPUTS</t>
  </si>
  <si>
    <t>REGRESSION STATISTICS</t>
  </si>
  <si>
    <t>Multiple R</t>
  </si>
  <si>
    <t>R Square</t>
  </si>
  <si>
    <t>Adjusted R Square</t>
  </si>
  <si>
    <t>Standard Error</t>
  </si>
  <si>
    <t>DIAGNOSTICS</t>
  </si>
  <si>
    <t>PRESS R²</t>
  </si>
  <si>
    <t>Mean Leverage</t>
  </si>
  <si>
    <t>QQ Correlation</t>
  </si>
  <si>
    <t>Alpha</t>
  </si>
  <si>
    <t>ANOVA TABLE</t>
  </si>
  <si>
    <t>df</t>
  </si>
  <si>
    <t>SS</t>
  </si>
  <si>
    <t>MS</t>
  </si>
  <si>
    <t>F</t>
  </si>
  <si>
    <t>Significance F</t>
  </si>
  <si>
    <t>Regression</t>
  </si>
  <si>
    <t>Residual</t>
  </si>
  <si>
    <t>Total</t>
  </si>
  <si>
    <t>COEFFICIENTS</t>
  </si>
  <si>
    <t>Std Error</t>
  </si>
  <si>
    <t>t Stat</t>
  </si>
  <si>
    <t>P-value</t>
  </si>
  <si>
    <t>Lower 95%</t>
  </si>
  <si>
    <t>Upper 95%</t>
  </si>
  <si>
    <t>PREDICTION OUTPUTS</t>
  </si>
  <si>
    <t>PREDICTION INTERVAL</t>
  </si>
  <si>
    <t>Point Estimate</t>
  </si>
  <si>
    <t>SE Prediction</t>
  </si>
  <si>
    <t>t Critical</t>
  </si>
  <si>
    <t>Confidence Level</t>
  </si>
  <si>
    <t>Predictor</t>
  </si>
  <si>
    <t>Prediction Value</t>
  </si>
  <si>
    <t>Intercept</t>
  </si>
  <si>
    <t>RESIDUAL OUTPUT</t>
  </si>
  <si>
    <t>Observation</t>
  </si>
  <si>
    <t>Predicted Y</t>
  </si>
  <si>
    <t>LOOCV Prediction</t>
  </si>
  <si>
    <t>Rank Fraction</t>
  </si>
  <si>
    <t>Y Ranked</t>
  </si>
  <si>
    <t>Normal Scores</t>
  </si>
  <si>
    <t>Scaled Residuals</t>
  </si>
  <si>
    <t>Scaled Residuals Ranked</t>
  </si>
  <si>
    <t>Hat Diagonal</t>
  </si>
  <si>
    <t>Studentized Residuals</t>
  </si>
  <si>
    <t>Studentized Residuals Ranked</t>
  </si>
  <si>
    <t>Cook's Distance</t>
  </si>
  <si>
    <t>=LAMBDA(xf, yf, [Filter],
  LET(
    baseFilter, IF(ISOMITTED(Filter), TRUE, Filter),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</si>
  <si>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[Filter]: boolean array — TRUE includes the row, FALSE excludes it</t>
  </si>
  <si>
    <t>Spearman_R computes the rank (Spearman) correlation between each column of xf and yf. For each predictor column, rows are kept where both that column and yf are numeric (and pass the optional Filter).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</si>
  <si>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Simplest:</t>
  </si>
  <si>
    <t>Optional:</t>
  </si>
  <si>
    <t>To analyze your own dataset, you can copy the regression sheet into your workbook. This will copy all the workbook scoped LAMBDA functions as well as the ones scoped to the Regression sheet.</t>
  </si>
  <si>
    <t>You will need to update several named ranges in the Name Manager. In the Formulas ribbon, near the middle, you can find Name Manager. Click this and you will see a list of the named ranges, as well as many LAMBDA functions.</t>
  </si>
  <si>
    <t>Edit the value of "y" to the column for your dependent variable. (This must be the same number of rows as All_Xs.)</t>
  </si>
  <si>
    <t>In the Name Manager, edit the value of "All_Xs" to span all possible independent variable columns for your regression.</t>
  </si>
  <si>
    <t>Ensure your data is in a structured table; you can select the range that contains your data (and optionally headers) and press Ctrl-T, or on the Home ribbon, click Format as Table.</t>
  </si>
  <si>
    <t>\</t>
  </si>
  <si>
    <t>Edit the value of "fil" to a filter column in the same table as All_Xs and y. This column must contain boolean (TRUE/FALSE) values for each record in the dataset. A good minimal filter to have is one that checks for data completeness. So, if you had N independent variables in All_Xs, a good formula for your filter column would be: COUNT(YourTable[@[First_Predictor_Column]:[Last_Predictor_Column]])=&lt;number of predictor columns&gt;). This ensures data completeness. You could also use AND(ISNUMBER(YourTable[@[First_Predictor_Column]:[Last_Predictor_Column]]),ISNUMBER(@[y_Column])), substituting in the values of your predictors and predicted variables by row.</t>
  </si>
  <si>
    <t>Fill in values of the independent variables for your prediction in the appropriate space in Column U.</t>
  </si>
  <si>
    <t>Durbin Watson</t>
  </si>
  <si>
    <t>Normal Scores Ranked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</si>
</sst>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9">
    <border>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bottom style="thin">
        <color indexed="64"/>
      </bottom>
      <diagonal/>
    </border>
  </borders>
  <cellStyleXfs count="1">
    <xf numFmtId="0" fontId="0" fillId="0" borderId="0"/>
  </cellStyleXfs>
  <cellXfs count="22">
    <xf numFmtId="0" fontId="0" fillId="0" borderId="0" xfId="0"/>
    <xf numFmtId="49" fontId="0" fillId="0" borderId="0" xfId="0" applyNumberFormat="1" applyAlignment="1">
      <alignment wrapText="1"/>
    </xf>
    <xf numFmtId="0" fontId="0" fillId="0" borderId="0" xfId="0" applyAlignment="1">
      <alignment wrapText="1"/>
    </xf>
    <xf numFmtId="0" fontId="1" fillId="0" borderId="0" xfId="0" applyFont="1"/>
    <xf numFmtId="164" fontId="0" fillId="0" borderId="0" xfId="0" applyNumberForma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4" xfId="0" applyFont="1" applyBorder="1"/>
    <xf numFmtId="0" fontId="0" fillId="0" borderId="6" xfId="0" applyBorder="1"/>
    <xf numFmtId="0" fontId="0" fillId="0" borderId="8" xfId="0" applyBorder="1"/>
    <xf numFmtId="0" fontId="1" fillId="0" borderId="6" xfId="0" applyFont="1" applyBorder="1"/>
    <xf numFmtId="0" fontId="0" fillId="2" borderId="0" xfId="0" applyFill="1"/>
    <xf numFmtId="165" fontId="0" fillId="2" borderId="0" xfId="0" applyNumberFormat="1" applyFill="1"/>
    <xf numFmtId="165" fontId="0" fillId="0" borderId="0" xfId="0" applyNumberFormat="1"/>
    <xf numFmtId="0" fontId="1" fillId="3" borderId="0" xfId="0" applyFont="1" applyFill="1"/>
    <xf numFmtId="0" fontId="1" fillId="3" borderId="7" xfId="0" applyFont="1" applyFill="1" applyBorder="1"/>
    <xf numFmtId="0" fontId="0" fillId="4" borderId="0" xfId="0" applyFill="1"/>
    <xf numFmtId="0" fontId="0" fillId="0" borderId="6" xfId="0" applyFill="1" applyBorder="1"/>
  </cellXfs>
  <cellStyles count="1">
    <cellStyle name="Normal" xfId="0" builtinId="0"/>
  </cellStyles>
  <dxfs count="8">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Residuals vs Fitted Value</a:t>
            </a:r>
            <a:br>
              <a:rPr lang="en-US"/>
            </a:br>
            <a:r>
              <a:rPr lang="en-US"/>
              <a:t>(should</a:t>
            </a:r>
            <a:r>
              <a:rPr lang="en-US" baseline="0"/>
              <a:t> not show a discernable pattern)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Regression!$Y$2</c:f>
              <c:strCache>
                <c:ptCount val="1"/>
                <c:pt idx="0">
                  <c:v>Residuals</c:v>
                </c:pt>
              </c:strCache>
            </c:strRef>
          </c:tx>
          <c:spPr>
            <a:ln w="38100" cap="rnd">
              <a:noFill/>
              <a:round/>
            </a:ln>
            <a:effectLst/>
          </c:spPr>
          <c:marker>
            <c:symbol val="circle"/>
            <c:size val="5"/>
            <c:spPr>
              <a:solidFill>
                <a:schemeClr val="accent1"/>
              </a:solidFill>
              <a:ln w="9525">
                <a:solidFill>
                  <a:schemeClr val="accent1"/>
                </a:solidFill>
              </a:ln>
              <a:effectLst/>
            </c:spPr>
          </c:marker>
          <c:xVal>
            <c:numRef>
              <c:f>Regression!$X$3:$X$1048576</c:f>
              <c:numCache>
                <c:formatCode>General</c:formatCode>
                <c:ptCount val="1048574"/>
                <c:pt idx="0">
                  <c:v>62.346610789814491</c:v>
                </c:pt>
                <c:pt idx="1">
                  <c:v>75.121527692903271</c:v>
                </c:pt>
                <c:pt idx="2">
                  <c:v>75.649036230530285</c:v>
                </c:pt>
                <c:pt idx="3">
                  <c:v>58.831069773971478</c:v>
                </c:pt>
                <c:pt idx="4">
                  <c:v>76.801572810781153</c:v>
                </c:pt>
                <c:pt idx="5">
                  <c:v>73.690156375157358</c:v>
                </c:pt>
                <c:pt idx="6">
                  <c:v>84.551235875492324</c:v>
                </c:pt>
                <c:pt idx="7">
                  <c:v>81.707718427445215</c:v>
                </c:pt>
                <c:pt idx="8">
                  <c:v>74.484776938056655</c:v>
                </c:pt>
                <c:pt idx="9">
                  <c:v>70.476428606990581</c:v>
                </c:pt>
                <c:pt idx="10">
                  <c:v>76.257592029324911</c:v>
                </c:pt>
                <c:pt idx="11">
                  <c:v>78.090042520880559</c:v>
                </c:pt>
                <c:pt idx="12">
                  <c:v>73.411230341140921</c:v>
                </c:pt>
                <c:pt idx="13">
                  <c:v>60.204667965313185</c:v>
                </c:pt>
                <c:pt idx="14">
                  <c:v>65.335047654628028</c:v>
                </c:pt>
                <c:pt idx="15">
                  <c:v>76.101115630136746</c:v>
                </c:pt>
                <c:pt idx="16">
                  <c:v>68.556779125885811</c:v>
                </c:pt>
                <c:pt idx="17">
                  <c:v>73.87608321830659</c:v>
                </c:pt>
                <c:pt idx="18">
                  <c:v>76.198452911238732</c:v>
                </c:pt>
                <c:pt idx="19">
                  <c:v>60.118085925781791</c:v>
                </c:pt>
                <c:pt idx="20">
                  <c:v>61.478807834577403</c:v>
                </c:pt>
                <c:pt idx="21">
                  <c:v>70.382822244622446</c:v>
                </c:pt>
                <c:pt idx="22">
                  <c:v>65.602786056272819</c:v>
                </c:pt>
                <c:pt idx="23">
                  <c:v>58.927253713472808</c:v>
                </c:pt>
                <c:pt idx="24">
                  <c:v>82.673172017574345</c:v>
                </c:pt>
                <c:pt idx="25">
                  <c:v>50.534484881582856</c:v>
                </c:pt>
                <c:pt idx="26">
                  <c:v>53.453752807838697</c:v>
                </c:pt>
                <c:pt idx="27">
                  <c:v>79.686926419775133</c:v>
                </c:pt>
                <c:pt idx="28">
                  <c:v>73.515449523786856</c:v>
                </c:pt>
                <c:pt idx="29">
                  <c:v>74.570255481466845</c:v>
                </c:pt>
                <c:pt idx="30">
                  <c:v>62.736766647484153</c:v>
                </c:pt>
                <c:pt idx="31">
                  <c:v>76.992428187823904</c:v>
                </c:pt>
                <c:pt idx="32">
                  <c:v>77.326113249949742</c:v>
                </c:pt>
                <c:pt idx="33">
                  <c:v>79.605252903443812</c:v>
                </c:pt>
                <c:pt idx="34">
                  <c:v>62.614381378247131</c:v>
                </c:pt>
                <c:pt idx="35">
                  <c:v>71.929953581573216</c:v>
                </c:pt>
                <c:pt idx="36">
                  <c:v>74.516730248629429</c:v>
                </c:pt>
                <c:pt idx="37">
                  <c:v>71.64252035551047</c:v>
                </c:pt>
                <c:pt idx="38">
                  <c:v>79.078623065940178</c:v>
                </c:pt>
                <c:pt idx="39">
                  <c:v>62.135916508054358</c:v>
                </c:pt>
                <c:pt idx="40">
                  <c:v>71.917692244779133</c:v>
                </c:pt>
                <c:pt idx="41">
                  <c:v>82.882369126683528</c:v>
                </c:pt>
                <c:pt idx="42">
                  <c:v>64.722538963408383</c:v>
                </c:pt>
                <c:pt idx="43">
                  <c:v>74.861845429165754</c:v>
                </c:pt>
                <c:pt idx="44">
                  <c:v>82.847135203023356</c:v>
                </c:pt>
                <c:pt idx="45">
                  <c:v>63.840938974300904</c:v>
                </c:pt>
                <c:pt idx="46">
                  <c:v>79.493874351838684</c:v>
                </c:pt>
                <c:pt idx="47">
                  <c:v>69.581360396779758</c:v>
                </c:pt>
                <c:pt idx="48">
                  <c:v>58.41162876627169</c:v>
                </c:pt>
                <c:pt idx="49">
                  <c:v>56.3041489426694</c:v>
                </c:pt>
                <c:pt idx="50">
                  <c:v>68.294596791752198</c:v>
                </c:pt>
                <c:pt idx="51">
                  <c:v>62.858022474097254</c:v>
                </c:pt>
                <c:pt idx="52">
                  <c:v>71.901820234089186</c:v>
                </c:pt>
                <c:pt idx="53">
                  <c:v>67.576079799165711</c:v>
                </c:pt>
                <c:pt idx="54">
                  <c:v>71.160549131061671</c:v>
                </c:pt>
                <c:pt idx="55">
                  <c:v>73.082684222587844</c:v>
                </c:pt>
                <c:pt idx="56">
                  <c:v>80.537285253515719</c:v>
                </c:pt>
                <c:pt idx="57">
                  <c:v>81.374419041474084</c:v>
                </c:pt>
                <c:pt idx="58">
                  <c:v>81.045366060672222</c:v>
                </c:pt>
                <c:pt idx="59">
                  <c:v>73.327705320920714</c:v>
                </c:pt>
                <c:pt idx="60">
                  <c:v>75.503108084928186</c:v>
                </c:pt>
                <c:pt idx="61">
                  <c:v>75.580046131848022</c:v>
                </c:pt>
                <c:pt idx="62">
                  <c:v>63.110117080520702</c:v>
                </c:pt>
                <c:pt idx="63">
                  <c:v>68.120375319925287</c:v>
                </c:pt>
                <c:pt idx="64">
                  <c:v>75.493506894162991</c:v>
                </c:pt>
                <c:pt idx="65">
                  <c:v>75.691974917993562</c:v>
                </c:pt>
                <c:pt idx="66">
                  <c:v>54.350057966179122</c:v>
                </c:pt>
                <c:pt idx="67">
                  <c:v>60.574096930667139</c:v>
                </c:pt>
                <c:pt idx="68">
                  <c:v>75.67638506360008</c:v>
                </c:pt>
                <c:pt idx="69">
                  <c:v>81.686855238259469</c:v>
                </c:pt>
                <c:pt idx="70">
                  <c:v>65.357072389962241</c:v>
                </c:pt>
                <c:pt idx="71">
                  <c:v>53.95341023119466</c:v>
                </c:pt>
                <c:pt idx="72">
                  <c:v>75.244898766091708</c:v>
                </c:pt>
                <c:pt idx="73">
                  <c:v>74.676287710992639</c:v>
                </c:pt>
                <c:pt idx="74">
                  <c:v>58.907558475505844</c:v>
                </c:pt>
                <c:pt idx="75">
                  <c:v>79.606748677939635</c:v>
                </c:pt>
                <c:pt idx="76">
                  <c:v>62.725060982019237</c:v>
                </c:pt>
                <c:pt idx="77">
                  <c:v>74.273596896147808</c:v>
                </c:pt>
                <c:pt idx="78">
                  <c:v>79.700267913691818</c:v>
                </c:pt>
                <c:pt idx="79">
                  <c:v>71.847230793262739</c:v>
                </c:pt>
                <c:pt idx="80">
                  <c:v>78.71067386386116</c:v>
                </c:pt>
                <c:pt idx="81">
                  <c:v>71.4372908405564</c:v>
                </c:pt>
                <c:pt idx="82">
                  <c:v>58.029551820983826</c:v>
                </c:pt>
                <c:pt idx="83">
                  <c:v>66.759674422784471</c:v>
                </c:pt>
                <c:pt idx="84">
                  <c:v>67.568192118901777</c:v>
                </c:pt>
                <c:pt idx="85">
                  <c:v>65.114291179849488</c:v>
                </c:pt>
                <c:pt idx="86">
                  <c:v>80.639992050758778</c:v>
                </c:pt>
                <c:pt idx="87">
                  <c:v>71.167240505317878</c:v>
                </c:pt>
                <c:pt idx="88">
                  <c:v>60.693438088741686</c:v>
                </c:pt>
                <c:pt idx="89">
                  <c:v>53.652574131223005</c:v>
                </c:pt>
                <c:pt idx="90">
                  <c:v>64.203767839698102</c:v>
                </c:pt>
                <c:pt idx="91">
                  <c:v>75.084638625479343</c:v>
                </c:pt>
                <c:pt idx="92">
                  <c:v>63.276076479838707</c:v>
                </c:pt>
                <c:pt idx="93">
                  <c:v>69.640052660642496</c:v>
                </c:pt>
                <c:pt idx="94">
                  <c:v>73.522573927089866</c:v>
                </c:pt>
                <c:pt idx="95">
                  <c:v>73.252318725165154</c:v>
                </c:pt>
                <c:pt idx="96">
                  <c:v>78.173982459302167</c:v>
                </c:pt>
                <c:pt idx="97">
                  <c:v>78.337545489438128</c:v>
                </c:pt>
                <c:pt idx="98">
                  <c:v>75.767942911280983</c:v>
                </c:pt>
                <c:pt idx="99">
                  <c:v>75.491478631279705</c:v>
                </c:pt>
                <c:pt idx="100">
                  <c:v>63.628182168160912</c:v>
                </c:pt>
                <c:pt idx="101">
                  <c:v>73.783722183190335</c:v>
                </c:pt>
                <c:pt idx="102">
                  <c:v>68.163400938626438</c:v>
                </c:pt>
                <c:pt idx="103">
                  <c:v>62.411008017828351</c:v>
                </c:pt>
                <c:pt idx="104">
                  <c:v>72.998468840916729</c:v>
                </c:pt>
                <c:pt idx="105">
                  <c:v>73.876451513099326</c:v>
                </c:pt>
                <c:pt idx="106">
                  <c:v>63.616761524721539</c:v>
                </c:pt>
                <c:pt idx="107">
                  <c:v>65.499430876517437</c:v>
                </c:pt>
                <c:pt idx="108">
                  <c:v>67.071709705132776</c:v>
                </c:pt>
                <c:pt idx="109">
                  <c:v>80.611036407150436</c:v>
                </c:pt>
                <c:pt idx="110">
                  <c:v>72.829308761650665</c:v>
                </c:pt>
                <c:pt idx="111">
                  <c:v>72.164653305290969</c:v>
                </c:pt>
                <c:pt idx="112">
                  <c:v>57.385837755084104</c:v>
                </c:pt>
                <c:pt idx="113">
                  <c:v>83.716477088434374</c:v>
                </c:pt>
                <c:pt idx="114">
                  <c:v>70.029306233834035</c:v>
                </c:pt>
                <c:pt idx="115">
                  <c:v>72.368329522051766</c:v>
                </c:pt>
                <c:pt idx="116">
                  <c:v>66.774009069102775</c:v>
                </c:pt>
                <c:pt idx="117">
                  <c:v>59.855417005214946</c:v>
                </c:pt>
                <c:pt idx="118">
                  <c:v>73.081254240263121</c:v>
                </c:pt>
                <c:pt idx="119">
                  <c:v>74.512453561138145</c:v>
                </c:pt>
                <c:pt idx="120">
                  <c:v>74.688820938819006</c:v>
                </c:pt>
                <c:pt idx="121">
                  <c:v>77.05315946691384</c:v>
                </c:pt>
                <c:pt idx="122">
                  <c:v>70.24930905363226</c:v>
                </c:pt>
                <c:pt idx="123">
                  <c:v>60.033939671767044</c:v>
                </c:pt>
                <c:pt idx="124">
                  <c:v>73.109803551009719</c:v>
                </c:pt>
                <c:pt idx="125">
                  <c:v>75.533072147641604</c:v>
                </c:pt>
                <c:pt idx="126">
                  <c:v>72.336528630286551</c:v>
                </c:pt>
                <c:pt idx="127">
                  <c:v>67.753121235375303</c:v>
                </c:pt>
                <c:pt idx="128">
                  <c:v>59.97364627368286</c:v>
                </c:pt>
                <c:pt idx="129">
                  <c:v>55.453738396716282</c:v>
                </c:pt>
              </c:numCache>
            </c:numRef>
          </c:xVal>
          <c:yVal>
            <c:numRef>
              <c:f>Regression!$Y$3:$Y$1048576</c:f>
              <c:numCache>
                <c:formatCode>General</c:formatCode>
                <c:ptCount val="1048574"/>
                <c:pt idx="0">
                  <c:v>-2.4466107898144926</c:v>
                </c:pt>
                <c:pt idx="1">
                  <c:v>2.0784723070967317</c:v>
                </c:pt>
                <c:pt idx="2">
                  <c:v>-0.34903623053028809</c:v>
                </c:pt>
                <c:pt idx="3">
                  <c:v>-7.7310697739714769</c:v>
                </c:pt>
                <c:pt idx="4">
                  <c:v>-0.80157281078115261</c:v>
                </c:pt>
                <c:pt idx="5">
                  <c:v>0.70984362484264807</c:v>
                </c:pt>
                <c:pt idx="6">
                  <c:v>-2.0512358754923241</c:v>
                </c:pt>
                <c:pt idx="7">
                  <c:v>-0.60771842744522075</c:v>
                </c:pt>
                <c:pt idx="8">
                  <c:v>-2.2847769380566518</c:v>
                </c:pt>
                <c:pt idx="9">
                  <c:v>0.52357139300941924</c:v>
                </c:pt>
                <c:pt idx="10">
                  <c:v>-4.5575920293249084</c:v>
                </c:pt>
                <c:pt idx="11">
                  <c:v>8.9099574791194414</c:v>
                </c:pt>
                <c:pt idx="12">
                  <c:v>-3.6112303411409243</c:v>
                </c:pt>
                <c:pt idx="13">
                  <c:v>-0.70466796531318465</c:v>
                </c:pt>
                <c:pt idx="14">
                  <c:v>3.7649523453719667</c:v>
                </c:pt>
                <c:pt idx="15">
                  <c:v>0.8988843698632536</c:v>
                </c:pt>
                <c:pt idx="16">
                  <c:v>-4.356779125885808</c:v>
                </c:pt>
                <c:pt idx="17">
                  <c:v>0.82391678169341276</c:v>
                </c:pt>
                <c:pt idx="18">
                  <c:v>-2.0984529112387378</c:v>
                </c:pt>
                <c:pt idx="19">
                  <c:v>-1.1180859257817914</c:v>
                </c:pt>
                <c:pt idx="20">
                  <c:v>-2.8788078345774011</c:v>
                </c:pt>
                <c:pt idx="21">
                  <c:v>2.4171777553775513</c:v>
                </c:pt>
                <c:pt idx="22">
                  <c:v>2.1972139437271778</c:v>
                </c:pt>
                <c:pt idx="23">
                  <c:v>-2.5272537134728097</c:v>
                </c:pt>
                <c:pt idx="24">
                  <c:v>-0.87317201757434759</c:v>
                </c:pt>
                <c:pt idx="25">
                  <c:v>-0.63448488158285699</c:v>
                </c:pt>
                <c:pt idx="26">
                  <c:v>-1.2537528078386941</c:v>
                </c:pt>
                <c:pt idx="27">
                  <c:v>1.3130735802248665</c:v>
                </c:pt>
                <c:pt idx="28">
                  <c:v>2.0845504762131384</c:v>
                </c:pt>
                <c:pt idx="29">
                  <c:v>-0.17025548146683889</c:v>
                </c:pt>
                <c:pt idx="30">
                  <c:v>0.16323335251584581</c:v>
                </c:pt>
                <c:pt idx="31">
                  <c:v>2.4075718121761014</c:v>
                </c:pt>
                <c:pt idx="32">
                  <c:v>0.37388675005026073</c:v>
                </c:pt>
                <c:pt idx="33">
                  <c:v>1.3947470965561877</c:v>
                </c:pt>
                <c:pt idx="34">
                  <c:v>8.5618621752871604E-2</c:v>
                </c:pt>
                <c:pt idx="35">
                  <c:v>1.4700464184267901</c:v>
                </c:pt>
                <c:pt idx="36">
                  <c:v>1.483269751370571</c:v>
                </c:pt>
                <c:pt idx="37">
                  <c:v>1.3574796444895298</c:v>
                </c:pt>
                <c:pt idx="38">
                  <c:v>-2.1786230659401724</c:v>
                </c:pt>
                <c:pt idx="39">
                  <c:v>1.5640834919456452</c:v>
                </c:pt>
                <c:pt idx="40">
                  <c:v>-2.3176922447791384</c:v>
                </c:pt>
                <c:pt idx="41">
                  <c:v>-0.88236912668352829</c:v>
                </c:pt>
                <c:pt idx="42">
                  <c:v>-0.12253896340838821</c:v>
                </c:pt>
                <c:pt idx="43">
                  <c:v>-0.36184542916575424</c:v>
                </c:pt>
                <c:pt idx="44">
                  <c:v>3.1528647969766439</c:v>
                </c:pt>
                <c:pt idx="45">
                  <c:v>-1.9409389743009058</c:v>
                </c:pt>
                <c:pt idx="46">
                  <c:v>6.5061256481613157</c:v>
                </c:pt>
                <c:pt idx="47">
                  <c:v>1.8186396032202481</c:v>
                </c:pt>
                <c:pt idx="48">
                  <c:v>0.38837123372830717</c:v>
                </c:pt>
                <c:pt idx="49">
                  <c:v>1.7958510573306015</c:v>
                </c:pt>
                <c:pt idx="50">
                  <c:v>-2.3945967917521926</c:v>
                </c:pt>
                <c:pt idx="51">
                  <c:v>-0.15802247409725112</c:v>
                </c:pt>
                <c:pt idx="52">
                  <c:v>2.3981797659108111</c:v>
                </c:pt>
                <c:pt idx="53">
                  <c:v>2.3920200834282923E-2</c:v>
                </c:pt>
                <c:pt idx="54">
                  <c:v>-2.4605491310616685</c:v>
                </c:pt>
                <c:pt idx="55">
                  <c:v>-3.5826842225878437</c:v>
                </c:pt>
                <c:pt idx="56">
                  <c:v>0.46271474648428068</c:v>
                </c:pt>
                <c:pt idx="57">
                  <c:v>0.72558095852591009</c:v>
                </c:pt>
                <c:pt idx="58">
                  <c:v>1.2546339393277748</c:v>
                </c:pt>
                <c:pt idx="59">
                  <c:v>2.2722946790792804</c:v>
                </c:pt>
                <c:pt idx="60">
                  <c:v>-1.6031080849281807</c:v>
                </c:pt>
                <c:pt idx="61">
                  <c:v>-6.0800461318480217</c:v>
                </c:pt>
                <c:pt idx="62">
                  <c:v>-0.51011708052070048</c:v>
                </c:pt>
                <c:pt idx="63">
                  <c:v>-2.3203753199252901</c:v>
                </c:pt>
                <c:pt idx="64">
                  <c:v>-1.3935068941629964</c:v>
                </c:pt>
                <c:pt idx="65">
                  <c:v>-0.79197491799355646</c:v>
                </c:pt>
                <c:pt idx="66">
                  <c:v>-2.2500579661791207</c:v>
                </c:pt>
                <c:pt idx="67">
                  <c:v>0.52590306933286257</c:v>
                </c:pt>
                <c:pt idx="68">
                  <c:v>-2.6763850636000797</c:v>
                </c:pt>
                <c:pt idx="69">
                  <c:v>-0.28685523825946291</c:v>
                </c:pt>
                <c:pt idx="70">
                  <c:v>-0.65707238996223793</c:v>
                </c:pt>
                <c:pt idx="71">
                  <c:v>2.7465897688053431</c:v>
                </c:pt>
                <c:pt idx="72">
                  <c:v>-0.64489876609171404</c:v>
                </c:pt>
                <c:pt idx="73">
                  <c:v>3.2237122890073664</c:v>
                </c:pt>
                <c:pt idx="74">
                  <c:v>-1.6075584755058472</c:v>
                </c:pt>
                <c:pt idx="75">
                  <c:v>1.4932513220603596</c:v>
                </c:pt>
                <c:pt idx="76">
                  <c:v>-2.5060982019233791E-2</c:v>
                </c:pt>
                <c:pt idx="77">
                  <c:v>-0.1735968961478136</c:v>
                </c:pt>
                <c:pt idx="78">
                  <c:v>-3.1002679136918232</c:v>
                </c:pt>
                <c:pt idx="79">
                  <c:v>-3.7472307932627444</c:v>
                </c:pt>
                <c:pt idx="80">
                  <c:v>-2.9106738638611631</c:v>
                </c:pt>
                <c:pt idx="81">
                  <c:v>2.4627091594436052</c:v>
                </c:pt>
                <c:pt idx="82">
                  <c:v>-2.7295518209838292</c:v>
                </c:pt>
                <c:pt idx="83">
                  <c:v>-0.55967442278446811</c:v>
                </c:pt>
                <c:pt idx="84">
                  <c:v>-1.4681921189017828</c:v>
                </c:pt>
                <c:pt idx="85">
                  <c:v>4.1857088201505093</c:v>
                </c:pt>
                <c:pt idx="86">
                  <c:v>0.76000794924122772</c:v>
                </c:pt>
                <c:pt idx="87">
                  <c:v>2.7327594946821279</c:v>
                </c:pt>
                <c:pt idx="88">
                  <c:v>8.3065619112583136</c:v>
                </c:pt>
                <c:pt idx="89">
                  <c:v>-0.4525741312230025</c:v>
                </c:pt>
                <c:pt idx="90">
                  <c:v>1.7962321603018978</c:v>
                </c:pt>
                <c:pt idx="91">
                  <c:v>2.415361374520657</c:v>
                </c:pt>
                <c:pt idx="92">
                  <c:v>-0.87607647983870862</c:v>
                </c:pt>
                <c:pt idx="93">
                  <c:v>4.1599473393575011</c:v>
                </c:pt>
                <c:pt idx="94">
                  <c:v>1.7774260729101314</c:v>
                </c:pt>
                <c:pt idx="95">
                  <c:v>-5.1523187251651592</c:v>
                </c:pt>
                <c:pt idx="96">
                  <c:v>-1.0739824593021723</c:v>
                </c:pt>
                <c:pt idx="97">
                  <c:v>7.6624545105618722</c:v>
                </c:pt>
                <c:pt idx="98">
                  <c:v>-1.1679429112809885</c:v>
                </c:pt>
                <c:pt idx="99">
                  <c:v>-5.4914786312797048</c:v>
                </c:pt>
                <c:pt idx="100">
                  <c:v>1.5718178318390912</c:v>
                </c:pt>
                <c:pt idx="101">
                  <c:v>-0.18372218319034062</c:v>
                </c:pt>
                <c:pt idx="102">
                  <c:v>-1.0634009386264438</c:v>
                </c:pt>
                <c:pt idx="103">
                  <c:v>3.5889919821716489</c:v>
                </c:pt>
                <c:pt idx="104">
                  <c:v>2.3015311590832681</c:v>
                </c:pt>
                <c:pt idx="105">
                  <c:v>-0.97645151309932032</c:v>
                </c:pt>
                <c:pt idx="106">
                  <c:v>-9.6167615247215394</c:v>
                </c:pt>
                <c:pt idx="107">
                  <c:v>3.3005691234825605</c:v>
                </c:pt>
                <c:pt idx="108">
                  <c:v>1.9282902948672245</c:v>
                </c:pt>
                <c:pt idx="109">
                  <c:v>1.7889635928495693</c:v>
                </c:pt>
                <c:pt idx="110">
                  <c:v>1.770691238349329</c:v>
                </c:pt>
                <c:pt idx="111">
                  <c:v>-0.96465330529096605</c:v>
                </c:pt>
                <c:pt idx="112">
                  <c:v>0.2141622449158973</c:v>
                </c:pt>
                <c:pt idx="113">
                  <c:v>-1.8164770884343682</c:v>
                </c:pt>
                <c:pt idx="114">
                  <c:v>-0.7293062338340377</c:v>
                </c:pt>
                <c:pt idx="115">
                  <c:v>2.1316704779482336</c:v>
                </c:pt>
                <c:pt idx="116">
                  <c:v>0.92599093089722828</c:v>
                </c:pt>
                <c:pt idx="117">
                  <c:v>-0.45541700521494732</c:v>
                </c:pt>
                <c:pt idx="118">
                  <c:v>0.11874575973688195</c:v>
                </c:pt>
                <c:pt idx="119">
                  <c:v>-3.5124535611381447</c:v>
                </c:pt>
                <c:pt idx="120">
                  <c:v>0.21117906118099938</c:v>
                </c:pt>
                <c:pt idx="121">
                  <c:v>-1.8531594669138372</c:v>
                </c:pt>
                <c:pt idx="122">
                  <c:v>-4.8493090536322541</c:v>
                </c:pt>
                <c:pt idx="123">
                  <c:v>6.9660603282329561</c:v>
                </c:pt>
                <c:pt idx="124">
                  <c:v>-2.1098035510097191</c:v>
                </c:pt>
                <c:pt idx="125">
                  <c:v>1.2669278523583927</c:v>
                </c:pt>
                <c:pt idx="126">
                  <c:v>-3.236528630286557</c:v>
                </c:pt>
                <c:pt idx="127">
                  <c:v>3.8468787646246909</c:v>
                </c:pt>
                <c:pt idx="128">
                  <c:v>3.0263537263171401</c:v>
                </c:pt>
                <c:pt idx="129">
                  <c:v>2.5462616032837175</c:v>
                </c:pt>
              </c:numCache>
            </c:numRef>
          </c:yVal>
          <c:smooth val="0"/>
          <c:extLst>
            <c:ext xmlns:c16="http://schemas.microsoft.com/office/drawing/2014/chart" uri="{C3380CC4-5D6E-409C-BE32-E72D297353CC}">
              <c16:uniqueId val="{00000000-4C10-40AA-9B28-24AD4710E77B}"/>
            </c:ext>
          </c:extLst>
        </c:ser>
        <c:dLbls>
          <c:showLegendKey val="0"/>
          <c:showVal val="0"/>
          <c:showCatName val="0"/>
          <c:showSerName val="0"/>
          <c:showPercent val="0"/>
          <c:showBubbleSize val="0"/>
        </c:dLbls>
        <c:axId val="1261496607"/>
        <c:axId val="1261492287"/>
      </c:scatterChart>
      <c:valAx>
        <c:axId val="126149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492287"/>
        <c:crosses val="autoZero"/>
        <c:crossBetween val="midCat"/>
      </c:valAx>
      <c:valAx>
        <c:axId val="126149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4966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a:t>
            </a:r>
            <a:r>
              <a:rPr lang="en-US" baseline="0"/>
              <a:t> Q-Q Plot (</a:t>
            </a:r>
            <a:r>
              <a:rPr lang="en-US"/>
              <a:t>Studentized Residuals Ranked vs Ranked</a:t>
            </a:r>
            <a:r>
              <a:rPr lang="en-US" baseline="0"/>
              <a:t> Normal Scores)</a:t>
            </a:r>
            <a:br>
              <a:rPr lang="en-US" baseline="0"/>
            </a:br>
            <a:r>
              <a:rPr lang="en-US" baseline="0"/>
              <a:t>Should fall close to y=x</a:t>
            </a:r>
            <a:endParaRPr lang="en-US"/>
          </a:p>
        </c:rich>
      </c:tx>
      <c:layout>
        <c:manualLayout>
          <c:xMode val="edge"/>
          <c:yMode val="edge"/>
          <c:x val="0.10058048145643844"/>
          <c:y val="9.50682345336943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Regression!$AK$2</c:f>
              <c:strCache>
                <c:ptCount val="1"/>
                <c:pt idx="0">
                  <c:v>Studentized Residuals Ranked</c:v>
                </c:pt>
              </c:strCache>
            </c:strRef>
          </c:tx>
          <c:spPr>
            <a:ln w="38100" cap="rnd">
              <a:noFill/>
              <a:round/>
            </a:ln>
            <a:effectLst/>
          </c:spPr>
          <c:marker>
            <c:symbol val="circle"/>
            <c:size val="5"/>
            <c:spPr>
              <a:solidFill>
                <a:schemeClr val="accent1"/>
              </a:solidFill>
              <a:ln w="9525">
                <a:solidFill>
                  <a:schemeClr val="accent1"/>
                </a:solidFill>
              </a:ln>
              <a:effectLst/>
            </c:spPr>
          </c:marker>
          <c:xVal>
            <c:numRef>
              <c:f>Regression!$AJ$3:$AJ$1048576</c:f>
              <c:numCache>
                <c:formatCode>General</c:formatCode>
                <c:ptCount val="1048574"/>
                <c:pt idx="0">
                  <c:v>-2.6652851060249758</c:v>
                </c:pt>
                <c:pt idx="1">
                  <c:v>-2.2721587607241531</c:v>
                </c:pt>
                <c:pt idx="2">
                  <c:v>-2.0699018308950512</c:v>
                </c:pt>
                <c:pt idx="3">
                  <c:v>-1.9280721392467048</c:v>
                </c:pt>
                <c:pt idx="4">
                  <c:v>-1.8169108227999393</c:v>
                </c:pt>
                <c:pt idx="5">
                  <c:v>-1.7245123876414932</c:v>
                </c:pt>
                <c:pt idx="6">
                  <c:v>-1.6448536269514726</c:v>
                </c:pt>
                <c:pt idx="7">
                  <c:v>-1.5744449652170427</c:v>
                </c:pt>
                <c:pt idx="8">
                  <c:v>-1.5110754421113992</c:v>
                </c:pt>
                <c:pt idx="9">
                  <c:v>-1.4532518306335287</c:v>
                </c:pt>
                <c:pt idx="10">
                  <c:v>-1.3999160421463073</c:v>
                </c:pt>
                <c:pt idx="11">
                  <c:v>-1.3502896938319295</c:v>
                </c:pt>
                <c:pt idx="12">
                  <c:v>-1.3037826721034875</c:v>
                </c:pt>
                <c:pt idx="13">
                  <c:v>-1.2599363963454768</c:v>
                </c:pt>
                <c:pt idx="14">
                  <c:v>-1.2183870521704045</c:v>
                </c:pt>
                <c:pt idx="15">
                  <c:v>-1.1788408905575476</c:v>
                </c:pt>
                <c:pt idx="16">
                  <c:v>-1.1410571199210437</c:v>
                </c:pt>
                <c:pt idx="17">
                  <c:v>-1.1048357439621104</c:v>
                </c:pt>
                <c:pt idx="18">
                  <c:v>-1.0700087179328286</c:v>
                </c:pt>
                <c:pt idx="19">
                  <c:v>-1.0364333894937898</c:v>
                </c:pt>
                <c:pt idx="20">
                  <c:v>-1.0039875483647984</c:v>
                </c:pt>
                <c:pt idx="21">
                  <c:v>-0.97256563174841171</c:v>
                </c:pt>
                <c:pt idx="22">
                  <c:v>-0.94207577499577688</c:v>
                </c:pt>
                <c:pt idx="23">
                  <c:v>-0.91243749037238742</c:v>
                </c:pt>
                <c:pt idx="24">
                  <c:v>-0.91243749037238742</c:v>
                </c:pt>
                <c:pt idx="25">
                  <c:v>-0.91243749037238742</c:v>
                </c:pt>
                <c:pt idx="26">
                  <c:v>-0.82796149319414125</c:v>
                </c:pt>
                <c:pt idx="27">
                  <c:v>-0.80109452928194935</c:v>
                </c:pt>
                <c:pt idx="28">
                  <c:v>-0.77479375770608283</c:v>
                </c:pt>
                <c:pt idx="29">
                  <c:v>-0.74901833610770818</c:v>
                </c:pt>
                <c:pt idx="30">
                  <c:v>-0.72373120889047549</c:v>
                </c:pt>
                <c:pt idx="31">
                  <c:v>-0.69889862860356855</c:v>
                </c:pt>
                <c:pt idx="32">
                  <c:v>-0.67448975019608193</c:v>
                </c:pt>
                <c:pt idx="33">
                  <c:v>-0.65047628511725486</c:v>
                </c:pt>
                <c:pt idx="34">
                  <c:v>-0.62683220487877578</c:v>
                </c:pt>
                <c:pt idx="35">
                  <c:v>-0.60353348574052124</c:v>
                </c:pt>
                <c:pt idx="36">
                  <c:v>-0.58055788777731265</c:v>
                </c:pt>
                <c:pt idx="37">
                  <c:v>-0.58055788777731265</c:v>
                </c:pt>
                <c:pt idx="38">
                  <c:v>-0.53549488691524527</c:v>
                </c:pt>
                <c:pt idx="39">
                  <c:v>-0.51337031319247584</c:v>
                </c:pt>
                <c:pt idx="40">
                  <c:v>-0.49149424276021259</c:v>
                </c:pt>
                <c:pt idx="41">
                  <c:v>-0.46985091039566484</c:v>
                </c:pt>
                <c:pt idx="42">
                  <c:v>-0.44842548330593474</c:v>
                </c:pt>
                <c:pt idx="43">
                  <c:v>-0.42720397103068519</c:v>
                </c:pt>
                <c:pt idx="44">
                  <c:v>-0.40617314499199975</c:v>
                </c:pt>
                <c:pt idx="45">
                  <c:v>-0.38532046640756784</c:v>
                </c:pt>
                <c:pt idx="46">
                  <c:v>-0.38532046640756784</c:v>
                </c:pt>
                <c:pt idx="47">
                  <c:v>-0.34410246288301571</c:v>
                </c:pt>
                <c:pt idx="48">
                  <c:v>-0.323714956873427</c:v>
                </c:pt>
                <c:pt idx="49">
                  <c:v>-0.3034611351161759</c:v>
                </c:pt>
                <c:pt idx="50">
                  <c:v>-0.3034611351161759</c:v>
                </c:pt>
                <c:pt idx="51">
                  <c:v>-0.26331513869093232</c:v>
                </c:pt>
                <c:pt idx="52">
                  <c:v>-0.26331513869093232</c:v>
                </c:pt>
                <c:pt idx="53">
                  <c:v>-0.22358925783731975</c:v>
                </c:pt>
                <c:pt idx="54">
                  <c:v>-0.22358925783731975</c:v>
                </c:pt>
                <c:pt idx="55">
                  <c:v>-0.18421326467921942</c:v>
                </c:pt>
                <c:pt idx="56">
                  <c:v>-0.18421326467921942</c:v>
                </c:pt>
                <c:pt idx="57">
                  <c:v>-0.14512094121077412</c:v>
                </c:pt>
                <c:pt idx="58">
                  <c:v>-0.12566134685507402</c:v>
                </c:pt>
                <c:pt idx="59">
                  <c:v>-0.10624922583130508</c:v>
                </c:pt>
                <c:pt idx="60">
                  <c:v>-8.6877064104115193E-2</c:v>
                </c:pt>
                <c:pt idx="61">
                  <c:v>-8.6877064104115193E-2</c:v>
                </c:pt>
                <c:pt idx="62">
                  <c:v>-8.6877064104115193E-2</c:v>
                </c:pt>
                <c:pt idx="63">
                  <c:v>-2.8926667506702551E-2</c:v>
                </c:pt>
                <c:pt idx="64">
                  <c:v>-9.641027331898153E-3</c:v>
                </c:pt>
                <c:pt idx="65">
                  <c:v>9.641027331898153E-3</c:v>
                </c:pt>
                <c:pt idx="66">
                  <c:v>2.8926667506702412E-2</c:v>
                </c:pt>
                <c:pt idx="67">
                  <c:v>4.8223073555922237E-2</c:v>
                </c:pt>
                <c:pt idx="68">
                  <c:v>6.7537453930295754E-2</c:v>
                </c:pt>
                <c:pt idx="69">
                  <c:v>8.6877064104115193E-2</c:v>
                </c:pt>
                <c:pt idx="70">
                  <c:v>0.10624922583130493</c:v>
                </c:pt>
                <c:pt idx="71">
                  <c:v>0.10624922583130493</c:v>
                </c:pt>
                <c:pt idx="72">
                  <c:v>0.14512094121077412</c:v>
                </c:pt>
                <c:pt idx="73">
                  <c:v>0.16463565026941987</c:v>
                </c:pt>
                <c:pt idx="74">
                  <c:v>0.18421326467921928</c:v>
                </c:pt>
                <c:pt idx="75">
                  <c:v>0.20386174737464505</c:v>
                </c:pt>
                <c:pt idx="76">
                  <c:v>0.22358925783731975</c:v>
                </c:pt>
                <c:pt idx="77">
                  <c:v>0.22358925783731975</c:v>
                </c:pt>
                <c:pt idx="78">
                  <c:v>0.22358925783731975</c:v>
                </c:pt>
                <c:pt idx="79">
                  <c:v>0.28333105084294746</c:v>
                </c:pt>
                <c:pt idx="80">
                  <c:v>0.28333105084294746</c:v>
                </c:pt>
                <c:pt idx="81">
                  <c:v>0.28333105084294746</c:v>
                </c:pt>
                <c:pt idx="82">
                  <c:v>0.34410246288301555</c:v>
                </c:pt>
                <c:pt idx="83">
                  <c:v>0.36463402147370944</c:v>
                </c:pt>
                <c:pt idx="84">
                  <c:v>0.36463402147370944</c:v>
                </c:pt>
                <c:pt idx="85">
                  <c:v>0.40617314499199975</c:v>
                </c:pt>
                <c:pt idx="86">
                  <c:v>0.40617314499199975</c:v>
                </c:pt>
                <c:pt idx="87">
                  <c:v>0.4484254833059349</c:v>
                </c:pt>
                <c:pt idx="88">
                  <c:v>0.4484254833059349</c:v>
                </c:pt>
                <c:pt idx="89">
                  <c:v>0.4484254833059349</c:v>
                </c:pt>
                <c:pt idx="90">
                  <c:v>0.51337031319247561</c:v>
                </c:pt>
                <c:pt idx="91">
                  <c:v>0.53549488691524538</c:v>
                </c:pt>
                <c:pt idx="92">
                  <c:v>0.53549488691524538</c:v>
                </c:pt>
                <c:pt idx="93">
                  <c:v>0.58055788777731265</c:v>
                </c:pt>
                <c:pt idx="94">
                  <c:v>0.60353348574052101</c:v>
                </c:pt>
                <c:pt idx="95">
                  <c:v>0.60353348574052101</c:v>
                </c:pt>
                <c:pt idx="96">
                  <c:v>0.60353348574052101</c:v>
                </c:pt>
                <c:pt idx="97">
                  <c:v>0.67448975019608193</c:v>
                </c:pt>
                <c:pt idx="98">
                  <c:v>0.67448975019608193</c:v>
                </c:pt>
                <c:pt idx="99">
                  <c:v>0.72373120889047504</c:v>
                </c:pt>
                <c:pt idx="100">
                  <c:v>0.74901833610770818</c:v>
                </c:pt>
                <c:pt idx="101">
                  <c:v>0.74901833610770818</c:v>
                </c:pt>
                <c:pt idx="102">
                  <c:v>0.80109452928194935</c:v>
                </c:pt>
                <c:pt idx="103">
                  <c:v>0.82796149319414114</c:v>
                </c:pt>
                <c:pt idx="104">
                  <c:v>0.85543984651958882</c:v>
                </c:pt>
                <c:pt idx="105">
                  <c:v>0.88357981934110352</c:v>
                </c:pt>
                <c:pt idx="106">
                  <c:v>0.91243749037238742</c:v>
                </c:pt>
                <c:pt idx="107">
                  <c:v>0.94207577499577577</c:v>
                </c:pt>
                <c:pt idx="108">
                  <c:v>0.97256563174841171</c:v>
                </c:pt>
                <c:pt idx="109">
                  <c:v>1.0039875483647984</c:v>
                </c:pt>
                <c:pt idx="110">
                  <c:v>1.0364333894937898</c:v>
                </c:pt>
                <c:pt idx="111">
                  <c:v>1.0700087179328284</c:v>
                </c:pt>
                <c:pt idx="112">
                  <c:v>1.1048357439621104</c:v>
                </c:pt>
                <c:pt idx="113">
                  <c:v>1.1048357439621104</c:v>
                </c:pt>
                <c:pt idx="114">
                  <c:v>1.1048357439621104</c:v>
                </c:pt>
                <c:pt idx="115">
                  <c:v>1.2183870521704052</c:v>
                </c:pt>
                <c:pt idx="116">
                  <c:v>1.2183870521704052</c:v>
                </c:pt>
                <c:pt idx="117">
                  <c:v>1.3037826721034875</c:v>
                </c:pt>
                <c:pt idx="118">
                  <c:v>1.3037826721034875</c:v>
                </c:pt>
                <c:pt idx="119">
                  <c:v>1.3999160421463082</c:v>
                </c:pt>
                <c:pt idx="120">
                  <c:v>1.4532518306335294</c:v>
                </c:pt>
                <c:pt idx="121">
                  <c:v>1.5110754421114001</c:v>
                </c:pt>
                <c:pt idx="122">
                  <c:v>1.5744449652170427</c:v>
                </c:pt>
                <c:pt idx="123">
                  <c:v>1.6448536269514715</c:v>
                </c:pt>
                <c:pt idx="124">
                  <c:v>1.7245123876414941</c:v>
                </c:pt>
                <c:pt idx="125">
                  <c:v>1.8169108227999393</c:v>
                </c:pt>
                <c:pt idx="126">
                  <c:v>1.9280721392467044</c:v>
                </c:pt>
                <c:pt idx="127">
                  <c:v>1.9280721392467044</c:v>
                </c:pt>
                <c:pt idx="128">
                  <c:v>1.9280721392467044</c:v>
                </c:pt>
                <c:pt idx="129">
                  <c:v>2.6652851060249771</c:v>
                </c:pt>
              </c:numCache>
            </c:numRef>
          </c:xVal>
          <c:yVal>
            <c:numRef>
              <c:f>Regression!$AK$3:$AK$1048576</c:f>
              <c:numCache>
                <c:formatCode>General</c:formatCode>
                <c:ptCount val="1048574"/>
                <c:pt idx="0">
                  <c:v>-3.3552398517483932</c:v>
                </c:pt>
                <c:pt idx="1">
                  <c:v>-2.6574646063263492</c:v>
                </c:pt>
                <c:pt idx="2">
                  <c:v>-2.01890232471803</c:v>
                </c:pt>
                <c:pt idx="3">
                  <c:v>-1.9507246994361684</c:v>
                </c:pt>
                <c:pt idx="4">
                  <c:v>-1.8536811738783288</c:v>
                </c:pt>
                <c:pt idx="5">
                  <c:v>-1.6518561172458917</c:v>
                </c:pt>
                <c:pt idx="6">
                  <c:v>-1.5604282204735105</c:v>
                </c:pt>
                <c:pt idx="7">
                  <c:v>-1.4621485521146045</c:v>
                </c:pt>
                <c:pt idx="8">
                  <c:v>-1.3108607463788147</c:v>
                </c:pt>
                <c:pt idx="9">
                  <c:v>-1.2948361879522281</c:v>
                </c:pt>
                <c:pt idx="10">
                  <c:v>-1.1959044266465113</c:v>
                </c:pt>
                <c:pt idx="11">
                  <c:v>-1.174862384262666</c:v>
                </c:pt>
                <c:pt idx="12">
                  <c:v>-1.1722566424263086</c:v>
                </c:pt>
                <c:pt idx="13">
                  <c:v>-1.1465070038224379</c:v>
                </c:pt>
                <c:pt idx="14">
                  <c:v>-1.0773729081769121</c:v>
                </c:pt>
                <c:pt idx="15">
                  <c:v>-1.0110249729372656</c:v>
                </c:pt>
                <c:pt idx="16">
                  <c:v>-1.0076096782014357</c:v>
                </c:pt>
                <c:pt idx="17">
                  <c:v>-0.92163911942630505</c:v>
                </c:pt>
                <c:pt idx="18">
                  <c:v>-0.91795041167293911</c:v>
                </c:pt>
                <c:pt idx="19">
                  <c:v>-0.86731862254892933</c:v>
                </c:pt>
                <c:pt idx="20">
                  <c:v>-0.86374768678628122</c:v>
                </c:pt>
                <c:pt idx="21">
                  <c:v>-0.85821464811470638</c:v>
                </c:pt>
                <c:pt idx="22">
                  <c:v>-0.84894714159828955</c:v>
                </c:pt>
                <c:pt idx="23">
                  <c:v>-0.82405960948067059</c:v>
                </c:pt>
                <c:pt idx="24">
                  <c:v>-0.81454100262906892</c:v>
                </c:pt>
                <c:pt idx="25">
                  <c:v>-0.79442129615532109</c:v>
                </c:pt>
                <c:pt idx="26">
                  <c:v>-0.78223780715424018</c:v>
                </c:pt>
                <c:pt idx="27">
                  <c:v>-0.75233055058128562</c:v>
                </c:pt>
                <c:pt idx="28">
                  <c:v>-0.74196855715293086</c:v>
                </c:pt>
                <c:pt idx="29">
                  <c:v>-0.74068482977470007</c:v>
                </c:pt>
                <c:pt idx="30">
                  <c:v>-0.70921848977672608</c:v>
                </c:pt>
                <c:pt idx="31">
                  <c:v>-0.67029167970115022</c:v>
                </c:pt>
                <c:pt idx="32">
                  <c:v>-0.62246950110072441</c:v>
                </c:pt>
                <c:pt idx="33">
                  <c:v>-0.56268131331803906</c:v>
                </c:pt>
                <c:pt idx="34">
                  <c:v>-0.54772003297150196</c:v>
                </c:pt>
                <c:pt idx="35">
                  <c:v>-0.53290238274908208</c:v>
                </c:pt>
                <c:pt idx="36">
                  <c:v>-0.48962978369286347</c:v>
                </c:pt>
                <c:pt idx="37">
                  <c:v>-0.48335518087510915</c:v>
                </c:pt>
                <c:pt idx="38">
                  <c:v>-0.42955553832993731</c:v>
                </c:pt>
                <c:pt idx="39">
                  <c:v>-0.39717459586514764</c:v>
                </c:pt>
                <c:pt idx="40">
                  <c:v>-0.38653061805035654</c:v>
                </c:pt>
                <c:pt idx="41">
                  <c:v>-0.37822560649877823</c:v>
                </c:pt>
                <c:pt idx="42">
                  <c:v>-0.35627190170034223</c:v>
                </c:pt>
                <c:pt idx="43">
                  <c:v>-0.34119073731615512</c:v>
                </c:pt>
                <c:pt idx="44">
                  <c:v>-0.32905807013877875</c:v>
                </c:pt>
                <c:pt idx="45">
                  <c:v>-0.3176490259738719</c:v>
                </c:pt>
                <c:pt idx="46">
                  <c:v>-0.30963671587107933</c:v>
                </c:pt>
                <c:pt idx="47">
                  <c:v>-0.30455075903640261</c:v>
                </c:pt>
                <c:pt idx="48">
                  <c:v>-0.27412746763438262</c:v>
                </c:pt>
                <c:pt idx="49">
                  <c:v>-0.26479648850584087</c:v>
                </c:pt>
                <c:pt idx="50">
                  <c:v>-0.24106077883927862</c:v>
                </c:pt>
                <c:pt idx="51">
                  <c:v>-0.23350575600802045</c:v>
                </c:pt>
                <c:pt idx="52">
                  <c:v>-0.22689341879467756</c:v>
                </c:pt>
                <c:pt idx="53">
                  <c:v>-0.22128469487104246</c:v>
                </c:pt>
                <c:pt idx="54">
                  <c:v>-0.21811750979559288</c:v>
                </c:pt>
                <c:pt idx="55">
                  <c:v>-0.20661022463039402</c:v>
                </c:pt>
                <c:pt idx="56">
                  <c:v>-0.19387278807310673</c:v>
                </c:pt>
                <c:pt idx="57">
                  <c:v>-0.17195408263796069</c:v>
                </c:pt>
                <c:pt idx="58">
                  <c:v>-0.15455192047735494</c:v>
                </c:pt>
                <c:pt idx="59">
                  <c:v>-0.14738759710600224</c:v>
                </c:pt>
                <c:pt idx="60">
                  <c:v>-0.12116821654118708</c:v>
                </c:pt>
                <c:pt idx="61">
                  <c:v>-0.11617389999754073</c:v>
                </c:pt>
                <c:pt idx="62">
                  <c:v>-6.5448427261412742E-2</c:v>
                </c:pt>
                <c:pt idx="63">
                  <c:v>-5.8062728660348714E-2</c:v>
                </c:pt>
                <c:pt idx="64">
                  <c:v>-5.6582068616461229E-2</c:v>
                </c:pt>
                <c:pt idx="65">
                  <c:v>-5.3893838753811152E-2</c:v>
                </c:pt>
                <c:pt idx="66">
                  <c:v>-4.2127326856800061E-2</c:v>
                </c:pt>
                <c:pt idx="67">
                  <c:v>-9.744491342130273E-3</c:v>
                </c:pt>
                <c:pt idx="68">
                  <c:v>2.983199506919856E-2</c:v>
                </c:pt>
                <c:pt idx="69">
                  <c:v>3.5055607793868272E-2</c:v>
                </c:pt>
                <c:pt idx="70">
                  <c:v>4.0106330188757651E-2</c:v>
                </c:pt>
                <c:pt idx="71">
                  <c:v>5.4201956788524575E-2</c:v>
                </c:pt>
                <c:pt idx="72">
                  <c:v>7.0777873523971732E-2</c:v>
                </c:pt>
                <c:pt idx="73">
                  <c:v>8.1989209428109069E-2</c:v>
                </c:pt>
                <c:pt idx="74">
                  <c:v>0.12463898334882778</c:v>
                </c:pt>
                <c:pt idx="75">
                  <c:v>0.12962551893790211</c:v>
                </c:pt>
                <c:pt idx="76">
                  <c:v>0.15638392643453866</c:v>
                </c:pt>
                <c:pt idx="77">
                  <c:v>0.17808234800160042</c:v>
                </c:pt>
                <c:pt idx="78">
                  <c:v>0.21435681033288975</c:v>
                </c:pt>
                <c:pt idx="79">
                  <c:v>0.23438120823335945</c:v>
                </c:pt>
                <c:pt idx="80">
                  <c:v>0.24810068300248678</c:v>
                </c:pt>
                <c:pt idx="81">
                  <c:v>0.27421905488502935</c:v>
                </c:pt>
                <c:pt idx="82">
                  <c:v>0.29920488513048288</c:v>
                </c:pt>
                <c:pt idx="83">
                  <c:v>0.31336110290810326</c:v>
                </c:pt>
                <c:pt idx="84">
                  <c:v>0.41408570472483458</c:v>
                </c:pt>
                <c:pt idx="85">
                  <c:v>0.41712178192858801</c:v>
                </c:pt>
                <c:pt idx="86">
                  <c:v>0.42960320572929128</c:v>
                </c:pt>
                <c:pt idx="87">
                  <c:v>0.44814238983718785</c:v>
                </c:pt>
                <c:pt idx="88">
                  <c:v>0.46819096578345959</c:v>
                </c:pt>
                <c:pt idx="89">
                  <c:v>0.48740780163793151</c:v>
                </c:pt>
                <c:pt idx="90">
                  <c:v>0.49994681472173291</c:v>
                </c:pt>
                <c:pt idx="91">
                  <c:v>0.51130276908986849</c:v>
                </c:pt>
                <c:pt idx="92">
                  <c:v>0.53474418620157615</c:v>
                </c:pt>
                <c:pt idx="93">
                  <c:v>0.54147746435852739</c:v>
                </c:pt>
                <c:pt idx="94">
                  <c:v>0.58480803782719781</c:v>
                </c:pt>
                <c:pt idx="95">
                  <c:v>0.5932407889630793</c:v>
                </c:pt>
                <c:pt idx="96">
                  <c:v>0.60140072866247263</c:v>
                </c:pt>
                <c:pt idx="97">
                  <c:v>0.60246699183071128</c:v>
                </c:pt>
                <c:pt idx="98">
                  <c:v>0.60282804439389348</c:v>
                </c:pt>
                <c:pt idx="99">
                  <c:v>0.62064531671365586</c:v>
                </c:pt>
                <c:pt idx="100">
                  <c:v>0.68324726104203637</c:v>
                </c:pt>
                <c:pt idx="101">
                  <c:v>0.70811423730457757</c:v>
                </c:pt>
                <c:pt idx="102">
                  <c:v>0.72460445526316353</c:v>
                </c:pt>
                <c:pt idx="103">
                  <c:v>0.73188460068330485</c:v>
                </c:pt>
                <c:pt idx="104">
                  <c:v>0.747413936633188</c:v>
                </c:pt>
                <c:pt idx="105">
                  <c:v>0.78082353237628666</c:v>
                </c:pt>
                <c:pt idx="106">
                  <c:v>0.79863296204644108</c:v>
                </c:pt>
                <c:pt idx="107">
                  <c:v>0.80245989437439058</c:v>
                </c:pt>
                <c:pt idx="108">
                  <c:v>0.81440399982189593</c:v>
                </c:pt>
                <c:pt idx="109">
                  <c:v>0.81668051076547143</c:v>
                </c:pt>
                <c:pt idx="110">
                  <c:v>0.89348018488148551</c:v>
                </c:pt>
                <c:pt idx="111">
                  <c:v>0.90830074593214449</c:v>
                </c:pt>
                <c:pt idx="112">
                  <c:v>0.94704351609948945</c:v>
                </c:pt>
                <c:pt idx="113">
                  <c:v>0.95887155620689424</c:v>
                </c:pt>
                <c:pt idx="114">
                  <c:v>1.0181479765024655</c:v>
                </c:pt>
                <c:pt idx="115">
                  <c:v>1.0640944578485567</c:v>
                </c:pt>
                <c:pt idx="116">
                  <c:v>1.1190701083233838</c:v>
                </c:pt>
                <c:pt idx="117">
                  <c:v>1.1445302899832388</c:v>
                </c:pt>
                <c:pt idx="118">
                  <c:v>1.1497278626453076</c:v>
                </c:pt>
                <c:pt idx="119">
                  <c:v>1.2000994433955381</c:v>
                </c:pt>
                <c:pt idx="120">
                  <c:v>1.2417845443142017</c:v>
                </c:pt>
                <c:pt idx="121">
                  <c:v>1.2853957304192192</c:v>
                </c:pt>
                <c:pt idx="122">
                  <c:v>1.304547420878035</c:v>
                </c:pt>
                <c:pt idx="123">
                  <c:v>1.4524330219642179</c:v>
                </c:pt>
                <c:pt idx="124">
                  <c:v>1.5036984630409798</c:v>
                </c:pt>
                <c:pt idx="125">
                  <c:v>2.1704525763282212</c:v>
                </c:pt>
                <c:pt idx="126">
                  <c:v>2.3499160108594341</c:v>
                </c:pt>
                <c:pt idx="127">
                  <c:v>2.6661655492796821</c:v>
                </c:pt>
                <c:pt idx="128">
                  <c:v>3.053749704841874</c:v>
                </c:pt>
                <c:pt idx="129">
                  <c:v>3.2280972928577545</c:v>
                </c:pt>
              </c:numCache>
            </c:numRef>
          </c:yVal>
          <c:smooth val="0"/>
          <c:extLst>
            <c:ext xmlns:c16="http://schemas.microsoft.com/office/drawing/2014/chart" uri="{C3380CC4-5D6E-409C-BE32-E72D297353CC}">
              <c16:uniqueId val="{00000000-65E3-4940-AF83-6039C5B41003}"/>
            </c:ext>
          </c:extLst>
        </c:ser>
        <c:ser>
          <c:idx val="1"/>
          <c:order val="1"/>
          <c:tx>
            <c:v>Identity</c:v>
          </c:tx>
          <c:spPr>
            <a:ln w="25400" cap="rnd">
              <a:solidFill>
                <a:schemeClr val="accent1"/>
              </a:solidFill>
              <a:prstDash val="sysDot"/>
              <a:round/>
            </a:ln>
            <a:effectLst/>
          </c:spPr>
          <c:marker>
            <c:symbol val="none"/>
          </c:marker>
          <c:xVal>
            <c:numRef>
              <c:f>Regression!$AK$3:$AK$1048576</c:f>
              <c:numCache>
                <c:formatCode>General</c:formatCode>
                <c:ptCount val="1048574"/>
                <c:pt idx="0">
                  <c:v>-3.3552398517483932</c:v>
                </c:pt>
                <c:pt idx="1">
                  <c:v>-2.6574646063263492</c:v>
                </c:pt>
                <c:pt idx="2">
                  <c:v>-2.01890232471803</c:v>
                </c:pt>
                <c:pt idx="3">
                  <c:v>-1.9507246994361684</c:v>
                </c:pt>
                <c:pt idx="4">
                  <c:v>-1.8536811738783288</c:v>
                </c:pt>
                <c:pt idx="5">
                  <c:v>-1.6518561172458917</c:v>
                </c:pt>
                <c:pt idx="6">
                  <c:v>-1.5604282204735105</c:v>
                </c:pt>
                <c:pt idx="7">
                  <c:v>-1.4621485521146045</c:v>
                </c:pt>
                <c:pt idx="8">
                  <c:v>-1.3108607463788147</c:v>
                </c:pt>
                <c:pt idx="9">
                  <c:v>-1.2948361879522281</c:v>
                </c:pt>
                <c:pt idx="10">
                  <c:v>-1.1959044266465113</c:v>
                </c:pt>
                <c:pt idx="11">
                  <c:v>-1.174862384262666</c:v>
                </c:pt>
                <c:pt idx="12">
                  <c:v>-1.1722566424263086</c:v>
                </c:pt>
                <c:pt idx="13">
                  <c:v>-1.1465070038224379</c:v>
                </c:pt>
                <c:pt idx="14">
                  <c:v>-1.0773729081769121</c:v>
                </c:pt>
                <c:pt idx="15">
                  <c:v>-1.0110249729372656</c:v>
                </c:pt>
                <c:pt idx="16">
                  <c:v>-1.0076096782014357</c:v>
                </c:pt>
                <c:pt idx="17">
                  <c:v>-0.92163911942630505</c:v>
                </c:pt>
                <c:pt idx="18">
                  <c:v>-0.91795041167293911</c:v>
                </c:pt>
                <c:pt idx="19">
                  <c:v>-0.86731862254892933</c:v>
                </c:pt>
                <c:pt idx="20">
                  <c:v>-0.86374768678628122</c:v>
                </c:pt>
                <c:pt idx="21">
                  <c:v>-0.85821464811470638</c:v>
                </c:pt>
                <c:pt idx="22">
                  <c:v>-0.84894714159828955</c:v>
                </c:pt>
                <c:pt idx="23">
                  <c:v>-0.82405960948067059</c:v>
                </c:pt>
                <c:pt idx="24">
                  <c:v>-0.81454100262906892</c:v>
                </c:pt>
                <c:pt idx="25">
                  <c:v>-0.79442129615532109</c:v>
                </c:pt>
                <c:pt idx="26">
                  <c:v>-0.78223780715424018</c:v>
                </c:pt>
                <c:pt idx="27">
                  <c:v>-0.75233055058128562</c:v>
                </c:pt>
                <c:pt idx="28">
                  <c:v>-0.74196855715293086</c:v>
                </c:pt>
                <c:pt idx="29">
                  <c:v>-0.74068482977470007</c:v>
                </c:pt>
                <c:pt idx="30">
                  <c:v>-0.70921848977672608</c:v>
                </c:pt>
                <c:pt idx="31">
                  <c:v>-0.67029167970115022</c:v>
                </c:pt>
                <c:pt idx="32">
                  <c:v>-0.62246950110072441</c:v>
                </c:pt>
                <c:pt idx="33">
                  <c:v>-0.56268131331803906</c:v>
                </c:pt>
                <c:pt idx="34">
                  <c:v>-0.54772003297150196</c:v>
                </c:pt>
                <c:pt idx="35">
                  <c:v>-0.53290238274908208</c:v>
                </c:pt>
                <c:pt idx="36">
                  <c:v>-0.48962978369286347</c:v>
                </c:pt>
                <c:pt idx="37">
                  <c:v>-0.48335518087510915</c:v>
                </c:pt>
                <c:pt idx="38">
                  <c:v>-0.42955553832993731</c:v>
                </c:pt>
                <c:pt idx="39">
                  <c:v>-0.39717459586514764</c:v>
                </c:pt>
                <c:pt idx="40">
                  <c:v>-0.38653061805035654</c:v>
                </c:pt>
                <c:pt idx="41">
                  <c:v>-0.37822560649877823</c:v>
                </c:pt>
                <c:pt idx="42">
                  <c:v>-0.35627190170034223</c:v>
                </c:pt>
                <c:pt idx="43">
                  <c:v>-0.34119073731615512</c:v>
                </c:pt>
                <c:pt idx="44">
                  <c:v>-0.32905807013877875</c:v>
                </c:pt>
                <c:pt idx="45">
                  <c:v>-0.3176490259738719</c:v>
                </c:pt>
                <c:pt idx="46">
                  <c:v>-0.30963671587107933</c:v>
                </c:pt>
                <c:pt idx="47">
                  <c:v>-0.30455075903640261</c:v>
                </c:pt>
                <c:pt idx="48">
                  <c:v>-0.27412746763438262</c:v>
                </c:pt>
                <c:pt idx="49">
                  <c:v>-0.26479648850584087</c:v>
                </c:pt>
                <c:pt idx="50">
                  <c:v>-0.24106077883927862</c:v>
                </c:pt>
                <c:pt idx="51">
                  <c:v>-0.23350575600802045</c:v>
                </c:pt>
                <c:pt idx="52">
                  <c:v>-0.22689341879467756</c:v>
                </c:pt>
                <c:pt idx="53">
                  <c:v>-0.22128469487104246</c:v>
                </c:pt>
                <c:pt idx="54">
                  <c:v>-0.21811750979559288</c:v>
                </c:pt>
                <c:pt idx="55">
                  <c:v>-0.20661022463039402</c:v>
                </c:pt>
                <c:pt idx="56">
                  <c:v>-0.19387278807310673</c:v>
                </c:pt>
                <c:pt idx="57">
                  <c:v>-0.17195408263796069</c:v>
                </c:pt>
                <c:pt idx="58">
                  <c:v>-0.15455192047735494</c:v>
                </c:pt>
                <c:pt idx="59">
                  <c:v>-0.14738759710600224</c:v>
                </c:pt>
                <c:pt idx="60">
                  <c:v>-0.12116821654118708</c:v>
                </c:pt>
                <c:pt idx="61">
                  <c:v>-0.11617389999754073</c:v>
                </c:pt>
                <c:pt idx="62">
                  <c:v>-6.5448427261412742E-2</c:v>
                </c:pt>
                <c:pt idx="63">
                  <c:v>-5.8062728660348714E-2</c:v>
                </c:pt>
                <c:pt idx="64">
                  <c:v>-5.6582068616461229E-2</c:v>
                </c:pt>
                <c:pt idx="65">
                  <c:v>-5.3893838753811152E-2</c:v>
                </c:pt>
                <c:pt idx="66">
                  <c:v>-4.2127326856800061E-2</c:v>
                </c:pt>
                <c:pt idx="67">
                  <c:v>-9.744491342130273E-3</c:v>
                </c:pt>
                <c:pt idx="68">
                  <c:v>2.983199506919856E-2</c:v>
                </c:pt>
                <c:pt idx="69">
                  <c:v>3.5055607793868272E-2</c:v>
                </c:pt>
                <c:pt idx="70">
                  <c:v>4.0106330188757651E-2</c:v>
                </c:pt>
                <c:pt idx="71">
                  <c:v>5.4201956788524575E-2</c:v>
                </c:pt>
                <c:pt idx="72">
                  <c:v>7.0777873523971732E-2</c:v>
                </c:pt>
                <c:pt idx="73">
                  <c:v>8.1989209428109069E-2</c:v>
                </c:pt>
                <c:pt idx="74">
                  <c:v>0.12463898334882778</c:v>
                </c:pt>
                <c:pt idx="75">
                  <c:v>0.12962551893790211</c:v>
                </c:pt>
                <c:pt idx="76">
                  <c:v>0.15638392643453866</c:v>
                </c:pt>
                <c:pt idx="77">
                  <c:v>0.17808234800160042</c:v>
                </c:pt>
                <c:pt idx="78">
                  <c:v>0.21435681033288975</c:v>
                </c:pt>
                <c:pt idx="79">
                  <c:v>0.23438120823335945</c:v>
                </c:pt>
                <c:pt idx="80">
                  <c:v>0.24810068300248678</c:v>
                </c:pt>
                <c:pt idx="81">
                  <c:v>0.27421905488502935</c:v>
                </c:pt>
                <c:pt idx="82">
                  <c:v>0.29920488513048288</c:v>
                </c:pt>
                <c:pt idx="83">
                  <c:v>0.31336110290810326</c:v>
                </c:pt>
                <c:pt idx="84">
                  <c:v>0.41408570472483458</c:v>
                </c:pt>
                <c:pt idx="85">
                  <c:v>0.41712178192858801</c:v>
                </c:pt>
                <c:pt idx="86">
                  <c:v>0.42960320572929128</c:v>
                </c:pt>
                <c:pt idx="87">
                  <c:v>0.44814238983718785</c:v>
                </c:pt>
                <c:pt idx="88">
                  <c:v>0.46819096578345959</c:v>
                </c:pt>
                <c:pt idx="89">
                  <c:v>0.48740780163793151</c:v>
                </c:pt>
                <c:pt idx="90">
                  <c:v>0.49994681472173291</c:v>
                </c:pt>
                <c:pt idx="91">
                  <c:v>0.51130276908986849</c:v>
                </c:pt>
                <c:pt idx="92">
                  <c:v>0.53474418620157615</c:v>
                </c:pt>
                <c:pt idx="93">
                  <c:v>0.54147746435852739</c:v>
                </c:pt>
                <c:pt idx="94">
                  <c:v>0.58480803782719781</c:v>
                </c:pt>
                <c:pt idx="95">
                  <c:v>0.5932407889630793</c:v>
                </c:pt>
                <c:pt idx="96">
                  <c:v>0.60140072866247263</c:v>
                </c:pt>
                <c:pt idx="97">
                  <c:v>0.60246699183071128</c:v>
                </c:pt>
                <c:pt idx="98">
                  <c:v>0.60282804439389348</c:v>
                </c:pt>
                <c:pt idx="99">
                  <c:v>0.62064531671365586</c:v>
                </c:pt>
                <c:pt idx="100">
                  <c:v>0.68324726104203637</c:v>
                </c:pt>
                <c:pt idx="101">
                  <c:v>0.70811423730457757</c:v>
                </c:pt>
                <c:pt idx="102">
                  <c:v>0.72460445526316353</c:v>
                </c:pt>
                <c:pt idx="103">
                  <c:v>0.73188460068330485</c:v>
                </c:pt>
                <c:pt idx="104">
                  <c:v>0.747413936633188</c:v>
                </c:pt>
                <c:pt idx="105">
                  <c:v>0.78082353237628666</c:v>
                </c:pt>
                <c:pt idx="106">
                  <c:v>0.79863296204644108</c:v>
                </c:pt>
                <c:pt idx="107">
                  <c:v>0.80245989437439058</c:v>
                </c:pt>
                <c:pt idx="108">
                  <c:v>0.81440399982189593</c:v>
                </c:pt>
                <c:pt idx="109">
                  <c:v>0.81668051076547143</c:v>
                </c:pt>
                <c:pt idx="110">
                  <c:v>0.89348018488148551</c:v>
                </c:pt>
                <c:pt idx="111">
                  <c:v>0.90830074593214449</c:v>
                </c:pt>
                <c:pt idx="112">
                  <c:v>0.94704351609948945</c:v>
                </c:pt>
                <c:pt idx="113">
                  <c:v>0.95887155620689424</c:v>
                </c:pt>
                <c:pt idx="114">
                  <c:v>1.0181479765024655</c:v>
                </c:pt>
                <c:pt idx="115">
                  <c:v>1.0640944578485567</c:v>
                </c:pt>
                <c:pt idx="116">
                  <c:v>1.1190701083233838</c:v>
                </c:pt>
                <c:pt idx="117">
                  <c:v>1.1445302899832388</c:v>
                </c:pt>
                <c:pt idx="118">
                  <c:v>1.1497278626453076</c:v>
                </c:pt>
                <c:pt idx="119">
                  <c:v>1.2000994433955381</c:v>
                </c:pt>
                <c:pt idx="120">
                  <c:v>1.2417845443142017</c:v>
                </c:pt>
                <c:pt idx="121">
                  <c:v>1.2853957304192192</c:v>
                </c:pt>
                <c:pt idx="122">
                  <c:v>1.304547420878035</c:v>
                </c:pt>
                <c:pt idx="123">
                  <c:v>1.4524330219642179</c:v>
                </c:pt>
                <c:pt idx="124">
                  <c:v>1.5036984630409798</c:v>
                </c:pt>
                <c:pt idx="125">
                  <c:v>2.1704525763282212</c:v>
                </c:pt>
                <c:pt idx="126">
                  <c:v>2.3499160108594341</c:v>
                </c:pt>
                <c:pt idx="127">
                  <c:v>2.6661655492796821</c:v>
                </c:pt>
                <c:pt idx="128">
                  <c:v>3.053749704841874</c:v>
                </c:pt>
                <c:pt idx="129">
                  <c:v>3.2280972928577545</c:v>
                </c:pt>
              </c:numCache>
            </c:numRef>
          </c:xVal>
          <c:yVal>
            <c:numRef>
              <c:f>Regression!$AK$3:$AK$1048576</c:f>
              <c:numCache>
                <c:formatCode>General</c:formatCode>
                <c:ptCount val="1048574"/>
                <c:pt idx="0">
                  <c:v>-3.3552398517483932</c:v>
                </c:pt>
                <c:pt idx="1">
                  <c:v>-2.6574646063263492</c:v>
                </c:pt>
                <c:pt idx="2">
                  <c:v>-2.01890232471803</c:v>
                </c:pt>
                <c:pt idx="3">
                  <c:v>-1.9507246994361684</c:v>
                </c:pt>
                <c:pt idx="4">
                  <c:v>-1.8536811738783288</c:v>
                </c:pt>
                <c:pt idx="5">
                  <c:v>-1.6518561172458917</c:v>
                </c:pt>
                <c:pt idx="6">
                  <c:v>-1.5604282204735105</c:v>
                </c:pt>
                <c:pt idx="7">
                  <c:v>-1.4621485521146045</c:v>
                </c:pt>
                <c:pt idx="8">
                  <c:v>-1.3108607463788147</c:v>
                </c:pt>
                <c:pt idx="9">
                  <c:v>-1.2948361879522281</c:v>
                </c:pt>
                <c:pt idx="10">
                  <c:v>-1.1959044266465113</c:v>
                </c:pt>
                <c:pt idx="11">
                  <c:v>-1.174862384262666</c:v>
                </c:pt>
                <c:pt idx="12">
                  <c:v>-1.1722566424263086</c:v>
                </c:pt>
                <c:pt idx="13">
                  <c:v>-1.1465070038224379</c:v>
                </c:pt>
                <c:pt idx="14">
                  <c:v>-1.0773729081769121</c:v>
                </c:pt>
                <c:pt idx="15">
                  <c:v>-1.0110249729372656</c:v>
                </c:pt>
                <c:pt idx="16">
                  <c:v>-1.0076096782014357</c:v>
                </c:pt>
                <c:pt idx="17">
                  <c:v>-0.92163911942630505</c:v>
                </c:pt>
                <c:pt idx="18">
                  <c:v>-0.91795041167293911</c:v>
                </c:pt>
                <c:pt idx="19">
                  <c:v>-0.86731862254892933</c:v>
                </c:pt>
                <c:pt idx="20">
                  <c:v>-0.86374768678628122</c:v>
                </c:pt>
                <c:pt idx="21">
                  <c:v>-0.85821464811470638</c:v>
                </c:pt>
                <c:pt idx="22">
                  <c:v>-0.84894714159828955</c:v>
                </c:pt>
                <c:pt idx="23">
                  <c:v>-0.82405960948067059</c:v>
                </c:pt>
                <c:pt idx="24">
                  <c:v>-0.81454100262906892</c:v>
                </c:pt>
                <c:pt idx="25">
                  <c:v>-0.79442129615532109</c:v>
                </c:pt>
                <c:pt idx="26">
                  <c:v>-0.78223780715424018</c:v>
                </c:pt>
                <c:pt idx="27">
                  <c:v>-0.75233055058128562</c:v>
                </c:pt>
                <c:pt idx="28">
                  <c:v>-0.74196855715293086</c:v>
                </c:pt>
                <c:pt idx="29">
                  <c:v>-0.74068482977470007</c:v>
                </c:pt>
                <c:pt idx="30">
                  <c:v>-0.70921848977672608</c:v>
                </c:pt>
                <c:pt idx="31">
                  <c:v>-0.67029167970115022</c:v>
                </c:pt>
                <c:pt idx="32">
                  <c:v>-0.62246950110072441</c:v>
                </c:pt>
                <c:pt idx="33">
                  <c:v>-0.56268131331803906</c:v>
                </c:pt>
                <c:pt idx="34">
                  <c:v>-0.54772003297150196</c:v>
                </c:pt>
                <c:pt idx="35">
                  <c:v>-0.53290238274908208</c:v>
                </c:pt>
                <c:pt idx="36">
                  <c:v>-0.48962978369286347</c:v>
                </c:pt>
                <c:pt idx="37">
                  <c:v>-0.48335518087510915</c:v>
                </c:pt>
                <c:pt idx="38">
                  <c:v>-0.42955553832993731</c:v>
                </c:pt>
                <c:pt idx="39">
                  <c:v>-0.39717459586514764</c:v>
                </c:pt>
                <c:pt idx="40">
                  <c:v>-0.38653061805035654</c:v>
                </c:pt>
                <c:pt idx="41">
                  <c:v>-0.37822560649877823</c:v>
                </c:pt>
                <c:pt idx="42">
                  <c:v>-0.35627190170034223</c:v>
                </c:pt>
                <c:pt idx="43">
                  <c:v>-0.34119073731615512</c:v>
                </c:pt>
                <c:pt idx="44">
                  <c:v>-0.32905807013877875</c:v>
                </c:pt>
                <c:pt idx="45">
                  <c:v>-0.3176490259738719</c:v>
                </c:pt>
                <c:pt idx="46">
                  <c:v>-0.30963671587107933</c:v>
                </c:pt>
                <c:pt idx="47">
                  <c:v>-0.30455075903640261</c:v>
                </c:pt>
                <c:pt idx="48">
                  <c:v>-0.27412746763438262</c:v>
                </c:pt>
                <c:pt idx="49">
                  <c:v>-0.26479648850584087</c:v>
                </c:pt>
                <c:pt idx="50">
                  <c:v>-0.24106077883927862</c:v>
                </c:pt>
                <c:pt idx="51">
                  <c:v>-0.23350575600802045</c:v>
                </c:pt>
                <c:pt idx="52">
                  <c:v>-0.22689341879467756</c:v>
                </c:pt>
                <c:pt idx="53">
                  <c:v>-0.22128469487104246</c:v>
                </c:pt>
                <c:pt idx="54">
                  <c:v>-0.21811750979559288</c:v>
                </c:pt>
                <c:pt idx="55">
                  <c:v>-0.20661022463039402</c:v>
                </c:pt>
                <c:pt idx="56">
                  <c:v>-0.19387278807310673</c:v>
                </c:pt>
                <c:pt idx="57">
                  <c:v>-0.17195408263796069</c:v>
                </c:pt>
                <c:pt idx="58">
                  <c:v>-0.15455192047735494</c:v>
                </c:pt>
                <c:pt idx="59">
                  <c:v>-0.14738759710600224</c:v>
                </c:pt>
                <c:pt idx="60">
                  <c:v>-0.12116821654118708</c:v>
                </c:pt>
                <c:pt idx="61">
                  <c:v>-0.11617389999754073</c:v>
                </c:pt>
                <c:pt idx="62">
                  <c:v>-6.5448427261412742E-2</c:v>
                </c:pt>
                <c:pt idx="63">
                  <c:v>-5.8062728660348714E-2</c:v>
                </c:pt>
                <c:pt idx="64">
                  <c:v>-5.6582068616461229E-2</c:v>
                </c:pt>
                <c:pt idx="65">
                  <c:v>-5.3893838753811152E-2</c:v>
                </c:pt>
                <c:pt idx="66">
                  <c:v>-4.2127326856800061E-2</c:v>
                </c:pt>
                <c:pt idx="67">
                  <c:v>-9.744491342130273E-3</c:v>
                </c:pt>
                <c:pt idx="68">
                  <c:v>2.983199506919856E-2</c:v>
                </c:pt>
                <c:pt idx="69">
                  <c:v>3.5055607793868272E-2</c:v>
                </c:pt>
                <c:pt idx="70">
                  <c:v>4.0106330188757651E-2</c:v>
                </c:pt>
                <c:pt idx="71">
                  <c:v>5.4201956788524575E-2</c:v>
                </c:pt>
                <c:pt idx="72">
                  <c:v>7.0777873523971732E-2</c:v>
                </c:pt>
                <c:pt idx="73">
                  <c:v>8.1989209428109069E-2</c:v>
                </c:pt>
                <c:pt idx="74">
                  <c:v>0.12463898334882778</c:v>
                </c:pt>
                <c:pt idx="75">
                  <c:v>0.12962551893790211</c:v>
                </c:pt>
                <c:pt idx="76">
                  <c:v>0.15638392643453866</c:v>
                </c:pt>
                <c:pt idx="77">
                  <c:v>0.17808234800160042</c:v>
                </c:pt>
                <c:pt idx="78">
                  <c:v>0.21435681033288975</c:v>
                </c:pt>
                <c:pt idx="79">
                  <c:v>0.23438120823335945</c:v>
                </c:pt>
                <c:pt idx="80">
                  <c:v>0.24810068300248678</c:v>
                </c:pt>
                <c:pt idx="81">
                  <c:v>0.27421905488502935</c:v>
                </c:pt>
                <c:pt idx="82">
                  <c:v>0.29920488513048288</c:v>
                </c:pt>
                <c:pt idx="83">
                  <c:v>0.31336110290810326</c:v>
                </c:pt>
                <c:pt idx="84">
                  <c:v>0.41408570472483458</c:v>
                </c:pt>
                <c:pt idx="85">
                  <c:v>0.41712178192858801</c:v>
                </c:pt>
                <c:pt idx="86">
                  <c:v>0.42960320572929128</c:v>
                </c:pt>
                <c:pt idx="87">
                  <c:v>0.44814238983718785</c:v>
                </c:pt>
                <c:pt idx="88">
                  <c:v>0.46819096578345959</c:v>
                </c:pt>
                <c:pt idx="89">
                  <c:v>0.48740780163793151</c:v>
                </c:pt>
                <c:pt idx="90">
                  <c:v>0.49994681472173291</c:v>
                </c:pt>
                <c:pt idx="91">
                  <c:v>0.51130276908986849</c:v>
                </c:pt>
                <c:pt idx="92">
                  <c:v>0.53474418620157615</c:v>
                </c:pt>
                <c:pt idx="93">
                  <c:v>0.54147746435852739</c:v>
                </c:pt>
                <c:pt idx="94">
                  <c:v>0.58480803782719781</c:v>
                </c:pt>
                <c:pt idx="95">
                  <c:v>0.5932407889630793</c:v>
                </c:pt>
                <c:pt idx="96">
                  <c:v>0.60140072866247263</c:v>
                </c:pt>
                <c:pt idx="97">
                  <c:v>0.60246699183071128</c:v>
                </c:pt>
                <c:pt idx="98">
                  <c:v>0.60282804439389348</c:v>
                </c:pt>
                <c:pt idx="99">
                  <c:v>0.62064531671365586</c:v>
                </c:pt>
                <c:pt idx="100">
                  <c:v>0.68324726104203637</c:v>
                </c:pt>
                <c:pt idx="101">
                  <c:v>0.70811423730457757</c:v>
                </c:pt>
                <c:pt idx="102">
                  <c:v>0.72460445526316353</c:v>
                </c:pt>
                <c:pt idx="103">
                  <c:v>0.73188460068330485</c:v>
                </c:pt>
                <c:pt idx="104">
                  <c:v>0.747413936633188</c:v>
                </c:pt>
                <c:pt idx="105">
                  <c:v>0.78082353237628666</c:v>
                </c:pt>
                <c:pt idx="106">
                  <c:v>0.79863296204644108</c:v>
                </c:pt>
                <c:pt idx="107">
                  <c:v>0.80245989437439058</c:v>
                </c:pt>
                <c:pt idx="108">
                  <c:v>0.81440399982189593</c:v>
                </c:pt>
                <c:pt idx="109">
                  <c:v>0.81668051076547143</c:v>
                </c:pt>
                <c:pt idx="110">
                  <c:v>0.89348018488148551</c:v>
                </c:pt>
                <c:pt idx="111">
                  <c:v>0.90830074593214449</c:v>
                </c:pt>
                <c:pt idx="112">
                  <c:v>0.94704351609948945</c:v>
                </c:pt>
                <c:pt idx="113">
                  <c:v>0.95887155620689424</c:v>
                </c:pt>
                <c:pt idx="114">
                  <c:v>1.0181479765024655</c:v>
                </c:pt>
                <c:pt idx="115">
                  <c:v>1.0640944578485567</c:v>
                </c:pt>
                <c:pt idx="116">
                  <c:v>1.1190701083233838</c:v>
                </c:pt>
                <c:pt idx="117">
                  <c:v>1.1445302899832388</c:v>
                </c:pt>
                <c:pt idx="118">
                  <c:v>1.1497278626453076</c:v>
                </c:pt>
                <c:pt idx="119">
                  <c:v>1.2000994433955381</c:v>
                </c:pt>
                <c:pt idx="120">
                  <c:v>1.2417845443142017</c:v>
                </c:pt>
                <c:pt idx="121">
                  <c:v>1.2853957304192192</c:v>
                </c:pt>
                <c:pt idx="122">
                  <c:v>1.304547420878035</c:v>
                </c:pt>
                <c:pt idx="123">
                  <c:v>1.4524330219642179</c:v>
                </c:pt>
                <c:pt idx="124">
                  <c:v>1.5036984630409798</c:v>
                </c:pt>
                <c:pt idx="125">
                  <c:v>2.1704525763282212</c:v>
                </c:pt>
                <c:pt idx="126">
                  <c:v>2.3499160108594341</c:v>
                </c:pt>
                <c:pt idx="127">
                  <c:v>2.6661655492796821</c:v>
                </c:pt>
                <c:pt idx="128">
                  <c:v>3.053749704841874</c:v>
                </c:pt>
                <c:pt idx="129">
                  <c:v>3.2280972928577545</c:v>
                </c:pt>
              </c:numCache>
            </c:numRef>
          </c:yVal>
          <c:smooth val="0"/>
          <c:extLst>
            <c:ext xmlns:c16="http://schemas.microsoft.com/office/drawing/2014/chart" uri="{C3380CC4-5D6E-409C-BE32-E72D297353CC}">
              <c16:uniqueId val="{00000001-65E3-4940-AF83-6039C5B41003}"/>
            </c:ext>
          </c:extLst>
        </c:ser>
        <c:dLbls>
          <c:showLegendKey val="0"/>
          <c:showVal val="0"/>
          <c:showCatName val="0"/>
          <c:showSerName val="0"/>
          <c:showPercent val="0"/>
          <c:showBubbleSize val="0"/>
        </c:dLbls>
        <c:axId val="1301871231"/>
        <c:axId val="1301871711"/>
      </c:scatterChart>
      <c:valAx>
        <c:axId val="1301871231"/>
        <c:scaling>
          <c:orientation val="minMax"/>
          <c:max val="4"/>
          <c:min val="-4"/>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71711"/>
        <c:crosses val="autoZero"/>
        <c:crossBetween val="midCat"/>
      </c:valAx>
      <c:valAx>
        <c:axId val="13018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712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Regression!$AH$2</c:f>
              <c:strCache>
                <c:ptCount val="1"/>
                <c:pt idx="0">
                  <c:v>Cook's Distance</c:v>
                </c:pt>
              </c:strCache>
            </c:strRef>
          </c:tx>
          <c:spPr>
            <a:solidFill>
              <a:schemeClr val="accent1"/>
            </a:solidFill>
            <a:ln>
              <a:noFill/>
            </a:ln>
            <a:effectLst/>
          </c:spPr>
          <c:invertIfNegative val="0"/>
          <c:val>
            <c:numRef>
              <c:f>Regression!$AH$3:$AH$132</c:f>
              <c:numCache>
                <c:formatCode>General</c:formatCode>
                <c:ptCount val="130"/>
                <c:pt idx="0">
                  <c:v>7.2188889289019212E-3</c:v>
                </c:pt>
                <c:pt idx="1">
                  <c:v>6.4871536391468117E-4</c:v>
                </c:pt>
                <c:pt idx="2">
                  <c:v>3.712836939340739E-5</c:v>
                </c:pt>
                <c:pt idx="3">
                  <c:v>4.5455237388424857E-2</c:v>
                </c:pt>
                <c:pt idx="4">
                  <c:v>4.3856147739951973E-4</c:v>
                </c:pt>
                <c:pt idx="5">
                  <c:v>1.0278335122546478E-4</c:v>
                </c:pt>
                <c:pt idx="6">
                  <c:v>2.5689074594622139E-2</c:v>
                </c:pt>
                <c:pt idx="7">
                  <c:v>2.1987826251525618E-4</c:v>
                </c:pt>
                <c:pt idx="8">
                  <c:v>4.9267627492067326E-3</c:v>
                </c:pt>
                <c:pt idx="9">
                  <c:v>1.4319374112926728E-3</c:v>
                </c:pt>
                <c:pt idx="10">
                  <c:v>1.4537996942708822E-2</c:v>
                </c:pt>
                <c:pt idx="11">
                  <c:v>5.6810337081120127E-2</c:v>
                </c:pt>
                <c:pt idx="12">
                  <c:v>3.1371638340005059E-3</c:v>
                </c:pt>
                <c:pt idx="13">
                  <c:v>1.2334603607872574E-4</c:v>
                </c:pt>
                <c:pt idx="14">
                  <c:v>1.2574350891671752E-2</c:v>
                </c:pt>
                <c:pt idx="15">
                  <c:v>2.468900406114415E-4</c:v>
                </c:pt>
                <c:pt idx="16">
                  <c:v>7.853857595494609E-3</c:v>
                </c:pt>
                <c:pt idx="17">
                  <c:v>2.0640755499229884E-4</c:v>
                </c:pt>
                <c:pt idx="18">
                  <c:v>2.2490629159681811E-3</c:v>
                </c:pt>
                <c:pt idx="19">
                  <c:v>1.6486228090658972E-3</c:v>
                </c:pt>
                <c:pt idx="20">
                  <c:v>9.2274131469660039E-3</c:v>
                </c:pt>
                <c:pt idx="21">
                  <c:v>2.7310141909166652E-3</c:v>
                </c:pt>
                <c:pt idx="22">
                  <c:v>1.5190001436821538E-3</c:v>
                </c:pt>
                <c:pt idx="23">
                  <c:v>2.7235698613323964E-3</c:v>
                </c:pt>
                <c:pt idx="24">
                  <c:v>2.7586890948908152E-3</c:v>
                </c:pt>
                <c:pt idx="25">
                  <c:v>5.8160051724188793E-4</c:v>
                </c:pt>
                <c:pt idx="26">
                  <c:v>1.1165825404599748E-3</c:v>
                </c:pt>
                <c:pt idx="27">
                  <c:v>6.0572026339376431E-3</c:v>
                </c:pt>
                <c:pt idx="28">
                  <c:v>0.19240344558102571</c:v>
                </c:pt>
                <c:pt idx="29">
                  <c:v>8.2689979970681101E-6</c:v>
                </c:pt>
                <c:pt idx="30">
                  <c:v>7.3105707340986123E-6</c:v>
                </c:pt>
                <c:pt idx="31">
                  <c:v>1.5162873556481958E-3</c:v>
                </c:pt>
                <c:pt idx="32">
                  <c:v>4.5417883809922893E-5</c:v>
                </c:pt>
                <c:pt idx="33">
                  <c:v>8.110550317179748E-4</c:v>
                </c:pt>
                <c:pt idx="34">
                  <c:v>7.1725650160837858E-6</c:v>
                </c:pt>
                <c:pt idx="35">
                  <c:v>4.4549456571058646E-3</c:v>
                </c:pt>
                <c:pt idx="36">
                  <c:v>3.2059806754951173E-4</c:v>
                </c:pt>
                <c:pt idx="37">
                  <c:v>3.7185789839142041E-4</c:v>
                </c:pt>
                <c:pt idx="38">
                  <c:v>2.8261114090888995E-3</c:v>
                </c:pt>
                <c:pt idx="39">
                  <c:v>6.7876473188372274E-3</c:v>
                </c:pt>
                <c:pt idx="40">
                  <c:v>2.6399617449952184E-3</c:v>
                </c:pt>
                <c:pt idx="41">
                  <c:v>6.4212357019314322E-4</c:v>
                </c:pt>
                <c:pt idx="42">
                  <c:v>1.1452750416099467E-5</c:v>
                </c:pt>
                <c:pt idx="43">
                  <c:v>5.0288026069026729E-5</c:v>
                </c:pt>
                <c:pt idx="44">
                  <c:v>4.8827427907493556E-3</c:v>
                </c:pt>
                <c:pt idx="45">
                  <c:v>1.2722113422671297E-2</c:v>
                </c:pt>
                <c:pt idx="46">
                  <c:v>1.4151474484455541E-2</c:v>
                </c:pt>
                <c:pt idx="47">
                  <c:v>8.0950185392602008E-4</c:v>
                </c:pt>
                <c:pt idx="48">
                  <c:v>5.1404297544560257E-5</c:v>
                </c:pt>
                <c:pt idx="49">
                  <c:v>1.3441763618983818E-3</c:v>
                </c:pt>
                <c:pt idx="50">
                  <c:v>3.4583001918609209E-3</c:v>
                </c:pt>
                <c:pt idx="51">
                  <c:v>1.6023750297042976E-5</c:v>
                </c:pt>
                <c:pt idx="52">
                  <c:v>2.1518124252167641E-3</c:v>
                </c:pt>
                <c:pt idx="53">
                  <c:v>1.2547846172980724E-3</c:v>
                </c:pt>
                <c:pt idx="54">
                  <c:v>7.1331497750751925E-3</c:v>
                </c:pt>
                <c:pt idx="55">
                  <c:v>2.1238971254210842E-2</c:v>
                </c:pt>
                <c:pt idx="56">
                  <c:v>1.0933857360308296E-4</c:v>
                </c:pt>
                <c:pt idx="57">
                  <c:v>3.5811875009842396E-4</c:v>
                </c:pt>
                <c:pt idx="58">
                  <c:v>4.5682813926315309E-4</c:v>
                </c:pt>
                <c:pt idx="59">
                  <c:v>8.1284019230279869E-4</c:v>
                </c:pt>
                <c:pt idx="60">
                  <c:v>7.4122227718650643E-4</c:v>
                </c:pt>
                <c:pt idx="61">
                  <c:v>1.0145112747151437E-2</c:v>
                </c:pt>
                <c:pt idx="62">
                  <c:v>1.2338376284530509E-4</c:v>
                </c:pt>
                <c:pt idx="63">
                  <c:v>7.0761289885022385E-3</c:v>
                </c:pt>
                <c:pt idx="64">
                  <c:v>1.7557639161451262E-3</c:v>
                </c:pt>
                <c:pt idx="65">
                  <c:v>2.2815046246584458E-4</c:v>
                </c:pt>
                <c:pt idx="66">
                  <c:v>2.6538551314155338E-2</c:v>
                </c:pt>
                <c:pt idx="67">
                  <c:v>1.487738061083943E-4</c:v>
                </c:pt>
                <c:pt idx="68">
                  <c:v>5.2046615444741682E-3</c:v>
                </c:pt>
                <c:pt idx="69">
                  <c:v>1.723595940142975E-3</c:v>
                </c:pt>
                <c:pt idx="70">
                  <c:v>1.9915552776440608E-4</c:v>
                </c:pt>
                <c:pt idx="71">
                  <c:v>7.6297350456421432E-3</c:v>
                </c:pt>
                <c:pt idx="72">
                  <c:v>2.167103775286577E-4</c:v>
                </c:pt>
                <c:pt idx="73">
                  <c:v>1.3600818413429437E-2</c:v>
                </c:pt>
                <c:pt idx="74">
                  <c:v>2.7278900925883989E-3</c:v>
                </c:pt>
                <c:pt idx="75">
                  <c:v>8.5129940250337158E-4</c:v>
                </c:pt>
                <c:pt idx="76">
                  <c:v>2.1792724056194761E-6</c:v>
                </c:pt>
                <c:pt idx="77">
                  <c:v>1.1103889799984896E-5</c:v>
                </c:pt>
                <c:pt idx="78">
                  <c:v>2.0684990121494023E-2</c:v>
                </c:pt>
                <c:pt idx="79">
                  <c:v>1.4684321914961242E-2</c:v>
                </c:pt>
                <c:pt idx="80">
                  <c:v>3.9776244830037277E-2</c:v>
                </c:pt>
                <c:pt idx="81">
                  <c:v>1.5638170168144681E-3</c:v>
                </c:pt>
                <c:pt idx="82">
                  <c:v>1.5728911320237259E-2</c:v>
                </c:pt>
                <c:pt idx="83">
                  <c:v>2.7647926360247036E-4</c:v>
                </c:pt>
                <c:pt idx="84">
                  <c:v>7.1139736868652988E-4</c:v>
                </c:pt>
                <c:pt idx="85">
                  <c:v>1.5952798074012252E-2</c:v>
                </c:pt>
                <c:pt idx="86">
                  <c:v>1.6421547017496041E-2</c:v>
                </c:pt>
                <c:pt idx="87">
                  <c:v>2.1414619574260975E-3</c:v>
                </c:pt>
                <c:pt idx="88">
                  <c:v>0.23830409020720256</c:v>
                </c:pt>
                <c:pt idx="89">
                  <c:v>0.20387119546560359</c:v>
                </c:pt>
                <c:pt idx="90">
                  <c:v>0.2011675695320721</c:v>
                </c:pt>
                <c:pt idx="91">
                  <c:v>2.172585377677113E-2</c:v>
                </c:pt>
                <c:pt idx="92">
                  <c:v>9.4113861300413855E-4</c:v>
                </c:pt>
                <c:pt idx="93">
                  <c:v>2.8688759348121047E-2</c:v>
                </c:pt>
                <c:pt idx="94">
                  <c:v>5.0830550011799998E-4</c:v>
                </c:pt>
                <c:pt idx="95">
                  <c:v>7.2413559087605842E-2</c:v>
                </c:pt>
                <c:pt idx="96">
                  <c:v>1.3404562968502597E-3</c:v>
                </c:pt>
                <c:pt idx="97">
                  <c:v>5.611046755190538E-2</c:v>
                </c:pt>
                <c:pt idx="98">
                  <c:v>3.172093580301036E-4</c:v>
                </c:pt>
                <c:pt idx="99">
                  <c:v>1.4881356760550819E-2</c:v>
                </c:pt>
                <c:pt idx="100">
                  <c:v>1.495312355799894E-3</c:v>
                </c:pt>
                <c:pt idx="101">
                  <c:v>4.6303482332158419E-5</c:v>
                </c:pt>
                <c:pt idx="102">
                  <c:v>4.4193730358785461E-4</c:v>
                </c:pt>
                <c:pt idx="103">
                  <c:v>4.7026070357035297E-3</c:v>
                </c:pt>
                <c:pt idx="104">
                  <c:v>2.9925260781107116E-3</c:v>
                </c:pt>
                <c:pt idx="105">
                  <c:v>4.4841350996832131E-4</c:v>
                </c:pt>
                <c:pt idx="106">
                  <c:v>9.2560726870756643E-2</c:v>
                </c:pt>
                <c:pt idx="107">
                  <c:v>6.0580304743237737E-3</c:v>
                </c:pt>
                <c:pt idx="108">
                  <c:v>9.4300326749586442E-3</c:v>
                </c:pt>
                <c:pt idx="109">
                  <c:v>1.3978904872037768E-3</c:v>
                </c:pt>
                <c:pt idx="110">
                  <c:v>3.3846754657302532E-3</c:v>
                </c:pt>
                <c:pt idx="111">
                  <c:v>1.5888754021485356E-4</c:v>
                </c:pt>
                <c:pt idx="112">
                  <c:v>1.3873435096449293E-4</c:v>
                </c:pt>
                <c:pt idx="113">
                  <c:v>2.3531625931575767E-3</c:v>
                </c:pt>
                <c:pt idx="114">
                  <c:v>1.1539082215623138E-4</c:v>
                </c:pt>
                <c:pt idx="115">
                  <c:v>1.2703133003509942E-3</c:v>
                </c:pt>
                <c:pt idx="116">
                  <c:v>4.5348315028303235E-4</c:v>
                </c:pt>
                <c:pt idx="117">
                  <c:v>1.1805894215320291E-4</c:v>
                </c:pt>
                <c:pt idx="118">
                  <c:v>7.0713943895567866E-6</c:v>
                </c:pt>
                <c:pt idx="119">
                  <c:v>4.1929655767326936E-3</c:v>
                </c:pt>
                <c:pt idx="120">
                  <c:v>1.7651798389207879E-5</c:v>
                </c:pt>
                <c:pt idx="121">
                  <c:v>5.7381762181796915E-3</c:v>
                </c:pt>
                <c:pt idx="122">
                  <c:v>1.4667988837486799E-2</c:v>
                </c:pt>
                <c:pt idx="123">
                  <c:v>2.3509119232261927E-2</c:v>
                </c:pt>
                <c:pt idx="124">
                  <c:v>5.0626898152420254E-3</c:v>
                </c:pt>
                <c:pt idx="125">
                  <c:v>8.9509937074429182E-4</c:v>
                </c:pt>
                <c:pt idx="126">
                  <c:v>3.2075320154146048E-3</c:v>
                </c:pt>
                <c:pt idx="127">
                  <c:v>5.26036490656353E-3</c:v>
                </c:pt>
                <c:pt idx="128">
                  <c:v>4.0952549258783727E-3</c:v>
                </c:pt>
                <c:pt idx="129">
                  <c:v>7.123338155747061E-3</c:v>
                </c:pt>
              </c:numCache>
            </c:numRef>
          </c:val>
          <c:extLst>
            <c:ext xmlns:c16="http://schemas.microsoft.com/office/drawing/2014/chart" uri="{C3380CC4-5D6E-409C-BE32-E72D297353CC}">
              <c16:uniqueId val="{00000000-1D11-4DAC-9FE8-D1D848F217A2}"/>
            </c:ext>
          </c:extLst>
        </c:ser>
        <c:dLbls>
          <c:showLegendKey val="0"/>
          <c:showVal val="0"/>
          <c:showCatName val="0"/>
          <c:showSerName val="0"/>
          <c:showPercent val="0"/>
          <c:showBubbleSize val="0"/>
        </c:dLbls>
        <c:gapWidth val="219"/>
        <c:overlap val="-27"/>
        <c:axId val="1270017215"/>
        <c:axId val="1270015775"/>
      </c:barChart>
      <c:catAx>
        <c:axId val="12700172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15775"/>
        <c:crosses val="autoZero"/>
        <c:auto val="1"/>
        <c:lblAlgn val="ctr"/>
        <c:lblOffset val="100"/>
        <c:noMultiLvlLbl val="0"/>
      </c:catAx>
      <c:valAx>
        <c:axId val="127001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1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Studentized Residuals vs. Leverage</a:t>
            </a:r>
            <a:br>
              <a:rPr lang="en-US"/>
            </a:br>
            <a:r>
              <a:rPr lang="en-US"/>
              <a:t>(Look</a:t>
            </a:r>
            <a:r>
              <a:rPr lang="en-US" baseline="0"/>
              <a:t> out for values in top right or bottom right)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Regression!$AG$2</c:f>
              <c:strCache>
                <c:ptCount val="1"/>
                <c:pt idx="0">
                  <c:v>Studentized Residuals</c:v>
                </c:pt>
              </c:strCache>
            </c:strRef>
          </c:tx>
          <c:spPr>
            <a:ln w="38100" cap="rnd">
              <a:noFill/>
              <a:round/>
            </a:ln>
            <a:effectLst/>
          </c:spPr>
          <c:marker>
            <c:symbol val="circle"/>
            <c:size val="5"/>
            <c:spPr>
              <a:solidFill>
                <a:schemeClr val="accent2"/>
              </a:solidFill>
              <a:ln w="9525">
                <a:solidFill>
                  <a:schemeClr val="accent2"/>
                </a:solidFill>
              </a:ln>
              <a:effectLst/>
            </c:spPr>
          </c:marker>
          <c:xVal>
            <c:numRef>
              <c:f>Regression!$AE$3:$AE$1048576</c:f>
              <c:numCache>
                <c:formatCode>General</c:formatCode>
                <c:ptCount val="1048574"/>
                <c:pt idx="0">
                  <c:v>0.15529432277838975</c:v>
                </c:pt>
                <c:pt idx="1">
                  <c:v>2.5723739701735915E-2</c:v>
                </c:pt>
                <c:pt idx="2">
                  <c:v>4.9672458429496108E-2</c:v>
                </c:pt>
                <c:pt idx="3">
                  <c:v>0.10896730123117293</c:v>
                </c:pt>
                <c:pt idx="4">
                  <c:v>9.9818089915637148E-2</c:v>
                </c:pt>
                <c:pt idx="5">
                  <c:v>3.432891098525935E-2</c:v>
                </c:pt>
                <c:pt idx="6">
                  <c:v>0.39856486450590212</c:v>
                </c:pt>
                <c:pt idx="7">
                  <c:v>8.9142108626309502E-2</c:v>
                </c:pt>
                <c:pt idx="8">
                  <c:v>0.1291661711132755</c:v>
                </c:pt>
                <c:pt idx="9">
                  <c:v>0.37190305488645875</c:v>
                </c:pt>
                <c:pt idx="10">
                  <c:v>0.10188337391962407</c:v>
                </c:pt>
                <c:pt idx="11">
                  <c:v>0.10374039858591841</c:v>
                </c:pt>
                <c:pt idx="12">
                  <c:v>4.0009647259945033E-2</c:v>
                </c:pt>
                <c:pt idx="13">
                  <c:v>4.1210409260990725E-2</c:v>
                </c:pt>
                <c:pt idx="14">
                  <c:v>0.12310284658338047</c:v>
                </c:pt>
                <c:pt idx="15">
                  <c:v>4.9789703955162481E-2</c:v>
                </c:pt>
                <c:pt idx="16">
                  <c:v>6.5245588090328543E-2</c:v>
                </c:pt>
                <c:pt idx="17">
                  <c:v>4.9568388896230241E-2</c:v>
                </c:pt>
                <c:pt idx="18">
                  <c:v>7.8303810864468332E-2</c:v>
                </c:pt>
                <c:pt idx="19">
                  <c:v>0.16567189944780578</c:v>
                </c:pt>
                <c:pt idx="20">
                  <c:v>0.14640665589438831</c:v>
                </c:pt>
                <c:pt idx="21">
                  <c:v>7.2557878828338404E-2</c:v>
                </c:pt>
                <c:pt idx="22">
                  <c:v>5.1125210051090851E-2</c:v>
                </c:pt>
                <c:pt idx="23">
                  <c:v>6.6991027658758445E-2</c:v>
                </c:pt>
                <c:pt idx="24">
                  <c:v>0.31046774177813774</c:v>
                </c:pt>
                <c:pt idx="25">
                  <c:v>0.17671881049938395</c:v>
                </c:pt>
                <c:pt idx="26">
                  <c:v>0.10311940865636984</c:v>
                </c:pt>
                <c:pt idx="27">
                  <c:v>0.30566146129704802</c:v>
                </c:pt>
                <c:pt idx="28">
                  <c:v>0.70332444360862689</c:v>
                </c:pt>
                <c:pt idx="29">
                  <c:v>4.67781286698409E-2</c:v>
                </c:pt>
                <c:pt idx="30">
                  <c:v>4.5145270221161937E-2</c:v>
                </c:pt>
                <c:pt idx="31">
                  <c:v>4.3216951124100636E-2</c:v>
                </c:pt>
                <c:pt idx="32">
                  <c:v>5.2625288291793158E-2</c:v>
                </c:pt>
                <c:pt idx="33">
                  <c:v>6.5682877882212165E-2</c:v>
                </c:pt>
                <c:pt idx="34">
                  <c:v>0.13279594064184264</c:v>
                </c:pt>
                <c:pt idx="35">
                  <c:v>0.22401958920562115</c:v>
                </c:pt>
                <c:pt idx="36">
                  <c:v>2.4999671973945353E-2</c:v>
                </c:pt>
                <c:pt idx="37">
                  <c:v>3.3984633795673624E-2</c:v>
                </c:pt>
                <c:pt idx="38">
                  <c:v>8.9150279493304424E-2</c:v>
                </c:pt>
                <c:pt idx="39">
                  <c:v>0.26817491597703441</c:v>
                </c:pt>
                <c:pt idx="40">
                  <c:v>7.576297052244077E-2</c:v>
                </c:pt>
                <c:pt idx="41">
                  <c:v>0.11624747013230835</c:v>
                </c:pt>
                <c:pt idx="42">
                  <c:v>0.10922086879258347</c:v>
                </c:pt>
                <c:pt idx="43">
                  <c:v>6.1102494913984888E-2</c:v>
                </c:pt>
                <c:pt idx="44">
                  <c:v>7.5728063735386306E-2</c:v>
                </c:pt>
                <c:pt idx="45">
                  <c:v>0.29926178918780266</c:v>
                </c:pt>
                <c:pt idx="46">
                  <c:v>5.3994362265558413E-2</c:v>
                </c:pt>
                <c:pt idx="47">
                  <c:v>4.0651927353226147E-2</c:v>
                </c:pt>
                <c:pt idx="48">
                  <c:v>5.4933154797948788E-2</c:v>
                </c:pt>
                <c:pt idx="49">
                  <c:v>6.566381725198181E-2</c:v>
                </c:pt>
                <c:pt idx="50">
                  <c:v>9.0111187556614097E-2</c:v>
                </c:pt>
                <c:pt idx="51">
                  <c:v>9.4874269152502425E-2</c:v>
                </c:pt>
                <c:pt idx="52">
                  <c:v>5.9700445200555785E-2</c:v>
                </c:pt>
                <c:pt idx="53">
                  <c:v>0.95098104201959677</c:v>
                </c:pt>
                <c:pt idx="54">
                  <c:v>0.15266299388700352</c:v>
                </c:pt>
                <c:pt idx="55">
                  <c:v>0.19399666348739314</c:v>
                </c:pt>
                <c:pt idx="56">
                  <c:v>7.8295115278606497E-2</c:v>
                </c:pt>
                <c:pt idx="57">
                  <c:v>9.9538252008314759E-2</c:v>
                </c:pt>
                <c:pt idx="58">
                  <c:v>4.751584633354082E-2</c:v>
                </c:pt>
                <c:pt idx="59">
                  <c:v>2.6902506287820205E-2</c:v>
                </c:pt>
                <c:pt idx="60">
                  <c:v>4.7248329581637979E-2</c:v>
                </c:pt>
                <c:pt idx="61">
                  <c:v>4.5155684458369913E-2</c:v>
                </c:pt>
                <c:pt idx="62">
                  <c:v>7.3459980847084536E-2</c:v>
                </c:pt>
                <c:pt idx="63">
                  <c:v>0.16526494323839519</c:v>
                </c:pt>
                <c:pt idx="64">
                  <c:v>0.12494586441643354</c:v>
                </c:pt>
                <c:pt idx="65">
                  <c:v>5.8223506549461929E-2</c:v>
                </c:pt>
                <c:pt idx="66">
                  <c:v>0.37249809758061175</c:v>
                </c:pt>
                <c:pt idx="67">
                  <c:v>8.1838456029483128E-2</c:v>
                </c:pt>
                <c:pt idx="68">
                  <c:v>0.10503059828419552</c:v>
                </c:pt>
                <c:pt idx="69">
                  <c:v>0.60120185720683339</c:v>
                </c:pt>
                <c:pt idx="70">
                  <c:v>7.1732559872582147E-2</c:v>
                </c:pt>
                <c:pt idx="71">
                  <c:v>0.13619411559984568</c:v>
                </c:pt>
                <c:pt idx="72">
                  <c:v>7.9653288927373223E-2</c:v>
                </c:pt>
                <c:pt idx="73">
                  <c:v>0.16476746655698121</c:v>
                </c:pt>
                <c:pt idx="74">
                  <c:v>0.14067388868440786</c:v>
                </c:pt>
                <c:pt idx="75">
                  <c:v>6.0779336772322057E-2</c:v>
                </c:pt>
                <c:pt idx="76">
                  <c:v>0.30365051951194288</c:v>
                </c:pt>
                <c:pt idx="77">
                  <c:v>5.889417240178893E-2</c:v>
                </c:pt>
                <c:pt idx="78">
                  <c:v>0.23017065616047552</c:v>
                </c:pt>
                <c:pt idx="79">
                  <c:v>0.13968558195322522</c:v>
                </c:pt>
                <c:pt idx="80">
                  <c:v>0.35380658454840674</c:v>
                </c:pt>
                <c:pt idx="81">
                  <c:v>4.2648764472432522E-2</c:v>
                </c:pt>
                <c:pt idx="82">
                  <c:v>0.2274128839114456</c:v>
                </c:pt>
                <c:pt idx="83">
                  <c:v>0.12262219775299775</c:v>
                </c:pt>
                <c:pt idx="84">
                  <c:v>5.337154268834815E-2</c:v>
                </c:pt>
                <c:pt idx="85">
                  <c:v>0.12563003262596545</c:v>
                </c:pt>
                <c:pt idx="86">
                  <c:v>0.64534570134618119</c:v>
                </c:pt>
                <c:pt idx="87">
                  <c:v>4.6999965513670222E-2</c:v>
                </c:pt>
                <c:pt idx="88">
                  <c:v>0.30289400802056504</c:v>
                </c:pt>
                <c:pt idx="89">
                  <c:v>0.92811940956023675</c:v>
                </c:pt>
                <c:pt idx="90">
                  <c:v>0.74302891540598848</c:v>
                </c:pt>
                <c:pt idx="91">
                  <c:v>0.31518415848245546</c:v>
                </c:pt>
                <c:pt idx="92">
                  <c:v>0.15719215179619533</c:v>
                </c:pt>
                <c:pt idx="93">
                  <c:v>0.19424392509873453</c:v>
                </c:pt>
                <c:pt idx="94">
                  <c:v>2.7463608838467171E-2</c:v>
                </c:pt>
                <c:pt idx="95">
                  <c:v>0.26554885839895109</c:v>
                </c:pt>
                <c:pt idx="96">
                  <c:v>0.15112849562088246</c:v>
                </c:pt>
                <c:pt idx="97">
                  <c:v>0.13041702578054601</c:v>
                </c:pt>
                <c:pt idx="98">
                  <c:v>3.8775432605058911E-2</c:v>
                </c:pt>
                <c:pt idx="99">
                  <c:v>7.6029827078119491E-2</c:v>
                </c:pt>
                <c:pt idx="100">
                  <c:v>9.0376411607389767E-2</c:v>
                </c:pt>
                <c:pt idx="101">
                  <c:v>0.17038957713158703</c:v>
                </c:pt>
                <c:pt idx="102">
                  <c:v>6.2048528657136282E-2</c:v>
                </c:pt>
                <c:pt idx="103">
                  <c:v>5.8414109907232531E-2</c:v>
                </c:pt>
                <c:pt idx="104">
                  <c:v>8.5302767730008264E-2</c:v>
                </c:pt>
                <c:pt idx="105">
                  <c:v>7.2944559180749047E-2</c:v>
                </c:pt>
                <c:pt idx="106">
                  <c:v>0.13511177484837911</c:v>
                </c:pt>
                <c:pt idx="107">
                  <c:v>8.4174970435732077E-2</c:v>
                </c:pt>
                <c:pt idx="108">
                  <c:v>0.25442340685350184</c:v>
                </c:pt>
                <c:pt idx="109">
                  <c:v>6.8410598439857251E-2</c:v>
                </c:pt>
                <c:pt idx="110">
                  <c:v>0.14306447806438244</c:v>
                </c:pt>
                <c:pt idx="111">
                  <c:v>2.9049942587565492E-2</c:v>
                </c:pt>
                <c:pt idx="112">
                  <c:v>0.28167355045676101</c:v>
                </c:pt>
                <c:pt idx="113">
                  <c:v>0.10345286222016445</c:v>
                </c:pt>
                <c:pt idx="114">
                  <c:v>3.6356991020049058E-2</c:v>
                </c:pt>
                <c:pt idx="115">
                  <c:v>4.5924106575384503E-2</c:v>
                </c:pt>
                <c:pt idx="116">
                  <c:v>8.0667260497731111E-2</c:v>
                </c:pt>
                <c:pt idx="117">
                  <c:v>8.5846537819203622E-2</c:v>
                </c:pt>
                <c:pt idx="118">
                  <c:v>7.7089036188161569E-2</c:v>
                </c:pt>
                <c:pt idx="119">
                  <c:v>5.4796737881377677E-2</c:v>
                </c:pt>
                <c:pt idx="120">
                  <c:v>6.2748545271571324E-2</c:v>
                </c:pt>
                <c:pt idx="121">
                  <c:v>0.1952752432008904</c:v>
                </c:pt>
                <c:pt idx="122">
                  <c:v>9.2671132101287607E-2</c:v>
                </c:pt>
                <c:pt idx="123">
                  <c:v>7.4834953860973275E-2</c:v>
                </c:pt>
                <c:pt idx="124">
                  <c:v>0.14873952403273233</c:v>
                </c:pt>
                <c:pt idx="125">
                  <c:v>8.437387612485725E-2</c:v>
                </c:pt>
                <c:pt idx="126">
                  <c:v>4.9884857896866808E-2</c:v>
                </c:pt>
                <c:pt idx="127">
                  <c:v>5.704117909119566E-2</c:v>
                </c:pt>
                <c:pt idx="128">
                  <c:v>6.9819983599371221E-2</c:v>
                </c:pt>
                <c:pt idx="129">
                  <c:v>0.14496158778752177</c:v>
                </c:pt>
              </c:numCache>
            </c:numRef>
          </c:xVal>
          <c:yVal>
            <c:numRef>
              <c:f>Regression!$AG$3:$AG$1048576</c:f>
              <c:numCache>
                <c:formatCode>General</c:formatCode>
                <c:ptCount val="1048574"/>
                <c:pt idx="0">
                  <c:v>-0.86374768678628122</c:v>
                </c:pt>
                <c:pt idx="1">
                  <c:v>0.68324726104203637</c:v>
                </c:pt>
                <c:pt idx="2">
                  <c:v>-0.11617389999754073</c:v>
                </c:pt>
                <c:pt idx="3">
                  <c:v>-2.6574646063263492</c:v>
                </c:pt>
                <c:pt idx="4">
                  <c:v>-0.27412746763438262</c:v>
                </c:pt>
                <c:pt idx="5">
                  <c:v>0.23438120823335945</c:v>
                </c:pt>
                <c:pt idx="6">
                  <c:v>-0.85821464811470638</c:v>
                </c:pt>
                <c:pt idx="7">
                  <c:v>-0.20661022463039402</c:v>
                </c:pt>
                <c:pt idx="8">
                  <c:v>-0.79442129615532109</c:v>
                </c:pt>
                <c:pt idx="9">
                  <c:v>0.21435681033288975</c:v>
                </c:pt>
                <c:pt idx="10">
                  <c:v>-1.5604282204735105</c:v>
                </c:pt>
                <c:pt idx="11">
                  <c:v>3.053749704841874</c:v>
                </c:pt>
                <c:pt idx="12">
                  <c:v>-1.1959044266465113</c:v>
                </c:pt>
                <c:pt idx="13">
                  <c:v>-0.23350575600802045</c:v>
                </c:pt>
                <c:pt idx="14">
                  <c:v>1.304547420878035</c:v>
                </c:pt>
                <c:pt idx="15">
                  <c:v>0.29920488513048288</c:v>
                </c:pt>
                <c:pt idx="16">
                  <c:v>-1.4621485521146045</c:v>
                </c:pt>
                <c:pt idx="17">
                  <c:v>0.27421905488502935</c:v>
                </c:pt>
                <c:pt idx="18">
                  <c:v>-0.70921848977672608</c:v>
                </c:pt>
                <c:pt idx="19">
                  <c:v>-0.39717459586514764</c:v>
                </c:pt>
                <c:pt idx="20">
                  <c:v>-1.0110249729372656</c:v>
                </c:pt>
                <c:pt idx="21">
                  <c:v>0.81440399982189593</c:v>
                </c:pt>
                <c:pt idx="22">
                  <c:v>0.73188460068330485</c:v>
                </c:pt>
                <c:pt idx="23">
                  <c:v>-0.84894714159828955</c:v>
                </c:pt>
                <c:pt idx="24">
                  <c:v>-0.34119073731615512</c:v>
                </c:pt>
                <c:pt idx="25">
                  <c:v>-0.22689341879467756</c:v>
                </c:pt>
                <c:pt idx="26">
                  <c:v>-0.42955553832993731</c:v>
                </c:pt>
                <c:pt idx="27">
                  <c:v>0.51130276908986849</c:v>
                </c:pt>
                <c:pt idx="28">
                  <c:v>1.2417845443142017</c:v>
                </c:pt>
                <c:pt idx="29">
                  <c:v>-5.6582068616461229E-2</c:v>
                </c:pt>
                <c:pt idx="30">
                  <c:v>5.4201956788524575E-2</c:v>
                </c:pt>
                <c:pt idx="31">
                  <c:v>0.79863296204644108</c:v>
                </c:pt>
                <c:pt idx="32">
                  <c:v>0.12463898334882778</c:v>
                </c:pt>
                <c:pt idx="33">
                  <c:v>0.46819096578345959</c:v>
                </c:pt>
                <c:pt idx="34">
                  <c:v>2.983199506919856E-2</c:v>
                </c:pt>
                <c:pt idx="35">
                  <c:v>0.54147746435852739</c:v>
                </c:pt>
                <c:pt idx="36">
                  <c:v>0.48740780163793151</c:v>
                </c:pt>
                <c:pt idx="37">
                  <c:v>0.44814238983718785</c:v>
                </c:pt>
                <c:pt idx="38">
                  <c:v>-0.74068482977470007</c:v>
                </c:pt>
                <c:pt idx="39">
                  <c:v>0.5932407889630793</c:v>
                </c:pt>
                <c:pt idx="40">
                  <c:v>-0.78223780715424018</c:v>
                </c:pt>
                <c:pt idx="41">
                  <c:v>-0.30455075903640261</c:v>
                </c:pt>
                <c:pt idx="42">
                  <c:v>-4.2127326856800061E-2</c:v>
                </c:pt>
                <c:pt idx="43">
                  <c:v>-0.12116821654118708</c:v>
                </c:pt>
                <c:pt idx="44">
                  <c:v>1.0640944578485567</c:v>
                </c:pt>
                <c:pt idx="45">
                  <c:v>-0.75233055058128562</c:v>
                </c:pt>
                <c:pt idx="46">
                  <c:v>2.1704525763282212</c:v>
                </c:pt>
                <c:pt idx="47">
                  <c:v>0.60246699183071128</c:v>
                </c:pt>
                <c:pt idx="48">
                  <c:v>0.12962551893790211</c:v>
                </c:pt>
                <c:pt idx="49">
                  <c:v>0.60282804439389348</c:v>
                </c:pt>
                <c:pt idx="50">
                  <c:v>-0.81454100262906892</c:v>
                </c:pt>
                <c:pt idx="51">
                  <c:v>-5.3893838753811152E-2</c:v>
                </c:pt>
                <c:pt idx="52">
                  <c:v>0.80245989437439058</c:v>
                </c:pt>
                <c:pt idx="53">
                  <c:v>3.5055607793868272E-2</c:v>
                </c:pt>
                <c:pt idx="54">
                  <c:v>-0.86731862254892933</c:v>
                </c:pt>
                <c:pt idx="55">
                  <c:v>-1.2948361879522281</c:v>
                </c:pt>
                <c:pt idx="56">
                  <c:v>0.15638392643453866</c:v>
                </c:pt>
                <c:pt idx="57">
                  <c:v>0.24810068300248678</c:v>
                </c:pt>
                <c:pt idx="58">
                  <c:v>0.41712178192858801</c:v>
                </c:pt>
                <c:pt idx="59">
                  <c:v>0.747413936633188</c:v>
                </c:pt>
                <c:pt idx="60">
                  <c:v>-0.53290238274908208</c:v>
                </c:pt>
                <c:pt idx="61">
                  <c:v>-2.01890232471803</c:v>
                </c:pt>
                <c:pt idx="62">
                  <c:v>-0.17195408263796069</c:v>
                </c:pt>
                <c:pt idx="63">
                  <c:v>-0.82405960948067059</c:v>
                </c:pt>
                <c:pt idx="64">
                  <c:v>-0.48335518087510915</c:v>
                </c:pt>
                <c:pt idx="65">
                  <c:v>-0.26479648850584087</c:v>
                </c:pt>
                <c:pt idx="66">
                  <c:v>-0.92163911942630505</c:v>
                </c:pt>
                <c:pt idx="67">
                  <c:v>0.17808234800160042</c:v>
                </c:pt>
                <c:pt idx="68">
                  <c:v>-0.91795041167293911</c:v>
                </c:pt>
                <c:pt idx="69">
                  <c:v>-0.14738759710600224</c:v>
                </c:pt>
                <c:pt idx="70">
                  <c:v>-0.22128469487104246</c:v>
                </c:pt>
                <c:pt idx="71">
                  <c:v>0.95887155620689424</c:v>
                </c:pt>
                <c:pt idx="72">
                  <c:v>-0.21811750979559288</c:v>
                </c:pt>
                <c:pt idx="73">
                  <c:v>1.1445302899832388</c:v>
                </c:pt>
                <c:pt idx="74">
                  <c:v>-0.56268131331803906</c:v>
                </c:pt>
                <c:pt idx="75">
                  <c:v>0.49994681472173291</c:v>
                </c:pt>
                <c:pt idx="76">
                  <c:v>-9.744491342130273E-3</c:v>
                </c:pt>
                <c:pt idx="77">
                  <c:v>-5.8062728660348714E-2</c:v>
                </c:pt>
                <c:pt idx="78">
                  <c:v>-1.1465070038224379</c:v>
                </c:pt>
                <c:pt idx="79">
                  <c:v>-1.3108607463788147</c:v>
                </c:pt>
                <c:pt idx="80">
                  <c:v>-1.174862384262666</c:v>
                </c:pt>
                <c:pt idx="81">
                  <c:v>0.81668051076547143</c:v>
                </c:pt>
                <c:pt idx="82">
                  <c:v>-1.0076096782014357</c:v>
                </c:pt>
                <c:pt idx="83">
                  <c:v>-0.19387278807310673</c:v>
                </c:pt>
                <c:pt idx="84">
                  <c:v>-0.48962978369286347</c:v>
                </c:pt>
                <c:pt idx="85">
                  <c:v>1.4524330219642179</c:v>
                </c:pt>
                <c:pt idx="86">
                  <c:v>0.41408570472483458</c:v>
                </c:pt>
                <c:pt idx="87">
                  <c:v>0.90830074593214449</c:v>
                </c:pt>
                <c:pt idx="88">
                  <c:v>3.2280972928577545</c:v>
                </c:pt>
                <c:pt idx="89">
                  <c:v>-0.54772003297150196</c:v>
                </c:pt>
                <c:pt idx="90">
                  <c:v>1.1497278626453076</c:v>
                </c:pt>
                <c:pt idx="91">
                  <c:v>0.94704351609948945</c:v>
                </c:pt>
                <c:pt idx="92">
                  <c:v>-0.30963671587107933</c:v>
                </c:pt>
                <c:pt idx="93">
                  <c:v>1.5036984630409798</c:v>
                </c:pt>
                <c:pt idx="94">
                  <c:v>0.58480803782719781</c:v>
                </c:pt>
                <c:pt idx="95">
                  <c:v>-1.9507246994361684</c:v>
                </c:pt>
                <c:pt idx="96">
                  <c:v>-0.37822560649877823</c:v>
                </c:pt>
                <c:pt idx="97">
                  <c:v>2.6661655492796821</c:v>
                </c:pt>
                <c:pt idx="98">
                  <c:v>-0.38653061805035654</c:v>
                </c:pt>
                <c:pt idx="99">
                  <c:v>-1.8536811738783288</c:v>
                </c:pt>
                <c:pt idx="100">
                  <c:v>0.53474418620157615</c:v>
                </c:pt>
                <c:pt idx="101">
                  <c:v>-6.5448427261412742E-2</c:v>
                </c:pt>
                <c:pt idx="102">
                  <c:v>-0.35627190170034223</c:v>
                </c:pt>
                <c:pt idx="103">
                  <c:v>1.2000994433955381</c:v>
                </c:pt>
                <c:pt idx="104">
                  <c:v>0.78082353237628666</c:v>
                </c:pt>
                <c:pt idx="105">
                  <c:v>-0.32905807013877875</c:v>
                </c:pt>
                <c:pt idx="106">
                  <c:v>-3.3552398517483932</c:v>
                </c:pt>
                <c:pt idx="107">
                  <c:v>1.1190701083233838</c:v>
                </c:pt>
                <c:pt idx="108">
                  <c:v>0.72460445526316353</c:v>
                </c:pt>
                <c:pt idx="109">
                  <c:v>0.60140072866247263</c:v>
                </c:pt>
                <c:pt idx="110">
                  <c:v>0.62064531671365586</c:v>
                </c:pt>
                <c:pt idx="111">
                  <c:v>-0.3176490259738719</c:v>
                </c:pt>
                <c:pt idx="112">
                  <c:v>8.1989209428109069E-2</c:v>
                </c:pt>
                <c:pt idx="113">
                  <c:v>-0.62246950110072441</c:v>
                </c:pt>
                <c:pt idx="114">
                  <c:v>-0.24106077883927862</c:v>
                </c:pt>
                <c:pt idx="115">
                  <c:v>0.70811423730457757</c:v>
                </c:pt>
                <c:pt idx="116">
                  <c:v>0.31336110290810326</c:v>
                </c:pt>
                <c:pt idx="117">
                  <c:v>-0.15455192047735494</c:v>
                </c:pt>
                <c:pt idx="118">
                  <c:v>4.0106330188757651E-2</c:v>
                </c:pt>
                <c:pt idx="119">
                  <c:v>-1.1722566424263086</c:v>
                </c:pt>
                <c:pt idx="120">
                  <c:v>7.0777873523971732E-2</c:v>
                </c:pt>
                <c:pt idx="121">
                  <c:v>-0.67029167970115022</c:v>
                </c:pt>
                <c:pt idx="122">
                  <c:v>-1.6518561172458917</c:v>
                </c:pt>
                <c:pt idx="123">
                  <c:v>2.3499160108594341</c:v>
                </c:pt>
                <c:pt idx="124">
                  <c:v>-0.74196855715293086</c:v>
                </c:pt>
                <c:pt idx="125">
                  <c:v>0.42960320572929128</c:v>
                </c:pt>
                <c:pt idx="126">
                  <c:v>-1.0773729081769121</c:v>
                </c:pt>
                <c:pt idx="127">
                  <c:v>1.2853957304192192</c:v>
                </c:pt>
                <c:pt idx="128">
                  <c:v>1.0181479765024655</c:v>
                </c:pt>
                <c:pt idx="129">
                  <c:v>0.89348018488148551</c:v>
                </c:pt>
              </c:numCache>
            </c:numRef>
          </c:yVal>
          <c:smooth val="0"/>
          <c:extLst>
            <c:ext xmlns:c16="http://schemas.microsoft.com/office/drawing/2014/chart" uri="{C3380CC4-5D6E-409C-BE32-E72D297353CC}">
              <c16:uniqueId val="{00000001-BD4D-456C-8DCC-39EC79D9D280}"/>
            </c:ext>
          </c:extLst>
        </c:ser>
        <c:dLbls>
          <c:showLegendKey val="0"/>
          <c:showVal val="0"/>
          <c:showCatName val="0"/>
          <c:showSerName val="0"/>
          <c:showPercent val="0"/>
          <c:showBubbleSize val="0"/>
        </c:dLbls>
        <c:axId val="1305266991"/>
        <c:axId val="1305266031"/>
      </c:scatterChart>
      <c:valAx>
        <c:axId val="1305266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66031"/>
        <c:crosses val="autoZero"/>
        <c:crossBetween val="midCat"/>
      </c:valAx>
      <c:valAx>
        <c:axId val="130526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26699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37</xdr:col>
      <xdr:colOff>228600</xdr:colOff>
      <xdr:row>24</xdr:row>
      <xdr:rowOff>180980</xdr:rowOff>
    </xdr:from>
    <xdr:to>
      <xdr:col>42</xdr:col>
      <xdr:colOff>323850</xdr:colOff>
      <xdr:row>43</xdr:row>
      <xdr:rowOff>38099</xdr:rowOff>
    </xdr:to>
    <xdr:graphicFrame macro="">
      <xdr:nvGraphicFramePr>
        <xdr:cNvPr id="2" name="Chart 1">
          <a:extLst>
            <a:ext uri="{FF2B5EF4-FFF2-40B4-BE49-F238E27FC236}">
              <a16:creationId xmlns:a16="http://schemas.microsoft.com/office/drawing/2014/main" id="{25E75C53-0299-85E5-535F-85E72036F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219076</xdr:colOff>
      <xdr:row>1</xdr:row>
      <xdr:rowOff>171455</xdr:rowOff>
    </xdr:from>
    <xdr:to>
      <xdr:col>44</xdr:col>
      <xdr:colOff>561975</xdr:colOff>
      <xdr:row>25</xdr:row>
      <xdr:rowOff>1</xdr:rowOff>
    </xdr:to>
    <xdr:graphicFrame macro="">
      <xdr:nvGraphicFramePr>
        <xdr:cNvPr id="5" name="Chart 4">
          <a:extLst>
            <a:ext uri="{FF2B5EF4-FFF2-40B4-BE49-F238E27FC236}">
              <a16:creationId xmlns:a16="http://schemas.microsoft.com/office/drawing/2014/main" id="{97A1444D-4C47-8647-277C-87C1681E8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561974</xdr:colOff>
      <xdr:row>2</xdr:row>
      <xdr:rowOff>6</xdr:rowOff>
    </xdr:from>
    <xdr:to>
      <xdr:col>50</xdr:col>
      <xdr:colOff>285749</xdr:colOff>
      <xdr:row>20</xdr:row>
      <xdr:rowOff>57150</xdr:rowOff>
    </xdr:to>
    <xdr:graphicFrame macro="">
      <xdr:nvGraphicFramePr>
        <xdr:cNvPr id="7" name="Chart 6">
          <a:extLst>
            <a:ext uri="{FF2B5EF4-FFF2-40B4-BE49-F238E27FC236}">
              <a16:creationId xmlns:a16="http://schemas.microsoft.com/office/drawing/2014/main" id="{931CF38E-8095-CDE9-3121-82EB2E4E8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538162</xdr:colOff>
      <xdr:row>20</xdr:row>
      <xdr:rowOff>104780</xdr:rowOff>
    </xdr:from>
    <xdr:to>
      <xdr:col>52</xdr:col>
      <xdr:colOff>233362</xdr:colOff>
      <xdr:row>42</xdr:row>
      <xdr:rowOff>57150</xdr:rowOff>
    </xdr:to>
    <xdr:graphicFrame macro="">
      <xdr:nvGraphicFramePr>
        <xdr:cNvPr id="8" name="Chart 7">
          <a:extLst>
            <a:ext uri="{FF2B5EF4-FFF2-40B4-BE49-F238E27FC236}">
              <a16:creationId xmlns:a16="http://schemas.microsoft.com/office/drawing/2014/main" id="{AD2C67BA-AFF0-B330-57FE-F8DA17BCC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ECEC55-9B84-47D8-A943-B6BB1B8BA373}" name="LAMBDAFunctionsCatalog" displayName="LAMBDAFunctionsCatalog" ref="A1:E58" totalsRowShown="0" headerRowDxfId="7" dataDxfId="6">
  <autoFilter ref="A1:E58" xr:uid="{52ECEC55-9B84-47D8-A943-B6BB1B8BA373}"/>
  <tableColumns count="5">
    <tableColumn id="1" xr3:uid="{B546C2D7-B94D-4D47-9531-AF68A8188F6C}" name="Function Name" dataDxfId="5"/>
    <tableColumn id="2" xr3:uid="{D3DE523A-79B5-4798-BB6B-26BE7FBFF1B9}" name="Definition" dataDxfId="4"/>
    <tableColumn id="3" xr3:uid="{B96A8B19-BFE8-4FFD-8ABE-64CBA83BB69F}" name="Arguments" dataDxfId="3"/>
    <tableColumn id="4" xr3:uid="{D07D733D-0E2D-43A8-A296-472550EF94E1}" name="Yields" dataDxfId="2"/>
    <tableColumn id="5" xr3:uid="{27B43B6A-AFB7-47A6-9B93-0AB02590F180}" name="Description"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4E7DB8-306F-4E35-B113-EDE71223E85A}" name="LifeExpectancyData" displayName="LifeExpectancyData" ref="A1:W2939" totalsRowShown="0">
  <autoFilter ref="A1:W2939" xr:uid="{C34E7DB8-306F-4E35-B113-EDE71223E85A}">
    <filterColumn colId="22">
      <filters>
        <filter val="TRUE"/>
      </filters>
    </filterColumn>
  </autoFilter>
  <tableColumns count="23">
    <tableColumn id="1" xr3:uid="{4DA1333D-A1BD-47FC-874C-F09BCD71945F}" name="Country"/>
    <tableColumn id="2" xr3:uid="{4086E640-38C8-4EA7-A797-E062615E6655}" name="Year"/>
    <tableColumn id="3" xr3:uid="{CD804C74-ADE2-4310-A10F-D4B1B9E98D37}" name="Status"/>
    <tableColumn id="4" xr3:uid="{A4C056D8-DB01-48D8-80A2-D2D0F287A9F3}" name="Life expectancy"/>
    <tableColumn id="5" xr3:uid="{9838326F-936A-47BD-B1CE-39B75195EF39}" name="Adult Mortality"/>
    <tableColumn id="6" xr3:uid="{0AE38715-03FC-45B2-8C8F-026BDFA502F1}" name="infant deaths"/>
    <tableColumn id="7" xr3:uid="{45E49F41-C730-4344-8104-A951ECF007E3}" name="Alcohol"/>
    <tableColumn id="8" xr3:uid="{646B15CA-61D5-4D02-A276-4B1189ED73F5}" name="percentage expenditure"/>
    <tableColumn id="9" xr3:uid="{FCA9A003-149B-4162-8B1F-C2BDECEB9C89}" name="Hepatitis B"/>
    <tableColumn id="10" xr3:uid="{0DA59B2D-6731-435C-8791-AE578639D2C5}" name="Measles"/>
    <tableColumn id="11" xr3:uid="{528DFF52-AB30-4939-93EA-E2E570453F66}" name="BMI"/>
    <tableColumn id="12" xr3:uid="{CC48E6C8-4F3D-43B6-990D-CC4C089786CD}" name="under-five deaths"/>
    <tableColumn id="13" xr3:uid="{7894BD38-D31C-47C2-90B3-6C4B06C105B7}" name="Polio"/>
    <tableColumn id="14" xr3:uid="{9FF5FAA0-8D24-486F-8ABA-34D12C473345}" name="Total expenditure"/>
    <tableColumn id="15" xr3:uid="{0BF7F9D4-80B5-4CA7-976F-6C7FB4414DDE}" name="Diphtheria"/>
    <tableColumn id="16" xr3:uid="{7D8F3675-490B-48A3-81EE-0176C1B97BF6}" name="HIV/AIDS"/>
    <tableColumn id="17" xr3:uid="{279E40F5-55CB-4909-896F-62C5245D76B8}" name="GDP"/>
    <tableColumn id="18" xr3:uid="{5238F4E4-00C2-4C6E-8C18-DA1F9473FBAA}" name="Population"/>
    <tableColumn id="19" xr3:uid="{8253590B-FC4E-4066-83C6-0F265DFA4B63}" name="thinness 1-19 years"/>
    <tableColumn id="20" xr3:uid="{3A54E436-C246-4F7D-BA87-D620F24FD836}" name="thinness 5-9 years"/>
    <tableColumn id="21" xr3:uid="{EBEF891A-02A1-4622-80A8-5C33A5DD350B}" name="Income composition of resources"/>
    <tableColumn id="22" xr3:uid="{D0D3EF9A-30C2-44BF-9C39-74B16D8727CD}" name="Schooling"/>
    <tableColumn id="23" xr3:uid="{1C30E9DC-0AC6-4022-A071-7CD568A8E474}" name="Full_Data" dataDxfId="0">
      <calculatedColumnFormula array="1">AND(ISNUMBER(LifeExpectancyData[[#This Row],[Adult Mortality]:[Schooling]]),ISNUMBER(LifeExpectancyData[[#This Row],[Life expectancy]]), LifeExpectancyData[[#This Row],[Year]]=2013)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EFD7-C746-458B-9F76-170306C925A6}">
  <sheetPr>
    <pageSetUpPr fitToPage="1"/>
  </sheetPr>
  <dimension ref="A1:E58"/>
  <sheetViews>
    <sheetView workbookViewId="0">
      <pane ySplit="1" topLeftCell="A34" activePane="bottomLeft" state="frozenSplit"/>
      <selection pane="bottomLeft" activeCell="B35" sqref="B35"/>
    </sheetView>
  </sheetViews>
  <sheetFormatPr defaultRowHeight="15" x14ac:dyDescent="0.25"/>
  <cols>
    <col min="1" max="1" width="18.7109375" customWidth="1"/>
    <col min="2" max="2" width="72.42578125" bestFit="1" customWidth="1"/>
    <col min="3" max="3" width="30.7109375" customWidth="1"/>
    <col min="4" max="4" width="15.7109375" customWidth="1"/>
    <col min="5" max="5" width="66.7109375" customWidth="1"/>
  </cols>
  <sheetData>
    <row r="1" spans="1:5" x14ac:dyDescent="0.25">
      <c r="A1" s="2" t="s">
        <v>0</v>
      </c>
      <c r="B1" s="2" t="s">
        <v>1</v>
      </c>
      <c r="C1" s="2" t="s">
        <v>2</v>
      </c>
      <c r="D1" s="2" t="s">
        <v>3</v>
      </c>
      <c r="E1" s="2" t="s">
        <v>4</v>
      </c>
    </row>
    <row r="2" spans="1:5" ht="90" x14ac:dyDescent="0.25">
      <c r="A2" s="2" t="s">
        <v>5</v>
      </c>
      <c r="B2" s="1" t="s">
        <v>6</v>
      </c>
      <c r="C2" s="2" t="s">
        <v>7</v>
      </c>
      <c r="D2" s="2" t="s">
        <v>8</v>
      </c>
      <c r="E2" s="2" t="s">
        <v>9</v>
      </c>
    </row>
    <row r="3" spans="1:5" ht="105" x14ac:dyDescent="0.25">
      <c r="A3" s="2" t="s">
        <v>10</v>
      </c>
      <c r="B3" s="1" t="s">
        <v>11</v>
      </c>
      <c r="C3" s="2" t="s">
        <v>12</v>
      </c>
      <c r="D3" s="2" t="s">
        <v>13</v>
      </c>
      <c r="E3" s="2" t="s">
        <v>14</v>
      </c>
    </row>
    <row r="4" spans="1:5" ht="105" x14ac:dyDescent="0.25">
      <c r="A4" s="2" t="s">
        <v>15</v>
      </c>
      <c r="B4" s="1" t="s">
        <v>16</v>
      </c>
      <c r="C4" s="2" t="s">
        <v>17</v>
      </c>
      <c r="D4" s="2" t="s">
        <v>18</v>
      </c>
      <c r="E4" s="2" t="s">
        <v>19</v>
      </c>
    </row>
    <row r="5" spans="1:5" ht="120" x14ac:dyDescent="0.25">
      <c r="A5" s="2" t="s">
        <v>20</v>
      </c>
      <c r="B5" s="1" t="s">
        <v>21</v>
      </c>
      <c r="C5" s="2" t="s">
        <v>22</v>
      </c>
      <c r="D5" s="2" t="s">
        <v>23</v>
      </c>
      <c r="E5" s="2" t="s">
        <v>24</v>
      </c>
    </row>
    <row r="6" spans="1:5" ht="120" x14ac:dyDescent="0.25">
      <c r="A6" s="2" t="s">
        <v>25</v>
      </c>
      <c r="B6" s="1" t="s">
        <v>26</v>
      </c>
      <c r="C6" s="2" t="s">
        <v>22</v>
      </c>
      <c r="D6" s="2" t="s">
        <v>27</v>
      </c>
      <c r="E6" s="2" t="s">
        <v>28</v>
      </c>
    </row>
    <row r="7" spans="1:5" ht="120" x14ac:dyDescent="0.25">
      <c r="A7" s="2" t="s">
        <v>29</v>
      </c>
      <c r="B7" s="1" t="s">
        <v>30</v>
      </c>
      <c r="C7" s="2" t="s">
        <v>22</v>
      </c>
      <c r="D7" s="2" t="s">
        <v>31</v>
      </c>
      <c r="E7" s="2" t="s">
        <v>32</v>
      </c>
    </row>
    <row r="8" spans="1:5" ht="150" x14ac:dyDescent="0.25">
      <c r="A8" s="2" t="s">
        <v>33</v>
      </c>
      <c r="B8" s="1" t="s">
        <v>34</v>
      </c>
      <c r="C8" s="2" t="s">
        <v>22</v>
      </c>
      <c r="D8" s="2" t="s">
        <v>35</v>
      </c>
      <c r="E8" s="2" t="s">
        <v>36</v>
      </c>
    </row>
    <row r="9" spans="1:5" ht="120" x14ac:dyDescent="0.25">
      <c r="A9" s="2" t="s">
        <v>37</v>
      </c>
      <c r="B9" s="1" t="s">
        <v>38</v>
      </c>
      <c r="C9" s="2" t="s">
        <v>17</v>
      </c>
      <c r="D9" s="2" t="s">
        <v>39</v>
      </c>
      <c r="E9" s="2" t="s">
        <v>40</v>
      </c>
    </row>
    <row r="10" spans="1:5" ht="120" x14ac:dyDescent="0.25">
      <c r="A10" s="2" t="s">
        <v>41</v>
      </c>
      <c r="B10" s="1" t="s">
        <v>42</v>
      </c>
      <c r="C10" s="2" t="s">
        <v>22</v>
      </c>
      <c r="D10" s="2" t="s">
        <v>43</v>
      </c>
      <c r="E10" s="2" t="s">
        <v>44</v>
      </c>
    </row>
    <row r="11" spans="1:5" ht="120" x14ac:dyDescent="0.25">
      <c r="A11" s="2" t="s">
        <v>45</v>
      </c>
      <c r="B11" s="1" t="s">
        <v>46</v>
      </c>
      <c r="C11" s="2" t="s">
        <v>22</v>
      </c>
      <c r="D11" s="2" t="s">
        <v>47</v>
      </c>
      <c r="E11" s="2" t="s">
        <v>48</v>
      </c>
    </row>
    <row r="12" spans="1:5" ht="120" x14ac:dyDescent="0.25">
      <c r="A12" s="2" t="s">
        <v>49</v>
      </c>
      <c r="B12" s="1" t="s">
        <v>50</v>
      </c>
      <c r="C12" s="2" t="s">
        <v>22</v>
      </c>
      <c r="D12" s="2" t="s">
        <v>51</v>
      </c>
      <c r="E12" s="2" t="s">
        <v>52</v>
      </c>
    </row>
    <row r="13" spans="1:5" ht="120" x14ac:dyDescent="0.25">
      <c r="A13" s="2" t="s">
        <v>53</v>
      </c>
      <c r="B13" s="1" t="s">
        <v>54</v>
      </c>
      <c r="C13" s="2" t="s">
        <v>22</v>
      </c>
      <c r="D13" s="2" t="s">
        <v>55</v>
      </c>
      <c r="E13" s="2" t="s">
        <v>56</v>
      </c>
    </row>
    <row r="14" spans="1:5" ht="120" x14ac:dyDescent="0.25">
      <c r="A14" s="2" t="s">
        <v>57</v>
      </c>
      <c r="B14" s="1" t="s">
        <v>58</v>
      </c>
      <c r="C14" s="2" t="s">
        <v>22</v>
      </c>
      <c r="D14" s="2" t="s">
        <v>59</v>
      </c>
      <c r="E14" s="2" t="s">
        <v>60</v>
      </c>
    </row>
    <row r="15" spans="1:5" ht="135" x14ac:dyDescent="0.25">
      <c r="A15" s="2" t="s">
        <v>61</v>
      </c>
      <c r="B15" s="1" t="s">
        <v>62</v>
      </c>
      <c r="C15" s="2" t="s">
        <v>22</v>
      </c>
      <c r="D15" s="2" t="s">
        <v>63</v>
      </c>
      <c r="E15" s="2" t="s">
        <v>64</v>
      </c>
    </row>
    <row r="16" spans="1:5" ht="135" x14ac:dyDescent="0.25">
      <c r="A16" s="2" t="s">
        <v>65</v>
      </c>
      <c r="B16" s="1" t="s">
        <v>66</v>
      </c>
      <c r="C16" s="2" t="s">
        <v>22</v>
      </c>
      <c r="D16" s="2" t="s">
        <v>67</v>
      </c>
      <c r="E16" s="2" t="s">
        <v>68</v>
      </c>
    </row>
    <row r="17" spans="1:5" ht="135" x14ac:dyDescent="0.25">
      <c r="A17" s="2" t="s">
        <v>69</v>
      </c>
      <c r="B17" s="1" t="s">
        <v>70</v>
      </c>
      <c r="C17" s="2" t="s">
        <v>22</v>
      </c>
      <c r="D17" s="2" t="s">
        <v>71</v>
      </c>
      <c r="E17" s="2" t="s">
        <v>72</v>
      </c>
    </row>
    <row r="18" spans="1:5" ht="150" x14ac:dyDescent="0.25">
      <c r="A18" s="2" t="s">
        <v>73</v>
      </c>
      <c r="B18" s="1" t="s">
        <v>74</v>
      </c>
      <c r="C18" s="2" t="s">
        <v>22</v>
      </c>
      <c r="D18" s="2" t="s">
        <v>75</v>
      </c>
      <c r="E18" s="2" t="s">
        <v>76</v>
      </c>
    </row>
    <row r="19" spans="1:5" ht="135" x14ac:dyDescent="0.25">
      <c r="A19" s="2" t="s">
        <v>77</v>
      </c>
      <c r="B19" s="1" t="s">
        <v>78</v>
      </c>
      <c r="C19" s="2" t="s">
        <v>22</v>
      </c>
      <c r="D19" s="2" t="s">
        <v>79</v>
      </c>
      <c r="E19" s="2" t="s">
        <v>80</v>
      </c>
    </row>
    <row r="20" spans="1:5" ht="135" x14ac:dyDescent="0.25">
      <c r="A20" s="2" t="s">
        <v>81</v>
      </c>
      <c r="B20" s="1" t="s">
        <v>82</v>
      </c>
      <c r="C20" s="2" t="s">
        <v>22</v>
      </c>
      <c r="D20" s="2" t="s">
        <v>83</v>
      </c>
      <c r="E20" s="2" t="s">
        <v>84</v>
      </c>
    </row>
    <row r="21" spans="1:5" ht="165" x14ac:dyDescent="0.25">
      <c r="A21" s="2" t="s">
        <v>85</v>
      </c>
      <c r="B21" s="1" t="s">
        <v>86</v>
      </c>
      <c r="C21" s="2" t="s">
        <v>22</v>
      </c>
      <c r="D21" s="2" t="s">
        <v>87</v>
      </c>
      <c r="E21" s="2" t="s">
        <v>88</v>
      </c>
    </row>
    <row r="22" spans="1:5" ht="180" x14ac:dyDescent="0.25">
      <c r="A22" s="2" t="s">
        <v>89</v>
      </c>
      <c r="B22" s="1" t="s">
        <v>90</v>
      </c>
      <c r="C22" s="2" t="s">
        <v>22</v>
      </c>
      <c r="D22" s="2" t="s">
        <v>91</v>
      </c>
      <c r="E22" s="2" t="s">
        <v>92</v>
      </c>
    </row>
    <row r="23" spans="1:5" ht="120" x14ac:dyDescent="0.25">
      <c r="A23" s="2" t="s">
        <v>93</v>
      </c>
      <c r="B23" s="1" t="s">
        <v>94</v>
      </c>
      <c r="C23" s="2" t="s">
        <v>22</v>
      </c>
      <c r="D23" s="2" t="s">
        <v>95</v>
      </c>
      <c r="E23" s="2" t="s">
        <v>96</v>
      </c>
    </row>
    <row r="24" spans="1:5" ht="120" x14ac:dyDescent="0.25">
      <c r="A24" s="2" t="s">
        <v>97</v>
      </c>
      <c r="B24" s="1" t="s">
        <v>98</v>
      </c>
      <c r="C24" s="2" t="s">
        <v>22</v>
      </c>
      <c r="D24" s="2" t="s">
        <v>99</v>
      </c>
      <c r="E24" s="2" t="s">
        <v>100</v>
      </c>
    </row>
    <row r="25" spans="1:5" ht="150" x14ac:dyDescent="0.25">
      <c r="A25" s="2" t="s">
        <v>101</v>
      </c>
      <c r="B25" s="1" t="s">
        <v>102</v>
      </c>
      <c r="C25" s="2" t="s">
        <v>103</v>
      </c>
      <c r="D25" s="2" t="s">
        <v>104</v>
      </c>
      <c r="E25" s="2" t="s">
        <v>105</v>
      </c>
    </row>
    <row r="26" spans="1:5" ht="150" x14ac:dyDescent="0.25">
      <c r="A26" s="2" t="s">
        <v>106</v>
      </c>
      <c r="B26" s="1" t="s">
        <v>107</v>
      </c>
      <c r="C26" s="2" t="s">
        <v>103</v>
      </c>
      <c r="D26" s="2" t="s">
        <v>108</v>
      </c>
      <c r="E26" s="2" t="s">
        <v>109</v>
      </c>
    </row>
    <row r="27" spans="1:5" ht="120" x14ac:dyDescent="0.25">
      <c r="A27" s="2" t="s">
        <v>110</v>
      </c>
      <c r="B27" s="1" t="s">
        <v>111</v>
      </c>
      <c r="C27" s="2" t="s">
        <v>22</v>
      </c>
      <c r="D27" s="2" t="s">
        <v>112</v>
      </c>
      <c r="E27" s="2" t="s">
        <v>113</v>
      </c>
    </row>
    <row r="28" spans="1:5" ht="120" x14ac:dyDescent="0.25">
      <c r="A28" s="2" t="s">
        <v>114</v>
      </c>
      <c r="B28" s="1" t="s">
        <v>115</v>
      </c>
      <c r="C28" s="2" t="s">
        <v>22</v>
      </c>
      <c r="D28" s="2" t="s">
        <v>116</v>
      </c>
      <c r="E28" s="2" t="s">
        <v>117</v>
      </c>
    </row>
    <row r="29" spans="1:5" ht="300" x14ac:dyDescent="0.25">
      <c r="A29" s="2" t="s">
        <v>118</v>
      </c>
      <c r="B29" s="1" t="s">
        <v>119</v>
      </c>
      <c r="C29" s="2" t="s">
        <v>120</v>
      </c>
      <c r="D29" s="2" t="s">
        <v>121</v>
      </c>
      <c r="E29" s="2" t="s">
        <v>122</v>
      </c>
    </row>
    <row r="30" spans="1:5" ht="120" x14ac:dyDescent="0.25">
      <c r="A30" s="2" t="s">
        <v>123</v>
      </c>
      <c r="B30" s="1" t="s">
        <v>124</v>
      </c>
      <c r="C30" s="2" t="s">
        <v>125</v>
      </c>
      <c r="D30" s="2" t="s">
        <v>126</v>
      </c>
      <c r="E30" s="2" t="s">
        <v>127</v>
      </c>
    </row>
    <row r="31" spans="1:5" ht="405" x14ac:dyDescent="0.25">
      <c r="A31" s="2" t="s">
        <v>128</v>
      </c>
      <c r="B31" s="1" t="s">
        <v>129</v>
      </c>
      <c r="C31" s="2" t="s">
        <v>130</v>
      </c>
      <c r="D31" s="2" t="s">
        <v>131</v>
      </c>
      <c r="E31" s="2" t="s">
        <v>132</v>
      </c>
    </row>
    <row r="32" spans="1:5" ht="60" x14ac:dyDescent="0.25">
      <c r="A32" s="2" t="s">
        <v>133</v>
      </c>
      <c r="B32" s="1" t="s">
        <v>134</v>
      </c>
      <c r="C32" s="2" t="s">
        <v>7</v>
      </c>
      <c r="D32" s="2" t="s">
        <v>135</v>
      </c>
      <c r="E32" s="2" t="s">
        <v>136</v>
      </c>
    </row>
    <row r="33" spans="1:5" ht="90" x14ac:dyDescent="0.25">
      <c r="A33" s="2" t="s">
        <v>137</v>
      </c>
      <c r="B33" s="1" t="s">
        <v>138</v>
      </c>
      <c r="C33" s="2" t="s">
        <v>7</v>
      </c>
      <c r="D33" s="2" t="s">
        <v>139</v>
      </c>
      <c r="E33" s="2" t="s">
        <v>140</v>
      </c>
    </row>
    <row r="34" spans="1:5" ht="60" x14ac:dyDescent="0.25">
      <c r="A34" s="2" t="s">
        <v>141</v>
      </c>
      <c r="B34" s="1" t="s">
        <v>142</v>
      </c>
      <c r="C34" s="2" t="s">
        <v>7</v>
      </c>
      <c r="D34" s="2" t="s">
        <v>143</v>
      </c>
      <c r="E34" s="2" t="s">
        <v>144</v>
      </c>
    </row>
    <row r="35" spans="1:5" ht="120" x14ac:dyDescent="0.25">
      <c r="A35" s="2" t="s">
        <v>145</v>
      </c>
      <c r="B35" s="1" t="s">
        <v>146</v>
      </c>
      <c r="C35" s="2" t="s">
        <v>7</v>
      </c>
      <c r="D35" s="2" t="s">
        <v>147</v>
      </c>
      <c r="E35" s="2" t="s">
        <v>148</v>
      </c>
    </row>
    <row r="36" spans="1:5" ht="165" x14ac:dyDescent="0.25">
      <c r="A36" s="2" t="s">
        <v>149</v>
      </c>
      <c r="B36" s="1" t="s">
        <v>150</v>
      </c>
      <c r="C36" s="2" t="s">
        <v>151</v>
      </c>
      <c r="D36" s="2" t="s">
        <v>152</v>
      </c>
      <c r="E36" s="2" t="s">
        <v>153</v>
      </c>
    </row>
    <row r="37" spans="1:5" ht="105" x14ac:dyDescent="0.25">
      <c r="A37" s="2" t="s">
        <v>154</v>
      </c>
      <c r="B37" s="1" t="s">
        <v>155</v>
      </c>
      <c r="C37" s="2" t="s">
        <v>156</v>
      </c>
      <c r="D37" s="2" t="s">
        <v>157</v>
      </c>
      <c r="E37" s="2" t="s">
        <v>158</v>
      </c>
    </row>
    <row r="38" spans="1:5" ht="135" x14ac:dyDescent="0.25">
      <c r="A38" s="2" t="s">
        <v>159</v>
      </c>
      <c r="B38" s="1" t="s">
        <v>160</v>
      </c>
      <c r="C38" s="2" t="s">
        <v>22</v>
      </c>
      <c r="D38" s="2" t="s">
        <v>161</v>
      </c>
      <c r="E38" s="2" t="s">
        <v>162</v>
      </c>
    </row>
    <row r="39" spans="1:5" ht="120" x14ac:dyDescent="0.25">
      <c r="A39" s="2" t="s">
        <v>163</v>
      </c>
      <c r="B39" s="1" t="s">
        <v>164</v>
      </c>
      <c r="C39" s="2" t="s">
        <v>22</v>
      </c>
      <c r="D39" s="2" t="s">
        <v>165</v>
      </c>
      <c r="E39" s="2" t="s">
        <v>166</v>
      </c>
    </row>
    <row r="40" spans="1:5" ht="120" x14ac:dyDescent="0.25">
      <c r="A40" s="2" t="s">
        <v>167</v>
      </c>
      <c r="B40" s="1" t="s">
        <v>168</v>
      </c>
      <c r="C40" s="2" t="s">
        <v>22</v>
      </c>
      <c r="D40" s="2" t="s">
        <v>169</v>
      </c>
      <c r="E40" s="2" t="s">
        <v>170</v>
      </c>
    </row>
    <row r="41" spans="1:5" ht="105" x14ac:dyDescent="0.25">
      <c r="A41" s="2" t="s">
        <v>171</v>
      </c>
      <c r="B41" s="1" t="s">
        <v>172</v>
      </c>
      <c r="C41" s="2" t="s">
        <v>173</v>
      </c>
      <c r="D41" s="2" t="s">
        <v>174</v>
      </c>
      <c r="E41" s="2" t="s">
        <v>175</v>
      </c>
    </row>
    <row r="42" spans="1:5" ht="210" x14ac:dyDescent="0.25">
      <c r="A42" s="2" t="s">
        <v>176</v>
      </c>
      <c r="B42" s="1" t="s">
        <v>177</v>
      </c>
      <c r="C42" s="2" t="s">
        <v>178</v>
      </c>
      <c r="D42" s="2" t="s">
        <v>179</v>
      </c>
      <c r="E42" s="2" t="s">
        <v>180</v>
      </c>
    </row>
    <row r="43" spans="1:5" ht="195" x14ac:dyDescent="0.25">
      <c r="A43" s="2" t="s">
        <v>181</v>
      </c>
      <c r="B43" s="1" t="s">
        <v>182</v>
      </c>
      <c r="C43" s="2" t="s">
        <v>183</v>
      </c>
      <c r="D43" s="2" t="s">
        <v>184</v>
      </c>
      <c r="E43" s="2" t="s">
        <v>185</v>
      </c>
    </row>
    <row r="44" spans="1:5" ht="150" x14ac:dyDescent="0.25">
      <c r="A44" s="2" t="s">
        <v>186</v>
      </c>
      <c r="B44" s="1" t="s">
        <v>187</v>
      </c>
      <c r="C44" s="2" t="s">
        <v>22</v>
      </c>
      <c r="D44" s="2" t="s">
        <v>188</v>
      </c>
      <c r="E44" s="2" t="s">
        <v>189</v>
      </c>
    </row>
    <row r="45" spans="1:5" ht="150" x14ac:dyDescent="0.25">
      <c r="A45" s="2" t="s">
        <v>190</v>
      </c>
      <c r="B45" s="1" t="s">
        <v>191</v>
      </c>
      <c r="C45" s="2" t="s">
        <v>151</v>
      </c>
      <c r="D45" s="2" t="s">
        <v>192</v>
      </c>
      <c r="E45" s="2" t="s">
        <v>193</v>
      </c>
    </row>
    <row r="46" spans="1:5" ht="135" x14ac:dyDescent="0.25">
      <c r="A46" s="2" t="s">
        <v>194</v>
      </c>
      <c r="B46" s="1" t="s">
        <v>195</v>
      </c>
      <c r="C46" s="2" t="s">
        <v>22</v>
      </c>
      <c r="D46" s="2" t="s">
        <v>196</v>
      </c>
      <c r="E46" s="2" t="s">
        <v>197</v>
      </c>
    </row>
    <row r="47" spans="1:5" ht="120" x14ac:dyDescent="0.25">
      <c r="A47" s="2" t="s">
        <v>198</v>
      </c>
      <c r="B47" s="1" t="s">
        <v>199</v>
      </c>
      <c r="C47" s="2" t="s">
        <v>22</v>
      </c>
      <c r="D47" s="2" t="s">
        <v>200</v>
      </c>
      <c r="E47" s="2" t="s">
        <v>201</v>
      </c>
    </row>
    <row r="48" spans="1:5" ht="135" x14ac:dyDescent="0.25">
      <c r="A48" s="2" t="s">
        <v>202</v>
      </c>
      <c r="B48" s="1" t="s">
        <v>203</v>
      </c>
      <c r="C48" s="2" t="s">
        <v>22</v>
      </c>
      <c r="D48" s="2" t="s">
        <v>204</v>
      </c>
      <c r="E48" s="2" t="s">
        <v>205</v>
      </c>
    </row>
    <row r="49" spans="1:5" ht="120" x14ac:dyDescent="0.25">
      <c r="A49" s="2" t="s">
        <v>206</v>
      </c>
      <c r="B49" s="1" t="s">
        <v>207</v>
      </c>
      <c r="C49" s="2" t="s">
        <v>22</v>
      </c>
      <c r="D49" s="2" t="s">
        <v>208</v>
      </c>
      <c r="E49" s="2" t="s">
        <v>209</v>
      </c>
    </row>
    <row r="50" spans="1:5" ht="135" x14ac:dyDescent="0.25">
      <c r="A50" s="2" t="s">
        <v>210</v>
      </c>
      <c r="B50" s="1" t="s">
        <v>211</v>
      </c>
      <c r="C50" s="2" t="s">
        <v>212</v>
      </c>
      <c r="D50" s="2" t="s">
        <v>213</v>
      </c>
      <c r="E50" s="2" t="s">
        <v>214</v>
      </c>
    </row>
    <row r="51" spans="1:5" ht="150" x14ac:dyDescent="0.25">
      <c r="A51" s="2" t="s">
        <v>215</v>
      </c>
      <c r="B51" s="1" t="s">
        <v>216</v>
      </c>
      <c r="C51" s="2" t="s">
        <v>217</v>
      </c>
      <c r="D51" s="2" t="s">
        <v>218</v>
      </c>
      <c r="E51" s="2" t="s">
        <v>219</v>
      </c>
    </row>
    <row r="52" spans="1:5" ht="150" x14ac:dyDescent="0.25">
      <c r="A52" s="2" t="s">
        <v>220</v>
      </c>
      <c r="B52" s="1" t="s">
        <v>221</v>
      </c>
      <c r="C52" s="2" t="s">
        <v>222</v>
      </c>
      <c r="D52" s="2" t="s">
        <v>223</v>
      </c>
      <c r="E52" s="2" t="s">
        <v>224</v>
      </c>
    </row>
    <row r="53" spans="1:5" ht="315" x14ac:dyDescent="0.25">
      <c r="A53" s="2" t="s">
        <v>225</v>
      </c>
      <c r="B53" s="1" t="s">
        <v>521</v>
      </c>
      <c r="C53" s="2" t="s">
        <v>522</v>
      </c>
      <c r="D53" s="2" t="s">
        <v>226</v>
      </c>
      <c r="E53" s="2" t="s">
        <v>523</v>
      </c>
    </row>
    <row r="54" spans="1:5" ht="135" x14ac:dyDescent="0.25">
      <c r="A54" s="2" t="s">
        <v>227</v>
      </c>
      <c r="B54" s="1" t="s">
        <v>228</v>
      </c>
      <c r="C54" s="2" t="s">
        <v>229</v>
      </c>
      <c r="D54" s="2" t="s">
        <v>230</v>
      </c>
      <c r="E54" s="2" t="s">
        <v>231</v>
      </c>
    </row>
    <row r="55" spans="1:5" ht="150" x14ac:dyDescent="0.25">
      <c r="A55" s="2" t="s">
        <v>232</v>
      </c>
      <c r="B55" s="1" t="s">
        <v>233</v>
      </c>
      <c r="C55" s="2" t="s">
        <v>229</v>
      </c>
      <c r="D55" s="2" t="s">
        <v>234</v>
      </c>
      <c r="E55" s="2" t="s">
        <v>235</v>
      </c>
    </row>
    <row r="56" spans="1:5" ht="165" x14ac:dyDescent="0.25">
      <c r="A56" s="2" t="s">
        <v>236</v>
      </c>
      <c r="B56" s="1" t="s">
        <v>237</v>
      </c>
      <c r="C56" s="2" t="s">
        <v>22</v>
      </c>
      <c r="D56" s="2" t="s">
        <v>238</v>
      </c>
      <c r="E56" s="2" t="s">
        <v>239</v>
      </c>
    </row>
    <row r="57" spans="1:5" ht="150" x14ac:dyDescent="0.25">
      <c r="A57" s="2" t="s">
        <v>240</v>
      </c>
      <c r="B57" s="1" t="s">
        <v>241</v>
      </c>
      <c r="C57" s="2" t="s">
        <v>22</v>
      </c>
      <c r="D57" s="2" t="s">
        <v>242</v>
      </c>
      <c r="E57" s="2" t="s">
        <v>243</v>
      </c>
    </row>
    <row r="58" spans="1:5" ht="150" x14ac:dyDescent="0.25">
      <c r="A58" s="2" t="s">
        <v>244</v>
      </c>
      <c r="B58" s="1" t="s">
        <v>245</v>
      </c>
      <c r="C58" s="2" t="s">
        <v>246</v>
      </c>
      <c r="D58" s="2" t="s">
        <v>247</v>
      </c>
      <c r="E58" s="2" t="s">
        <v>248</v>
      </c>
    </row>
  </sheetData>
  <pageMargins left="0.7" right="0.7" top="0.75" bottom="0.75" header="0.3" footer="0.3"/>
  <pageSetup scale="60"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9AB9-8F3F-4C35-92C5-46F51479B684}">
  <dimension ref="A1:Y2939"/>
  <sheetViews>
    <sheetView topLeftCell="I1" workbookViewId="0">
      <pane ySplit="1" topLeftCell="A2" activePane="bottomLeft" state="frozenSplit"/>
      <selection pane="bottomLeft" activeCell="W3" sqref="W3"/>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249</v>
      </c>
      <c r="B1" t="s">
        <v>250</v>
      </c>
      <c r="C1" t="s">
        <v>251</v>
      </c>
      <c r="D1" t="s">
        <v>252</v>
      </c>
      <c r="E1" t="s">
        <v>253</v>
      </c>
      <c r="F1" t="s">
        <v>254</v>
      </c>
      <c r="G1" t="s">
        <v>255</v>
      </c>
      <c r="H1" t="s">
        <v>256</v>
      </c>
      <c r="I1" t="s">
        <v>257</v>
      </c>
      <c r="J1" t="s">
        <v>258</v>
      </c>
      <c r="K1" t="s">
        <v>259</v>
      </c>
      <c r="L1" t="s">
        <v>260</v>
      </c>
      <c r="M1" t="s">
        <v>261</v>
      </c>
      <c r="N1" t="s">
        <v>262</v>
      </c>
      <c r="O1" t="s">
        <v>263</v>
      </c>
      <c r="P1" t="s">
        <v>264</v>
      </c>
      <c r="Q1" t="s">
        <v>265</v>
      </c>
      <c r="R1" t="s">
        <v>266</v>
      </c>
      <c r="S1" t="s">
        <v>267</v>
      </c>
      <c r="T1" t="s">
        <v>268</v>
      </c>
      <c r="U1" t="s">
        <v>269</v>
      </c>
      <c r="V1" t="s">
        <v>270</v>
      </c>
      <c r="W1" t="s">
        <v>271</v>
      </c>
    </row>
    <row r="2" spans="1:23" x14ac:dyDescent="0.25">
      <c r="A2" t="s">
        <v>272</v>
      </c>
      <c r="B2">
        <v>2015</v>
      </c>
      <c r="C2" t="s">
        <v>273</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cm="1">
        <f t="array" ref="W2">AND(ISNUMBER(LifeExpectancyData[[#This Row],[Adult Mortality]:[Schooling]]),ISNUMBER(LifeExpectancyData[[#This Row],[Life expectancy]]), LifeExpectancyData[[#This Row],[Year]]=2013)</f>
        <v>0</v>
      </c>
    </row>
    <row r="3" spans="1:23" x14ac:dyDescent="0.25">
      <c r="A3" t="s">
        <v>272</v>
      </c>
      <c r="B3">
        <v>2014</v>
      </c>
      <c r="C3" t="s">
        <v>273</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cm="1">
        <f t="array" ref="W3">AND(ISNUMBER(LifeExpectancyData[[#This Row],[Adult Mortality]:[Schooling]]),ISNUMBER(LifeExpectancyData[[#This Row],[Life expectancy]]), LifeExpectancyData[[#This Row],[Year]]=2013)</f>
        <v>0</v>
      </c>
    </row>
    <row r="4" spans="1:23" x14ac:dyDescent="0.25">
      <c r="A4" t="s">
        <v>272</v>
      </c>
      <c r="B4">
        <v>2013</v>
      </c>
      <c r="C4" t="s">
        <v>273</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cm="1">
        <f t="array" ref="W4">AND(ISNUMBER(LifeExpectancyData[[#This Row],[Adult Mortality]:[Schooling]]),ISNUMBER(LifeExpectancyData[[#This Row],[Life expectancy]]), LifeExpectancyData[[#This Row],[Year]]=2013)</f>
        <v>1</v>
      </c>
    </row>
    <row r="5" spans="1:23" x14ac:dyDescent="0.25">
      <c r="A5" t="s">
        <v>272</v>
      </c>
      <c r="B5">
        <v>2012</v>
      </c>
      <c r="C5" t="s">
        <v>273</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cm="1">
        <f t="array" ref="W5">AND(ISNUMBER(LifeExpectancyData[[#This Row],[Adult Mortality]:[Schooling]]),ISNUMBER(LifeExpectancyData[[#This Row],[Life expectancy]]), LifeExpectancyData[[#This Row],[Year]]=2013)</f>
        <v>0</v>
      </c>
    </row>
    <row r="6" spans="1:23" x14ac:dyDescent="0.25">
      <c r="A6" t="s">
        <v>272</v>
      </c>
      <c r="B6">
        <v>2011</v>
      </c>
      <c r="C6" t="s">
        <v>273</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cm="1">
        <f t="array" ref="W6">AND(ISNUMBER(LifeExpectancyData[[#This Row],[Adult Mortality]:[Schooling]]),ISNUMBER(LifeExpectancyData[[#This Row],[Life expectancy]]), LifeExpectancyData[[#This Row],[Year]]=2013)</f>
        <v>0</v>
      </c>
    </row>
    <row r="7" spans="1:23" x14ac:dyDescent="0.25">
      <c r="A7" t="s">
        <v>272</v>
      </c>
      <c r="B7">
        <v>2010</v>
      </c>
      <c r="C7" t="s">
        <v>273</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cm="1">
        <f t="array" ref="W7">AND(ISNUMBER(LifeExpectancyData[[#This Row],[Adult Mortality]:[Schooling]]),ISNUMBER(LifeExpectancyData[[#This Row],[Life expectancy]]), LifeExpectancyData[[#This Row],[Year]]=2013)</f>
        <v>0</v>
      </c>
    </row>
    <row r="8" spans="1:23" x14ac:dyDescent="0.25">
      <c r="A8" t="s">
        <v>272</v>
      </c>
      <c r="B8">
        <v>2009</v>
      </c>
      <c r="C8" t="s">
        <v>273</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cm="1">
        <f t="array" ref="W8">AND(ISNUMBER(LifeExpectancyData[[#This Row],[Adult Mortality]:[Schooling]]),ISNUMBER(LifeExpectancyData[[#This Row],[Life expectancy]]), LifeExpectancyData[[#This Row],[Year]]=2013)</f>
        <v>0</v>
      </c>
    </row>
    <row r="9" spans="1:23" x14ac:dyDescent="0.25">
      <c r="A9" t="s">
        <v>272</v>
      </c>
      <c r="B9">
        <v>2008</v>
      </c>
      <c r="C9" t="s">
        <v>273</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cm="1">
        <f t="array" ref="W9">AND(ISNUMBER(LifeExpectancyData[[#This Row],[Adult Mortality]:[Schooling]]),ISNUMBER(LifeExpectancyData[[#This Row],[Life expectancy]]), LifeExpectancyData[[#This Row],[Year]]=2013)</f>
        <v>0</v>
      </c>
    </row>
    <row r="10" spans="1:23" x14ac:dyDescent="0.25">
      <c r="A10" t="s">
        <v>272</v>
      </c>
      <c r="B10">
        <v>2007</v>
      </c>
      <c r="C10" t="s">
        <v>273</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cm="1">
        <f t="array" ref="W10">AND(ISNUMBER(LifeExpectancyData[[#This Row],[Adult Mortality]:[Schooling]]),ISNUMBER(LifeExpectancyData[[#This Row],[Life expectancy]]), LifeExpectancyData[[#This Row],[Year]]=2013)</f>
        <v>0</v>
      </c>
    </row>
    <row r="11" spans="1:23" x14ac:dyDescent="0.25">
      <c r="A11" t="s">
        <v>272</v>
      </c>
      <c r="B11">
        <v>2006</v>
      </c>
      <c r="C11" t="s">
        <v>273</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cm="1">
        <f t="array" ref="W11">AND(ISNUMBER(LifeExpectancyData[[#This Row],[Adult Mortality]:[Schooling]]),ISNUMBER(LifeExpectancyData[[#This Row],[Life expectancy]]), LifeExpectancyData[[#This Row],[Year]]=2013)</f>
        <v>0</v>
      </c>
    </row>
    <row r="12" spans="1:23" x14ac:dyDescent="0.25">
      <c r="A12" t="s">
        <v>272</v>
      </c>
      <c r="B12">
        <v>2005</v>
      </c>
      <c r="C12" t="s">
        <v>273</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cm="1">
        <f t="array" ref="W12">AND(ISNUMBER(LifeExpectancyData[[#This Row],[Adult Mortality]:[Schooling]]),ISNUMBER(LifeExpectancyData[[#This Row],[Life expectancy]]), LifeExpectancyData[[#This Row],[Year]]=2013)</f>
        <v>0</v>
      </c>
    </row>
    <row r="13" spans="1:23" x14ac:dyDescent="0.25">
      <c r="A13" t="s">
        <v>272</v>
      </c>
      <c r="B13">
        <v>2004</v>
      </c>
      <c r="C13" t="s">
        <v>273</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cm="1">
        <f t="array" ref="W13">AND(ISNUMBER(LifeExpectancyData[[#This Row],[Adult Mortality]:[Schooling]]),ISNUMBER(LifeExpectancyData[[#This Row],[Life expectancy]]), LifeExpectancyData[[#This Row],[Year]]=2013)</f>
        <v>0</v>
      </c>
    </row>
    <row r="14" spans="1:23" x14ac:dyDescent="0.25">
      <c r="A14" t="s">
        <v>272</v>
      </c>
      <c r="B14">
        <v>2003</v>
      </c>
      <c r="C14" t="s">
        <v>273</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cm="1">
        <f t="array" ref="W14">AND(ISNUMBER(LifeExpectancyData[[#This Row],[Adult Mortality]:[Schooling]]),ISNUMBER(LifeExpectancyData[[#This Row],[Life expectancy]]), LifeExpectancyData[[#This Row],[Year]]=2013)</f>
        <v>0</v>
      </c>
    </row>
    <row r="15" spans="1:23" x14ac:dyDescent="0.25">
      <c r="A15" t="s">
        <v>272</v>
      </c>
      <c r="B15">
        <v>2002</v>
      </c>
      <c r="C15" t="s">
        <v>273</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cm="1">
        <f t="array" ref="W15">AND(ISNUMBER(LifeExpectancyData[[#This Row],[Adult Mortality]:[Schooling]]),ISNUMBER(LifeExpectancyData[[#This Row],[Life expectancy]]), LifeExpectancyData[[#This Row],[Year]]=2013)</f>
        <v>0</v>
      </c>
    </row>
    <row r="16" spans="1:23" x14ac:dyDescent="0.25">
      <c r="A16" t="s">
        <v>272</v>
      </c>
      <c r="B16">
        <v>2001</v>
      </c>
      <c r="C16" t="s">
        <v>273</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cm="1">
        <f t="array" ref="W16">AND(ISNUMBER(LifeExpectancyData[[#This Row],[Adult Mortality]:[Schooling]]),ISNUMBER(LifeExpectancyData[[#This Row],[Life expectancy]]), LifeExpectancyData[[#This Row],[Year]]=2013)</f>
        <v>0</v>
      </c>
    </row>
    <row r="17" spans="1:23" x14ac:dyDescent="0.25">
      <c r="A17" t="s">
        <v>272</v>
      </c>
      <c r="B17">
        <v>2000</v>
      </c>
      <c r="C17" t="s">
        <v>273</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cm="1">
        <f t="array" ref="W17">AND(ISNUMBER(LifeExpectancyData[[#This Row],[Adult Mortality]:[Schooling]]),ISNUMBER(LifeExpectancyData[[#This Row],[Life expectancy]]), LifeExpectancyData[[#This Row],[Year]]=2013)</f>
        <v>0</v>
      </c>
    </row>
    <row r="18" spans="1:23" x14ac:dyDescent="0.25">
      <c r="A18" t="s">
        <v>274</v>
      </c>
      <c r="B18">
        <v>2015</v>
      </c>
      <c r="C18" t="s">
        <v>273</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cm="1">
        <f t="array" ref="W18">AND(ISNUMBER(LifeExpectancyData[[#This Row],[Adult Mortality]:[Schooling]]),ISNUMBER(LifeExpectancyData[[#This Row],[Life expectancy]]), LifeExpectancyData[[#This Row],[Year]]=2013)</f>
        <v>0</v>
      </c>
    </row>
    <row r="19" spans="1:23" x14ac:dyDescent="0.25">
      <c r="A19" t="s">
        <v>274</v>
      </c>
      <c r="B19">
        <v>2014</v>
      </c>
      <c r="C19" t="s">
        <v>273</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cm="1">
        <f t="array" ref="W19">AND(ISNUMBER(LifeExpectancyData[[#This Row],[Adult Mortality]:[Schooling]]),ISNUMBER(LifeExpectancyData[[#This Row],[Life expectancy]]), LifeExpectancyData[[#This Row],[Year]]=2013)</f>
        <v>0</v>
      </c>
    </row>
    <row r="20" spans="1:23" x14ac:dyDescent="0.25">
      <c r="A20" t="s">
        <v>274</v>
      </c>
      <c r="B20">
        <v>2013</v>
      </c>
      <c r="C20" t="s">
        <v>273</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cm="1">
        <f t="array" ref="W20">AND(ISNUMBER(LifeExpectancyData[[#This Row],[Adult Mortality]:[Schooling]]),ISNUMBER(LifeExpectancyData[[#This Row],[Life expectancy]]), LifeExpectancyData[[#This Row],[Year]]=2013)</f>
        <v>1</v>
      </c>
    </row>
    <row r="21" spans="1:23" x14ac:dyDescent="0.25">
      <c r="A21" t="s">
        <v>274</v>
      </c>
      <c r="B21">
        <v>2012</v>
      </c>
      <c r="C21" t="s">
        <v>273</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cm="1">
        <f t="array" ref="W21">AND(ISNUMBER(LifeExpectancyData[[#This Row],[Adult Mortality]:[Schooling]]),ISNUMBER(LifeExpectancyData[[#This Row],[Life expectancy]]), LifeExpectancyData[[#This Row],[Year]]=2013)</f>
        <v>0</v>
      </c>
    </row>
    <row r="22" spans="1:23" x14ac:dyDescent="0.25">
      <c r="A22" t="s">
        <v>274</v>
      </c>
      <c r="B22">
        <v>2011</v>
      </c>
      <c r="C22" t="s">
        <v>273</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cm="1">
        <f t="array" ref="W22">AND(ISNUMBER(LifeExpectancyData[[#This Row],[Adult Mortality]:[Schooling]]),ISNUMBER(LifeExpectancyData[[#This Row],[Life expectancy]]), LifeExpectancyData[[#This Row],[Year]]=2013)</f>
        <v>0</v>
      </c>
    </row>
    <row r="23" spans="1:23" x14ac:dyDescent="0.25">
      <c r="A23" t="s">
        <v>274</v>
      </c>
      <c r="B23">
        <v>2010</v>
      </c>
      <c r="C23" t="s">
        <v>273</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cm="1">
        <f t="array" ref="W23">AND(ISNUMBER(LifeExpectancyData[[#This Row],[Adult Mortality]:[Schooling]]),ISNUMBER(LifeExpectancyData[[#This Row],[Life expectancy]]), LifeExpectancyData[[#This Row],[Year]]=2013)</f>
        <v>0</v>
      </c>
    </row>
    <row r="24" spans="1:23" x14ac:dyDescent="0.25">
      <c r="A24" t="s">
        <v>274</v>
      </c>
      <c r="B24">
        <v>2009</v>
      </c>
      <c r="C24" t="s">
        <v>273</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cm="1">
        <f t="array" ref="W24">AND(ISNUMBER(LifeExpectancyData[[#This Row],[Adult Mortality]:[Schooling]]),ISNUMBER(LifeExpectancyData[[#This Row],[Life expectancy]]), LifeExpectancyData[[#This Row],[Year]]=2013)</f>
        <v>0</v>
      </c>
    </row>
    <row r="25" spans="1:23" x14ac:dyDescent="0.25">
      <c r="A25" t="s">
        <v>274</v>
      </c>
      <c r="B25">
        <v>2008</v>
      </c>
      <c r="C25" t="s">
        <v>273</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cm="1">
        <f t="array" ref="W25">AND(ISNUMBER(LifeExpectancyData[[#This Row],[Adult Mortality]:[Schooling]]),ISNUMBER(LifeExpectancyData[[#This Row],[Life expectancy]]), LifeExpectancyData[[#This Row],[Year]]=2013)</f>
        <v>0</v>
      </c>
    </row>
    <row r="26" spans="1:23" x14ac:dyDescent="0.25">
      <c r="A26" t="s">
        <v>274</v>
      </c>
      <c r="B26">
        <v>2007</v>
      </c>
      <c r="C26" t="s">
        <v>273</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cm="1">
        <f t="array" ref="W26">AND(ISNUMBER(LifeExpectancyData[[#This Row],[Adult Mortality]:[Schooling]]),ISNUMBER(LifeExpectancyData[[#This Row],[Life expectancy]]), LifeExpectancyData[[#This Row],[Year]]=2013)</f>
        <v>0</v>
      </c>
    </row>
    <row r="27" spans="1:23" x14ac:dyDescent="0.25">
      <c r="A27" t="s">
        <v>274</v>
      </c>
      <c r="B27">
        <v>2006</v>
      </c>
      <c r="C27" t="s">
        <v>273</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cm="1">
        <f t="array" ref="W27">AND(ISNUMBER(LifeExpectancyData[[#This Row],[Adult Mortality]:[Schooling]]),ISNUMBER(LifeExpectancyData[[#This Row],[Life expectancy]]), LifeExpectancyData[[#This Row],[Year]]=2013)</f>
        <v>0</v>
      </c>
    </row>
    <row r="28" spans="1:23" x14ac:dyDescent="0.25">
      <c r="A28" t="s">
        <v>274</v>
      </c>
      <c r="B28">
        <v>2005</v>
      </c>
      <c r="C28" t="s">
        <v>273</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cm="1">
        <f t="array" ref="W28">AND(ISNUMBER(LifeExpectancyData[[#This Row],[Adult Mortality]:[Schooling]]),ISNUMBER(LifeExpectancyData[[#This Row],[Life expectancy]]), LifeExpectancyData[[#This Row],[Year]]=2013)</f>
        <v>0</v>
      </c>
    </row>
    <row r="29" spans="1:23" x14ac:dyDescent="0.25">
      <c r="A29" t="s">
        <v>274</v>
      </c>
      <c r="B29">
        <v>2004</v>
      </c>
      <c r="C29" t="s">
        <v>273</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cm="1">
        <f t="array" ref="W29">AND(ISNUMBER(LifeExpectancyData[[#This Row],[Adult Mortality]:[Schooling]]),ISNUMBER(LifeExpectancyData[[#This Row],[Life expectancy]]), LifeExpectancyData[[#This Row],[Year]]=2013)</f>
        <v>0</v>
      </c>
    </row>
    <row r="30" spans="1:23" x14ac:dyDescent="0.25">
      <c r="A30" t="s">
        <v>274</v>
      </c>
      <c r="B30">
        <v>2003</v>
      </c>
      <c r="C30" t="s">
        <v>273</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cm="1">
        <f t="array" ref="W30">AND(ISNUMBER(LifeExpectancyData[[#This Row],[Adult Mortality]:[Schooling]]),ISNUMBER(LifeExpectancyData[[#This Row],[Life expectancy]]), LifeExpectancyData[[#This Row],[Year]]=2013)</f>
        <v>0</v>
      </c>
    </row>
    <row r="31" spans="1:23" x14ac:dyDescent="0.25">
      <c r="A31" t="s">
        <v>274</v>
      </c>
      <c r="B31">
        <v>2002</v>
      </c>
      <c r="C31" t="s">
        <v>273</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cm="1">
        <f t="array" ref="W31">AND(ISNUMBER(LifeExpectancyData[[#This Row],[Adult Mortality]:[Schooling]]),ISNUMBER(LifeExpectancyData[[#This Row],[Life expectancy]]), LifeExpectancyData[[#This Row],[Year]]=2013)</f>
        <v>0</v>
      </c>
    </row>
    <row r="32" spans="1:23" x14ac:dyDescent="0.25">
      <c r="A32" t="s">
        <v>274</v>
      </c>
      <c r="B32">
        <v>2001</v>
      </c>
      <c r="C32" t="s">
        <v>273</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cm="1">
        <f t="array" ref="W32">AND(ISNUMBER(LifeExpectancyData[[#This Row],[Adult Mortality]:[Schooling]]),ISNUMBER(LifeExpectancyData[[#This Row],[Life expectancy]]), LifeExpectancyData[[#This Row],[Year]]=2013)</f>
        <v>0</v>
      </c>
    </row>
    <row r="33" spans="1:25" x14ac:dyDescent="0.25">
      <c r="A33" t="s">
        <v>274</v>
      </c>
      <c r="B33">
        <v>2000</v>
      </c>
      <c r="C33" t="s">
        <v>273</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cm="1">
        <f t="array" ref="W33">AND(ISNUMBER(LifeExpectancyData[[#This Row],[Adult Mortality]:[Schooling]]),ISNUMBER(LifeExpectancyData[[#This Row],[Life expectancy]]), LifeExpectancyData[[#This Row],[Year]]=2013)</f>
        <v>0</v>
      </c>
    </row>
    <row r="34" spans="1:25" hidden="1" x14ac:dyDescent="0.25">
      <c r="A34" t="s">
        <v>275</v>
      </c>
      <c r="B34">
        <v>2015</v>
      </c>
      <c r="C34" t="s">
        <v>273</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cm="1">
        <f t="array" ref="W34">AND(ISNUMBER(LifeExpectancyData[[#This Row],[Adult Mortality]:[Schooling]]),ISNUMBER(LifeExpectancyData[[#This Row],[Life expectancy]]), LifeExpectancyData[[#This Row],[Year]]=2013)</f>
        <v>0</v>
      </c>
    </row>
    <row r="35" spans="1:25" x14ac:dyDescent="0.25">
      <c r="A35" t="s">
        <v>275</v>
      </c>
      <c r="B35">
        <v>2014</v>
      </c>
      <c r="C35" t="s">
        <v>273</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cm="1">
        <f t="array" ref="W35">AND(ISNUMBER(LifeExpectancyData[[#This Row],[Adult Mortality]:[Schooling]]),ISNUMBER(LifeExpectancyData[[#This Row],[Life expectancy]]), LifeExpectancyData[[#This Row],[Year]]=2013)</f>
        <v>0</v>
      </c>
      <c r="Y35" t="s">
        <v>531</v>
      </c>
    </row>
    <row r="36" spans="1:25" x14ac:dyDescent="0.25">
      <c r="A36" t="s">
        <v>275</v>
      </c>
      <c r="B36">
        <v>2013</v>
      </c>
      <c r="C36" t="s">
        <v>273</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cm="1">
        <f t="array" ref="W36">AND(ISNUMBER(LifeExpectancyData[[#This Row],[Adult Mortality]:[Schooling]]),ISNUMBER(LifeExpectancyData[[#This Row],[Life expectancy]]), LifeExpectancyData[[#This Row],[Year]]=2013)</f>
        <v>1</v>
      </c>
    </row>
    <row r="37" spans="1:25" x14ac:dyDescent="0.25">
      <c r="A37" t="s">
        <v>275</v>
      </c>
      <c r="B37">
        <v>2012</v>
      </c>
      <c r="C37" t="s">
        <v>273</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cm="1">
        <f t="array" ref="W37">AND(ISNUMBER(LifeExpectancyData[[#This Row],[Adult Mortality]:[Schooling]]),ISNUMBER(LifeExpectancyData[[#This Row],[Life expectancy]]), LifeExpectancyData[[#This Row],[Year]]=2013)</f>
        <v>0</v>
      </c>
    </row>
    <row r="38" spans="1:25" x14ac:dyDescent="0.25">
      <c r="A38" t="s">
        <v>275</v>
      </c>
      <c r="B38">
        <v>2011</v>
      </c>
      <c r="C38" t="s">
        <v>273</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cm="1">
        <f t="array" ref="W38">AND(ISNUMBER(LifeExpectancyData[[#This Row],[Adult Mortality]:[Schooling]]),ISNUMBER(LifeExpectancyData[[#This Row],[Life expectancy]]), LifeExpectancyData[[#This Row],[Year]]=2013)</f>
        <v>0</v>
      </c>
    </row>
    <row r="39" spans="1:25" x14ac:dyDescent="0.25">
      <c r="A39" t="s">
        <v>275</v>
      </c>
      <c r="B39">
        <v>2010</v>
      </c>
      <c r="C39" t="s">
        <v>273</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cm="1">
        <f t="array" ref="W39">AND(ISNUMBER(LifeExpectancyData[[#This Row],[Adult Mortality]:[Schooling]]),ISNUMBER(LifeExpectancyData[[#This Row],[Life expectancy]]), LifeExpectancyData[[#This Row],[Year]]=2013)</f>
        <v>0</v>
      </c>
    </row>
    <row r="40" spans="1:25" x14ac:dyDescent="0.25">
      <c r="A40" t="s">
        <v>275</v>
      </c>
      <c r="B40">
        <v>2009</v>
      </c>
      <c r="C40" t="s">
        <v>273</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cm="1">
        <f t="array" ref="W40">AND(ISNUMBER(LifeExpectancyData[[#This Row],[Adult Mortality]:[Schooling]]),ISNUMBER(LifeExpectancyData[[#This Row],[Life expectancy]]), LifeExpectancyData[[#This Row],[Year]]=2013)</f>
        <v>0</v>
      </c>
    </row>
    <row r="41" spans="1:25" x14ac:dyDescent="0.25">
      <c r="A41" t="s">
        <v>275</v>
      </c>
      <c r="B41">
        <v>2008</v>
      </c>
      <c r="C41" t="s">
        <v>273</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cm="1">
        <f t="array" ref="W41">AND(ISNUMBER(LifeExpectancyData[[#This Row],[Adult Mortality]:[Schooling]]),ISNUMBER(LifeExpectancyData[[#This Row],[Life expectancy]]), LifeExpectancyData[[#This Row],[Year]]=2013)</f>
        <v>0</v>
      </c>
    </row>
    <row r="42" spans="1:25" x14ac:dyDescent="0.25">
      <c r="A42" t="s">
        <v>275</v>
      </c>
      <c r="B42">
        <v>2007</v>
      </c>
      <c r="C42" t="s">
        <v>273</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cm="1">
        <f t="array" ref="W42">AND(ISNUMBER(LifeExpectancyData[[#This Row],[Adult Mortality]:[Schooling]]),ISNUMBER(LifeExpectancyData[[#This Row],[Life expectancy]]), LifeExpectancyData[[#This Row],[Year]]=2013)</f>
        <v>0</v>
      </c>
    </row>
    <row r="43" spans="1:25" x14ac:dyDescent="0.25">
      <c r="A43" t="s">
        <v>275</v>
      </c>
      <c r="B43">
        <v>2006</v>
      </c>
      <c r="C43" t="s">
        <v>273</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cm="1">
        <f t="array" ref="W43">AND(ISNUMBER(LifeExpectancyData[[#This Row],[Adult Mortality]:[Schooling]]),ISNUMBER(LifeExpectancyData[[#This Row],[Life expectancy]]), LifeExpectancyData[[#This Row],[Year]]=2013)</f>
        <v>0</v>
      </c>
    </row>
    <row r="44" spans="1:25" x14ac:dyDescent="0.25">
      <c r="A44" t="s">
        <v>275</v>
      </c>
      <c r="B44">
        <v>2005</v>
      </c>
      <c r="C44" t="s">
        <v>273</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cm="1">
        <f t="array" ref="W44">AND(ISNUMBER(LifeExpectancyData[[#This Row],[Adult Mortality]:[Schooling]]),ISNUMBER(LifeExpectancyData[[#This Row],[Life expectancy]]), LifeExpectancyData[[#This Row],[Year]]=2013)</f>
        <v>0</v>
      </c>
    </row>
    <row r="45" spans="1:25" x14ac:dyDescent="0.25">
      <c r="A45" t="s">
        <v>275</v>
      </c>
      <c r="B45">
        <v>2004</v>
      </c>
      <c r="C45" t="s">
        <v>273</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cm="1">
        <f t="array" ref="W45">AND(ISNUMBER(LifeExpectancyData[[#This Row],[Adult Mortality]:[Schooling]]),ISNUMBER(LifeExpectancyData[[#This Row],[Life expectancy]]), LifeExpectancyData[[#This Row],[Year]]=2013)</f>
        <v>0</v>
      </c>
    </row>
    <row r="46" spans="1:25" hidden="1" x14ac:dyDescent="0.25">
      <c r="A46" t="s">
        <v>275</v>
      </c>
      <c r="B46">
        <v>2003</v>
      </c>
      <c r="C46" t="s">
        <v>273</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cm="1">
        <f t="array" ref="W46">AND(ISNUMBER(LifeExpectancyData[[#This Row],[Adult Mortality]:[Schooling]]),ISNUMBER(LifeExpectancyData[[#This Row],[Life expectancy]]), LifeExpectancyData[[#This Row],[Year]]=2013)</f>
        <v>0</v>
      </c>
    </row>
    <row r="47" spans="1:25" hidden="1" x14ac:dyDescent="0.25">
      <c r="A47" t="s">
        <v>275</v>
      </c>
      <c r="B47">
        <v>2002</v>
      </c>
      <c r="C47" t="s">
        <v>273</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cm="1">
        <f t="array" ref="W47">AND(ISNUMBER(LifeExpectancyData[[#This Row],[Adult Mortality]:[Schooling]]),ISNUMBER(LifeExpectancyData[[#This Row],[Life expectancy]]), LifeExpectancyData[[#This Row],[Year]]=2013)</f>
        <v>0</v>
      </c>
    </row>
    <row r="48" spans="1:25" hidden="1" x14ac:dyDescent="0.25">
      <c r="A48" t="s">
        <v>275</v>
      </c>
      <c r="B48">
        <v>2001</v>
      </c>
      <c r="C48" t="s">
        <v>273</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cm="1">
        <f t="array" ref="W48">AND(ISNUMBER(LifeExpectancyData[[#This Row],[Adult Mortality]:[Schooling]]),ISNUMBER(LifeExpectancyData[[#This Row],[Life expectancy]]), LifeExpectancyData[[#This Row],[Year]]=2013)</f>
        <v>0</v>
      </c>
    </row>
    <row r="49" spans="1:23" hidden="1" x14ac:dyDescent="0.25">
      <c r="A49" t="s">
        <v>275</v>
      </c>
      <c r="B49">
        <v>2000</v>
      </c>
      <c r="C49" t="s">
        <v>273</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cm="1">
        <f t="array" ref="W49">AND(ISNUMBER(LifeExpectancyData[[#This Row],[Adult Mortality]:[Schooling]]),ISNUMBER(LifeExpectancyData[[#This Row],[Life expectancy]]), LifeExpectancyData[[#This Row],[Year]]=2013)</f>
        <v>0</v>
      </c>
    </row>
    <row r="50" spans="1:23" hidden="1" x14ac:dyDescent="0.25">
      <c r="A50" t="s">
        <v>276</v>
      </c>
      <c r="B50">
        <v>2015</v>
      </c>
      <c r="C50" t="s">
        <v>273</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cm="1">
        <f t="array" ref="W50">AND(ISNUMBER(LifeExpectancyData[[#This Row],[Adult Mortality]:[Schooling]]),ISNUMBER(LifeExpectancyData[[#This Row],[Life expectancy]]), LifeExpectancyData[[#This Row],[Year]]=2013)</f>
        <v>0</v>
      </c>
    </row>
    <row r="51" spans="1:23" x14ac:dyDescent="0.25">
      <c r="A51" t="s">
        <v>276</v>
      </c>
      <c r="B51">
        <v>2014</v>
      </c>
      <c r="C51" t="s">
        <v>273</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cm="1">
        <f t="array" ref="W51">AND(ISNUMBER(LifeExpectancyData[[#This Row],[Adult Mortality]:[Schooling]]),ISNUMBER(LifeExpectancyData[[#This Row],[Life expectancy]]), LifeExpectancyData[[#This Row],[Year]]=2013)</f>
        <v>0</v>
      </c>
    </row>
    <row r="52" spans="1:23" x14ac:dyDescent="0.25">
      <c r="A52" t="s">
        <v>276</v>
      </c>
      <c r="B52">
        <v>2013</v>
      </c>
      <c r="C52" t="s">
        <v>273</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cm="1">
        <f t="array" ref="W52">AND(ISNUMBER(LifeExpectancyData[[#This Row],[Adult Mortality]:[Schooling]]),ISNUMBER(LifeExpectancyData[[#This Row],[Life expectancy]]), LifeExpectancyData[[#This Row],[Year]]=2013)</f>
        <v>1</v>
      </c>
    </row>
    <row r="53" spans="1:23" x14ac:dyDescent="0.25">
      <c r="A53" t="s">
        <v>276</v>
      </c>
      <c r="B53">
        <v>2012</v>
      </c>
      <c r="C53" t="s">
        <v>273</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cm="1">
        <f t="array" ref="W53">AND(ISNUMBER(LifeExpectancyData[[#This Row],[Adult Mortality]:[Schooling]]),ISNUMBER(LifeExpectancyData[[#This Row],[Life expectancy]]), LifeExpectancyData[[#This Row],[Year]]=2013)</f>
        <v>0</v>
      </c>
    </row>
    <row r="54" spans="1:23" x14ac:dyDescent="0.25">
      <c r="A54" t="s">
        <v>276</v>
      </c>
      <c r="B54">
        <v>2011</v>
      </c>
      <c r="C54" t="s">
        <v>273</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cm="1">
        <f t="array" ref="W54">AND(ISNUMBER(LifeExpectancyData[[#This Row],[Adult Mortality]:[Schooling]]),ISNUMBER(LifeExpectancyData[[#This Row],[Life expectancy]]), LifeExpectancyData[[#This Row],[Year]]=2013)</f>
        <v>0</v>
      </c>
    </row>
    <row r="55" spans="1:23" x14ac:dyDescent="0.25">
      <c r="A55" t="s">
        <v>276</v>
      </c>
      <c r="B55">
        <v>2010</v>
      </c>
      <c r="C55" t="s">
        <v>273</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cm="1">
        <f t="array" ref="W55">AND(ISNUMBER(LifeExpectancyData[[#This Row],[Adult Mortality]:[Schooling]]),ISNUMBER(LifeExpectancyData[[#This Row],[Life expectancy]]), LifeExpectancyData[[#This Row],[Year]]=2013)</f>
        <v>0</v>
      </c>
    </row>
    <row r="56" spans="1:23" x14ac:dyDescent="0.25">
      <c r="A56" t="s">
        <v>276</v>
      </c>
      <c r="B56">
        <v>2009</v>
      </c>
      <c r="C56" t="s">
        <v>273</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cm="1">
        <f t="array" ref="W56">AND(ISNUMBER(LifeExpectancyData[[#This Row],[Adult Mortality]:[Schooling]]),ISNUMBER(LifeExpectancyData[[#This Row],[Life expectancy]]), LifeExpectancyData[[#This Row],[Year]]=2013)</f>
        <v>0</v>
      </c>
    </row>
    <row r="57" spans="1:23" x14ac:dyDescent="0.25">
      <c r="A57" t="s">
        <v>276</v>
      </c>
      <c r="B57">
        <v>2008</v>
      </c>
      <c r="C57" t="s">
        <v>273</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cm="1">
        <f t="array" ref="W57">AND(ISNUMBER(LifeExpectancyData[[#This Row],[Adult Mortality]:[Schooling]]),ISNUMBER(LifeExpectancyData[[#This Row],[Life expectancy]]), LifeExpectancyData[[#This Row],[Year]]=2013)</f>
        <v>0</v>
      </c>
    </row>
    <row r="58" spans="1:23" x14ac:dyDescent="0.25">
      <c r="A58" t="s">
        <v>276</v>
      </c>
      <c r="B58">
        <v>2007</v>
      </c>
      <c r="C58" t="s">
        <v>273</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cm="1">
        <f t="array" ref="W58">AND(ISNUMBER(LifeExpectancyData[[#This Row],[Adult Mortality]:[Schooling]]),ISNUMBER(LifeExpectancyData[[#This Row],[Life expectancy]]), LifeExpectancyData[[#This Row],[Year]]=2013)</f>
        <v>0</v>
      </c>
    </row>
    <row r="59" spans="1:23" hidden="1" x14ac:dyDescent="0.25">
      <c r="A59" t="s">
        <v>276</v>
      </c>
      <c r="B59">
        <v>2006</v>
      </c>
      <c r="C59" t="s">
        <v>273</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cm="1">
        <f t="array" ref="W59">AND(ISNUMBER(LifeExpectancyData[[#This Row],[Adult Mortality]:[Schooling]]),ISNUMBER(LifeExpectancyData[[#This Row],[Life expectancy]]), LifeExpectancyData[[#This Row],[Year]]=2013)</f>
        <v>0</v>
      </c>
    </row>
    <row r="60" spans="1:23" hidden="1" x14ac:dyDescent="0.25">
      <c r="A60" t="s">
        <v>276</v>
      </c>
      <c r="B60">
        <v>2005</v>
      </c>
      <c r="C60" t="s">
        <v>273</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cm="1">
        <f t="array" ref="W60">AND(ISNUMBER(LifeExpectancyData[[#This Row],[Adult Mortality]:[Schooling]]),ISNUMBER(LifeExpectancyData[[#This Row],[Life expectancy]]), LifeExpectancyData[[#This Row],[Year]]=2013)</f>
        <v>0</v>
      </c>
    </row>
    <row r="61" spans="1:23" hidden="1" x14ac:dyDescent="0.25">
      <c r="A61" t="s">
        <v>276</v>
      </c>
      <c r="B61">
        <v>2004</v>
      </c>
      <c r="C61" t="s">
        <v>273</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cm="1">
        <f t="array" ref="W61">AND(ISNUMBER(LifeExpectancyData[[#This Row],[Adult Mortality]:[Schooling]]),ISNUMBER(LifeExpectancyData[[#This Row],[Life expectancy]]), LifeExpectancyData[[#This Row],[Year]]=2013)</f>
        <v>0</v>
      </c>
    </row>
    <row r="62" spans="1:23" hidden="1" x14ac:dyDescent="0.25">
      <c r="A62" t="s">
        <v>276</v>
      </c>
      <c r="B62">
        <v>2003</v>
      </c>
      <c r="C62" t="s">
        <v>273</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cm="1">
        <f t="array" ref="W62">AND(ISNUMBER(LifeExpectancyData[[#This Row],[Adult Mortality]:[Schooling]]),ISNUMBER(LifeExpectancyData[[#This Row],[Life expectancy]]), LifeExpectancyData[[#This Row],[Year]]=2013)</f>
        <v>0</v>
      </c>
    </row>
    <row r="63" spans="1:23" hidden="1" x14ac:dyDescent="0.25">
      <c r="A63" t="s">
        <v>276</v>
      </c>
      <c r="B63">
        <v>2002</v>
      </c>
      <c r="C63" t="s">
        <v>273</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cm="1">
        <f t="array" ref="W63">AND(ISNUMBER(LifeExpectancyData[[#This Row],[Adult Mortality]:[Schooling]]),ISNUMBER(LifeExpectancyData[[#This Row],[Life expectancy]]), LifeExpectancyData[[#This Row],[Year]]=2013)</f>
        <v>0</v>
      </c>
    </row>
    <row r="64" spans="1:23" hidden="1" x14ac:dyDescent="0.25">
      <c r="A64" t="s">
        <v>276</v>
      </c>
      <c r="B64">
        <v>2001</v>
      </c>
      <c r="C64" t="s">
        <v>273</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cm="1">
        <f t="array" ref="W64">AND(ISNUMBER(LifeExpectancyData[[#This Row],[Adult Mortality]:[Schooling]]),ISNUMBER(LifeExpectancyData[[#This Row],[Life expectancy]]), LifeExpectancyData[[#This Row],[Year]]=2013)</f>
        <v>0</v>
      </c>
    </row>
    <row r="65" spans="1:23" hidden="1" x14ac:dyDescent="0.25">
      <c r="A65" t="s">
        <v>276</v>
      </c>
      <c r="B65">
        <v>2000</v>
      </c>
      <c r="C65" t="s">
        <v>273</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cm="1">
        <f t="array" ref="W65">AND(ISNUMBER(LifeExpectancyData[[#This Row],[Adult Mortality]:[Schooling]]),ISNUMBER(LifeExpectancyData[[#This Row],[Life expectancy]]), LifeExpectancyData[[#This Row],[Year]]=2013)</f>
        <v>0</v>
      </c>
    </row>
    <row r="66" spans="1:23" hidden="1" x14ac:dyDescent="0.25">
      <c r="A66" t="s">
        <v>277</v>
      </c>
      <c r="B66">
        <v>2015</v>
      </c>
      <c r="C66" t="s">
        <v>273</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cm="1">
        <f t="array" ref="W66">AND(ISNUMBER(LifeExpectancyData[[#This Row],[Adult Mortality]:[Schooling]]),ISNUMBER(LifeExpectancyData[[#This Row],[Life expectancy]]), LifeExpectancyData[[#This Row],[Year]]=2013)</f>
        <v>0</v>
      </c>
    </row>
    <row r="67" spans="1:23" hidden="1" x14ac:dyDescent="0.25">
      <c r="A67" t="s">
        <v>277</v>
      </c>
      <c r="B67">
        <v>2014</v>
      </c>
      <c r="C67" t="s">
        <v>273</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cm="1">
        <f t="array" ref="W67">AND(ISNUMBER(LifeExpectancyData[[#This Row],[Adult Mortality]:[Schooling]]),ISNUMBER(LifeExpectancyData[[#This Row],[Life expectancy]]), LifeExpectancyData[[#This Row],[Year]]=2013)</f>
        <v>0</v>
      </c>
    </row>
    <row r="68" spans="1:23" hidden="1" x14ac:dyDescent="0.25">
      <c r="A68" t="s">
        <v>277</v>
      </c>
      <c r="B68">
        <v>2013</v>
      </c>
      <c r="C68" t="s">
        <v>273</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cm="1">
        <f t="array" ref="W68">AND(ISNUMBER(LifeExpectancyData[[#This Row],[Adult Mortality]:[Schooling]]),ISNUMBER(LifeExpectancyData[[#This Row],[Life expectancy]]), LifeExpectancyData[[#This Row],[Year]]=2013)</f>
        <v>0</v>
      </c>
    </row>
    <row r="69" spans="1:23" hidden="1" x14ac:dyDescent="0.25">
      <c r="A69" t="s">
        <v>277</v>
      </c>
      <c r="B69">
        <v>2012</v>
      </c>
      <c r="C69" t="s">
        <v>273</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cm="1">
        <f t="array" ref="W69">AND(ISNUMBER(LifeExpectancyData[[#This Row],[Adult Mortality]:[Schooling]]),ISNUMBER(LifeExpectancyData[[#This Row],[Life expectancy]]), LifeExpectancyData[[#This Row],[Year]]=2013)</f>
        <v>0</v>
      </c>
    </row>
    <row r="70" spans="1:23" hidden="1" x14ac:dyDescent="0.25">
      <c r="A70" t="s">
        <v>277</v>
      </c>
      <c r="B70">
        <v>2011</v>
      </c>
      <c r="C70" t="s">
        <v>273</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cm="1">
        <f t="array" ref="W70">AND(ISNUMBER(LifeExpectancyData[[#This Row],[Adult Mortality]:[Schooling]]),ISNUMBER(LifeExpectancyData[[#This Row],[Life expectancy]]), LifeExpectancyData[[#This Row],[Year]]=2013)</f>
        <v>0</v>
      </c>
    </row>
    <row r="71" spans="1:23" hidden="1" x14ac:dyDescent="0.25">
      <c r="A71" t="s">
        <v>277</v>
      </c>
      <c r="B71">
        <v>2010</v>
      </c>
      <c r="C71" t="s">
        <v>273</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cm="1">
        <f t="array" ref="W71">AND(ISNUMBER(LifeExpectancyData[[#This Row],[Adult Mortality]:[Schooling]]),ISNUMBER(LifeExpectancyData[[#This Row],[Life expectancy]]), LifeExpectancyData[[#This Row],[Year]]=2013)</f>
        <v>0</v>
      </c>
    </row>
    <row r="72" spans="1:23" hidden="1" x14ac:dyDescent="0.25">
      <c r="A72" t="s">
        <v>277</v>
      </c>
      <c r="B72">
        <v>2009</v>
      </c>
      <c r="C72" t="s">
        <v>273</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cm="1">
        <f t="array" ref="W72">AND(ISNUMBER(LifeExpectancyData[[#This Row],[Adult Mortality]:[Schooling]]),ISNUMBER(LifeExpectancyData[[#This Row],[Life expectancy]]), LifeExpectancyData[[#This Row],[Year]]=2013)</f>
        <v>0</v>
      </c>
    </row>
    <row r="73" spans="1:23" hidden="1" x14ac:dyDescent="0.25">
      <c r="A73" t="s">
        <v>277</v>
      </c>
      <c r="B73">
        <v>2008</v>
      </c>
      <c r="C73" t="s">
        <v>273</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cm="1">
        <f t="array" ref="W73">AND(ISNUMBER(LifeExpectancyData[[#This Row],[Adult Mortality]:[Schooling]]),ISNUMBER(LifeExpectancyData[[#This Row],[Life expectancy]]), LifeExpectancyData[[#This Row],[Year]]=2013)</f>
        <v>0</v>
      </c>
    </row>
    <row r="74" spans="1:23" hidden="1" x14ac:dyDescent="0.25">
      <c r="A74" t="s">
        <v>277</v>
      </c>
      <c r="B74">
        <v>2007</v>
      </c>
      <c r="C74" t="s">
        <v>273</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cm="1">
        <f t="array" ref="W74">AND(ISNUMBER(LifeExpectancyData[[#This Row],[Adult Mortality]:[Schooling]]),ISNUMBER(LifeExpectancyData[[#This Row],[Life expectancy]]), LifeExpectancyData[[#This Row],[Year]]=2013)</f>
        <v>0</v>
      </c>
    </row>
    <row r="75" spans="1:23" hidden="1" x14ac:dyDescent="0.25">
      <c r="A75" t="s">
        <v>277</v>
      </c>
      <c r="B75">
        <v>2006</v>
      </c>
      <c r="C75" t="s">
        <v>273</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cm="1">
        <f t="array" ref="W75">AND(ISNUMBER(LifeExpectancyData[[#This Row],[Adult Mortality]:[Schooling]]),ISNUMBER(LifeExpectancyData[[#This Row],[Life expectancy]]), LifeExpectancyData[[#This Row],[Year]]=2013)</f>
        <v>0</v>
      </c>
    </row>
    <row r="76" spans="1:23" hidden="1" x14ac:dyDescent="0.25">
      <c r="A76" t="s">
        <v>277</v>
      </c>
      <c r="B76">
        <v>2005</v>
      </c>
      <c r="C76" t="s">
        <v>273</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cm="1">
        <f t="array" ref="W76">AND(ISNUMBER(LifeExpectancyData[[#This Row],[Adult Mortality]:[Schooling]]),ISNUMBER(LifeExpectancyData[[#This Row],[Life expectancy]]), LifeExpectancyData[[#This Row],[Year]]=2013)</f>
        <v>0</v>
      </c>
    </row>
    <row r="77" spans="1:23" hidden="1" x14ac:dyDescent="0.25">
      <c r="A77" t="s">
        <v>277</v>
      </c>
      <c r="B77">
        <v>2004</v>
      </c>
      <c r="C77" t="s">
        <v>273</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cm="1">
        <f t="array" ref="W77">AND(ISNUMBER(LifeExpectancyData[[#This Row],[Adult Mortality]:[Schooling]]),ISNUMBER(LifeExpectancyData[[#This Row],[Life expectancy]]), LifeExpectancyData[[#This Row],[Year]]=2013)</f>
        <v>0</v>
      </c>
    </row>
    <row r="78" spans="1:23" hidden="1" x14ac:dyDescent="0.25">
      <c r="A78" t="s">
        <v>277</v>
      </c>
      <c r="B78">
        <v>2003</v>
      </c>
      <c r="C78" t="s">
        <v>273</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cm="1">
        <f t="array" ref="W78">AND(ISNUMBER(LifeExpectancyData[[#This Row],[Adult Mortality]:[Schooling]]),ISNUMBER(LifeExpectancyData[[#This Row],[Life expectancy]]), LifeExpectancyData[[#This Row],[Year]]=2013)</f>
        <v>0</v>
      </c>
    </row>
    <row r="79" spans="1:23" hidden="1" x14ac:dyDescent="0.25">
      <c r="A79" t="s">
        <v>277</v>
      </c>
      <c r="B79">
        <v>2002</v>
      </c>
      <c r="C79" t="s">
        <v>273</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cm="1">
        <f t="array" ref="W79">AND(ISNUMBER(LifeExpectancyData[[#This Row],[Adult Mortality]:[Schooling]]),ISNUMBER(LifeExpectancyData[[#This Row],[Life expectancy]]), LifeExpectancyData[[#This Row],[Year]]=2013)</f>
        <v>0</v>
      </c>
    </row>
    <row r="80" spans="1:23" hidden="1" x14ac:dyDescent="0.25">
      <c r="A80" t="s">
        <v>277</v>
      </c>
      <c r="B80">
        <v>2001</v>
      </c>
      <c r="C80" t="s">
        <v>273</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cm="1">
        <f t="array" ref="W80">AND(ISNUMBER(LifeExpectancyData[[#This Row],[Adult Mortality]:[Schooling]]),ISNUMBER(LifeExpectancyData[[#This Row],[Life expectancy]]), LifeExpectancyData[[#This Row],[Year]]=2013)</f>
        <v>0</v>
      </c>
    </row>
    <row r="81" spans="1:23" hidden="1" x14ac:dyDescent="0.25">
      <c r="A81" t="s">
        <v>277</v>
      </c>
      <c r="B81">
        <v>2000</v>
      </c>
      <c r="C81" t="s">
        <v>273</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cm="1">
        <f t="array" ref="W81">AND(ISNUMBER(LifeExpectancyData[[#This Row],[Adult Mortality]:[Schooling]]),ISNUMBER(LifeExpectancyData[[#This Row],[Life expectancy]]), LifeExpectancyData[[#This Row],[Year]]=2013)</f>
        <v>0</v>
      </c>
    </row>
    <row r="82" spans="1:23" hidden="1" x14ac:dyDescent="0.25">
      <c r="A82" t="s">
        <v>278</v>
      </c>
      <c r="B82">
        <v>2015</v>
      </c>
      <c r="C82" t="s">
        <v>273</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cm="1">
        <f t="array" ref="W82">AND(ISNUMBER(LifeExpectancyData[[#This Row],[Adult Mortality]:[Schooling]]),ISNUMBER(LifeExpectancyData[[#This Row],[Life expectancy]]), LifeExpectancyData[[#This Row],[Year]]=2013)</f>
        <v>0</v>
      </c>
    </row>
    <row r="83" spans="1:23" x14ac:dyDescent="0.25">
      <c r="A83" t="s">
        <v>278</v>
      </c>
      <c r="B83">
        <v>2014</v>
      </c>
      <c r="C83" t="s">
        <v>273</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cm="1">
        <f t="array" ref="W83">AND(ISNUMBER(LifeExpectancyData[[#This Row],[Adult Mortality]:[Schooling]]),ISNUMBER(LifeExpectancyData[[#This Row],[Life expectancy]]), LifeExpectancyData[[#This Row],[Year]]=2013)</f>
        <v>0</v>
      </c>
    </row>
    <row r="84" spans="1:23" x14ac:dyDescent="0.25">
      <c r="A84" t="s">
        <v>278</v>
      </c>
      <c r="B84">
        <v>2013</v>
      </c>
      <c r="C84" t="s">
        <v>273</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cm="1">
        <f t="array" ref="W84">AND(ISNUMBER(LifeExpectancyData[[#This Row],[Adult Mortality]:[Schooling]]),ISNUMBER(LifeExpectancyData[[#This Row],[Life expectancy]]), LifeExpectancyData[[#This Row],[Year]]=2013)</f>
        <v>1</v>
      </c>
    </row>
    <row r="85" spans="1:23" x14ac:dyDescent="0.25">
      <c r="A85" t="s">
        <v>278</v>
      </c>
      <c r="B85">
        <v>2012</v>
      </c>
      <c r="C85" t="s">
        <v>273</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cm="1">
        <f t="array" ref="W85">AND(ISNUMBER(LifeExpectancyData[[#This Row],[Adult Mortality]:[Schooling]]),ISNUMBER(LifeExpectancyData[[#This Row],[Life expectancy]]), LifeExpectancyData[[#This Row],[Year]]=2013)</f>
        <v>0</v>
      </c>
    </row>
    <row r="86" spans="1:23" x14ac:dyDescent="0.25">
      <c r="A86" t="s">
        <v>278</v>
      </c>
      <c r="B86">
        <v>2011</v>
      </c>
      <c r="C86" t="s">
        <v>273</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cm="1">
        <f t="array" ref="W86">AND(ISNUMBER(LifeExpectancyData[[#This Row],[Adult Mortality]:[Schooling]]),ISNUMBER(LifeExpectancyData[[#This Row],[Life expectancy]]), LifeExpectancyData[[#This Row],[Year]]=2013)</f>
        <v>0</v>
      </c>
    </row>
    <row r="87" spans="1:23" x14ac:dyDescent="0.25">
      <c r="A87" t="s">
        <v>278</v>
      </c>
      <c r="B87">
        <v>2010</v>
      </c>
      <c r="C87" t="s">
        <v>273</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cm="1">
        <f t="array" ref="W87">AND(ISNUMBER(LifeExpectancyData[[#This Row],[Adult Mortality]:[Schooling]]),ISNUMBER(LifeExpectancyData[[#This Row],[Life expectancy]]), LifeExpectancyData[[#This Row],[Year]]=2013)</f>
        <v>0</v>
      </c>
    </row>
    <row r="88" spans="1:23" x14ac:dyDescent="0.25">
      <c r="A88" t="s">
        <v>278</v>
      </c>
      <c r="B88">
        <v>2009</v>
      </c>
      <c r="C88" t="s">
        <v>273</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cm="1">
        <f t="array" ref="W88">AND(ISNUMBER(LifeExpectancyData[[#This Row],[Adult Mortality]:[Schooling]]),ISNUMBER(LifeExpectancyData[[#This Row],[Life expectancy]]), LifeExpectancyData[[#This Row],[Year]]=2013)</f>
        <v>0</v>
      </c>
    </row>
    <row r="89" spans="1:23" x14ac:dyDescent="0.25">
      <c r="A89" t="s">
        <v>278</v>
      </c>
      <c r="B89">
        <v>2008</v>
      </c>
      <c r="C89" t="s">
        <v>273</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cm="1">
        <f t="array" ref="W89">AND(ISNUMBER(LifeExpectancyData[[#This Row],[Adult Mortality]:[Schooling]]),ISNUMBER(LifeExpectancyData[[#This Row],[Life expectancy]]), LifeExpectancyData[[#This Row],[Year]]=2013)</f>
        <v>0</v>
      </c>
    </row>
    <row r="90" spans="1:23" x14ac:dyDescent="0.25">
      <c r="A90" t="s">
        <v>278</v>
      </c>
      <c r="B90">
        <v>2007</v>
      </c>
      <c r="C90" t="s">
        <v>273</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cm="1">
        <f t="array" ref="W90">AND(ISNUMBER(LifeExpectancyData[[#This Row],[Adult Mortality]:[Schooling]]),ISNUMBER(LifeExpectancyData[[#This Row],[Life expectancy]]), LifeExpectancyData[[#This Row],[Year]]=2013)</f>
        <v>0</v>
      </c>
    </row>
    <row r="91" spans="1:23" x14ac:dyDescent="0.25">
      <c r="A91" t="s">
        <v>278</v>
      </c>
      <c r="B91">
        <v>2006</v>
      </c>
      <c r="C91" t="s">
        <v>273</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cm="1">
        <f t="array" ref="W91">AND(ISNUMBER(LifeExpectancyData[[#This Row],[Adult Mortality]:[Schooling]]),ISNUMBER(LifeExpectancyData[[#This Row],[Life expectancy]]), LifeExpectancyData[[#This Row],[Year]]=2013)</f>
        <v>0</v>
      </c>
    </row>
    <row r="92" spans="1:23" x14ac:dyDescent="0.25">
      <c r="A92" t="s">
        <v>278</v>
      </c>
      <c r="B92">
        <v>2005</v>
      </c>
      <c r="C92" t="s">
        <v>273</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cm="1">
        <f t="array" ref="W92">AND(ISNUMBER(LifeExpectancyData[[#This Row],[Adult Mortality]:[Schooling]]),ISNUMBER(LifeExpectancyData[[#This Row],[Life expectancy]]), LifeExpectancyData[[#This Row],[Year]]=2013)</f>
        <v>0</v>
      </c>
    </row>
    <row r="93" spans="1:23" x14ac:dyDescent="0.25">
      <c r="A93" t="s">
        <v>278</v>
      </c>
      <c r="B93">
        <v>2004</v>
      </c>
      <c r="C93" t="s">
        <v>273</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cm="1">
        <f t="array" ref="W93">AND(ISNUMBER(LifeExpectancyData[[#This Row],[Adult Mortality]:[Schooling]]),ISNUMBER(LifeExpectancyData[[#This Row],[Life expectancy]]), LifeExpectancyData[[#This Row],[Year]]=2013)</f>
        <v>0</v>
      </c>
    </row>
    <row r="94" spans="1:23" x14ac:dyDescent="0.25">
      <c r="A94" t="s">
        <v>278</v>
      </c>
      <c r="B94">
        <v>2003</v>
      </c>
      <c r="C94" t="s">
        <v>273</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cm="1">
        <f t="array" ref="W94">AND(ISNUMBER(LifeExpectancyData[[#This Row],[Adult Mortality]:[Schooling]]),ISNUMBER(LifeExpectancyData[[#This Row],[Life expectancy]]), LifeExpectancyData[[#This Row],[Year]]=2013)</f>
        <v>0</v>
      </c>
    </row>
    <row r="95" spans="1:23" x14ac:dyDescent="0.25">
      <c r="A95" t="s">
        <v>278</v>
      </c>
      <c r="B95">
        <v>2002</v>
      </c>
      <c r="C95" t="s">
        <v>273</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cm="1">
        <f t="array" ref="W95">AND(ISNUMBER(LifeExpectancyData[[#This Row],[Adult Mortality]:[Schooling]]),ISNUMBER(LifeExpectancyData[[#This Row],[Life expectancy]]), LifeExpectancyData[[#This Row],[Year]]=2013)</f>
        <v>0</v>
      </c>
    </row>
    <row r="96" spans="1:23" hidden="1" x14ac:dyDescent="0.25">
      <c r="A96" t="s">
        <v>278</v>
      </c>
      <c r="B96">
        <v>2001</v>
      </c>
      <c r="C96" t="s">
        <v>273</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cm="1">
        <f t="array" ref="W96">AND(ISNUMBER(LifeExpectancyData[[#This Row],[Adult Mortality]:[Schooling]]),ISNUMBER(LifeExpectancyData[[#This Row],[Life expectancy]]), LifeExpectancyData[[#This Row],[Year]]=2013)</f>
        <v>0</v>
      </c>
    </row>
    <row r="97" spans="1:23" hidden="1" x14ac:dyDescent="0.25">
      <c r="A97" t="s">
        <v>278</v>
      </c>
      <c r="B97">
        <v>2000</v>
      </c>
      <c r="C97" t="s">
        <v>273</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cm="1">
        <f t="array" ref="W97">AND(ISNUMBER(LifeExpectancyData[[#This Row],[Adult Mortality]:[Schooling]]),ISNUMBER(LifeExpectancyData[[#This Row],[Life expectancy]]), LifeExpectancyData[[#This Row],[Year]]=2013)</f>
        <v>0</v>
      </c>
    </row>
    <row r="98" spans="1:23" hidden="1" x14ac:dyDescent="0.25">
      <c r="A98" t="s">
        <v>279</v>
      </c>
      <c r="B98">
        <v>2015</v>
      </c>
      <c r="C98" t="s">
        <v>273</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cm="1">
        <f t="array" ref="W98">AND(ISNUMBER(LifeExpectancyData[[#This Row],[Adult Mortality]:[Schooling]]),ISNUMBER(LifeExpectancyData[[#This Row],[Life expectancy]]), LifeExpectancyData[[#This Row],[Year]]=2013)</f>
        <v>0</v>
      </c>
    </row>
    <row r="99" spans="1:23" x14ac:dyDescent="0.25">
      <c r="A99" t="s">
        <v>279</v>
      </c>
      <c r="B99">
        <v>2014</v>
      </c>
      <c r="C99" t="s">
        <v>273</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cm="1">
        <f t="array" ref="W99">AND(ISNUMBER(LifeExpectancyData[[#This Row],[Adult Mortality]:[Schooling]]),ISNUMBER(LifeExpectancyData[[#This Row],[Life expectancy]]), LifeExpectancyData[[#This Row],[Year]]=2013)</f>
        <v>0</v>
      </c>
    </row>
    <row r="100" spans="1:23" x14ac:dyDescent="0.25">
      <c r="A100" t="s">
        <v>279</v>
      </c>
      <c r="B100">
        <v>2013</v>
      </c>
      <c r="C100" t="s">
        <v>273</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cm="1">
        <f t="array" ref="W100">AND(ISNUMBER(LifeExpectancyData[[#This Row],[Adult Mortality]:[Schooling]]),ISNUMBER(LifeExpectancyData[[#This Row],[Life expectancy]]), LifeExpectancyData[[#This Row],[Year]]=2013)</f>
        <v>1</v>
      </c>
    </row>
    <row r="101" spans="1:23" x14ac:dyDescent="0.25">
      <c r="A101" t="s">
        <v>279</v>
      </c>
      <c r="B101">
        <v>2012</v>
      </c>
      <c r="C101" t="s">
        <v>273</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cm="1">
        <f t="array" ref="W101">AND(ISNUMBER(LifeExpectancyData[[#This Row],[Adult Mortality]:[Schooling]]),ISNUMBER(LifeExpectancyData[[#This Row],[Life expectancy]]), LifeExpectancyData[[#This Row],[Year]]=2013)</f>
        <v>0</v>
      </c>
    </row>
    <row r="102" spans="1:23" x14ac:dyDescent="0.25">
      <c r="A102" t="s">
        <v>279</v>
      </c>
      <c r="B102">
        <v>2011</v>
      </c>
      <c r="C102" t="s">
        <v>273</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cm="1">
        <f t="array" ref="W102">AND(ISNUMBER(LifeExpectancyData[[#This Row],[Adult Mortality]:[Schooling]]),ISNUMBER(LifeExpectancyData[[#This Row],[Life expectancy]]), LifeExpectancyData[[#This Row],[Year]]=2013)</f>
        <v>0</v>
      </c>
    </row>
    <row r="103" spans="1:23" x14ac:dyDescent="0.25">
      <c r="A103" t="s">
        <v>279</v>
      </c>
      <c r="B103">
        <v>2010</v>
      </c>
      <c r="C103" t="s">
        <v>273</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cm="1">
        <f t="array" ref="W103">AND(ISNUMBER(LifeExpectancyData[[#This Row],[Adult Mortality]:[Schooling]]),ISNUMBER(LifeExpectancyData[[#This Row],[Life expectancy]]), LifeExpectancyData[[#This Row],[Year]]=2013)</f>
        <v>0</v>
      </c>
    </row>
    <row r="104" spans="1:23" x14ac:dyDescent="0.25">
      <c r="A104" t="s">
        <v>279</v>
      </c>
      <c r="B104">
        <v>2009</v>
      </c>
      <c r="C104" t="s">
        <v>273</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cm="1">
        <f t="array" ref="W104">AND(ISNUMBER(LifeExpectancyData[[#This Row],[Adult Mortality]:[Schooling]]),ISNUMBER(LifeExpectancyData[[#This Row],[Life expectancy]]), LifeExpectancyData[[#This Row],[Year]]=2013)</f>
        <v>0</v>
      </c>
    </row>
    <row r="105" spans="1:23" x14ac:dyDescent="0.25">
      <c r="A105" t="s">
        <v>279</v>
      </c>
      <c r="B105">
        <v>2008</v>
      </c>
      <c r="C105" t="s">
        <v>273</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cm="1">
        <f t="array" ref="W105">AND(ISNUMBER(LifeExpectancyData[[#This Row],[Adult Mortality]:[Schooling]]),ISNUMBER(LifeExpectancyData[[#This Row],[Life expectancy]]), LifeExpectancyData[[#This Row],[Year]]=2013)</f>
        <v>0</v>
      </c>
    </row>
    <row r="106" spans="1:23" x14ac:dyDescent="0.25">
      <c r="A106" t="s">
        <v>279</v>
      </c>
      <c r="B106">
        <v>2007</v>
      </c>
      <c r="C106" t="s">
        <v>273</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cm="1">
        <f t="array" ref="W106">AND(ISNUMBER(LifeExpectancyData[[#This Row],[Adult Mortality]:[Schooling]]),ISNUMBER(LifeExpectancyData[[#This Row],[Life expectancy]]), LifeExpectancyData[[#This Row],[Year]]=2013)</f>
        <v>0</v>
      </c>
    </row>
    <row r="107" spans="1:23" x14ac:dyDescent="0.25">
      <c r="A107" t="s">
        <v>279</v>
      </c>
      <c r="B107">
        <v>2006</v>
      </c>
      <c r="C107" t="s">
        <v>273</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cm="1">
        <f t="array" ref="W107">AND(ISNUMBER(LifeExpectancyData[[#This Row],[Adult Mortality]:[Schooling]]),ISNUMBER(LifeExpectancyData[[#This Row],[Life expectancy]]), LifeExpectancyData[[#This Row],[Year]]=2013)</f>
        <v>0</v>
      </c>
    </row>
    <row r="108" spans="1:23" x14ac:dyDescent="0.25">
      <c r="A108" t="s">
        <v>279</v>
      </c>
      <c r="B108">
        <v>2005</v>
      </c>
      <c r="C108" t="s">
        <v>273</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cm="1">
        <f t="array" ref="W108">AND(ISNUMBER(LifeExpectancyData[[#This Row],[Adult Mortality]:[Schooling]]),ISNUMBER(LifeExpectancyData[[#This Row],[Life expectancy]]), LifeExpectancyData[[#This Row],[Year]]=2013)</f>
        <v>0</v>
      </c>
    </row>
    <row r="109" spans="1:23" x14ac:dyDescent="0.25">
      <c r="A109" t="s">
        <v>279</v>
      </c>
      <c r="B109">
        <v>2004</v>
      </c>
      <c r="C109" t="s">
        <v>273</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cm="1">
        <f t="array" ref="W109">AND(ISNUMBER(LifeExpectancyData[[#This Row],[Adult Mortality]:[Schooling]]),ISNUMBER(LifeExpectancyData[[#This Row],[Life expectancy]]), LifeExpectancyData[[#This Row],[Year]]=2013)</f>
        <v>0</v>
      </c>
    </row>
    <row r="110" spans="1:23" x14ac:dyDescent="0.25">
      <c r="A110" t="s">
        <v>279</v>
      </c>
      <c r="B110">
        <v>2003</v>
      </c>
      <c r="C110" t="s">
        <v>273</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cm="1">
        <f t="array" ref="W110">AND(ISNUMBER(LifeExpectancyData[[#This Row],[Adult Mortality]:[Schooling]]),ISNUMBER(LifeExpectancyData[[#This Row],[Life expectancy]]), LifeExpectancyData[[#This Row],[Year]]=2013)</f>
        <v>0</v>
      </c>
    </row>
    <row r="111" spans="1:23" x14ac:dyDescent="0.25">
      <c r="A111" t="s">
        <v>279</v>
      </c>
      <c r="B111">
        <v>2002</v>
      </c>
      <c r="C111" t="s">
        <v>273</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cm="1">
        <f t="array" ref="W111">AND(ISNUMBER(LifeExpectancyData[[#This Row],[Adult Mortality]:[Schooling]]),ISNUMBER(LifeExpectancyData[[#This Row],[Life expectancy]]), LifeExpectancyData[[#This Row],[Year]]=2013)</f>
        <v>0</v>
      </c>
    </row>
    <row r="112" spans="1:23" x14ac:dyDescent="0.25">
      <c r="A112" t="s">
        <v>279</v>
      </c>
      <c r="B112">
        <v>2001</v>
      </c>
      <c r="C112" t="s">
        <v>273</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cm="1">
        <f t="array" ref="W112">AND(ISNUMBER(LifeExpectancyData[[#This Row],[Adult Mortality]:[Schooling]]),ISNUMBER(LifeExpectancyData[[#This Row],[Life expectancy]]), LifeExpectancyData[[#This Row],[Year]]=2013)</f>
        <v>0</v>
      </c>
    </row>
    <row r="113" spans="1:23" x14ac:dyDescent="0.25">
      <c r="A113" t="s">
        <v>279</v>
      </c>
      <c r="B113">
        <v>2000</v>
      </c>
      <c r="C113" t="s">
        <v>273</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cm="1">
        <f t="array" ref="W113">AND(ISNUMBER(LifeExpectancyData[[#This Row],[Adult Mortality]:[Schooling]]),ISNUMBER(LifeExpectancyData[[#This Row],[Life expectancy]]), LifeExpectancyData[[#This Row],[Year]]=2013)</f>
        <v>0</v>
      </c>
    </row>
    <row r="114" spans="1:23" hidden="1" x14ac:dyDescent="0.25">
      <c r="A114" t="s">
        <v>280</v>
      </c>
      <c r="B114">
        <v>2015</v>
      </c>
      <c r="C114" t="s">
        <v>281</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cm="1">
        <f t="array" ref="W114">AND(ISNUMBER(LifeExpectancyData[[#This Row],[Adult Mortality]:[Schooling]]),ISNUMBER(LifeExpectancyData[[#This Row],[Life expectancy]]), LifeExpectancyData[[#This Row],[Year]]=2013)</f>
        <v>0</v>
      </c>
    </row>
    <row r="115" spans="1:23" x14ac:dyDescent="0.25">
      <c r="A115" t="s">
        <v>280</v>
      </c>
      <c r="B115">
        <v>2014</v>
      </c>
      <c r="C115" t="s">
        <v>281</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cm="1">
        <f t="array" ref="W115">AND(ISNUMBER(LifeExpectancyData[[#This Row],[Adult Mortality]:[Schooling]]),ISNUMBER(LifeExpectancyData[[#This Row],[Life expectancy]]), LifeExpectancyData[[#This Row],[Year]]=2013)</f>
        <v>0</v>
      </c>
    </row>
    <row r="116" spans="1:23" x14ac:dyDescent="0.25">
      <c r="A116" t="s">
        <v>280</v>
      </c>
      <c r="B116">
        <v>2013</v>
      </c>
      <c r="C116" t="s">
        <v>281</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cm="1">
        <f t="array" ref="W116">AND(ISNUMBER(LifeExpectancyData[[#This Row],[Adult Mortality]:[Schooling]]),ISNUMBER(LifeExpectancyData[[#This Row],[Life expectancy]]), LifeExpectancyData[[#This Row],[Year]]=2013)</f>
        <v>1</v>
      </c>
    </row>
    <row r="117" spans="1:23" x14ac:dyDescent="0.25">
      <c r="A117" t="s">
        <v>280</v>
      </c>
      <c r="B117">
        <v>2012</v>
      </c>
      <c r="C117" t="s">
        <v>281</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cm="1">
        <f t="array" ref="W117">AND(ISNUMBER(LifeExpectancyData[[#This Row],[Adult Mortality]:[Schooling]]),ISNUMBER(LifeExpectancyData[[#This Row],[Life expectancy]]), LifeExpectancyData[[#This Row],[Year]]=2013)</f>
        <v>0</v>
      </c>
    </row>
    <row r="118" spans="1:23" x14ac:dyDescent="0.25">
      <c r="A118" t="s">
        <v>280</v>
      </c>
      <c r="B118">
        <v>2011</v>
      </c>
      <c r="C118" t="s">
        <v>281</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cm="1">
        <f t="array" ref="W118">AND(ISNUMBER(LifeExpectancyData[[#This Row],[Adult Mortality]:[Schooling]]),ISNUMBER(LifeExpectancyData[[#This Row],[Life expectancy]]), LifeExpectancyData[[#This Row],[Year]]=2013)</f>
        <v>0</v>
      </c>
    </row>
    <row r="119" spans="1:23" x14ac:dyDescent="0.25">
      <c r="A119" t="s">
        <v>280</v>
      </c>
      <c r="B119">
        <v>2010</v>
      </c>
      <c r="C119" t="s">
        <v>281</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cm="1">
        <f t="array" ref="W119">AND(ISNUMBER(LifeExpectancyData[[#This Row],[Adult Mortality]:[Schooling]]),ISNUMBER(LifeExpectancyData[[#This Row],[Life expectancy]]), LifeExpectancyData[[#This Row],[Year]]=2013)</f>
        <v>0</v>
      </c>
    </row>
    <row r="120" spans="1:23" x14ac:dyDescent="0.25">
      <c r="A120" t="s">
        <v>280</v>
      </c>
      <c r="B120">
        <v>2009</v>
      </c>
      <c r="C120" t="s">
        <v>281</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cm="1">
        <f t="array" ref="W120">AND(ISNUMBER(LifeExpectancyData[[#This Row],[Adult Mortality]:[Schooling]]),ISNUMBER(LifeExpectancyData[[#This Row],[Life expectancy]]), LifeExpectancyData[[#This Row],[Year]]=2013)</f>
        <v>0</v>
      </c>
    </row>
    <row r="121" spans="1:23" x14ac:dyDescent="0.25">
      <c r="A121" t="s">
        <v>280</v>
      </c>
      <c r="B121">
        <v>2008</v>
      </c>
      <c r="C121" t="s">
        <v>281</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cm="1">
        <f t="array" ref="W121">AND(ISNUMBER(LifeExpectancyData[[#This Row],[Adult Mortality]:[Schooling]]),ISNUMBER(LifeExpectancyData[[#This Row],[Life expectancy]]), LifeExpectancyData[[#This Row],[Year]]=2013)</f>
        <v>0</v>
      </c>
    </row>
    <row r="122" spans="1:23" x14ac:dyDescent="0.25">
      <c r="A122" t="s">
        <v>280</v>
      </c>
      <c r="B122">
        <v>2007</v>
      </c>
      <c r="C122" t="s">
        <v>281</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cm="1">
        <f t="array" ref="W122">AND(ISNUMBER(LifeExpectancyData[[#This Row],[Adult Mortality]:[Schooling]]),ISNUMBER(LifeExpectancyData[[#This Row],[Life expectancy]]), LifeExpectancyData[[#This Row],[Year]]=2013)</f>
        <v>0</v>
      </c>
    </row>
    <row r="123" spans="1:23" x14ac:dyDescent="0.25">
      <c r="A123" t="s">
        <v>280</v>
      </c>
      <c r="B123">
        <v>2006</v>
      </c>
      <c r="C123" t="s">
        <v>281</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cm="1">
        <f t="array" ref="W123">AND(ISNUMBER(LifeExpectancyData[[#This Row],[Adult Mortality]:[Schooling]]),ISNUMBER(LifeExpectancyData[[#This Row],[Life expectancy]]), LifeExpectancyData[[#This Row],[Year]]=2013)</f>
        <v>0</v>
      </c>
    </row>
    <row r="124" spans="1:23" x14ac:dyDescent="0.25">
      <c r="A124" t="s">
        <v>280</v>
      </c>
      <c r="B124">
        <v>2005</v>
      </c>
      <c r="C124" t="s">
        <v>281</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cm="1">
        <f t="array" ref="W124">AND(ISNUMBER(LifeExpectancyData[[#This Row],[Adult Mortality]:[Schooling]]),ISNUMBER(LifeExpectancyData[[#This Row],[Life expectancy]]), LifeExpectancyData[[#This Row],[Year]]=2013)</f>
        <v>0</v>
      </c>
    </row>
    <row r="125" spans="1:23" x14ac:dyDescent="0.25">
      <c r="A125" t="s">
        <v>280</v>
      </c>
      <c r="B125">
        <v>2004</v>
      </c>
      <c r="C125" t="s">
        <v>281</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cm="1">
        <f t="array" ref="W125">AND(ISNUMBER(LifeExpectancyData[[#This Row],[Adult Mortality]:[Schooling]]),ISNUMBER(LifeExpectancyData[[#This Row],[Life expectancy]]), LifeExpectancyData[[#This Row],[Year]]=2013)</f>
        <v>0</v>
      </c>
    </row>
    <row r="126" spans="1:23" x14ac:dyDescent="0.25">
      <c r="A126" t="s">
        <v>280</v>
      </c>
      <c r="B126">
        <v>2003</v>
      </c>
      <c r="C126" t="s">
        <v>281</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cm="1">
        <f t="array" ref="W126">AND(ISNUMBER(LifeExpectancyData[[#This Row],[Adult Mortality]:[Schooling]]),ISNUMBER(LifeExpectancyData[[#This Row],[Life expectancy]]), LifeExpectancyData[[#This Row],[Year]]=2013)</f>
        <v>0</v>
      </c>
    </row>
    <row r="127" spans="1:23" x14ac:dyDescent="0.25">
      <c r="A127" t="s">
        <v>280</v>
      </c>
      <c r="B127">
        <v>2002</v>
      </c>
      <c r="C127" t="s">
        <v>281</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cm="1">
        <f t="array" ref="W127">AND(ISNUMBER(LifeExpectancyData[[#This Row],[Adult Mortality]:[Schooling]]),ISNUMBER(LifeExpectancyData[[#This Row],[Life expectancy]]), LifeExpectancyData[[#This Row],[Year]]=2013)</f>
        <v>0</v>
      </c>
    </row>
    <row r="128" spans="1:23" x14ac:dyDescent="0.25">
      <c r="A128" t="s">
        <v>280</v>
      </c>
      <c r="B128">
        <v>2001</v>
      </c>
      <c r="C128" t="s">
        <v>281</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cm="1">
        <f t="array" ref="W128">AND(ISNUMBER(LifeExpectancyData[[#This Row],[Adult Mortality]:[Schooling]]),ISNUMBER(LifeExpectancyData[[#This Row],[Life expectancy]]), LifeExpectancyData[[#This Row],[Year]]=2013)</f>
        <v>0</v>
      </c>
    </row>
    <row r="129" spans="1:23" hidden="1" x14ac:dyDescent="0.25">
      <c r="A129" t="s">
        <v>280</v>
      </c>
      <c r="B129">
        <v>2000</v>
      </c>
      <c r="C129" t="s">
        <v>281</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cm="1">
        <f t="array" ref="W129">AND(ISNUMBER(LifeExpectancyData[[#This Row],[Adult Mortality]:[Schooling]]),ISNUMBER(LifeExpectancyData[[#This Row],[Life expectancy]]), LifeExpectancyData[[#This Row],[Year]]=2013)</f>
        <v>0</v>
      </c>
    </row>
    <row r="130" spans="1:23" hidden="1" x14ac:dyDescent="0.25">
      <c r="A130" t="s">
        <v>282</v>
      </c>
      <c r="B130">
        <v>2015</v>
      </c>
      <c r="C130" t="s">
        <v>281</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cm="1">
        <f t="array" ref="W130">AND(ISNUMBER(LifeExpectancyData[[#This Row],[Adult Mortality]:[Schooling]]),ISNUMBER(LifeExpectancyData[[#This Row],[Life expectancy]]), LifeExpectancyData[[#This Row],[Year]]=2013)</f>
        <v>0</v>
      </c>
    </row>
    <row r="131" spans="1:23" x14ac:dyDescent="0.25">
      <c r="A131" t="s">
        <v>282</v>
      </c>
      <c r="B131">
        <v>2014</v>
      </c>
      <c r="C131" t="s">
        <v>281</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cm="1">
        <f t="array" ref="W131">AND(ISNUMBER(LifeExpectancyData[[#This Row],[Adult Mortality]:[Schooling]]),ISNUMBER(LifeExpectancyData[[#This Row],[Life expectancy]]), LifeExpectancyData[[#This Row],[Year]]=2013)</f>
        <v>0</v>
      </c>
    </row>
    <row r="132" spans="1:23" x14ac:dyDescent="0.25">
      <c r="A132" t="s">
        <v>282</v>
      </c>
      <c r="B132">
        <v>2013</v>
      </c>
      <c r="C132" t="s">
        <v>281</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cm="1">
        <f t="array" ref="W132">AND(ISNUMBER(LifeExpectancyData[[#This Row],[Adult Mortality]:[Schooling]]),ISNUMBER(LifeExpectancyData[[#This Row],[Life expectancy]]), LifeExpectancyData[[#This Row],[Year]]=2013)</f>
        <v>1</v>
      </c>
    </row>
    <row r="133" spans="1:23" x14ac:dyDescent="0.25">
      <c r="A133" t="s">
        <v>282</v>
      </c>
      <c r="B133">
        <v>2012</v>
      </c>
      <c r="C133" t="s">
        <v>281</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cm="1">
        <f t="array" ref="W133">AND(ISNUMBER(LifeExpectancyData[[#This Row],[Adult Mortality]:[Schooling]]),ISNUMBER(LifeExpectancyData[[#This Row],[Life expectancy]]), LifeExpectancyData[[#This Row],[Year]]=2013)</f>
        <v>0</v>
      </c>
    </row>
    <row r="134" spans="1:23" x14ac:dyDescent="0.25">
      <c r="A134" t="s">
        <v>282</v>
      </c>
      <c r="B134">
        <v>2011</v>
      </c>
      <c r="C134" t="s">
        <v>281</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cm="1">
        <f t="array" ref="W134">AND(ISNUMBER(LifeExpectancyData[[#This Row],[Adult Mortality]:[Schooling]]),ISNUMBER(LifeExpectancyData[[#This Row],[Life expectancy]]), LifeExpectancyData[[#This Row],[Year]]=2013)</f>
        <v>0</v>
      </c>
    </row>
    <row r="135" spans="1:23" x14ac:dyDescent="0.25">
      <c r="A135" t="s">
        <v>282</v>
      </c>
      <c r="B135">
        <v>2010</v>
      </c>
      <c r="C135" t="s">
        <v>281</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cm="1">
        <f t="array" ref="W135">AND(ISNUMBER(LifeExpectancyData[[#This Row],[Adult Mortality]:[Schooling]]),ISNUMBER(LifeExpectancyData[[#This Row],[Life expectancy]]), LifeExpectancyData[[#This Row],[Year]]=2013)</f>
        <v>0</v>
      </c>
    </row>
    <row r="136" spans="1:23" x14ac:dyDescent="0.25">
      <c r="A136" t="s">
        <v>282</v>
      </c>
      <c r="B136">
        <v>2009</v>
      </c>
      <c r="C136" t="s">
        <v>281</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cm="1">
        <f t="array" ref="W136">AND(ISNUMBER(LifeExpectancyData[[#This Row],[Adult Mortality]:[Schooling]]),ISNUMBER(LifeExpectancyData[[#This Row],[Life expectancy]]), LifeExpectancyData[[#This Row],[Year]]=2013)</f>
        <v>0</v>
      </c>
    </row>
    <row r="137" spans="1:23" x14ac:dyDescent="0.25">
      <c r="A137" t="s">
        <v>282</v>
      </c>
      <c r="B137">
        <v>2008</v>
      </c>
      <c r="C137" t="s">
        <v>281</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cm="1">
        <f t="array" ref="W137">AND(ISNUMBER(LifeExpectancyData[[#This Row],[Adult Mortality]:[Schooling]]),ISNUMBER(LifeExpectancyData[[#This Row],[Life expectancy]]), LifeExpectancyData[[#This Row],[Year]]=2013)</f>
        <v>0</v>
      </c>
    </row>
    <row r="138" spans="1:23" x14ac:dyDescent="0.25">
      <c r="A138" t="s">
        <v>282</v>
      </c>
      <c r="B138">
        <v>2007</v>
      </c>
      <c r="C138" t="s">
        <v>281</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cm="1">
        <f t="array" ref="W138">AND(ISNUMBER(LifeExpectancyData[[#This Row],[Adult Mortality]:[Schooling]]),ISNUMBER(LifeExpectancyData[[#This Row],[Life expectancy]]), LifeExpectancyData[[#This Row],[Year]]=2013)</f>
        <v>0</v>
      </c>
    </row>
    <row r="139" spans="1:23" x14ac:dyDescent="0.25">
      <c r="A139" t="s">
        <v>282</v>
      </c>
      <c r="B139">
        <v>2006</v>
      </c>
      <c r="C139" t="s">
        <v>281</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cm="1">
        <f t="array" ref="W139">AND(ISNUMBER(LifeExpectancyData[[#This Row],[Adult Mortality]:[Schooling]]),ISNUMBER(LifeExpectancyData[[#This Row],[Life expectancy]]), LifeExpectancyData[[#This Row],[Year]]=2013)</f>
        <v>0</v>
      </c>
    </row>
    <row r="140" spans="1:23" x14ac:dyDescent="0.25">
      <c r="A140" t="s">
        <v>282</v>
      </c>
      <c r="B140">
        <v>2005</v>
      </c>
      <c r="C140" t="s">
        <v>281</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cm="1">
        <f t="array" ref="W140">AND(ISNUMBER(LifeExpectancyData[[#This Row],[Adult Mortality]:[Schooling]]),ISNUMBER(LifeExpectancyData[[#This Row],[Life expectancy]]), LifeExpectancyData[[#This Row],[Year]]=2013)</f>
        <v>0</v>
      </c>
    </row>
    <row r="141" spans="1:23" x14ac:dyDescent="0.25">
      <c r="A141" t="s">
        <v>282</v>
      </c>
      <c r="B141">
        <v>2004</v>
      </c>
      <c r="C141" t="s">
        <v>281</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cm="1">
        <f t="array" ref="W141">AND(ISNUMBER(LifeExpectancyData[[#This Row],[Adult Mortality]:[Schooling]]),ISNUMBER(LifeExpectancyData[[#This Row],[Life expectancy]]), LifeExpectancyData[[#This Row],[Year]]=2013)</f>
        <v>0</v>
      </c>
    </row>
    <row r="142" spans="1:23" x14ac:dyDescent="0.25">
      <c r="A142" t="s">
        <v>282</v>
      </c>
      <c r="B142">
        <v>2003</v>
      </c>
      <c r="C142" t="s">
        <v>281</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cm="1">
        <f t="array" ref="W142">AND(ISNUMBER(LifeExpectancyData[[#This Row],[Adult Mortality]:[Schooling]]),ISNUMBER(LifeExpectancyData[[#This Row],[Life expectancy]]), LifeExpectancyData[[#This Row],[Year]]=2013)</f>
        <v>0</v>
      </c>
    </row>
    <row r="143" spans="1:23" x14ac:dyDescent="0.25">
      <c r="A143" t="s">
        <v>282</v>
      </c>
      <c r="B143">
        <v>2002</v>
      </c>
      <c r="C143" t="s">
        <v>281</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cm="1">
        <f t="array" ref="W143">AND(ISNUMBER(LifeExpectancyData[[#This Row],[Adult Mortality]:[Schooling]]),ISNUMBER(LifeExpectancyData[[#This Row],[Life expectancy]]), LifeExpectancyData[[#This Row],[Year]]=2013)</f>
        <v>0</v>
      </c>
    </row>
    <row r="144" spans="1:23" x14ac:dyDescent="0.25">
      <c r="A144" t="s">
        <v>282</v>
      </c>
      <c r="B144">
        <v>2001</v>
      </c>
      <c r="C144" t="s">
        <v>281</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cm="1">
        <f t="array" ref="W144">AND(ISNUMBER(LifeExpectancyData[[#This Row],[Adult Mortality]:[Schooling]]),ISNUMBER(LifeExpectancyData[[#This Row],[Life expectancy]]), LifeExpectancyData[[#This Row],[Year]]=2013)</f>
        <v>0</v>
      </c>
    </row>
    <row r="145" spans="1:23" x14ac:dyDescent="0.25">
      <c r="A145" t="s">
        <v>282</v>
      </c>
      <c r="B145">
        <v>2000</v>
      </c>
      <c r="C145" t="s">
        <v>281</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cm="1">
        <f t="array" ref="W145">AND(ISNUMBER(LifeExpectancyData[[#This Row],[Adult Mortality]:[Schooling]]),ISNUMBER(LifeExpectancyData[[#This Row],[Life expectancy]]), LifeExpectancyData[[#This Row],[Year]]=2013)</f>
        <v>0</v>
      </c>
    </row>
    <row r="146" spans="1:23" hidden="1" x14ac:dyDescent="0.25">
      <c r="A146" t="s">
        <v>283</v>
      </c>
      <c r="B146">
        <v>2015</v>
      </c>
      <c r="C146" t="s">
        <v>273</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cm="1">
        <f t="array" ref="W146">AND(ISNUMBER(LifeExpectancyData[[#This Row],[Adult Mortality]:[Schooling]]),ISNUMBER(LifeExpectancyData[[#This Row],[Life expectancy]]), LifeExpectancyData[[#This Row],[Year]]=2013)</f>
        <v>0</v>
      </c>
    </row>
    <row r="147" spans="1:23" x14ac:dyDescent="0.25">
      <c r="A147" t="s">
        <v>283</v>
      </c>
      <c r="B147">
        <v>2014</v>
      </c>
      <c r="C147" t="s">
        <v>273</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cm="1">
        <f t="array" ref="W147">AND(ISNUMBER(LifeExpectancyData[[#This Row],[Adult Mortality]:[Schooling]]),ISNUMBER(LifeExpectancyData[[#This Row],[Life expectancy]]), LifeExpectancyData[[#This Row],[Year]]=2013)</f>
        <v>0</v>
      </c>
    </row>
    <row r="148" spans="1:23" x14ac:dyDescent="0.25">
      <c r="A148" t="s">
        <v>283</v>
      </c>
      <c r="B148">
        <v>2013</v>
      </c>
      <c r="C148" t="s">
        <v>273</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cm="1">
        <f t="array" ref="W148">AND(ISNUMBER(LifeExpectancyData[[#This Row],[Adult Mortality]:[Schooling]]),ISNUMBER(LifeExpectancyData[[#This Row],[Life expectancy]]), LifeExpectancyData[[#This Row],[Year]]=2013)</f>
        <v>1</v>
      </c>
    </row>
    <row r="149" spans="1:23" x14ac:dyDescent="0.25">
      <c r="A149" t="s">
        <v>283</v>
      </c>
      <c r="B149">
        <v>2012</v>
      </c>
      <c r="C149" t="s">
        <v>273</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cm="1">
        <f t="array" ref="W149">AND(ISNUMBER(LifeExpectancyData[[#This Row],[Adult Mortality]:[Schooling]]),ISNUMBER(LifeExpectancyData[[#This Row],[Life expectancy]]), LifeExpectancyData[[#This Row],[Year]]=2013)</f>
        <v>0</v>
      </c>
    </row>
    <row r="150" spans="1:23" x14ac:dyDescent="0.25">
      <c r="A150" t="s">
        <v>283</v>
      </c>
      <c r="B150">
        <v>2011</v>
      </c>
      <c r="C150" t="s">
        <v>273</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cm="1">
        <f t="array" ref="W150">AND(ISNUMBER(LifeExpectancyData[[#This Row],[Adult Mortality]:[Schooling]]),ISNUMBER(LifeExpectancyData[[#This Row],[Life expectancy]]), LifeExpectancyData[[#This Row],[Year]]=2013)</f>
        <v>0</v>
      </c>
    </row>
    <row r="151" spans="1:23" x14ac:dyDescent="0.25">
      <c r="A151" t="s">
        <v>283</v>
      </c>
      <c r="B151">
        <v>2010</v>
      </c>
      <c r="C151" t="s">
        <v>273</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cm="1">
        <f t="array" ref="W151">AND(ISNUMBER(LifeExpectancyData[[#This Row],[Adult Mortality]:[Schooling]]),ISNUMBER(LifeExpectancyData[[#This Row],[Life expectancy]]), LifeExpectancyData[[#This Row],[Year]]=2013)</f>
        <v>0</v>
      </c>
    </row>
    <row r="152" spans="1:23" x14ac:dyDescent="0.25">
      <c r="A152" t="s">
        <v>283</v>
      </c>
      <c r="B152">
        <v>2009</v>
      </c>
      <c r="C152" t="s">
        <v>273</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cm="1">
        <f t="array" ref="W152">AND(ISNUMBER(LifeExpectancyData[[#This Row],[Adult Mortality]:[Schooling]]),ISNUMBER(LifeExpectancyData[[#This Row],[Life expectancy]]), LifeExpectancyData[[#This Row],[Year]]=2013)</f>
        <v>0</v>
      </c>
    </row>
    <row r="153" spans="1:23" x14ac:dyDescent="0.25">
      <c r="A153" t="s">
        <v>283</v>
      </c>
      <c r="B153">
        <v>2008</v>
      </c>
      <c r="C153" t="s">
        <v>273</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cm="1">
        <f t="array" ref="W153">AND(ISNUMBER(LifeExpectancyData[[#This Row],[Adult Mortality]:[Schooling]]),ISNUMBER(LifeExpectancyData[[#This Row],[Life expectancy]]), LifeExpectancyData[[#This Row],[Year]]=2013)</f>
        <v>0</v>
      </c>
    </row>
    <row r="154" spans="1:23" x14ac:dyDescent="0.25">
      <c r="A154" t="s">
        <v>283</v>
      </c>
      <c r="B154">
        <v>2007</v>
      </c>
      <c r="C154" t="s">
        <v>273</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cm="1">
        <f t="array" ref="W154">AND(ISNUMBER(LifeExpectancyData[[#This Row],[Adult Mortality]:[Schooling]]),ISNUMBER(LifeExpectancyData[[#This Row],[Life expectancy]]), LifeExpectancyData[[#This Row],[Year]]=2013)</f>
        <v>0</v>
      </c>
    </row>
    <row r="155" spans="1:23" x14ac:dyDescent="0.25">
      <c r="A155" t="s">
        <v>283</v>
      </c>
      <c r="B155">
        <v>2006</v>
      </c>
      <c r="C155" t="s">
        <v>273</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cm="1">
        <f t="array" ref="W155">AND(ISNUMBER(LifeExpectancyData[[#This Row],[Adult Mortality]:[Schooling]]),ISNUMBER(LifeExpectancyData[[#This Row],[Life expectancy]]), LifeExpectancyData[[#This Row],[Year]]=2013)</f>
        <v>0</v>
      </c>
    </row>
    <row r="156" spans="1:23" x14ac:dyDescent="0.25">
      <c r="A156" t="s">
        <v>283</v>
      </c>
      <c r="B156">
        <v>2005</v>
      </c>
      <c r="C156" t="s">
        <v>273</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cm="1">
        <f t="array" ref="W156">AND(ISNUMBER(LifeExpectancyData[[#This Row],[Adult Mortality]:[Schooling]]),ISNUMBER(LifeExpectancyData[[#This Row],[Life expectancy]]), LifeExpectancyData[[#This Row],[Year]]=2013)</f>
        <v>0</v>
      </c>
    </row>
    <row r="157" spans="1:23" x14ac:dyDescent="0.25">
      <c r="A157" t="s">
        <v>283</v>
      </c>
      <c r="B157">
        <v>2004</v>
      </c>
      <c r="C157" t="s">
        <v>273</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cm="1">
        <f t="array" ref="W157">AND(ISNUMBER(LifeExpectancyData[[#This Row],[Adult Mortality]:[Schooling]]),ISNUMBER(LifeExpectancyData[[#This Row],[Life expectancy]]), LifeExpectancyData[[#This Row],[Year]]=2013)</f>
        <v>0</v>
      </c>
    </row>
    <row r="158" spans="1:23" x14ac:dyDescent="0.25">
      <c r="A158" t="s">
        <v>283</v>
      </c>
      <c r="B158">
        <v>2003</v>
      </c>
      <c r="C158" t="s">
        <v>273</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cm="1">
        <f t="array" ref="W158">AND(ISNUMBER(LifeExpectancyData[[#This Row],[Adult Mortality]:[Schooling]]),ISNUMBER(LifeExpectancyData[[#This Row],[Life expectancy]]), LifeExpectancyData[[#This Row],[Year]]=2013)</f>
        <v>0</v>
      </c>
    </row>
    <row r="159" spans="1:23" x14ac:dyDescent="0.25">
      <c r="A159" t="s">
        <v>283</v>
      </c>
      <c r="B159">
        <v>2002</v>
      </c>
      <c r="C159" t="s">
        <v>273</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cm="1">
        <f t="array" ref="W159">AND(ISNUMBER(LifeExpectancyData[[#This Row],[Adult Mortality]:[Schooling]]),ISNUMBER(LifeExpectancyData[[#This Row],[Life expectancy]]), LifeExpectancyData[[#This Row],[Year]]=2013)</f>
        <v>0</v>
      </c>
    </row>
    <row r="160" spans="1:23" hidden="1" x14ac:dyDescent="0.25">
      <c r="A160" t="s">
        <v>283</v>
      </c>
      <c r="B160">
        <v>2001</v>
      </c>
      <c r="C160" t="s">
        <v>273</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cm="1">
        <f t="array" ref="W160">AND(ISNUMBER(LifeExpectancyData[[#This Row],[Adult Mortality]:[Schooling]]),ISNUMBER(LifeExpectancyData[[#This Row],[Life expectancy]]), LifeExpectancyData[[#This Row],[Year]]=2013)</f>
        <v>0</v>
      </c>
    </row>
    <row r="161" spans="1:23" hidden="1" x14ac:dyDescent="0.25">
      <c r="A161" t="s">
        <v>283</v>
      </c>
      <c r="B161">
        <v>2000</v>
      </c>
      <c r="C161" t="s">
        <v>273</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cm="1">
        <f t="array" ref="W161">AND(ISNUMBER(LifeExpectancyData[[#This Row],[Adult Mortality]:[Schooling]]),ISNUMBER(LifeExpectancyData[[#This Row],[Life expectancy]]), LifeExpectancyData[[#This Row],[Year]]=2013)</f>
        <v>0</v>
      </c>
    </row>
    <row r="162" spans="1:23" hidden="1" x14ac:dyDescent="0.25">
      <c r="A162" t="s">
        <v>284</v>
      </c>
      <c r="B162">
        <v>2015</v>
      </c>
      <c r="C162" t="s">
        <v>273</v>
      </c>
      <c r="D162">
        <v>76.099999999999994</v>
      </c>
      <c r="E162">
        <v>147</v>
      </c>
      <c r="F162">
        <v>0</v>
      </c>
      <c r="H162">
        <v>0</v>
      </c>
      <c r="I162">
        <v>95</v>
      </c>
      <c r="J162">
        <v>0</v>
      </c>
      <c r="K162">
        <v>64.5</v>
      </c>
      <c r="L162">
        <v>0</v>
      </c>
      <c r="M162">
        <v>95</v>
      </c>
      <c r="O162">
        <v>95</v>
      </c>
      <c r="P162">
        <v>0.1</v>
      </c>
      <c r="S162">
        <v>2.5</v>
      </c>
      <c r="T162">
        <v>2.5</v>
      </c>
      <c r="U162">
        <v>0.79</v>
      </c>
      <c r="V162">
        <v>12.6</v>
      </c>
      <c r="W162" t="b" cm="1">
        <f t="array" ref="W162">AND(ISNUMBER(LifeExpectancyData[[#This Row],[Adult Mortality]:[Schooling]]),ISNUMBER(LifeExpectancyData[[#This Row],[Life expectancy]]), LifeExpectancyData[[#This Row],[Year]]=2013)</f>
        <v>0</v>
      </c>
    </row>
    <row r="163" spans="1:23" hidden="1" x14ac:dyDescent="0.25">
      <c r="A163" t="s">
        <v>284</v>
      </c>
      <c r="B163">
        <v>2014</v>
      </c>
      <c r="C163" t="s">
        <v>273</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cm="1">
        <f t="array" ref="W163">AND(ISNUMBER(LifeExpectancyData[[#This Row],[Adult Mortality]:[Schooling]]),ISNUMBER(LifeExpectancyData[[#This Row],[Life expectancy]]), LifeExpectancyData[[#This Row],[Year]]=2013)</f>
        <v>0</v>
      </c>
    </row>
    <row r="164" spans="1:23" hidden="1" x14ac:dyDescent="0.25">
      <c r="A164" t="s">
        <v>284</v>
      </c>
      <c r="B164">
        <v>2013</v>
      </c>
      <c r="C164" t="s">
        <v>273</v>
      </c>
      <c r="D164">
        <v>74.8</v>
      </c>
      <c r="E164">
        <v>172</v>
      </c>
      <c r="F164">
        <v>0</v>
      </c>
      <c r="G164">
        <v>9.42</v>
      </c>
      <c r="H164">
        <v>0</v>
      </c>
      <c r="I164">
        <v>97</v>
      </c>
      <c r="J164">
        <v>0</v>
      </c>
      <c r="K164">
        <v>63.2</v>
      </c>
      <c r="L164">
        <v>0</v>
      </c>
      <c r="M164">
        <v>97</v>
      </c>
      <c r="N164">
        <v>7.5</v>
      </c>
      <c r="O164">
        <v>97</v>
      </c>
      <c r="P164">
        <v>0.1</v>
      </c>
      <c r="S164">
        <v>2.5</v>
      </c>
      <c r="T164">
        <v>2.5</v>
      </c>
      <c r="U164">
        <v>0.79</v>
      </c>
      <c r="V164">
        <v>12.6</v>
      </c>
      <c r="W164" t="b" cm="1">
        <f t="array" ref="W164">AND(ISNUMBER(LifeExpectancyData[[#This Row],[Adult Mortality]:[Schooling]]),ISNUMBER(LifeExpectancyData[[#This Row],[Life expectancy]]), LifeExpectancyData[[#This Row],[Year]]=2013)</f>
        <v>0</v>
      </c>
    </row>
    <row r="165" spans="1:23" hidden="1" x14ac:dyDescent="0.25">
      <c r="A165" t="s">
        <v>284</v>
      </c>
      <c r="B165">
        <v>2012</v>
      </c>
      <c r="C165" t="s">
        <v>273</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cm="1">
        <f t="array" ref="W165">AND(ISNUMBER(LifeExpectancyData[[#This Row],[Adult Mortality]:[Schooling]]),ISNUMBER(LifeExpectancyData[[#This Row],[Life expectancy]]), LifeExpectancyData[[#This Row],[Year]]=2013)</f>
        <v>0</v>
      </c>
    </row>
    <row r="166" spans="1:23" hidden="1" x14ac:dyDescent="0.25">
      <c r="A166" t="s">
        <v>284</v>
      </c>
      <c r="B166">
        <v>2011</v>
      </c>
      <c r="C166" t="s">
        <v>273</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cm="1">
        <f t="array" ref="W166">AND(ISNUMBER(LifeExpectancyData[[#This Row],[Adult Mortality]:[Schooling]]),ISNUMBER(LifeExpectancyData[[#This Row],[Life expectancy]]), LifeExpectancyData[[#This Row],[Year]]=2013)</f>
        <v>0</v>
      </c>
    </row>
    <row r="167" spans="1:23" hidden="1" x14ac:dyDescent="0.25">
      <c r="A167" t="s">
        <v>284</v>
      </c>
      <c r="B167">
        <v>2010</v>
      </c>
      <c r="C167" t="s">
        <v>273</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cm="1">
        <f t="array" ref="W167">AND(ISNUMBER(LifeExpectancyData[[#This Row],[Adult Mortality]:[Schooling]]),ISNUMBER(LifeExpectancyData[[#This Row],[Life expectancy]]), LifeExpectancyData[[#This Row],[Year]]=2013)</f>
        <v>0</v>
      </c>
    </row>
    <row r="168" spans="1:23" hidden="1" x14ac:dyDescent="0.25">
      <c r="A168" t="s">
        <v>284</v>
      </c>
      <c r="B168">
        <v>2009</v>
      </c>
      <c r="C168" t="s">
        <v>273</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cm="1">
        <f t="array" ref="W168">AND(ISNUMBER(LifeExpectancyData[[#This Row],[Adult Mortality]:[Schooling]]),ISNUMBER(LifeExpectancyData[[#This Row],[Life expectancy]]), LifeExpectancyData[[#This Row],[Year]]=2013)</f>
        <v>0</v>
      </c>
    </row>
    <row r="169" spans="1:23" hidden="1" x14ac:dyDescent="0.25">
      <c r="A169" t="s">
        <v>284</v>
      </c>
      <c r="B169">
        <v>2008</v>
      </c>
      <c r="C169" t="s">
        <v>273</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cm="1">
        <f t="array" ref="W169">AND(ISNUMBER(LifeExpectancyData[[#This Row],[Adult Mortality]:[Schooling]]),ISNUMBER(LifeExpectancyData[[#This Row],[Life expectancy]]), LifeExpectancyData[[#This Row],[Year]]=2013)</f>
        <v>0</v>
      </c>
    </row>
    <row r="170" spans="1:23" hidden="1" x14ac:dyDescent="0.25">
      <c r="A170" t="s">
        <v>284</v>
      </c>
      <c r="B170">
        <v>2007</v>
      </c>
      <c r="C170" t="s">
        <v>273</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cm="1">
        <f t="array" ref="W170">AND(ISNUMBER(LifeExpectancyData[[#This Row],[Adult Mortality]:[Schooling]]),ISNUMBER(LifeExpectancyData[[#This Row],[Life expectancy]]), LifeExpectancyData[[#This Row],[Year]]=2013)</f>
        <v>0</v>
      </c>
    </row>
    <row r="171" spans="1:23" hidden="1" x14ac:dyDescent="0.25">
      <c r="A171" t="s">
        <v>284</v>
      </c>
      <c r="B171">
        <v>2006</v>
      </c>
      <c r="C171" t="s">
        <v>273</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cm="1">
        <f t="array" ref="W171">AND(ISNUMBER(LifeExpectancyData[[#This Row],[Adult Mortality]:[Schooling]]),ISNUMBER(LifeExpectancyData[[#This Row],[Life expectancy]]), LifeExpectancyData[[#This Row],[Year]]=2013)</f>
        <v>0</v>
      </c>
    </row>
    <row r="172" spans="1:23" hidden="1" x14ac:dyDescent="0.25">
      <c r="A172" t="s">
        <v>284</v>
      </c>
      <c r="B172">
        <v>2005</v>
      </c>
      <c r="C172" t="s">
        <v>273</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cm="1">
        <f t="array" ref="W172">AND(ISNUMBER(LifeExpectancyData[[#This Row],[Adult Mortality]:[Schooling]]),ISNUMBER(LifeExpectancyData[[#This Row],[Life expectancy]]), LifeExpectancyData[[#This Row],[Year]]=2013)</f>
        <v>0</v>
      </c>
    </row>
    <row r="173" spans="1:23" hidden="1" x14ac:dyDescent="0.25">
      <c r="A173" t="s">
        <v>284</v>
      </c>
      <c r="B173">
        <v>2004</v>
      </c>
      <c r="C173" t="s">
        <v>273</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cm="1">
        <f t="array" ref="W173">AND(ISNUMBER(LifeExpectancyData[[#This Row],[Adult Mortality]:[Schooling]]),ISNUMBER(LifeExpectancyData[[#This Row],[Life expectancy]]), LifeExpectancyData[[#This Row],[Year]]=2013)</f>
        <v>0</v>
      </c>
    </row>
    <row r="174" spans="1:23" hidden="1" x14ac:dyDescent="0.25">
      <c r="A174" t="s">
        <v>284</v>
      </c>
      <c r="B174">
        <v>2003</v>
      </c>
      <c r="C174" t="s">
        <v>273</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cm="1">
        <f t="array" ref="W174">AND(ISNUMBER(LifeExpectancyData[[#This Row],[Adult Mortality]:[Schooling]]),ISNUMBER(LifeExpectancyData[[#This Row],[Life expectancy]]), LifeExpectancyData[[#This Row],[Year]]=2013)</f>
        <v>0</v>
      </c>
    </row>
    <row r="175" spans="1:23" hidden="1" x14ac:dyDescent="0.25">
      <c r="A175" t="s">
        <v>284</v>
      </c>
      <c r="B175">
        <v>2002</v>
      </c>
      <c r="C175" t="s">
        <v>273</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cm="1">
        <f t="array" ref="W175">AND(ISNUMBER(LifeExpectancyData[[#This Row],[Adult Mortality]:[Schooling]]),ISNUMBER(LifeExpectancyData[[#This Row],[Life expectancy]]), LifeExpectancyData[[#This Row],[Year]]=2013)</f>
        <v>0</v>
      </c>
    </row>
    <row r="176" spans="1:23" hidden="1" x14ac:dyDescent="0.25">
      <c r="A176" t="s">
        <v>284</v>
      </c>
      <c r="B176">
        <v>2001</v>
      </c>
      <c r="C176" t="s">
        <v>273</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cm="1">
        <f t="array" ref="W176">AND(ISNUMBER(LifeExpectancyData[[#This Row],[Adult Mortality]:[Schooling]]),ISNUMBER(LifeExpectancyData[[#This Row],[Life expectancy]]), LifeExpectancyData[[#This Row],[Year]]=2013)</f>
        <v>0</v>
      </c>
    </row>
    <row r="177" spans="1:23" hidden="1" x14ac:dyDescent="0.25">
      <c r="A177" t="s">
        <v>284</v>
      </c>
      <c r="B177">
        <v>2000</v>
      </c>
      <c r="C177" t="s">
        <v>273</v>
      </c>
      <c r="D177">
        <v>72.599999999999994</v>
      </c>
      <c r="E177">
        <v>192</v>
      </c>
      <c r="F177">
        <v>0</v>
      </c>
      <c r="G177">
        <v>12.15</v>
      </c>
      <c r="H177">
        <v>0</v>
      </c>
      <c r="J177">
        <v>0</v>
      </c>
      <c r="K177">
        <v>54.4</v>
      </c>
      <c r="L177">
        <v>0</v>
      </c>
      <c r="M177">
        <v>91</v>
      </c>
      <c r="N177">
        <v>5.21</v>
      </c>
      <c r="O177">
        <v>99</v>
      </c>
      <c r="P177">
        <v>0.1</v>
      </c>
      <c r="S177">
        <v>2.7</v>
      </c>
      <c r="T177">
        <v>2.6</v>
      </c>
      <c r="U177">
        <v>0</v>
      </c>
      <c r="V177">
        <v>12</v>
      </c>
      <c r="W177" t="b" cm="1">
        <f t="array" ref="W177">AND(ISNUMBER(LifeExpectancyData[[#This Row],[Adult Mortality]:[Schooling]]),ISNUMBER(LifeExpectancyData[[#This Row],[Life expectancy]]), LifeExpectancyData[[#This Row],[Year]]=2013)</f>
        <v>0</v>
      </c>
    </row>
    <row r="178" spans="1:23" hidden="1" x14ac:dyDescent="0.25">
      <c r="A178" t="s">
        <v>285</v>
      </c>
      <c r="B178">
        <v>2015</v>
      </c>
      <c r="C178" t="s">
        <v>273</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cm="1">
        <f t="array" ref="W178">AND(ISNUMBER(LifeExpectancyData[[#This Row],[Adult Mortality]:[Schooling]]),ISNUMBER(LifeExpectancyData[[#This Row],[Life expectancy]]), LifeExpectancyData[[#This Row],[Year]]=2013)</f>
        <v>0</v>
      </c>
    </row>
    <row r="179" spans="1:23" hidden="1" x14ac:dyDescent="0.25">
      <c r="A179" t="s">
        <v>285</v>
      </c>
      <c r="B179">
        <v>2014</v>
      </c>
      <c r="C179" t="s">
        <v>273</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cm="1">
        <f t="array" ref="W179">AND(ISNUMBER(LifeExpectancyData[[#This Row],[Adult Mortality]:[Schooling]]),ISNUMBER(LifeExpectancyData[[#This Row],[Life expectancy]]), LifeExpectancyData[[#This Row],[Year]]=2013)</f>
        <v>0</v>
      </c>
    </row>
    <row r="180" spans="1:23" hidden="1" x14ac:dyDescent="0.25">
      <c r="A180" t="s">
        <v>285</v>
      </c>
      <c r="B180">
        <v>2013</v>
      </c>
      <c r="C180" t="s">
        <v>273</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cm="1">
        <f t="array" ref="W180">AND(ISNUMBER(LifeExpectancyData[[#This Row],[Adult Mortality]:[Schooling]]),ISNUMBER(LifeExpectancyData[[#This Row],[Life expectancy]]), LifeExpectancyData[[#This Row],[Year]]=2013)</f>
        <v>0</v>
      </c>
    </row>
    <row r="181" spans="1:23" hidden="1" x14ac:dyDescent="0.25">
      <c r="A181" t="s">
        <v>285</v>
      </c>
      <c r="B181">
        <v>2012</v>
      </c>
      <c r="C181" t="s">
        <v>273</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cm="1">
        <f t="array" ref="W181">AND(ISNUMBER(LifeExpectancyData[[#This Row],[Adult Mortality]:[Schooling]]),ISNUMBER(LifeExpectancyData[[#This Row],[Life expectancy]]), LifeExpectancyData[[#This Row],[Year]]=2013)</f>
        <v>0</v>
      </c>
    </row>
    <row r="182" spans="1:23" hidden="1" x14ac:dyDescent="0.25">
      <c r="A182" t="s">
        <v>285</v>
      </c>
      <c r="B182">
        <v>2011</v>
      </c>
      <c r="C182" t="s">
        <v>273</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cm="1">
        <f t="array" ref="W182">AND(ISNUMBER(LifeExpectancyData[[#This Row],[Adult Mortality]:[Schooling]]),ISNUMBER(LifeExpectancyData[[#This Row],[Life expectancy]]), LifeExpectancyData[[#This Row],[Year]]=2013)</f>
        <v>0</v>
      </c>
    </row>
    <row r="183" spans="1:23" hidden="1" x14ac:dyDescent="0.25">
      <c r="A183" t="s">
        <v>285</v>
      </c>
      <c r="B183">
        <v>2010</v>
      </c>
      <c r="C183" t="s">
        <v>273</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cm="1">
        <f t="array" ref="W183">AND(ISNUMBER(LifeExpectancyData[[#This Row],[Adult Mortality]:[Schooling]]),ISNUMBER(LifeExpectancyData[[#This Row],[Life expectancy]]), LifeExpectancyData[[#This Row],[Year]]=2013)</f>
        <v>0</v>
      </c>
    </row>
    <row r="184" spans="1:23" hidden="1" x14ac:dyDescent="0.25">
      <c r="A184" t="s">
        <v>285</v>
      </c>
      <c r="B184">
        <v>2009</v>
      </c>
      <c r="C184" t="s">
        <v>273</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cm="1">
        <f t="array" ref="W184">AND(ISNUMBER(LifeExpectancyData[[#This Row],[Adult Mortality]:[Schooling]]),ISNUMBER(LifeExpectancyData[[#This Row],[Life expectancy]]), LifeExpectancyData[[#This Row],[Year]]=2013)</f>
        <v>0</v>
      </c>
    </row>
    <row r="185" spans="1:23" hidden="1" x14ac:dyDescent="0.25">
      <c r="A185" t="s">
        <v>285</v>
      </c>
      <c r="B185">
        <v>2008</v>
      </c>
      <c r="C185" t="s">
        <v>273</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cm="1">
        <f t="array" ref="W185">AND(ISNUMBER(LifeExpectancyData[[#This Row],[Adult Mortality]:[Schooling]]),ISNUMBER(LifeExpectancyData[[#This Row],[Life expectancy]]), LifeExpectancyData[[#This Row],[Year]]=2013)</f>
        <v>0</v>
      </c>
    </row>
    <row r="186" spans="1:23" hidden="1" x14ac:dyDescent="0.25">
      <c r="A186" t="s">
        <v>285</v>
      </c>
      <c r="B186">
        <v>2007</v>
      </c>
      <c r="C186" t="s">
        <v>273</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cm="1">
        <f t="array" ref="W186">AND(ISNUMBER(LifeExpectancyData[[#This Row],[Adult Mortality]:[Schooling]]),ISNUMBER(LifeExpectancyData[[#This Row],[Life expectancy]]), LifeExpectancyData[[#This Row],[Year]]=2013)</f>
        <v>0</v>
      </c>
    </row>
    <row r="187" spans="1:23" hidden="1" x14ac:dyDescent="0.25">
      <c r="A187" t="s">
        <v>285</v>
      </c>
      <c r="B187">
        <v>2006</v>
      </c>
      <c r="C187" t="s">
        <v>273</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cm="1">
        <f t="array" ref="W187">AND(ISNUMBER(LifeExpectancyData[[#This Row],[Adult Mortality]:[Schooling]]),ISNUMBER(LifeExpectancyData[[#This Row],[Life expectancy]]), LifeExpectancyData[[#This Row],[Year]]=2013)</f>
        <v>0</v>
      </c>
    </row>
    <row r="188" spans="1:23" hidden="1" x14ac:dyDescent="0.25">
      <c r="A188" t="s">
        <v>285</v>
      </c>
      <c r="B188">
        <v>2005</v>
      </c>
      <c r="C188" t="s">
        <v>273</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cm="1">
        <f t="array" ref="W188">AND(ISNUMBER(LifeExpectancyData[[#This Row],[Adult Mortality]:[Schooling]]),ISNUMBER(LifeExpectancyData[[#This Row],[Life expectancy]]), LifeExpectancyData[[#This Row],[Year]]=2013)</f>
        <v>0</v>
      </c>
    </row>
    <row r="189" spans="1:23" hidden="1" x14ac:dyDescent="0.25">
      <c r="A189" t="s">
        <v>285</v>
      </c>
      <c r="B189">
        <v>2004</v>
      </c>
      <c r="C189" t="s">
        <v>273</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cm="1">
        <f t="array" ref="W189">AND(ISNUMBER(LifeExpectancyData[[#This Row],[Adult Mortality]:[Schooling]]),ISNUMBER(LifeExpectancyData[[#This Row],[Life expectancy]]), LifeExpectancyData[[#This Row],[Year]]=2013)</f>
        <v>0</v>
      </c>
    </row>
    <row r="190" spans="1:23" hidden="1" x14ac:dyDescent="0.25">
      <c r="A190" t="s">
        <v>285</v>
      </c>
      <c r="B190">
        <v>2003</v>
      </c>
      <c r="C190" t="s">
        <v>273</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cm="1">
        <f t="array" ref="W190">AND(ISNUMBER(LifeExpectancyData[[#This Row],[Adult Mortality]:[Schooling]]),ISNUMBER(LifeExpectancyData[[#This Row],[Life expectancy]]), LifeExpectancyData[[#This Row],[Year]]=2013)</f>
        <v>0</v>
      </c>
    </row>
    <row r="191" spans="1:23" hidden="1" x14ac:dyDescent="0.25">
      <c r="A191" t="s">
        <v>285</v>
      </c>
      <c r="B191">
        <v>2002</v>
      </c>
      <c r="C191" t="s">
        <v>273</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cm="1">
        <f t="array" ref="W191">AND(ISNUMBER(LifeExpectancyData[[#This Row],[Adult Mortality]:[Schooling]]),ISNUMBER(LifeExpectancyData[[#This Row],[Life expectancy]]), LifeExpectancyData[[#This Row],[Year]]=2013)</f>
        <v>0</v>
      </c>
    </row>
    <row r="192" spans="1:23" hidden="1" x14ac:dyDescent="0.25">
      <c r="A192" t="s">
        <v>285</v>
      </c>
      <c r="B192">
        <v>2001</v>
      </c>
      <c r="C192" t="s">
        <v>273</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cm="1">
        <f t="array" ref="W192">AND(ISNUMBER(LifeExpectancyData[[#This Row],[Adult Mortality]:[Schooling]]),ISNUMBER(LifeExpectancyData[[#This Row],[Life expectancy]]), LifeExpectancyData[[#This Row],[Year]]=2013)</f>
        <v>0</v>
      </c>
    </row>
    <row r="193" spans="1:23" hidden="1" x14ac:dyDescent="0.25">
      <c r="A193" t="s">
        <v>285</v>
      </c>
      <c r="B193">
        <v>2000</v>
      </c>
      <c r="C193" t="s">
        <v>273</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cm="1">
        <f t="array" ref="W193">AND(ISNUMBER(LifeExpectancyData[[#This Row],[Adult Mortality]:[Schooling]]),ISNUMBER(LifeExpectancyData[[#This Row],[Life expectancy]]), LifeExpectancyData[[#This Row],[Year]]=2013)</f>
        <v>0</v>
      </c>
    </row>
    <row r="194" spans="1:23" hidden="1" x14ac:dyDescent="0.25">
      <c r="A194" t="s">
        <v>286</v>
      </c>
      <c r="B194">
        <v>2015</v>
      </c>
      <c r="C194" t="s">
        <v>273</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cm="1">
        <f t="array" ref="W194">AND(ISNUMBER(LifeExpectancyData[[#This Row],[Adult Mortality]:[Schooling]]),ISNUMBER(LifeExpectancyData[[#This Row],[Life expectancy]]), LifeExpectancyData[[#This Row],[Year]]=2013)</f>
        <v>0</v>
      </c>
    </row>
    <row r="195" spans="1:23" x14ac:dyDescent="0.25">
      <c r="A195" t="s">
        <v>286</v>
      </c>
      <c r="B195">
        <v>2014</v>
      </c>
      <c r="C195" t="s">
        <v>273</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cm="1">
        <f t="array" ref="W195">AND(ISNUMBER(LifeExpectancyData[[#This Row],[Adult Mortality]:[Schooling]]),ISNUMBER(LifeExpectancyData[[#This Row],[Life expectancy]]), LifeExpectancyData[[#This Row],[Year]]=2013)</f>
        <v>0</v>
      </c>
    </row>
    <row r="196" spans="1:23" x14ac:dyDescent="0.25">
      <c r="A196" t="s">
        <v>286</v>
      </c>
      <c r="B196">
        <v>2013</v>
      </c>
      <c r="C196" t="s">
        <v>273</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cm="1">
        <f t="array" ref="W196">AND(ISNUMBER(LifeExpectancyData[[#This Row],[Adult Mortality]:[Schooling]]),ISNUMBER(LifeExpectancyData[[#This Row],[Life expectancy]]), LifeExpectancyData[[#This Row],[Year]]=2013)</f>
        <v>1</v>
      </c>
    </row>
    <row r="197" spans="1:23" x14ac:dyDescent="0.25">
      <c r="A197" t="s">
        <v>286</v>
      </c>
      <c r="B197">
        <v>2012</v>
      </c>
      <c r="C197" t="s">
        <v>273</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cm="1">
        <f t="array" ref="W197">AND(ISNUMBER(LifeExpectancyData[[#This Row],[Adult Mortality]:[Schooling]]),ISNUMBER(LifeExpectancyData[[#This Row],[Life expectancy]]), LifeExpectancyData[[#This Row],[Year]]=2013)</f>
        <v>0</v>
      </c>
    </row>
    <row r="198" spans="1:23" x14ac:dyDescent="0.25">
      <c r="A198" t="s">
        <v>286</v>
      </c>
      <c r="B198">
        <v>2011</v>
      </c>
      <c r="C198" t="s">
        <v>273</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cm="1">
        <f t="array" ref="W198">AND(ISNUMBER(LifeExpectancyData[[#This Row],[Adult Mortality]:[Schooling]]),ISNUMBER(LifeExpectancyData[[#This Row],[Life expectancy]]), LifeExpectancyData[[#This Row],[Year]]=2013)</f>
        <v>0</v>
      </c>
    </row>
    <row r="199" spans="1:23" x14ac:dyDescent="0.25">
      <c r="A199" t="s">
        <v>286</v>
      </c>
      <c r="B199">
        <v>2010</v>
      </c>
      <c r="C199" t="s">
        <v>273</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cm="1">
        <f t="array" ref="W199">AND(ISNUMBER(LifeExpectancyData[[#This Row],[Adult Mortality]:[Schooling]]),ISNUMBER(LifeExpectancyData[[#This Row],[Life expectancy]]), LifeExpectancyData[[#This Row],[Year]]=2013)</f>
        <v>0</v>
      </c>
    </row>
    <row r="200" spans="1:23" x14ac:dyDescent="0.25">
      <c r="A200" t="s">
        <v>286</v>
      </c>
      <c r="B200">
        <v>2009</v>
      </c>
      <c r="C200" t="s">
        <v>273</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cm="1">
        <f t="array" ref="W200">AND(ISNUMBER(LifeExpectancyData[[#This Row],[Adult Mortality]:[Schooling]]),ISNUMBER(LifeExpectancyData[[#This Row],[Life expectancy]]), LifeExpectancyData[[#This Row],[Year]]=2013)</f>
        <v>0</v>
      </c>
    </row>
    <row r="201" spans="1:23" x14ac:dyDescent="0.25">
      <c r="A201" t="s">
        <v>286</v>
      </c>
      <c r="B201">
        <v>2008</v>
      </c>
      <c r="C201" t="s">
        <v>273</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cm="1">
        <f t="array" ref="W201">AND(ISNUMBER(LifeExpectancyData[[#This Row],[Adult Mortality]:[Schooling]]),ISNUMBER(LifeExpectancyData[[#This Row],[Life expectancy]]), LifeExpectancyData[[#This Row],[Year]]=2013)</f>
        <v>0</v>
      </c>
    </row>
    <row r="202" spans="1:23" x14ac:dyDescent="0.25">
      <c r="A202" t="s">
        <v>286</v>
      </c>
      <c r="B202">
        <v>2007</v>
      </c>
      <c r="C202" t="s">
        <v>273</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cm="1">
        <f t="array" ref="W202">AND(ISNUMBER(LifeExpectancyData[[#This Row],[Adult Mortality]:[Schooling]]),ISNUMBER(LifeExpectancyData[[#This Row],[Life expectancy]]), LifeExpectancyData[[#This Row],[Year]]=2013)</f>
        <v>0</v>
      </c>
    </row>
    <row r="203" spans="1:23" x14ac:dyDescent="0.25">
      <c r="A203" t="s">
        <v>286</v>
      </c>
      <c r="B203">
        <v>2006</v>
      </c>
      <c r="C203" t="s">
        <v>273</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cm="1">
        <f t="array" ref="W203">AND(ISNUMBER(LifeExpectancyData[[#This Row],[Adult Mortality]:[Schooling]]),ISNUMBER(LifeExpectancyData[[#This Row],[Life expectancy]]), LifeExpectancyData[[#This Row],[Year]]=2013)</f>
        <v>0</v>
      </c>
    </row>
    <row r="204" spans="1:23" x14ac:dyDescent="0.25">
      <c r="A204" t="s">
        <v>286</v>
      </c>
      <c r="B204">
        <v>2005</v>
      </c>
      <c r="C204" t="s">
        <v>273</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cm="1">
        <f t="array" ref="W204">AND(ISNUMBER(LifeExpectancyData[[#This Row],[Adult Mortality]:[Schooling]]),ISNUMBER(LifeExpectancyData[[#This Row],[Life expectancy]]), LifeExpectancyData[[#This Row],[Year]]=2013)</f>
        <v>0</v>
      </c>
    </row>
    <row r="205" spans="1:23" x14ac:dyDescent="0.25">
      <c r="A205" t="s">
        <v>286</v>
      </c>
      <c r="B205">
        <v>2004</v>
      </c>
      <c r="C205" t="s">
        <v>273</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cm="1">
        <f t="array" ref="W205">AND(ISNUMBER(LifeExpectancyData[[#This Row],[Adult Mortality]:[Schooling]]),ISNUMBER(LifeExpectancyData[[#This Row],[Life expectancy]]), LifeExpectancyData[[#This Row],[Year]]=2013)</f>
        <v>0</v>
      </c>
    </row>
    <row r="206" spans="1:23" x14ac:dyDescent="0.25">
      <c r="A206" t="s">
        <v>286</v>
      </c>
      <c r="B206">
        <v>2003</v>
      </c>
      <c r="C206" t="s">
        <v>273</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cm="1">
        <f t="array" ref="W206">AND(ISNUMBER(LifeExpectancyData[[#This Row],[Adult Mortality]:[Schooling]]),ISNUMBER(LifeExpectancyData[[#This Row],[Life expectancy]]), LifeExpectancyData[[#This Row],[Year]]=2013)</f>
        <v>0</v>
      </c>
    </row>
    <row r="207" spans="1:23" hidden="1" x14ac:dyDescent="0.25">
      <c r="A207" t="s">
        <v>286</v>
      </c>
      <c r="B207">
        <v>2002</v>
      </c>
      <c r="C207" t="s">
        <v>273</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cm="1">
        <f t="array" ref="W207">AND(ISNUMBER(LifeExpectancyData[[#This Row],[Adult Mortality]:[Schooling]]),ISNUMBER(LifeExpectancyData[[#This Row],[Life expectancy]]), LifeExpectancyData[[#This Row],[Year]]=2013)</f>
        <v>0</v>
      </c>
    </row>
    <row r="208" spans="1:23" hidden="1" x14ac:dyDescent="0.25">
      <c r="A208" t="s">
        <v>286</v>
      </c>
      <c r="B208">
        <v>2001</v>
      </c>
      <c r="C208" t="s">
        <v>273</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cm="1">
        <f t="array" ref="W208">AND(ISNUMBER(LifeExpectancyData[[#This Row],[Adult Mortality]:[Schooling]]),ISNUMBER(LifeExpectancyData[[#This Row],[Life expectancy]]), LifeExpectancyData[[#This Row],[Year]]=2013)</f>
        <v>0</v>
      </c>
    </row>
    <row r="209" spans="1:23" hidden="1" x14ac:dyDescent="0.25">
      <c r="A209" t="s">
        <v>286</v>
      </c>
      <c r="B209">
        <v>2000</v>
      </c>
      <c r="C209" t="s">
        <v>273</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cm="1">
        <f t="array" ref="W209">AND(ISNUMBER(LifeExpectancyData[[#This Row],[Adult Mortality]:[Schooling]]),ISNUMBER(LifeExpectancyData[[#This Row],[Life expectancy]]), LifeExpectancyData[[#This Row],[Year]]=2013)</f>
        <v>0</v>
      </c>
    </row>
    <row r="210" spans="1:23" hidden="1" x14ac:dyDescent="0.25">
      <c r="A210" t="s">
        <v>287</v>
      </c>
      <c r="B210">
        <v>2015</v>
      </c>
      <c r="C210" t="s">
        <v>273</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cm="1">
        <f t="array" ref="W210">AND(ISNUMBER(LifeExpectancyData[[#This Row],[Adult Mortality]:[Schooling]]),ISNUMBER(LifeExpectancyData[[#This Row],[Life expectancy]]), LifeExpectancyData[[#This Row],[Year]]=2013)</f>
        <v>0</v>
      </c>
    </row>
    <row r="211" spans="1:23" hidden="1" x14ac:dyDescent="0.25">
      <c r="A211" t="s">
        <v>287</v>
      </c>
      <c r="B211">
        <v>2014</v>
      </c>
      <c r="C211" t="s">
        <v>273</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cm="1">
        <f t="array" ref="W211">AND(ISNUMBER(LifeExpectancyData[[#This Row],[Adult Mortality]:[Schooling]]),ISNUMBER(LifeExpectancyData[[#This Row],[Life expectancy]]), LifeExpectancyData[[#This Row],[Year]]=2013)</f>
        <v>0</v>
      </c>
    </row>
    <row r="212" spans="1:23" hidden="1" x14ac:dyDescent="0.25">
      <c r="A212" t="s">
        <v>287</v>
      </c>
      <c r="B212">
        <v>2013</v>
      </c>
      <c r="C212" t="s">
        <v>273</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cm="1">
        <f t="array" ref="W212">AND(ISNUMBER(LifeExpectancyData[[#This Row],[Adult Mortality]:[Schooling]]),ISNUMBER(LifeExpectancyData[[#This Row],[Life expectancy]]), LifeExpectancyData[[#This Row],[Year]]=2013)</f>
        <v>0</v>
      </c>
    </row>
    <row r="213" spans="1:23" hidden="1" x14ac:dyDescent="0.25">
      <c r="A213" t="s">
        <v>287</v>
      </c>
      <c r="B213">
        <v>2012</v>
      </c>
      <c r="C213" t="s">
        <v>273</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cm="1">
        <f t="array" ref="W213">AND(ISNUMBER(LifeExpectancyData[[#This Row],[Adult Mortality]:[Schooling]]),ISNUMBER(LifeExpectancyData[[#This Row],[Life expectancy]]), LifeExpectancyData[[#This Row],[Year]]=2013)</f>
        <v>0</v>
      </c>
    </row>
    <row r="214" spans="1:23" hidden="1" x14ac:dyDescent="0.25">
      <c r="A214" t="s">
        <v>287</v>
      </c>
      <c r="B214">
        <v>2011</v>
      </c>
      <c r="C214" t="s">
        <v>273</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cm="1">
        <f t="array" ref="W214">AND(ISNUMBER(LifeExpectancyData[[#This Row],[Adult Mortality]:[Schooling]]),ISNUMBER(LifeExpectancyData[[#This Row],[Life expectancy]]), LifeExpectancyData[[#This Row],[Year]]=2013)</f>
        <v>0</v>
      </c>
    </row>
    <row r="215" spans="1:23" hidden="1" x14ac:dyDescent="0.25">
      <c r="A215" t="s">
        <v>287</v>
      </c>
      <c r="B215">
        <v>2010</v>
      </c>
      <c r="C215" t="s">
        <v>273</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cm="1">
        <f t="array" ref="W215">AND(ISNUMBER(LifeExpectancyData[[#This Row],[Adult Mortality]:[Schooling]]),ISNUMBER(LifeExpectancyData[[#This Row],[Life expectancy]]), LifeExpectancyData[[#This Row],[Year]]=2013)</f>
        <v>0</v>
      </c>
    </row>
    <row r="216" spans="1:23" hidden="1" x14ac:dyDescent="0.25">
      <c r="A216" t="s">
        <v>287</v>
      </c>
      <c r="B216">
        <v>2009</v>
      </c>
      <c r="C216" t="s">
        <v>273</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cm="1">
        <f t="array" ref="W216">AND(ISNUMBER(LifeExpectancyData[[#This Row],[Adult Mortality]:[Schooling]]),ISNUMBER(LifeExpectancyData[[#This Row],[Life expectancy]]), LifeExpectancyData[[#This Row],[Year]]=2013)</f>
        <v>0</v>
      </c>
    </row>
    <row r="217" spans="1:23" hidden="1" x14ac:dyDescent="0.25">
      <c r="A217" t="s">
        <v>287</v>
      </c>
      <c r="B217">
        <v>2008</v>
      </c>
      <c r="C217" t="s">
        <v>273</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cm="1">
        <f t="array" ref="W217">AND(ISNUMBER(LifeExpectancyData[[#This Row],[Adult Mortality]:[Schooling]]),ISNUMBER(LifeExpectancyData[[#This Row],[Life expectancy]]), LifeExpectancyData[[#This Row],[Year]]=2013)</f>
        <v>0</v>
      </c>
    </row>
    <row r="218" spans="1:23" hidden="1" x14ac:dyDescent="0.25">
      <c r="A218" t="s">
        <v>287</v>
      </c>
      <c r="B218">
        <v>2007</v>
      </c>
      <c r="C218" t="s">
        <v>273</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cm="1">
        <f t="array" ref="W218">AND(ISNUMBER(LifeExpectancyData[[#This Row],[Adult Mortality]:[Schooling]]),ISNUMBER(LifeExpectancyData[[#This Row],[Life expectancy]]), LifeExpectancyData[[#This Row],[Year]]=2013)</f>
        <v>0</v>
      </c>
    </row>
    <row r="219" spans="1:23" hidden="1" x14ac:dyDescent="0.25">
      <c r="A219" t="s">
        <v>287</v>
      </c>
      <c r="B219">
        <v>2006</v>
      </c>
      <c r="C219" t="s">
        <v>273</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cm="1">
        <f t="array" ref="W219">AND(ISNUMBER(LifeExpectancyData[[#This Row],[Adult Mortality]:[Schooling]]),ISNUMBER(LifeExpectancyData[[#This Row],[Life expectancy]]), LifeExpectancyData[[#This Row],[Year]]=2013)</f>
        <v>0</v>
      </c>
    </row>
    <row r="220" spans="1:23" hidden="1" x14ac:dyDescent="0.25">
      <c r="A220" t="s">
        <v>287</v>
      </c>
      <c r="B220">
        <v>2005</v>
      </c>
      <c r="C220" t="s">
        <v>273</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cm="1">
        <f t="array" ref="W220">AND(ISNUMBER(LifeExpectancyData[[#This Row],[Adult Mortality]:[Schooling]]),ISNUMBER(LifeExpectancyData[[#This Row],[Life expectancy]]), LifeExpectancyData[[#This Row],[Year]]=2013)</f>
        <v>0</v>
      </c>
    </row>
    <row r="221" spans="1:23" hidden="1" x14ac:dyDescent="0.25">
      <c r="A221" t="s">
        <v>287</v>
      </c>
      <c r="B221">
        <v>2004</v>
      </c>
      <c r="C221" t="s">
        <v>273</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cm="1">
        <f t="array" ref="W221">AND(ISNUMBER(LifeExpectancyData[[#This Row],[Adult Mortality]:[Schooling]]),ISNUMBER(LifeExpectancyData[[#This Row],[Life expectancy]]), LifeExpectancyData[[#This Row],[Year]]=2013)</f>
        <v>0</v>
      </c>
    </row>
    <row r="222" spans="1:23" hidden="1" x14ac:dyDescent="0.25">
      <c r="A222" t="s">
        <v>287</v>
      </c>
      <c r="B222">
        <v>2003</v>
      </c>
      <c r="C222" t="s">
        <v>273</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cm="1">
        <f t="array" ref="W222">AND(ISNUMBER(LifeExpectancyData[[#This Row],[Adult Mortality]:[Schooling]]),ISNUMBER(LifeExpectancyData[[#This Row],[Life expectancy]]), LifeExpectancyData[[#This Row],[Year]]=2013)</f>
        <v>0</v>
      </c>
    </row>
    <row r="223" spans="1:23" hidden="1" x14ac:dyDescent="0.25">
      <c r="A223" t="s">
        <v>287</v>
      </c>
      <c r="B223">
        <v>2002</v>
      </c>
      <c r="C223" t="s">
        <v>273</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cm="1">
        <f t="array" ref="W223">AND(ISNUMBER(LifeExpectancyData[[#This Row],[Adult Mortality]:[Schooling]]),ISNUMBER(LifeExpectancyData[[#This Row],[Life expectancy]]), LifeExpectancyData[[#This Row],[Year]]=2013)</f>
        <v>0</v>
      </c>
    </row>
    <row r="224" spans="1:23" hidden="1" x14ac:dyDescent="0.25">
      <c r="A224" t="s">
        <v>287</v>
      </c>
      <c r="B224">
        <v>2001</v>
      </c>
      <c r="C224" t="s">
        <v>273</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cm="1">
        <f t="array" ref="W224">AND(ISNUMBER(LifeExpectancyData[[#This Row],[Adult Mortality]:[Schooling]]),ISNUMBER(LifeExpectancyData[[#This Row],[Life expectancy]]), LifeExpectancyData[[#This Row],[Year]]=2013)</f>
        <v>0</v>
      </c>
    </row>
    <row r="225" spans="1:23" hidden="1" x14ac:dyDescent="0.25">
      <c r="A225" t="s">
        <v>287</v>
      </c>
      <c r="B225">
        <v>2000</v>
      </c>
      <c r="C225" t="s">
        <v>273</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cm="1">
        <f t="array" ref="W225">AND(ISNUMBER(LifeExpectancyData[[#This Row],[Adult Mortality]:[Schooling]]),ISNUMBER(LifeExpectancyData[[#This Row],[Life expectancy]]), LifeExpectancyData[[#This Row],[Year]]=2013)</f>
        <v>0</v>
      </c>
    </row>
    <row r="226" spans="1:23" hidden="1" x14ac:dyDescent="0.25">
      <c r="A226" t="s">
        <v>288</v>
      </c>
      <c r="B226">
        <v>2015</v>
      </c>
      <c r="C226" t="s">
        <v>273</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cm="1">
        <f t="array" ref="W226">AND(ISNUMBER(LifeExpectancyData[[#This Row],[Adult Mortality]:[Schooling]]),ISNUMBER(LifeExpectancyData[[#This Row],[Life expectancy]]), LifeExpectancyData[[#This Row],[Year]]=2013)</f>
        <v>0</v>
      </c>
    </row>
    <row r="227" spans="1:23" x14ac:dyDescent="0.25">
      <c r="A227" t="s">
        <v>288</v>
      </c>
      <c r="B227">
        <v>2014</v>
      </c>
      <c r="C227" t="s">
        <v>273</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cm="1">
        <f t="array" ref="W227">AND(ISNUMBER(LifeExpectancyData[[#This Row],[Adult Mortality]:[Schooling]]),ISNUMBER(LifeExpectancyData[[#This Row],[Life expectancy]]), LifeExpectancyData[[#This Row],[Year]]=2013)</f>
        <v>0</v>
      </c>
    </row>
    <row r="228" spans="1:23" x14ac:dyDescent="0.25">
      <c r="A228" t="s">
        <v>288</v>
      </c>
      <c r="B228">
        <v>2013</v>
      </c>
      <c r="C228" t="s">
        <v>273</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cm="1">
        <f t="array" ref="W228">AND(ISNUMBER(LifeExpectancyData[[#This Row],[Adult Mortality]:[Schooling]]),ISNUMBER(LifeExpectancyData[[#This Row],[Life expectancy]]), LifeExpectancyData[[#This Row],[Year]]=2013)</f>
        <v>1</v>
      </c>
    </row>
    <row r="229" spans="1:23" x14ac:dyDescent="0.25">
      <c r="A229" t="s">
        <v>288</v>
      </c>
      <c r="B229">
        <v>2012</v>
      </c>
      <c r="C229" t="s">
        <v>273</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cm="1">
        <f t="array" ref="W229">AND(ISNUMBER(LifeExpectancyData[[#This Row],[Adult Mortality]:[Schooling]]),ISNUMBER(LifeExpectancyData[[#This Row],[Life expectancy]]), LifeExpectancyData[[#This Row],[Year]]=2013)</f>
        <v>0</v>
      </c>
    </row>
    <row r="230" spans="1:23" x14ac:dyDescent="0.25">
      <c r="A230" t="s">
        <v>288</v>
      </c>
      <c r="B230">
        <v>2011</v>
      </c>
      <c r="C230" t="s">
        <v>273</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cm="1">
        <f t="array" ref="W230">AND(ISNUMBER(LifeExpectancyData[[#This Row],[Adult Mortality]:[Schooling]]),ISNUMBER(LifeExpectancyData[[#This Row],[Life expectancy]]), LifeExpectancyData[[#This Row],[Year]]=2013)</f>
        <v>0</v>
      </c>
    </row>
    <row r="231" spans="1:23" x14ac:dyDescent="0.25">
      <c r="A231" t="s">
        <v>288</v>
      </c>
      <c r="B231">
        <v>2010</v>
      </c>
      <c r="C231" t="s">
        <v>273</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cm="1">
        <f t="array" ref="W231">AND(ISNUMBER(LifeExpectancyData[[#This Row],[Adult Mortality]:[Schooling]]),ISNUMBER(LifeExpectancyData[[#This Row],[Life expectancy]]), LifeExpectancyData[[#This Row],[Year]]=2013)</f>
        <v>0</v>
      </c>
    </row>
    <row r="232" spans="1:23" x14ac:dyDescent="0.25">
      <c r="A232" t="s">
        <v>288</v>
      </c>
      <c r="B232">
        <v>2009</v>
      </c>
      <c r="C232" t="s">
        <v>273</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cm="1">
        <f t="array" ref="W232">AND(ISNUMBER(LifeExpectancyData[[#This Row],[Adult Mortality]:[Schooling]]),ISNUMBER(LifeExpectancyData[[#This Row],[Life expectancy]]), LifeExpectancyData[[#This Row],[Year]]=2013)</f>
        <v>0</v>
      </c>
    </row>
    <row r="233" spans="1:23" x14ac:dyDescent="0.25">
      <c r="A233" t="s">
        <v>288</v>
      </c>
      <c r="B233">
        <v>2008</v>
      </c>
      <c r="C233" t="s">
        <v>273</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cm="1">
        <f t="array" ref="W233">AND(ISNUMBER(LifeExpectancyData[[#This Row],[Adult Mortality]:[Schooling]]),ISNUMBER(LifeExpectancyData[[#This Row],[Life expectancy]]), LifeExpectancyData[[#This Row],[Year]]=2013)</f>
        <v>0</v>
      </c>
    </row>
    <row r="234" spans="1:23" x14ac:dyDescent="0.25">
      <c r="A234" t="s">
        <v>288</v>
      </c>
      <c r="B234">
        <v>2007</v>
      </c>
      <c r="C234" t="s">
        <v>273</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cm="1">
        <f t="array" ref="W234">AND(ISNUMBER(LifeExpectancyData[[#This Row],[Adult Mortality]:[Schooling]]),ISNUMBER(LifeExpectancyData[[#This Row],[Life expectancy]]), LifeExpectancyData[[#This Row],[Year]]=2013)</f>
        <v>0</v>
      </c>
    </row>
    <row r="235" spans="1:23" x14ac:dyDescent="0.25">
      <c r="A235" t="s">
        <v>288</v>
      </c>
      <c r="B235">
        <v>2006</v>
      </c>
      <c r="C235" t="s">
        <v>273</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cm="1">
        <f t="array" ref="W235">AND(ISNUMBER(LifeExpectancyData[[#This Row],[Adult Mortality]:[Schooling]]),ISNUMBER(LifeExpectancyData[[#This Row],[Life expectancy]]), LifeExpectancyData[[#This Row],[Year]]=2013)</f>
        <v>0</v>
      </c>
    </row>
    <row r="236" spans="1:23" x14ac:dyDescent="0.25">
      <c r="A236" t="s">
        <v>288</v>
      </c>
      <c r="B236">
        <v>2005</v>
      </c>
      <c r="C236" t="s">
        <v>273</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cm="1">
        <f t="array" ref="W236">AND(ISNUMBER(LifeExpectancyData[[#This Row],[Adult Mortality]:[Schooling]]),ISNUMBER(LifeExpectancyData[[#This Row],[Life expectancy]]), LifeExpectancyData[[#This Row],[Year]]=2013)</f>
        <v>0</v>
      </c>
    </row>
    <row r="237" spans="1:23" x14ac:dyDescent="0.25">
      <c r="A237" t="s">
        <v>288</v>
      </c>
      <c r="B237">
        <v>2004</v>
      </c>
      <c r="C237" t="s">
        <v>273</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cm="1">
        <f t="array" ref="W237">AND(ISNUMBER(LifeExpectancyData[[#This Row],[Adult Mortality]:[Schooling]]),ISNUMBER(LifeExpectancyData[[#This Row],[Life expectancy]]), LifeExpectancyData[[#This Row],[Year]]=2013)</f>
        <v>0</v>
      </c>
    </row>
    <row r="238" spans="1:23" x14ac:dyDescent="0.25">
      <c r="A238" t="s">
        <v>288</v>
      </c>
      <c r="B238">
        <v>2003</v>
      </c>
      <c r="C238" t="s">
        <v>273</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cm="1">
        <f t="array" ref="W238">AND(ISNUMBER(LifeExpectancyData[[#This Row],[Adult Mortality]:[Schooling]]),ISNUMBER(LifeExpectancyData[[#This Row],[Life expectancy]]), LifeExpectancyData[[#This Row],[Year]]=2013)</f>
        <v>0</v>
      </c>
    </row>
    <row r="239" spans="1:23" x14ac:dyDescent="0.25">
      <c r="A239" t="s">
        <v>288</v>
      </c>
      <c r="B239">
        <v>2002</v>
      </c>
      <c r="C239" t="s">
        <v>273</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cm="1">
        <f t="array" ref="W239">AND(ISNUMBER(LifeExpectancyData[[#This Row],[Adult Mortality]:[Schooling]]),ISNUMBER(LifeExpectancyData[[#This Row],[Life expectancy]]), LifeExpectancyData[[#This Row],[Year]]=2013)</f>
        <v>0</v>
      </c>
    </row>
    <row r="240" spans="1:23" x14ac:dyDescent="0.25">
      <c r="A240" t="s">
        <v>288</v>
      </c>
      <c r="B240">
        <v>2001</v>
      </c>
      <c r="C240" t="s">
        <v>273</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cm="1">
        <f t="array" ref="W240">AND(ISNUMBER(LifeExpectancyData[[#This Row],[Adult Mortality]:[Schooling]]),ISNUMBER(LifeExpectancyData[[#This Row],[Life expectancy]]), LifeExpectancyData[[#This Row],[Year]]=2013)</f>
        <v>0</v>
      </c>
    </row>
    <row r="241" spans="1:23" x14ac:dyDescent="0.25">
      <c r="A241" t="s">
        <v>288</v>
      </c>
      <c r="B241">
        <v>2000</v>
      </c>
      <c r="C241" t="s">
        <v>273</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cm="1">
        <f t="array" ref="W241">AND(ISNUMBER(LifeExpectancyData[[#This Row],[Adult Mortality]:[Schooling]]),ISNUMBER(LifeExpectancyData[[#This Row],[Life expectancy]]), LifeExpectancyData[[#This Row],[Year]]=2013)</f>
        <v>0</v>
      </c>
    </row>
    <row r="242" spans="1:23" hidden="1" x14ac:dyDescent="0.25">
      <c r="A242" t="s">
        <v>289</v>
      </c>
      <c r="B242">
        <v>2015</v>
      </c>
      <c r="C242" t="s">
        <v>281</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cm="1">
        <f t="array" ref="W242">AND(ISNUMBER(LifeExpectancyData[[#This Row],[Adult Mortality]:[Schooling]]),ISNUMBER(LifeExpectancyData[[#This Row],[Life expectancy]]), LifeExpectancyData[[#This Row],[Year]]=2013)</f>
        <v>0</v>
      </c>
    </row>
    <row r="243" spans="1:23" x14ac:dyDescent="0.25">
      <c r="A243" t="s">
        <v>289</v>
      </c>
      <c r="B243">
        <v>2014</v>
      </c>
      <c r="C243" t="s">
        <v>281</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cm="1">
        <f t="array" ref="W243">AND(ISNUMBER(LifeExpectancyData[[#This Row],[Adult Mortality]:[Schooling]]),ISNUMBER(LifeExpectancyData[[#This Row],[Life expectancy]]), LifeExpectancyData[[#This Row],[Year]]=2013)</f>
        <v>0</v>
      </c>
    </row>
    <row r="244" spans="1:23" x14ac:dyDescent="0.25">
      <c r="A244" t="s">
        <v>289</v>
      </c>
      <c r="B244">
        <v>2013</v>
      </c>
      <c r="C244" t="s">
        <v>281</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cm="1">
        <f t="array" ref="W244">AND(ISNUMBER(LifeExpectancyData[[#This Row],[Adult Mortality]:[Schooling]]),ISNUMBER(LifeExpectancyData[[#This Row],[Life expectancy]]), LifeExpectancyData[[#This Row],[Year]]=2013)</f>
        <v>1</v>
      </c>
    </row>
    <row r="245" spans="1:23" x14ac:dyDescent="0.25">
      <c r="A245" t="s">
        <v>289</v>
      </c>
      <c r="B245">
        <v>2012</v>
      </c>
      <c r="C245" t="s">
        <v>281</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cm="1">
        <f t="array" ref="W245">AND(ISNUMBER(LifeExpectancyData[[#This Row],[Adult Mortality]:[Schooling]]),ISNUMBER(LifeExpectancyData[[#This Row],[Life expectancy]]), LifeExpectancyData[[#This Row],[Year]]=2013)</f>
        <v>0</v>
      </c>
    </row>
    <row r="246" spans="1:23" x14ac:dyDescent="0.25">
      <c r="A246" t="s">
        <v>289</v>
      </c>
      <c r="B246">
        <v>2011</v>
      </c>
      <c r="C246" t="s">
        <v>281</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cm="1">
        <f t="array" ref="W246">AND(ISNUMBER(LifeExpectancyData[[#This Row],[Adult Mortality]:[Schooling]]),ISNUMBER(LifeExpectancyData[[#This Row],[Life expectancy]]), LifeExpectancyData[[#This Row],[Year]]=2013)</f>
        <v>0</v>
      </c>
    </row>
    <row r="247" spans="1:23" x14ac:dyDescent="0.25">
      <c r="A247" t="s">
        <v>289</v>
      </c>
      <c r="B247">
        <v>2010</v>
      </c>
      <c r="C247" t="s">
        <v>281</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cm="1">
        <f t="array" ref="W247">AND(ISNUMBER(LifeExpectancyData[[#This Row],[Adult Mortality]:[Schooling]]),ISNUMBER(LifeExpectancyData[[#This Row],[Life expectancy]]), LifeExpectancyData[[#This Row],[Year]]=2013)</f>
        <v>0</v>
      </c>
    </row>
    <row r="248" spans="1:23" x14ac:dyDescent="0.25">
      <c r="A248" t="s">
        <v>289</v>
      </c>
      <c r="B248">
        <v>2009</v>
      </c>
      <c r="C248" t="s">
        <v>281</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cm="1">
        <f t="array" ref="W248">AND(ISNUMBER(LifeExpectancyData[[#This Row],[Adult Mortality]:[Schooling]]),ISNUMBER(LifeExpectancyData[[#This Row],[Life expectancy]]), LifeExpectancyData[[#This Row],[Year]]=2013)</f>
        <v>0</v>
      </c>
    </row>
    <row r="249" spans="1:23" x14ac:dyDescent="0.25">
      <c r="A249" t="s">
        <v>289</v>
      </c>
      <c r="B249">
        <v>2008</v>
      </c>
      <c r="C249" t="s">
        <v>281</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cm="1">
        <f t="array" ref="W249">AND(ISNUMBER(LifeExpectancyData[[#This Row],[Adult Mortality]:[Schooling]]),ISNUMBER(LifeExpectancyData[[#This Row],[Life expectancy]]), LifeExpectancyData[[#This Row],[Year]]=2013)</f>
        <v>0</v>
      </c>
    </row>
    <row r="250" spans="1:23" x14ac:dyDescent="0.25">
      <c r="A250" t="s">
        <v>289</v>
      </c>
      <c r="B250">
        <v>2007</v>
      </c>
      <c r="C250" t="s">
        <v>281</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cm="1">
        <f t="array" ref="W250">AND(ISNUMBER(LifeExpectancyData[[#This Row],[Adult Mortality]:[Schooling]]),ISNUMBER(LifeExpectancyData[[#This Row],[Life expectancy]]), LifeExpectancyData[[#This Row],[Year]]=2013)</f>
        <v>0</v>
      </c>
    </row>
    <row r="251" spans="1:23" x14ac:dyDescent="0.25">
      <c r="A251" t="s">
        <v>289</v>
      </c>
      <c r="B251">
        <v>2006</v>
      </c>
      <c r="C251" t="s">
        <v>281</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cm="1">
        <f t="array" ref="W251">AND(ISNUMBER(LifeExpectancyData[[#This Row],[Adult Mortality]:[Schooling]]),ISNUMBER(LifeExpectancyData[[#This Row],[Life expectancy]]), LifeExpectancyData[[#This Row],[Year]]=2013)</f>
        <v>0</v>
      </c>
    </row>
    <row r="252" spans="1:23" x14ac:dyDescent="0.25">
      <c r="A252" t="s">
        <v>289</v>
      </c>
      <c r="B252">
        <v>2005</v>
      </c>
      <c r="C252" t="s">
        <v>281</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cm="1">
        <f t="array" ref="W252">AND(ISNUMBER(LifeExpectancyData[[#This Row],[Adult Mortality]:[Schooling]]),ISNUMBER(LifeExpectancyData[[#This Row],[Life expectancy]]), LifeExpectancyData[[#This Row],[Year]]=2013)</f>
        <v>0</v>
      </c>
    </row>
    <row r="253" spans="1:23" x14ac:dyDescent="0.25">
      <c r="A253" t="s">
        <v>289</v>
      </c>
      <c r="B253">
        <v>2004</v>
      </c>
      <c r="C253" t="s">
        <v>281</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cm="1">
        <f t="array" ref="W253">AND(ISNUMBER(LifeExpectancyData[[#This Row],[Adult Mortality]:[Schooling]]),ISNUMBER(LifeExpectancyData[[#This Row],[Life expectancy]]), LifeExpectancyData[[#This Row],[Year]]=2013)</f>
        <v>0</v>
      </c>
    </row>
    <row r="254" spans="1:23" x14ac:dyDescent="0.25">
      <c r="A254" t="s">
        <v>289</v>
      </c>
      <c r="B254">
        <v>2003</v>
      </c>
      <c r="C254" t="s">
        <v>281</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cm="1">
        <f t="array" ref="W254">AND(ISNUMBER(LifeExpectancyData[[#This Row],[Adult Mortality]:[Schooling]]),ISNUMBER(LifeExpectancyData[[#This Row],[Life expectancy]]), LifeExpectancyData[[#This Row],[Year]]=2013)</f>
        <v>0</v>
      </c>
    </row>
    <row r="255" spans="1:23" x14ac:dyDescent="0.25">
      <c r="A255" t="s">
        <v>289</v>
      </c>
      <c r="B255">
        <v>2002</v>
      </c>
      <c r="C255" t="s">
        <v>281</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cm="1">
        <f t="array" ref="W255">AND(ISNUMBER(LifeExpectancyData[[#This Row],[Adult Mortality]:[Schooling]]),ISNUMBER(LifeExpectancyData[[#This Row],[Life expectancy]]), LifeExpectancyData[[#This Row],[Year]]=2013)</f>
        <v>0</v>
      </c>
    </row>
    <row r="256" spans="1:23" x14ac:dyDescent="0.25">
      <c r="A256" t="s">
        <v>289</v>
      </c>
      <c r="B256">
        <v>2001</v>
      </c>
      <c r="C256" t="s">
        <v>281</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cm="1">
        <f t="array" ref="W256">AND(ISNUMBER(LifeExpectancyData[[#This Row],[Adult Mortality]:[Schooling]]),ISNUMBER(LifeExpectancyData[[#This Row],[Life expectancy]]), LifeExpectancyData[[#This Row],[Year]]=2013)</f>
        <v>0</v>
      </c>
    </row>
    <row r="257" spans="1:23" x14ac:dyDescent="0.25">
      <c r="A257" t="s">
        <v>289</v>
      </c>
      <c r="B257">
        <v>2000</v>
      </c>
      <c r="C257" t="s">
        <v>281</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cm="1">
        <f t="array" ref="W257">AND(ISNUMBER(LifeExpectancyData[[#This Row],[Adult Mortality]:[Schooling]]),ISNUMBER(LifeExpectancyData[[#This Row],[Life expectancy]]), LifeExpectancyData[[#This Row],[Year]]=2013)</f>
        <v>0</v>
      </c>
    </row>
    <row r="258" spans="1:23" hidden="1" x14ac:dyDescent="0.25">
      <c r="A258" t="s">
        <v>290</v>
      </c>
      <c r="B258">
        <v>2015</v>
      </c>
      <c r="C258" t="s">
        <v>273</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cm="1">
        <f t="array" ref="W258">AND(ISNUMBER(LifeExpectancyData[[#This Row],[Adult Mortality]:[Schooling]]),ISNUMBER(LifeExpectancyData[[#This Row],[Life expectancy]]), LifeExpectancyData[[#This Row],[Year]]=2013)</f>
        <v>0</v>
      </c>
    </row>
    <row r="259" spans="1:23" x14ac:dyDescent="0.25">
      <c r="A259" t="s">
        <v>290</v>
      </c>
      <c r="B259">
        <v>2014</v>
      </c>
      <c r="C259" t="s">
        <v>273</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cm="1">
        <f t="array" ref="W259">AND(ISNUMBER(LifeExpectancyData[[#This Row],[Adult Mortality]:[Schooling]]),ISNUMBER(LifeExpectancyData[[#This Row],[Life expectancy]]), LifeExpectancyData[[#This Row],[Year]]=2013)</f>
        <v>0</v>
      </c>
    </row>
    <row r="260" spans="1:23" x14ac:dyDescent="0.25">
      <c r="A260" t="s">
        <v>290</v>
      </c>
      <c r="B260">
        <v>2013</v>
      </c>
      <c r="C260" t="s">
        <v>273</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cm="1">
        <f t="array" ref="W260">AND(ISNUMBER(LifeExpectancyData[[#This Row],[Adult Mortality]:[Schooling]]),ISNUMBER(LifeExpectancyData[[#This Row],[Life expectancy]]), LifeExpectancyData[[#This Row],[Year]]=2013)</f>
        <v>1</v>
      </c>
    </row>
    <row r="261" spans="1:23" x14ac:dyDescent="0.25">
      <c r="A261" t="s">
        <v>290</v>
      </c>
      <c r="B261">
        <v>2012</v>
      </c>
      <c r="C261" t="s">
        <v>273</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cm="1">
        <f t="array" ref="W261">AND(ISNUMBER(LifeExpectancyData[[#This Row],[Adult Mortality]:[Schooling]]),ISNUMBER(LifeExpectancyData[[#This Row],[Life expectancy]]), LifeExpectancyData[[#This Row],[Year]]=2013)</f>
        <v>0</v>
      </c>
    </row>
    <row r="262" spans="1:23" x14ac:dyDescent="0.25">
      <c r="A262" t="s">
        <v>290</v>
      </c>
      <c r="B262">
        <v>2011</v>
      </c>
      <c r="C262" t="s">
        <v>273</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cm="1">
        <f t="array" ref="W262">AND(ISNUMBER(LifeExpectancyData[[#This Row],[Adult Mortality]:[Schooling]]),ISNUMBER(LifeExpectancyData[[#This Row],[Life expectancy]]), LifeExpectancyData[[#This Row],[Year]]=2013)</f>
        <v>0</v>
      </c>
    </row>
    <row r="263" spans="1:23" x14ac:dyDescent="0.25">
      <c r="A263" t="s">
        <v>290</v>
      </c>
      <c r="B263">
        <v>2010</v>
      </c>
      <c r="C263" t="s">
        <v>273</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cm="1">
        <f t="array" ref="W263">AND(ISNUMBER(LifeExpectancyData[[#This Row],[Adult Mortality]:[Schooling]]),ISNUMBER(LifeExpectancyData[[#This Row],[Life expectancy]]), LifeExpectancyData[[#This Row],[Year]]=2013)</f>
        <v>0</v>
      </c>
    </row>
    <row r="264" spans="1:23" x14ac:dyDescent="0.25">
      <c r="A264" t="s">
        <v>290</v>
      </c>
      <c r="B264">
        <v>2009</v>
      </c>
      <c r="C264" t="s">
        <v>273</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cm="1">
        <f t="array" ref="W264">AND(ISNUMBER(LifeExpectancyData[[#This Row],[Adult Mortality]:[Schooling]]),ISNUMBER(LifeExpectancyData[[#This Row],[Life expectancy]]), LifeExpectancyData[[#This Row],[Year]]=2013)</f>
        <v>0</v>
      </c>
    </row>
    <row r="265" spans="1:23" x14ac:dyDescent="0.25">
      <c r="A265" t="s">
        <v>290</v>
      </c>
      <c r="B265">
        <v>2008</v>
      </c>
      <c r="C265" t="s">
        <v>273</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cm="1">
        <f t="array" ref="W265">AND(ISNUMBER(LifeExpectancyData[[#This Row],[Adult Mortality]:[Schooling]]),ISNUMBER(LifeExpectancyData[[#This Row],[Life expectancy]]), LifeExpectancyData[[#This Row],[Year]]=2013)</f>
        <v>0</v>
      </c>
    </row>
    <row r="266" spans="1:23" x14ac:dyDescent="0.25">
      <c r="A266" t="s">
        <v>290</v>
      </c>
      <c r="B266">
        <v>2007</v>
      </c>
      <c r="C266" t="s">
        <v>273</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cm="1">
        <f t="array" ref="W266">AND(ISNUMBER(LifeExpectancyData[[#This Row],[Adult Mortality]:[Schooling]]),ISNUMBER(LifeExpectancyData[[#This Row],[Life expectancy]]), LifeExpectancyData[[#This Row],[Year]]=2013)</f>
        <v>0</v>
      </c>
    </row>
    <row r="267" spans="1:23" x14ac:dyDescent="0.25">
      <c r="A267" t="s">
        <v>290</v>
      </c>
      <c r="B267">
        <v>2006</v>
      </c>
      <c r="C267" t="s">
        <v>273</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cm="1">
        <f t="array" ref="W267">AND(ISNUMBER(LifeExpectancyData[[#This Row],[Adult Mortality]:[Schooling]]),ISNUMBER(LifeExpectancyData[[#This Row],[Life expectancy]]), LifeExpectancyData[[#This Row],[Year]]=2013)</f>
        <v>0</v>
      </c>
    </row>
    <row r="268" spans="1:23" x14ac:dyDescent="0.25">
      <c r="A268" t="s">
        <v>290</v>
      </c>
      <c r="B268">
        <v>2005</v>
      </c>
      <c r="C268" t="s">
        <v>273</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cm="1">
        <f t="array" ref="W268">AND(ISNUMBER(LifeExpectancyData[[#This Row],[Adult Mortality]:[Schooling]]),ISNUMBER(LifeExpectancyData[[#This Row],[Life expectancy]]), LifeExpectancyData[[#This Row],[Year]]=2013)</f>
        <v>0</v>
      </c>
    </row>
    <row r="269" spans="1:23" x14ac:dyDescent="0.25">
      <c r="A269" t="s">
        <v>290</v>
      </c>
      <c r="B269">
        <v>2004</v>
      </c>
      <c r="C269" t="s">
        <v>273</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cm="1">
        <f t="array" ref="W269">AND(ISNUMBER(LifeExpectancyData[[#This Row],[Adult Mortality]:[Schooling]]),ISNUMBER(LifeExpectancyData[[#This Row],[Life expectancy]]), LifeExpectancyData[[#This Row],[Year]]=2013)</f>
        <v>0</v>
      </c>
    </row>
    <row r="270" spans="1:23" x14ac:dyDescent="0.25">
      <c r="A270" t="s">
        <v>290</v>
      </c>
      <c r="B270">
        <v>2003</v>
      </c>
      <c r="C270" t="s">
        <v>273</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cm="1">
        <f t="array" ref="W270">AND(ISNUMBER(LifeExpectancyData[[#This Row],[Adult Mortality]:[Schooling]]),ISNUMBER(LifeExpectancyData[[#This Row],[Life expectancy]]), LifeExpectancyData[[#This Row],[Year]]=2013)</f>
        <v>0</v>
      </c>
    </row>
    <row r="271" spans="1:23" x14ac:dyDescent="0.25">
      <c r="A271" t="s">
        <v>290</v>
      </c>
      <c r="B271">
        <v>2002</v>
      </c>
      <c r="C271" t="s">
        <v>273</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cm="1">
        <f t="array" ref="W271">AND(ISNUMBER(LifeExpectancyData[[#This Row],[Adult Mortality]:[Schooling]]),ISNUMBER(LifeExpectancyData[[#This Row],[Life expectancy]]), LifeExpectancyData[[#This Row],[Year]]=2013)</f>
        <v>0</v>
      </c>
    </row>
    <row r="272" spans="1:23" x14ac:dyDescent="0.25">
      <c r="A272" t="s">
        <v>290</v>
      </c>
      <c r="B272">
        <v>2001</v>
      </c>
      <c r="C272" t="s">
        <v>273</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cm="1">
        <f t="array" ref="W272">AND(ISNUMBER(LifeExpectancyData[[#This Row],[Adult Mortality]:[Schooling]]),ISNUMBER(LifeExpectancyData[[#This Row],[Life expectancy]]), LifeExpectancyData[[#This Row],[Year]]=2013)</f>
        <v>0</v>
      </c>
    </row>
    <row r="273" spans="1:23" x14ac:dyDescent="0.25">
      <c r="A273" t="s">
        <v>290</v>
      </c>
      <c r="B273">
        <v>2000</v>
      </c>
      <c r="C273" t="s">
        <v>273</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cm="1">
        <f t="array" ref="W273">AND(ISNUMBER(LifeExpectancyData[[#This Row],[Adult Mortality]:[Schooling]]),ISNUMBER(LifeExpectancyData[[#This Row],[Life expectancy]]), LifeExpectancyData[[#This Row],[Year]]=2013)</f>
        <v>0</v>
      </c>
    </row>
    <row r="274" spans="1:23" hidden="1" x14ac:dyDescent="0.25">
      <c r="A274" t="s">
        <v>291</v>
      </c>
      <c r="B274">
        <v>2015</v>
      </c>
      <c r="C274" t="s">
        <v>273</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cm="1">
        <f t="array" ref="W274">AND(ISNUMBER(LifeExpectancyData[[#This Row],[Adult Mortality]:[Schooling]]),ISNUMBER(LifeExpectancyData[[#This Row],[Life expectancy]]), LifeExpectancyData[[#This Row],[Year]]=2013)</f>
        <v>0</v>
      </c>
    </row>
    <row r="275" spans="1:23" x14ac:dyDescent="0.25">
      <c r="A275" t="s">
        <v>291</v>
      </c>
      <c r="B275">
        <v>2014</v>
      </c>
      <c r="C275" t="s">
        <v>273</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cm="1">
        <f t="array" ref="W275">AND(ISNUMBER(LifeExpectancyData[[#This Row],[Adult Mortality]:[Schooling]]),ISNUMBER(LifeExpectancyData[[#This Row],[Life expectancy]]), LifeExpectancyData[[#This Row],[Year]]=2013)</f>
        <v>0</v>
      </c>
    </row>
    <row r="276" spans="1:23" x14ac:dyDescent="0.25">
      <c r="A276" t="s">
        <v>291</v>
      </c>
      <c r="B276">
        <v>2013</v>
      </c>
      <c r="C276" t="s">
        <v>273</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cm="1">
        <f t="array" ref="W276">AND(ISNUMBER(LifeExpectancyData[[#This Row],[Adult Mortality]:[Schooling]]),ISNUMBER(LifeExpectancyData[[#This Row],[Life expectancy]]), LifeExpectancyData[[#This Row],[Year]]=2013)</f>
        <v>1</v>
      </c>
    </row>
    <row r="277" spans="1:23" x14ac:dyDescent="0.25">
      <c r="A277" t="s">
        <v>291</v>
      </c>
      <c r="B277">
        <v>2012</v>
      </c>
      <c r="C277" t="s">
        <v>273</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cm="1">
        <f t="array" ref="W277">AND(ISNUMBER(LifeExpectancyData[[#This Row],[Adult Mortality]:[Schooling]]),ISNUMBER(LifeExpectancyData[[#This Row],[Life expectancy]]), LifeExpectancyData[[#This Row],[Year]]=2013)</f>
        <v>0</v>
      </c>
    </row>
    <row r="278" spans="1:23" x14ac:dyDescent="0.25">
      <c r="A278" t="s">
        <v>291</v>
      </c>
      <c r="B278">
        <v>2011</v>
      </c>
      <c r="C278" t="s">
        <v>273</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cm="1">
        <f t="array" ref="W278">AND(ISNUMBER(LifeExpectancyData[[#This Row],[Adult Mortality]:[Schooling]]),ISNUMBER(LifeExpectancyData[[#This Row],[Life expectancy]]), LifeExpectancyData[[#This Row],[Year]]=2013)</f>
        <v>0</v>
      </c>
    </row>
    <row r="279" spans="1:23" x14ac:dyDescent="0.25">
      <c r="A279" t="s">
        <v>291</v>
      </c>
      <c r="B279">
        <v>2010</v>
      </c>
      <c r="C279" t="s">
        <v>273</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cm="1">
        <f t="array" ref="W279">AND(ISNUMBER(LifeExpectancyData[[#This Row],[Adult Mortality]:[Schooling]]),ISNUMBER(LifeExpectancyData[[#This Row],[Life expectancy]]), LifeExpectancyData[[#This Row],[Year]]=2013)</f>
        <v>0</v>
      </c>
    </row>
    <row r="280" spans="1:23" x14ac:dyDescent="0.25">
      <c r="A280" t="s">
        <v>291</v>
      </c>
      <c r="B280">
        <v>2009</v>
      </c>
      <c r="C280" t="s">
        <v>273</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cm="1">
        <f t="array" ref="W280">AND(ISNUMBER(LifeExpectancyData[[#This Row],[Adult Mortality]:[Schooling]]),ISNUMBER(LifeExpectancyData[[#This Row],[Life expectancy]]), LifeExpectancyData[[#This Row],[Year]]=2013)</f>
        <v>0</v>
      </c>
    </row>
    <row r="281" spans="1:23" x14ac:dyDescent="0.25">
      <c r="A281" t="s">
        <v>291</v>
      </c>
      <c r="B281">
        <v>2008</v>
      </c>
      <c r="C281" t="s">
        <v>273</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cm="1">
        <f t="array" ref="W281">AND(ISNUMBER(LifeExpectancyData[[#This Row],[Adult Mortality]:[Schooling]]),ISNUMBER(LifeExpectancyData[[#This Row],[Life expectancy]]), LifeExpectancyData[[#This Row],[Year]]=2013)</f>
        <v>0</v>
      </c>
    </row>
    <row r="282" spans="1:23" x14ac:dyDescent="0.25">
      <c r="A282" t="s">
        <v>291</v>
      </c>
      <c r="B282">
        <v>2007</v>
      </c>
      <c r="C282" t="s">
        <v>273</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cm="1">
        <f t="array" ref="W282">AND(ISNUMBER(LifeExpectancyData[[#This Row],[Adult Mortality]:[Schooling]]),ISNUMBER(LifeExpectancyData[[#This Row],[Life expectancy]]), LifeExpectancyData[[#This Row],[Year]]=2013)</f>
        <v>0</v>
      </c>
    </row>
    <row r="283" spans="1:23" x14ac:dyDescent="0.25">
      <c r="A283" t="s">
        <v>291</v>
      </c>
      <c r="B283">
        <v>2006</v>
      </c>
      <c r="C283" t="s">
        <v>273</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cm="1">
        <f t="array" ref="W283">AND(ISNUMBER(LifeExpectancyData[[#This Row],[Adult Mortality]:[Schooling]]),ISNUMBER(LifeExpectancyData[[#This Row],[Life expectancy]]), LifeExpectancyData[[#This Row],[Year]]=2013)</f>
        <v>0</v>
      </c>
    </row>
    <row r="284" spans="1:23" x14ac:dyDescent="0.25">
      <c r="A284" t="s">
        <v>291</v>
      </c>
      <c r="B284">
        <v>2005</v>
      </c>
      <c r="C284" t="s">
        <v>273</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cm="1">
        <f t="array" ref="W284">AND(ISNUMBER(LifeExpectancyData[[#This Row],[Adult Mortality]:[Schooling]]),ISNUMBER(LifeExpectancyData[[#This Row],[Life expectancy]]), LifeExpectancyData[[#This Row],[Year]]=2013)</f>
        <v>0</v>
      </c>
    </row>
    <row r="285" spans="1:23" x14ac:dyDescent="0.25">
      <c r="A285" t="s">
        <v>291</v>
      </c>
      <c r="B285">
        <v>2004</v>
      </c>
      <c r="C285" t="s">
        <v>273</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cm="1">
        <f t="array" ref="W285">AND(ISNUMBER(LifeExpectancyData[[#This Row],[Adult Mortality]:[Schooling]]),ISNUMBER(LifeExpectancyData[[#This Row],[Life expectancy]]), LifeExpectancyData[[#This Row],[Year]]=2013)</f>
        <v>0</v>
      </c>
    </row>
    <row r="286" spans="1:23" x14ac:dyDescent="0.25">
      <c r="A286" t="s">
        <v>291</v>
      </c>
      <c r="B286">
        <v>2003</v>
      </c>
      <c r="C286" t="s">
        <v>273</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cm="1">
        <f t="array" ref="W286">AND(ISNUMBER(LifeExpectancyData[[#This Row],[Adult Mortality]:[Schooling]]),ISNUMBER(LifeExpectancyData[[#This Row],[Life expectancy]]), LifeExpectancyData[[#This Row],[Year]]=2013)</f>
        <v>0</v>
      </c>
    </row>
    <row r="287" spans="1:23" x14ac:dyDescent="0.25">
      <c r="A287" t="s">
        <v>291</v>
      </c>
      <c r="B287">
        <v>2002</v>
      </c>
      <c r="C287" t="s">
        <v>273</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cm="1">
        <f t="array" ref="W287">AND(ISNUMBER(LifeExpectancyData[[#This Row],[Adult Mortality]:[Schooling]]),ISNUMBER(LifeExpectancyData[[#This Row],[Life expectancy]]), LifeExpectancyData[[#This Row],[Year]]=2013)</f>
        <v>0</v>
      </c>
    </row>
    <row r="288" spans="1:23" hidden="1" x14ac:dyDescent="0.25">
      <c r="A288" t="s">
        <v>291</v>
      </c>
      <c r="B288">
        <v>2001</v>
      </c>
      <c r="C288" t="s">
        <v>273</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cm="1">
        <f t="array" ref="W288">AND(ISNUMBER(LifeExpectancyData[[#This Row],[Adult Mortality]:[Schooling]]),ISNUMBER(LifeExpectancyData[[#This Row],[Life expectancy]]), LifeExpectancyData[[#This Row],[Year]]=2013)</f>
        <v>0</v>
      </c>
    </row>
    <row r="289" spans="1:23" hidden="1" x14ac:dyDescent="0.25">
      <c r="A289" t="s">
        <v>291</v>
      </c>
      <c r="B289">
        <v>2000</v>
      </c>
      <c r="C289" t="s">
        <v>273</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cm="1">
        <f t="array" ref="W289">AND(ISNUMBER(LifeExpectancyData[[#This Row],[Adult Mortality]:[Schooling]]),ISNUMBER(LifeExpectancyData[[#This Row],[Life expectancy]]), LifeExpectancyData[[#This Row],[Year]]=2013)</f>
        <v>0</v>
      </c>
    </row>
    <row r="290" spans="1:23" hidden="1" x14ac:dyDescent="0.25">
      <c r="A290" t="s">
        <v>292</v>
      </c>
      <c r="B290">
        <v>2015</v>
      </c>
      <c r="C290" t="s">
        <v>273</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cm="1">
        <f t="array" ref="W290">AND(ISNUMBER(LifeExpectancyData[[#This Row],[Adult Mortality]:[Schooling]]),ISNUMBER(LifeExpectancyData[[#This Row],[Life expectancy]]), LifeExpectancyData[[#This Row],[Year]]=2013)</f>
        <v>0</v>
      </c>
    </row>
    <row r="291" spans="1:23" x14ac:dyDescent="0.25">
      <c r="A291" t="s">
        <v>292</v>
      </c>
      <c r="B291">
        <v>2014</v>
      </c>
      <c r="C291" t="s">
        <v>273</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cm="1">
        <f t="array" ref="W291">AND(ISNUMBER(LifeExpectancyData[[#This Row],[Adult Mortality]:[Schooling]]),ISNUMBER(LifeExpectancyData[[#This Row],[Life expectancy]]), LifeExpectancyData[[#This Row],[Year]]=2013)</f>
        <v>0</v>
      </c>
    </row>
    <row r="292" spans="1:23" x14ac:dyDescent="0.25">
      <c r="A292" t="s">
        <v>292</v>
      </c>
      <c r="B292">
        <v>2013</v>
      </c>
      <c r="C292" t="s">
        <v>273</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cm="1">
        <f t="array" ref="W292">AND(ISNUMBER(LifeExpectancyData[[#This Row],[Adult Mortality]:[Schooling]]),ISNUMBER(LifeExpectancyData[[#This Row],[Life expectancy]]), LifeExpectancyData[[#This Row],[Year]]=2013)</f>
        <v>1</v>
      </c>
    </row>
    <row r="293" spans="1:23" x14ac:dyDescent="0.25">
      <c r="A293" t="s">
        <v>292</v>
      </c>
      <c r="B293">
        <v>2012</v>
      </c>
      <c r="C293" t="s">
        <v>273</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cm="1">
        <f t="array" ref="W293">AND(ISNUMBER(LifeExpectancyData[[#This Row],[Adult Mortality]:[Schooling]]),ISNUMBER(LifeExpectancyData[[#This Row],[Life expectancy]]), LifeExpectancyData[[#This Row],[Year]]=2013)</f>
        <v>0</v>
      </c>
    </row>
    <row r="294" spans="1:23" x14ac:dyDescent="0.25">
      <c r="A294" t="s">
        <v>292</v>
      </c>
      <c r="B294">
        <v>2011</v>
      </c>
      <c r="C294" t="s">
        <v>273</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cm="1">
        <f t="array" ref="W294">AND(ISNUMBER(LifeExpectancyData[[#This Row],[Adult Mortality]:[Schooling]]),ISNUMBER(LifeExpectancyData[[#This Row],[Life expectancy]]), LifeExpectancyData[[#This Row],[Year]]=2013)</f>
        <v>0</v>
      </c>
    </row>
    <row r="295" spans="1:23" x14ac:dyDescent="0.25">
      <c r="A295" t="s">
        <v>292</v>
      </c>
      <c r="B295">
        <v>2010</v>
      </c>
      <c r="C295" t="s">
        <v>273</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cm="1">
        <f t="array" ref="W295">AND(ISNUMBER(LifeExpectancyData[[#This Row],[Adult Mortality]:[Schooling]]),ISNUMBER(LifeExpectancyData[[#This Row],[Life expectancy]]), LifeExpectancyData[[#This Row],[Year]]=2013)</f>
        <v>0</v>
      </c>
    </row>
    <row r="296" spans="1:23" x14ac:dyDescent="0.25">
      <c r="A296" t="s">
        <v>292</v>
      </c>
      <c r="B296">
        <v>2009</v>
      </c>
      <c r="C296" t="s">
        <v>273</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cm="1">
        <f t="array" ref="W296">AND(ISNUMBER(LifeExpectancyData[[#This Row],[Adult Mortality]:[Schooling]]),ISNUMBER(LifeExpectancyData[[#This Row],[Life expectancy]]), LifeExpectancyData[[#This Row],[Year]]=2013)</f>
        <v>0</v>
      </c>
    </row>
    <row r="297" spans="1:23" x14ac:dyDescent="0.25">
      <c r="A297" t="s">
        <v>292</v>
      </c>
      <c r="B297">
        <v>2008</v>
      </c>
      <c r="C297" t="s">
        <v>273</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cm="1">
        <f t="array" ref="W297">AND(ISNUMBER(LifeExpectancyData[[#This Row],[Adult Mortality]:[Schooling]]),ISNUMBER(LifeExpectancyData[[#This Row],[Life expectancy]]), LifeExpectancyData[[#This Row],[Year]]=2013)</f>
        <v>0</v>
      </c>
    </row>
    <row r="298" spans="1:23" x14ac:dyDescent="0.25">
      <c r="A298" t="s">
        <v>292</v>
      </c>
      <c r="B298">
        <v>2007</v>
      </c>
      <c r="C298" t="s">
        <v>273</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cm="1">
        <f t="array" ref="W298">AND(ISNUMBER(LifeExpectancyData[[#This Row],[Adult Mortality]:[Schooling]]),ISNUMBER(LifeExpectancyData[[#This Row],[Life expectancy]]), LifeExpectancyData[[#This Row],[Year]]=2013)</f>
        <v>0</v>
      </c>
    </row>
    <row r="299" spans="1:23" x14ac:dyDescent="0.25">
      <c r="A299" t="s">
        <v>292</v>
      </c>
      <c r="B299">
        <v>2006</v>
      </c>
      <c r="C299" t="s">
        <v>273</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cm="1">
        <f t="array" ref="W299">AND(ISNUMBER(LifeExpectancyData[[#This Row],[Adult Mortality]:[Schooling]]),ISNUMBER(LifeExpectancyData[[#This Row],[Life expectancy]]), LifeExpectancyData[[#This Row],[Year]]=2013)</f>
        <v>0</v>
      </c>
    </row>
    <row r="300" spans="1:23" x14ac:dyDescent="0.25">
      <c r="A300" t="s">
        <v>292</v>
      </c>
      <c r="B300">
        <v>2005</v>
      </c>
      <c r="C300" t="s">
        <v>273</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cm="1">
        <f t="array" ref="W300">AND(ISNUMBER(LifeExpectancyData[[#This Row],[Adult Mortality]:[Schooling]]),ISNUMBER(LifeExpectancyData[[#This Row],[Life expectancy]]), LifeExpectancyData[[#This Row],[Year]]=2013)</f>
        <v>0</v>
      </c>
    </row>
    <row r="301" spans="1:23" x14ac:dyDescent="0.25">
      <c r="A301" t="s">
        <v>292</v>
      </c>
      <c r="B301">
        <v>2004</v>
      </c>
      <c r="C301" t="s">
        <v>273</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cm="1">
        <f t="array" ref="W301">AND(ISNUMBER(LifeExpectancyData[[#This Row],[Adult Mortality]:[Schooling]]),ISNUMBER(LifeExpectancyData[[#This Row],[Life expectancy]]), LifeExpectancyData[[#This Row],[Year]]=2013)</f>
        <v>0</v>
      </c>
    </row>
    <row r="302" spans="1:23" x14ac:dyDescent="0.25">
      <c r="A302" t="s">
        <v>292</v>
      </c>
      <c r="B302">
        <v>2003</v>
      </c>
      <c r="C302" t="s">
        <v>273</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cm="1">
        <f t="array" ref="W302">AND(ISNUMBER(LifeExpectancyData[[#This Row],[Adult Mortality]:[Schooling]]),ISNUMBER(LifeExpectancyData[[#This Row],[Life expectancy]]), LifeExpectancyData[[#This Row],[Year]]=2013)</f>
        <v>0</v>
      </c>
    </row>
    <row r="303" spans="1:23" x14ac:dyDescent="0.25">
      <c r="A303" t="s">
        <v>292</v>
      </c>
      <c r="B303">
        <v>2002</v>
      </c>
      <c r="C303" t="s">
        <v>273</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cm="1">
        <f t="array" ref="W303">AND(ISNUMBER(LifeExpectancyData[[#This Row],[Adult Mortality]:[Schooling]]),ISNUMBER(LifeExpectancyData[[#This Row],[Life expectancy]]), LifeExpectancyData[[#This Row],[Year]]=2013)</f>
        <v>0</v>
      </c>
    </row>
    <row r="304" spans="1:23" x14ac:dyDescent="0.25">
      <c r="A304" t="s">
        <v>292</v>
      </c>
      <c r="B304">
        <v>2001</v>
      </c>
      <c r="C304" t="s">
        <v>273</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cm="1">
        <f t="array" ref="W304">AND(ISNUMBER(LifeExpectancyData[[#This Row],[Adult Mortality]:[Schooling]]),ISNUMBER(LifeExpectancyData[[#This Row],[Life expectancy]]), LifeExpectancyData[[#This Row],[Year]]=2013)</f>
        <v>0</v>
      </c>
    </row>
    <row r="305" spans="1:23" x14ac:dyDescent="0.25">
      <c r="A305" t="s">
        <v>292</v>
      </c>
      <c r="B305">
        <v>2000</v>
      </c>
      <c r="C305" t="s">
        <v>273</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cm="1">
        <f t="array" ref="W305">AND(ISNUMBER(LifeExpectancyData[[#This Row],[Adult Mortality]:[Schooling]]),ISNUMBER(LifeExpectancyData[[#This Row],[Life expectancy]]), LifeExpectancyData[[#This Row],[Year]]=2013)</f>
        <v>0</v>
      </c>
    </row>
    <row r="306" spans="1:23" hidden="1" x14ac:dyDescent="0.25">
      <c r="A306" t="s">
        <v>293</v>
      </c>
      <c r="B306">
        <v>2015</v>
      </c>
      <c r="C306" t="s">
        <v>273</v>
      </c>
      <c r="D306">
        <v>77</v>
      </c>
      <c r="E306">
        <v>186</v>
      </c>
      <c r="F306">
        <v>8</v>
      </c>
      <c r="H306">
        <v>0</v>
      </c>
      <c r="I306">
        <v>99</v>
      </c>
      <c r="J306">
        <v>0</v>
      </c>
      <c r="K306">
        <v>52.6</v>
      </c>
      <c r="L306">
        <v>10</v>
      </c>
      <c r="M306">
        <v>99</v>
      </c>
      <c r="O306">
        <v>99</v>
      </c>
      <c r="P306">
        <v>0.1</v>
      </c>
      <c r="S306">
        <v>1.2</v>
      </c>
      <c r="T306">
        <v>1.1000000000000001</v>
      </c>
      <c r="U306">
        <v>0.67100000000000004</v>
      </c>
      <c r="V306">
        <v>13.8</v>
      </c>
      <c r="W306" t="b" cm="1">
        <f t="array" ref="W306">AND(ISNUMBER(LifeExpectancyData[[#This Row],[Adult Mortality]:[Schooling]]),ISNUMBER(LifeExpectancyData[[#This Row],[Life expectancy]]), LifeExpectancyData[[#This Row],[Year]]=2013)</f>
        <v>0</v>
      </c>
    </row>
    <row r="307" spans="1:23" hidden="1" x14ac:dyDescent="0.25">
      <c r="A307" t="s">
        <v>293</v>
      </c>
      <c r="B307">
        <v>2014</v>
      </c>
      <c r="C307" t="s">
        <v>273</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cm="1">
        <f t="array" ref="W307">AND(ISNUMBER(LifeExpectancyData[[#This Row],[Adult Mortality]:[Schooling]]),ISNUMBER(LifeExpectancyData[[#This Row],[Life expectancy]]), LifeExpectancyData[[#This Row],[Year]]=2013)</f>
        <v>0</v>
      </c>
    </row>
    <row r="308" spans="1:23" hidden="1" x14ac:dyDescent="0.25">
      <c r="A308" t="s">
        <v>293</v>
      </c>
      <c r="B308">
        <v>2013</v>
      </c>
      <c r="C308" t="s">
        <v>273</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cm="1">
        <f t="array" ref="W308">AND(ISNUMBER(LifeExpectancyData[[#This Row],[Adult Mortality]:[Schooling]]),ISNUMBER(LifeExpectancyData[[#This Row],[Life expectancy]]), LifeExpectancyData[[#This Row],[Year]]=2013)</f>
        <v>0</v>
      </c>
    </row>
    <row r="309" spans="1:23" hidden="1" x14ac:dyDescent="0.25">
      <c r="A309" t="s">
        <v>293</v>
      </c>
      <c r="B309">
        <v>2012</v>
      </c>
      <c r="C309" t="s">
        <v>273</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cm="1">
        <f t="array" ref="W309">AND(ISNUMBER(LifeExpectancyData[[#This Row],[Adult Mortality]:[Schooling]]),ISNUMBER(LifeExpectancyData[[#This Row],[Life expectancy]]), LifeExpectancyData[[#This Row],[Year]]=2013)</f>
        <v>0</v>
      </c>
    </row>
    <row r="310" spans="1:23" hidden="1" x14ac:dyDescent="0.25">
      <c r="A310" t="s">
        <v>293</v>
      </c>
      <c r="B310">
        <v>2011</v>
      </c>
      <c r="C310" t="s">
        <v>273</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cm="1">
        <f t="array" ref="W310">AND(ISNUMBER(LifeExpectancyData[[#This Row],[Adult Mortality]:[Schooling]]),ISNUMBER(LifeExpectancyData[[#This Row],[Life expectancy]]), LifeExpectancyData[[#This Row],[Year]]=2013)</f>
        <v>0</v>
      </c>
    </row>
    <row r="311" spans="1:23" hidden="1" x14ac:dyDescent="0.25">
      <c r="A311" t="s">
        <v>293</v>
      </c>
      <c r="B311">
        <v>2010</v>
      </c>
      <c r="C311" t="s">
        <v>273</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cm="1">
        <f t="array" ref="W311">AND(ISNUMBER(LifeExpectancyData[[#This Row],[Adult Mortality]:[Schooling]]),ISNUMBER(LifeExpectancyData[[#This Row],[Life expectancy]]), LifeExpectancyData[[#This Row],[Year]]=2013)</f>
        <v>0</v>
      </c>
    </row>
    <row r="312" spans="1:23" hidden="1" x14ac:dyDescent="0.25">
      <c r="A312" t="s">
        <v>293</v>
      </c>
      <c r="B312">
        <v>2009</v>
      </c>
      <c r="C312" t="s">
        <v>273</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cm="1">
        <f t="array" ref="W312">AND(ISNUMBER(LifeExpectancyData[[#This Row],[Adult Mortality]:[Schooling]]),ISNUMBER(LifeExpectancyData[[#This Row],[Life expectancy]]), LifeExpectancyData[[#This Row],[Year]]=2013)</f>
        <v>0</v>
      </c>
    </row>
    <row r="313" spans="1:23" hidden="1" x14ac:dyDescent="0.25">
      <c r="A313" t="s">
        <v>293</v>
      </c>
      <c r="B313">
        <v>2008</v>
      </c>
      <c r="C313" t="s">
        <v>273</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cm="1">
        <f t="array" ref="W313">AND(ISNUMBER(LifeExpectancyData[[#This Row],[Adult Mortality]:[Schooling]]),ISNUMBER(LifeExpectancyData[[#This Row],[Life expectancy]]), LifeExpectancyData[[#This Row],[Year]]=2013)</f>
        <v>0</v>
      </c>
    </row>
    <row r="314" spans="1:23" hidden="1" x14ac:dyDescent="0.25">
      <c r="A314" t="s">
        <v>293</v>
      </c>
      <c r="B314">
        <v>2007</v>
      </c>
      <c r="C314" t="s">
        <v>273</v>
      </c>
      <c r="D314">
        <v>66.8</v>
      </c>
      <c r="E314">
        <v>216</v>
      </c>
      <c r="F314">
        <v>11</v>
      </c>
      <c r="G314">
        <v>3.47</v>
      </c>
      <c r="H314">
        <v>0</v>
      </c>
      <c r="I314">
        <v>84</v>
      </c>
      <c r="J314">
        <v>0</v>
      </c>
      <c r="K314">
        <v>47.3</v>
      </c>
      <c r="L314">
        <v>14</v>
      </c>
      <c r="M314">
        <v>85</v>
      </c>
      <c r="N314">
        <v>4.96</v>
      </c>
      <c r="O314">
        <v>84</v>
      </c>
      <c r="P314">
        <v>0.2</v>
      </c>
      <c r="S314">
        <v>1.3</v>
      </c>
      <c r="T314">
        <v>1.2</v>
      </c>
      <c r="U314">
        <v>0.626</v>
      </c>
      <c r="V314">
        <v>14.1</v>
      </c>
      <c r="W314" t="b" cm="1">
        <f t="array" ref="W314">AND(ISNUMBER(LifeExpectancyData[[#This Row],[Adult Mortality]:[Schooling]]),ISNUMBER(LifeExpectancyData[[#This Row],[Life expectancy]]), LifeExpectancyData[[#This Row],[Year]]=2013)</f>
        <v>0</v>
      </c>
    </row>
    <row r="315" spans="1:23" hidden="1" x14ac:dyDescent="0.25">
      <c r="A315" t="s">
        <v>293</v>
      </c>
      <c r="B315">
        <v>2006</v>
      </c>
      <c r="C315" t="s">
        <v>273</v>
      </c>
      <c r="D315">
        <v>66.2</v>
      </c>
      <c r="E315">
        <v>219</v>
      </c>
      <c r="F315">
        <v>11</v>
      </c>
      <c r="G315">
        <v>3.23</v>
      </c>
      <c r="H315">
        <v>0</v>
      </c>
      <c r="I315">
        <v>83</v>
      </c>
      <c r="J315">
        <v>0</v>
      </c>
      <c r="K315">
        <v>46.7</v>
      </c>
      <c r="L315">
        <v>15</v>
      </c>
      <c r="M315">
        <v>82</v>
      </c>
      <c r="N315">
        <v>5.19</v>
      </c>
      <c r="O315">
        <v>83</v>
      </c>
      <c r="P315">
        <v>0.2</v>
      </c>
      <c r="S315">
        <v>1.3</v>
      </c>
      <c r="T315">
        <v>1.2</v>
      </c>
      <c r="U315">
        <v>0.625</v>
      </c>
      <c r="V315">
        <v>14.3</v>
      </c>
      <c r="W315" t="b" cm="1">
        <f t="array" ref="W315">AND(ISNUMBER(LifeExpectancyData[[#This Row],[Adult Mortality]:[Schooling]]),ISNUMBER(LifeExpectancyData[[#This Row],[Life expectancy]]), LifeExpectancyData[[#This Row],[Year]]=2013)</f>
        <v>0</v>
      </c>
    </row>
    <row r="316" spans="1:23" hidden="1" x14ac:dyDescent="0.25">
      <c r="A316" t="s">
        <v>293</v>
      </c>
      <c r="B316">
        <v>2005</v>
      </c>
      <c r="C316" t="s">
        <v>273</v>
      </c>
      <c r="D316">
        <v>65.7</v>
      </c>
      <c r="E316">
        <v>222</v>
      </c>
      <c r="F316">
        <v>12</v>
      </c>
      <c r="G316">
        <v>2.86</v>
      </c>
      <c r="H316">
        <v>0</v>
      </c>
      <c r="I316">
        <v>85</v>
      </c>
      <c r="J316">
        <v>0</v>
      </c>
      <c r="K316">
        <v>46</v>
      </c>
      <c r="L316">
        <v>16</v>
      </c>
      <c r="M316">
        <v>84</v>
      </c>
      <c r="N316">
        <v>5.67</v>
      </c>
      <c r="O316">
        <v>85</v>
      </c>
      <c r="P316">
        <v>0.2</v>
      </c>
      <c r="S316">
        <v>1.3</v>
      </c>
      <c r="T316">
        <v>1.2</v>
      </c>
      <c r="U316">
        <v>0.622</v>
      </c>
      <c r="V316">
        <v>14.4</v>
      </c>
      <c r="W316" t="b" cm="1">
        <f t="array" ref="W316">AND(ISNUMBER(LifeExpectancyData[[#This Row],[Adult Mortality]:[Schooling]]),ISNUMBER(LifeExpectancyData[[#This Row],[Life expectancy]]), LifeExpectancyData[[#This Row],[Year]]=2013)</f>
        <v>0</v>
      </c>
    </row>
    <row r="317" spans="1:23" hidden="1" x14ac:dyDescent="0.25">
      <c r="A317" t="s">
        <v>293</v>
      </c>
      <c r="B317">
        <v>2004</v>
      </c>
      <c r="C317" t="s">
        <v>273</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cm="1">
        <f t="array" ref="W317">AND(ISNUMBER(LifeExpectancyData[[#This Row],[Adult Mortality]:[Schooling]]),ISNUMBER(LifeExpectancyData[[#This Row],[Life expectancy]]), LifeExpectancyData[[#This Row],[Year]]=2013)</f>
        <v>0</v>
      </c>
    </row>
    <row r="318" spans="1:23" hidden="1" x14ac:dyDescent="0.25">
      <c r="A318" t="s">
        <v>293</v>
      </c>
      <c r="B318">
        <v>2003</v>
      </c>
      <c r="C318" t="s">
        <v>273</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cm="1">
        <f t="array" ref="W318">AND(ISNUMBER(LifeExpectancyData[[#This Row],[Adult Mortality]:[Schooling]]),ISNUMBER(LifeExpectancyData[[#This Row],[Life expectancy]]), LifeExpectancyData[[#This Row],[Year]]=2013)</f>
        <v>0</v>
      </c>
    </row>
    <row r="319" spans="1:23" hidden="1" x14ac:dyDescent="0.25">
      <c r="A319" t="s">
        <v>293</v>
      </c>
      <c r="B319">
        <v>2002</v>
      </c>
      <c r="C319" t="s">
        <v>273</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cm="1">
        <f t="array" ref="W319">AND(ISNUMBER(LifeExpectancyData[[#This Row],[Adult Mortality]:[Schooling]]),ISNUMBER(LifeExpectancyData[[#This Row],[Life expectancy]]), LifeExpectancyData[[#This Row],[Year]]=2013)</f>
        <v>0</v>
      </c>
    </row>
    <row r="320" spans="1:23" hidden="1" x14ac:dyDescent="0.25">
      <c r="A320" t="s">
        <v>293</v>
      </c>
      <c r="B320">
        <v>2001</v>
      </c>
      <c r="C320" t="s">
        <v>273</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cm="1">
        <f t="array" ref="W320">AND(ISNUMBER(LifeExpectancyData[[#This Row],[Adult Mortality]:[Schooling]]),ISNUMBER(LifeExpectancyData[[#This Row],[Life expectancy]]), LifeExpectancyData[[#This Row],[Year]]=2013)</f>
        <v>0</v>
      </c>
    </row>
    <row r="321" spans="1:23" hidden="1" x14ac:dyDescent="0.25">
      <c r="A321" t="s">
        <v>293</v>
      </c>
      <c r="B321">
        <v>2000</v>
      </c>
      <c r="C321" t="s">
        <v>273</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cm="1">
        <f t="array" ref="W321">AND(ISNUMBER(LifeExpectancyData[[#This Row],[Adult Mortality]:[Schooling]]),ISNUMBER(LifeExpectancyData[[#This Row],[Life expectancy]]), LifeExpectancyData[[#This Row],[Year]]=2013)</f>
        <v>0</v>
      </c>
    </row>
    <row r="322" spans="1:23" hidden="1" x14ac:dyDescent="0.25">
      <c r="A322" t="s">
        <v>294</v>
      </c>
      <c r="B322">
        <v>2015</v>
      </c>
      <c r="C322" t="s">
        <v>273</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cm="1">
        <f t="array" ref="W322">AND(ISNUMBER(LifeExpectancyData[[#This Row],[Adult Mortality]:[Schooling]]),ISNUMBER(LifeExpectancyData[[#This Row],[Life expectancy]]), LifeExpectancyData[[#This Row],[Year]]=2013)</f>
        <v>0</v>
      </c>
    </row>
    <row r="323" spans="1:23" x14ac:dyDescent="0.25">
      <c r="A323" t="s">
        <v>294</v>
      </c>
      <c r="B323">
        <v>2014</v>
      </c>
      <c r="C323" t="s">
        <v>273</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cm="1">
        <f t="array" ref="W323">AND(ISNUMBER(LifeExpectancyData[[#This Row],[Adult Mortality]:[Schooling]]),ISNUMBER(LifeExpectancyData[[#This Row],[Life expectancy]]), LifeExpectancyData[[#This Row],[Year]]=2013)</f>
        <v>0</v>
      </c>
    </row>
    <row r="324" spans="1:23" x14ac:dyDescent="0.25">
      <c r="A324" t="s">
        <v>294</v>
      </c>
      <c r="B324">
        <v>2013</v>
      </c>
      <c r="C324" t="s">
        <v>273</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cm="1">
        <f t="array" ref="W324">AND(ISNUMBER(LifeExpectancyData[[#This Row],[Adult Mortality]:[Schooling]]),ISNUMBER(LifeExpectancyData[[#This Row],[Life expectancy]]), LifeExpectancyData[[#This Row],[Year]]=2013)</f>
        <v>1</v>
      </c>
    </row>
    <row r="325" spans="1:23" x14ac:dyDescent="0.25">
      <c r="A325" t="s">
        <v>294</v>
      </c>
      <c r="B325">
        <v>2012</v>
      </c>
      <c r="C325" t="s">
        <v>273</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cm="1">
        <f t="array" ref="W325">AND(ISNUMBER(LifeExpectancyData[[#This Row],[Adult Mortality]:[Schooling]]),ISNUMBER(LifeExpectancyData[[#This Row],[Life expectancy]]), LifeExpectancyData[[#This Row],[Year]]=2013)</f>
        <v>0</v>
      </c>
    </row>
    <row r="326" spans="1:23" x14ac:dyDescent="0.25">
      <c r="A326" t="s">
        <v>294</v>
      </c>
      <c r="B326">
        <v>2011</v>
      </c>
      <c r="C326" t="s">
        <v>273</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cm="1">
        <f t="array" ref="W326">AND(ISNUMBER(LifeExpectancyData[[#This Row],[Adult Mortality]:[Schooling]]),ISNUMBER(LifeExpectancyData[[#This Row],[Life expectancy]]), LifeExpectancyData[[#This Row],[Year]]=2013)</f>
        <v>0</v>
      </c>
    </row>
    <row r="327" spans="1:23" x14ac:dyDescent="0.25">
      <c r="A327" t="s">
        <v>294</v>
      </c>
      <c r="B327">
        <v>2010</v>
      </c>
      <c r="C327" t="s">
        <v>273</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cm="1">
        <f t="array" ref="W327">AND(ISNUMBER(LifeExpectancyData[[#This Row],[Adult Mortality]:[Schooling]]),ISNUMBER(LifeExpectancyData[[#This Row],[Life expectancy]]), LifeExpectancyData[[#This Row],[Year]]=2013)</f>
        <v>0</v>
      </c>
    </row>
    <row r="328" spans="1:23" x14ac:dyDescent="0.25">
      <c r="A328" t="s">
        <v>294</v>
      </c>
      <c r="B328">
        <v>2009</v>
      </c>
      <c r="C328" t="s">
        <v>273</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cm="1">
        <f t="array" ref="W328">AND(ISNUMBER(LifeExpectancyData[[#This Row],[Adult Mortality]:[Schooling]]),ISNUMBER(LifeExpectancyData[[#This Row],[Life expectancy]]), LifeExpectancyData[[#This Row],[Year]]=2013)</f>
        <v>0</v>
      </c>
    </row>
    <row r="329" spans="1:23" x14ac:dyDescent="0.25">
      <c r="A329" t="s">
        <v>294</v>
      </c>
      <c r="B329">
        <v>2008</v>
      </c>
      <c r="C329" t="s">
        <v>273</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cm="1">
        <f t="array" ref="W329">AND(ISNUMBER(LifeExpectancyData[[#This Row],[Adult Mortality]:[Schooling]]),ISNUMBER(LifeExpectancyData[[#This Row],[Life expectancy]]), LifeExpectancyData[[#This Row],[Year]]=2013)</f>
        <v>0</v>
      </c>
    </row>
    <row r="330" spans="1:23" x14ac:dyDescent="0.25">
      <c r="A330" t="s">
        <v>294</v>
      </c>
      <c r="B330">
        <v>2007</v>
      </c>
      <c r="C330" t="s">
        <v>273</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cm="1">
        <f t="array" ref="W330">AND(ISNUMBER(LifeExpectancyData[[#This Row],[Adult Mortality]:[Schooling]]),ISNUMBER(LifeExpectancyData[[#This Row],[Life expectancy]]), LifeExpectancyData[[#This Row],[Year]]=2013)</f>
        <v>0</v>
      </c>
    </row>
    <row r="331" spans="1:23" x14ac:dyDescent="0.25">
      <c r="A331" t="s">
        <v>294</v>
      </c>
      <c r="B331">
        <v>2006</v>
      </c>
      <c r="C331" t="s">
        <v>273</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cm="1">
        <f t="array" ref="W331">AND(ISNUMBER(LifeExpectancyData[[#This Row],[Adult Mortality]:[Schooling]]),ISNUMBER(LifeExpectancyData[[#This Row],[Life expectancy]]), LifeExpectancyData[[#This Row],[Year]]=2013)</f>
        <v>0</v>
      </c>
    </row>
    <row r="332" spans="1:23" x14ac:dyDescent="0.25">
      <c r="A332" t="s">
        <v>294</v>
      </c>
      <c r="B332">
        <v>2005</v>
      </c>
      <c r="C332" t="s">
        <v>273</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cm="1">
        <f t="array" ref="W332">AND(ISNUMBER(LifeExpectancyData[[#This Row],[Adult Mortality]:[Schooling]]),ISNUMBER(LifeExpectancyData[[#This Row],[Life expectancy]]), LifeExpectancyData[[#This Row],[Year]]=2013)</f>
        <v>0</v>
      </c>
    </row>
    <row r="333" spans="1:23" x14ac:dyDescent="0.25">
      <c r="A333" t="s">
        <v>294</v>
      </c>
      <c r="B333">
        <v>2004</v>
      </c>
      <c r="C333" t="s">
        <v>273</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cm="1">
        <f t="array" ref="W333">AND(ISNUMBER(LifeExpectancyData[[#This Row],[Adult Mortality]:[Schooling]]),ISNUMBER(LifeExpectancyData[[#This Row],[Life expectancy]]), LifeExpectancyData[[#This Row],[Year]]=2013)</f>
        <v>0</v>
      </c>
    </row>
    <row r="334" spans="1:23" hidden="1" x14ac:dyDescent="0.25">
      <c r="A334" t="s">
        <v>294</v>
      </c>
      <c r="B334">
        <v>2003</v>
      </c>
      <c r="C334" t="s">
        <v>273</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cm="1">
        <f t="array" ref="W334">AND(ISNUMBER(LifeExpectancyData[[#This Row],[Adult Mortality]:[Schooling]]),ISNUMBER(LifeExpectancyData[[#This Row],[Life expectancy]]), LifeExpectancyData[[#This Row],[Year]]=2013)</f>
        <v>0</v>
      </c>
    </row>
    <row r="335" spans="1:23" hidden="1" x14ac:dyDescent="0.25">
      <c r="A335" t="s">
        <v>294</v>
      </c>
      <c r="B335">
        <v>2002</v>
      </c>
      <c r="C335" t="s">
        <v>273</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cm="1">
        <f t="array" ref="W335">AND(ISNUMBER(LifeExpectancyData[[#This Row],[Adult Mortality]:[Schooling]]),ISNUMBER(LifeExpectancyData[[#This Row],[Life expectancy]]), LifeExpectancyData[[#This Row],[Year]]=2013)</f>
        <v>0</v>
      </c>
    </row>
    <row r="336" spans="1:23" hidden="1" x14ac:dyDescent="0.25">
      <c r="A336" t="s">
        <v>294</v>
      </c>
      <c r="B336">
        <v>2001</v>
      </c>
      <c r="C336" t="s">
        <v>273</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cm="1">
        <f t="array" ref="W336">AND(ISNUMBER(LifeExpectancyData[[#This Row],[Adult Mortality]:[Schooling]]),ISNUMBER(LifeExpectancyData[[#This Row],[Life expectancy]]), LifeExpectancyData[[#This Row],[Year]]=2013)</f>
        <v>0</v>
      </c>
    </row>
    <row r="337" spans="1:23" hidden="1" x14ac:dyDescent="0.25">
      <c r="A337" t="s">
        <v>294</v>
      </c>
      <c r="B337">
        <v>2000</v>
      </c>
      <c r="C337" t="s">
        <v>273</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cm="1">
        <f t="array" ref="W337">AND(ISNUMBER(LifeExpectancyData[[#This Row],[Adult Mortality]:[Schooling]]),ISNUMBER(LifeExpectancyData[[#This Row],[Life expectancy]]), LifeExpectancyData[[#This Row],[Year]]=2013)</f>
        <v>0</v>
      </c>
    </row>
    <row r="338" spans="1:23" hidden="1" x14ac:dyDescent="0.25">
      <c r="A338" t="s">
        <v>295</v>
      </c>
      <c r="B338">
        <v>2015</v>
      </c>
      <c r="C338" t="s">
        <v>273</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cm="1">
        <f t="array" ref="W338">AND(ISNUMBER(LifeExpectancyData[[#This Row],[Adult Mortality]:[Schooling]]),ISNUMBER(LifeExpectancyData[[#This Row],[Life expectancy]]), LifeExpectancyData[[#This Row],[Year]]=2013)</f>
        <v>0</v>
      </c>
    </row>
    <row r="339" spans="1:23" x14ac:dyDescent="0.25">
      <c r="A339" t="s">
        <v>295</v>
      </c>
      <c r="B339">
        <v>2014</v>
      </c>
      <c r="C339" t="s">
        <v>273</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cm="1">
        <f t="array" ref="W339">AND(ISNUMBER(LifeExpectancyData[[#This Row],[Adult Mortality]:[Schooling]]),ISNUMBER(LifeExpectancyData[[#This Row],[Life expectancy]]), LifeExpectancyData[[#This Row],[Year]]=2013)</f>
        <v>0</v>
      </c>
    </row>
    <row r="340" spans="1:23" x14ac:dyDescent="0.25">
      <c r="A340" t="s">
        <v>295</v>
      </c>
      <c r="B340">
        <v>2013</v>
      </c>
      <c r="C340" t="s">
        <v>273</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cm="1">
        <f t="array" ref="W340">AND(ISNUMBER(LifeExpectancyData[[#This Row],[Adult Mortality]:[Schooling]]),ISNUMBER(LifeExpectancyData[[#This Row],[Life expectancy]]), LifeExpectancyData[[#This Row],[Year]]=2013)</f>
        <v>1</v>
      </c>
    </row>
    <row r="341" spans="1:23" x14ac:dyDescent="0.25">
      <c r="A341" t="s">
        <v>295</v>
      </c>
      <c r="B341">
        <v>2012</v>
      </c>
      <c r="C341" t="s">
        <v>273</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cm="1">
        <f t="array" ref="W341">AND(ISNUMBER(LifeExpectancyData[[#This Row],[Adult Mortality]:[Schooling]]),ISNUMBER(LifeExpectancyData[[#This Row],[Life expectancy]]), LifeExpectancyData[[#This Row],[Year]]=2013)</f>
        <v>0</v>
      </c>
    </row>
    <row r="342" spans="1:23" x14ac:dyDescent="0.25">
      <c r="A342" t="s">
        <v>295</v>
      </c>
      <c r="B342">
        <v>2011</v>
      </c>
      <c r="C342" t="s">
        <v>273</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cm="1">
        <f t="array" ref="W342">AND(ISNUMBER(LifeExpectancyData[[#This Row],[Adult Mortality]:[Schooling]]),ISNUMBER(LifeExpectancyData[[#This Row],[Life expectancy]]), LifeExpectancyData[[#This Row],[Year]]=2013)</f>
        <v>0</v>
      </c>
    </row>
    <row r="343" spans="1:23" x14ac:dyDescent="0.25">
      <c r="A343" t="s">
        <v>295</v>
      </c>
      <c r="B343">
        <v>2010</v>
      </c>
      <c r="C343" t="s">
        <v>273</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cm="1">
        <f t="array" ref="W343">AND(ISNUMBER(LifeExpectancyData[[#This Row],[Adult Mortality]:[Schooling]]),ISNUMBER(LifeExpectancyData[[#This Row],[Life expectancy]]), LifeExpectancyData[[#This Row],[Year]]=2013)</f>
        <v>0</v>
      </c>
    </row>
    <row r="344" spans="1:23" x14ac:dyDescent="0.25">
      <c r="A344" t="s">
        <v>295</v>
      </c>
      <c r="B344">
        <v>2009</v>
      </c>
      <c r="C344" t="s">
        <v>273</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cm="1">
        <f t="array" ref="W344">AND(ISNUMBER(LifeExpectancyData[[#This Row],[Adult Mortality]:[Schooling]]),ISNUMBER(LifeExpectancyData[[#This Row],[Life expectancy]]), LifeExpectancyData[[#This Row],[Year]]=2013)</f>
        <v>0</v>
      </c>
    </row>
    <row r="345" spans="1:23" x14ac:dyDescent="0.25">
      <c r="A345" t="s">
        <v>295</v>
      </c>
      <c r="B345">
        <v>2008</v>
      </c>
      <c r="C345" t="s">
        <v>273</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cm="1">
        <f t="array" ref="W345">AND(ISNUMBER(LifeExpectancyData[[#This Row],[Adult Mortality]:[Schooling]]),ISNUMBER(LifeExpectancyData[[#This Row],[Life expectancy]]), LifeExpectancyData[[#This Row],[Year]]=2013)</f>
        <v>0</v>
      </c>
    </row>
    <row r="346" spans="1:23" x14ac:dyDescent="0.25">
      <c r="A346" t="s">
        <v>295</v>
      </c>
      <c r="B346">
        <v>2007</v>
      </c>
      <c r="C346" t="s">
        <v>273</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cm="1">
        <f t="array" ref="W346">AND(ISNUMBER(LifeExpectancyData[[#This Row],[Adult Mortality]:[Schooling]]),ISNUMBER(LifeExpectancyData[[#This Row],[Life expectancy]]), LifeExpectancyData[[#This Row],[Year]]=2013)</f>
        <v>0</v>
      </c>
    </row>
    <row r="347" spans="1:23" x14ac:dyDescent="0.25">
      <c r="A347" t="s">
        <v>295</v>
      </c>
      <c r="B347">
        <v>2006</v>
      </c>
      <c r="C347" t="s">
        <v>273</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cm="1">
        <f t="array" ref="W347">AND(ISNUMBER(LifeExpectancyData[[#This Row],[Adult Mortality]:[Schooling]]),ISNUMBER(LifeExpectancyData[[#This Row],[Life expectancy]]), LifeExpectancyData[[#This Row],[Year]]=2013)</f>
        <v>0</v>
      </c>
    </row>
    <row r="348" spans="1:23" x14ac:dyDescent="0.25">
      <c r="A348" t="s">
        <v>295</v>
      </c>
      <c r="B348">
        <v>2005</v>
      </c>
      <c r="C348" t="s">
        <v>273</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cm="1">
        <f t="array" ref="W348">AND(ISNUMBER(LifeExpectancyData[[#This Row],[Adult Mortality]:[Schooling]]),ISNUMBER(LifeExpectancyData[[#This Row],[Life expectancy]]), LifeExpectancyData[[#This Row],[Year]]=2013)</f>
        <v>0</v>
      </c>
    </row>
    <row r="349" spans="1:23" x14ac:dyDescent="0.25">
      <c r="A349" t="s">
        <v>295</v>
      </c>
      <c r="B349">
        <v>2004</v>
      </c>
      <c r="C349" t="s">
        <v>273</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cm="1">
        <f t="array" ref="W349">AND(ISNUMBER(LifeExpectancyData[[#This Row],[Adult Mortality]:[Schooling]]),ISNUMBER(LifeExpectancyData[[#This Row],[Life expectancy]]), LifeExpectancyData[[#This Row],[Year]]=2013)</f>
        <v>0</v>
      </c>
    </row>
    <row r="350" spans="1:23" x14ac:dyDescent="0.25">
      <c r="A350" t="s">
        <v>295</v>
      </c>
      <c r="B350">
        <v>2003</v>
      </c>
      <c r="C350" t="s">
        <v>273</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cm="1">
        <f t="array" ref="W350">AND(ISNUMBER(LifeExpectancyData[[#This Row],[Adult Mortality]:[Schooling]]),ISNUMBER(LifeExpectancyData[[#This Row],[Life expectancy]]), LifeExpectancyData[[#This Row],[Year]]=2013)</f>
        <v>0</v>
      </c>
    </row>
    <row r="351" spans="1:23" x14ac:dyDescent="0.25">
      <c r="A351" t="s">
        <v>295</v>
      </c>
      <c r="B351">
        <v>2002</v>
      </c>
      <c r="C351" t="s">
        <v>273</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cm="1">
        <f t="array" ref="W351">AND(ISNUMBER(LifeExpectancyData[[#This Row],[Adult Mortality]:[Schooling]]),ISNUMBER(LifeExpectancyData[[#This Row],[Life expectancy]]), LifeExpectancyData[[#This Row],[Year]]=2013)</f>
        <v>0</v>
      </c>
    </row>
    <row r="352" spans="1:23" x14ac:dyDescent="0.25">
      <c r="A352" t="s">
        <v>295</v>
      </c>
      <c r="B352">
        <v>2001</v>
      </c>
      <c r="C352" t="s">
        <v>273</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cm="1">
        <f t="array" ref="W352">AND(ISNUMBER(LifeExpectancyData[[#This Row],[Adult Mortality]:[Schooling]]),ISNUMBER(LifeExpectancyData[[#This Row],[Life expectancy]]), LifeExpectancyData[[#This Row],[Year]]=2013)</f>
        <v>0</v>
      </c>
    </row>
    <row r="353" spans="1:23" x14ac:dyDescent="0.25">
      <c r="A353" t="s">
        <v>295</v>
      </c>
      <c r="B353">
        <v>2000</v>
      </c>
      <c r="C353" t="s">
        <v>273</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cm="1">
        <f t="array" ref="W353">AND(ISNUMBER(LifeExpectancyData[[#This Row],[Adult Mortality]:[Schooling]]),ISNUMBER(LifeExpectancyData[[#This Row],[Life expectancy]]), LifeExpectancyData[[#This Row],[Year]]=2013)</f>
        <v>0</v>
      </c>
    </row>
    <row r="354" spans="1:23" hidden="1" x14ac:dyDescent="0.25">
      <c r="A354" t="s">
        <v>296</v>
      </c>
      <c r="B354">
        <v>2015</v>
      </c>
      <c r="C354" t="s">
        <v>273</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cm="1">
        <f t="array" ref="W354">AND(ISNUMBER(LifeExpectancyData[[#This Row],[Adult Mortality]:[Schooling]]),ISNUMBER(LifeExpectancyData[[#This Row],[Life expectancy]]), LifeExpectancyData[[#This Row],[Year]]=2013)</f>
        <v>0</v>
      </c>
    </row>
    <row r="355" spans="1:23" x14ac:dyDescent="0.25">
      <c r="A355" t="s">
        <v>296</v>
      </c>
      <c r="B355">
        <v>2014</v>
      </c>
      <c r="C355" t="s">
        <v>273</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cm="1">
        <f t="array" ref="W355">AND(ISNUMBER(LifeExpectancyData[[#This Row],[Adult Mortality]:[Schooling]]),ISNUMBER(LifeExpectancyData[[#This Row],[Life expectancy]]), LifeExpectancyData[[#This Row],[Year]]=2013)</f>
        <v>0</v>
      </c>
    </row>
    <row r="356" spans="1:23" x14ac:dyDescent="0.25">
      <c r="A356" t="s">
        <v>296</v>
      </c>
      <c r="B356">
        <v>2013</v>
      </c>
      <c r="C356" t="s">
        <v>273</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cm="1">
        <f t="array" ref="W356">AND(ISNUMBER(LifeExpectancyData[[#This Row],[Adult Mortality]:[Schooling]]),ISNUMBER(LifeExpectancyData[[#This Row],[Life expectancy]]), LifeExpectancyData[[#This Row],[Year]]=2013)</f>
        <v>1</v>
      </c>
    </row>
    <row r="357" spans="1:23" x14ac:dyDescent="0.25">
      <c r="A357" t="s">
        <v>296</v>
      </c>
      <c r="B357">
        <v>2012</v>
      </c>
      <c r="C357" t="s">
        <v>273</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cm="1">
        <f t="array" ref="W357">AND(ISNUMBER(LifeExpectancyData[[#This Row],[Adult Mortality]:[Schooling]]),ISNUMBER(LifeExpectancyData[[#This Row],[Life expectancy]]), LifeExpectancyData[[#This Row],[Year]]=2013)</f>
        <v>0</v>
      </c>
    </row>
    <row r="358" spans="1:23" x14ac:dyDescent="0.25">
      <c r="A358" t="s">
        <v>296</v>
      </c>
      <c r="B358">
        <v>2011</v>
      </c>
      <c r="C358" t="s">
        <v>273</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cm="1">
        <f t="array" ref="W358">AND(ISNUMBER(LifeExpectancyData[[#This Row],[Adult Mortality]:[Schooling]]),ISNUMBER(LifeExpectancyData[[#This Row],[Life expectancy]]), LifeExpectancyData[[#This Row],[Year]]=2013)</f>
        <v>0</v>
      </c>
    </row>
    <row r="359" spans="1:23" x14ac:dyDescent="0.25">
      <c r="A359" t="s">
        <v>296</v>
      </c>
      <c r="B359">
        <v>2010</v>
      </c>
      <c r="C359" t="s">
        <v>273</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cm="1">
        <f t="array" ref="W359">AND(ISNUMBER(LifeExpectancyData[[#This Row],[Adult Mortality]:[Schooling]]),ISNUMBER(LifeExpectancyData[[#This Row],[Life expectancy]]), LifeExpectancyData[[#This Row],[Year]]=2013)</f>
        <v>0</v>
      </c>
    </row>
    <row r="360" spans="1:23" x14ac:dyDescent="0.25">
      <c r="A360" t="s">
        <v>296</v>
      </c>
      <c r="B360">
        <v>2009</v>
      </c>
      <c r="C360" t="s">
        <v>273</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cm="1">
        <f t="array" ref="W360">AND(ISNUMBER(LifeExpectancyData[[#This Row],[Adult Mortality]:[Schooling]]),ISNUMBER(LifeExpectancyData[[#This Row],[Life expectancy]]), LifeExpectancyData[[#This Row],[Year]]=2013)</f>
        <v>0</v>
      </c>
    </row>
    <row r="361" spans="1:23" x14ac:dyDescent="0.25">
      <c r="A361" t="s">
        <v>296</v>
      </c>
      <c r="B361">
        <v>2008</v>
      </c>
      <c r="C361" t="s">
        <v>273</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cm="1">
        <f t="array" ref="W361">AND(ISNUMBER(LifeExpectancyData[[#This Row],[Adult Mortality]:[Schooling]]),ISNUMBER(LifeExpectancyData[[#This Row],[Life expectancy]]), LifeExpectancyData[[#This Row],[Year]]=2013)</f>
        <v>0</v>
      </c>
    </row>
    <row r="362" spans="1:23" x14ac:dyDescent="0.25">
      <c r="A362" t="s">
        <v>296</v>
      </c>
      <c r="B362">
        <v>2007</v>
      </c>
      <c r="C362" t="s">
        <v>273</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cm="1">
        <f t="array" ref="W362">AND(ISNUMBER(LifeExpectancyData[[#This Row],[Adult Mortality]:[Schooling]]),ISNUMBER(LifeExpectancyData[[#This Row],[Life expectancy]]), LifeExpectancyData[[#This Row],[Year]]=2013)</f>
        <v>0</v>
      </c>
    </row>
    <row r="363" spans="1:23" x14ac:dyDescent="0.25">
      <c r="A363" t="s">
        <v>296</v>
      </c>
      <c r="B363">
        <v>2006</v>
      </c>
      <c r="C363" t="s">
        <v>273</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cm="1">
        <f t="array" ref="W363">AND(ISNUMBER(LifeExpectancyData[[#This Row],[Adult Mortality]:[Schooling]]),ISNUMBER(LifeExpectancyData[[#This Row],[Life expectancy]]), LifeExpectancyData[[#This Row],[Year]]=2013)</f>
        <v>0</v>
      </c>
    </row>
    <row r="364" spans="1:23" x14ac:dyDescent="0.25">
      <c r="A364" t="s">
        <v>296</v>
      </c>
      <c r="B364">
        <v>2005</v>
      </c>
      <c r="C364" t="s">
        <v>273</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cm="1">
        <f t="array" ref="W364">AND(ISNUMBER(LifeExpectancyData[[#This Row],[Adult Mortality]:[Schooling]]),ISNUMBER(LifeExpectancyData[[#This Row],[Life expectancy]]), LifeExpectancyData[[#This Row],[Year]]=2013)</f>
        <v>0</v>
      </c>
    </row>
    <row r="365" spans="1:23" x14ac:dyDescent="0.25">
      <c r="A365" t="s">
        <v>296</v>
      </c>
      <c r="B365">
        <v>2004</v>
      </c>
      <c r="C365" t="s">
        <v>273</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cm="1">
        <f t="array" ref="W365">AND(ISNUMBER(LifeExpectancyData[[#This Row],[Adult Mortality]:[Schooling]]),ISNUMBER(LifeExpectancyData[[#This Row],[Life expectancy]]), LifeExpectancyData[[#This Row],[Year]]=2013)</f>
        <v>0</v>
      </c>
    </row>
    <row r="366" spans="1:23" x14ac:dyDescent="0.25">
      <c r="A366" t="s">
        <v>296</v>
      </c>
      <c r="B366">
        <v>2003</v>
      </c>
      <c r="C366" t="s">
        <v>273</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cm="1">
        <f t="array" ref="W366">AND(ISNUMBER(LifeExpectancyData[[#This Row],[Adult Mortality]:[Schooling]]),ISNUMBER(LifeExpectancyData[[#This Row],[Life expectancy]]), LifeExpectancyData[[#This Row],[Year]]=2013)</f>
        <v>0</v>
      </c>
    </row>
    <row r="367" spans="1:23" x14ac:dyDescent="0.25">
      <c r="A367" t="s">
        <v>296</v>
      </c>
      <c r="B367">
        <v>2002</v>
      </c>
      <c r="C367" t="s">
        <v>273</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cm="1">
        <f t="array" ref="W367">AND(ISNUMBER(LifeExpectancyData[[#This Row],[Adult Mortality]:[Schooling]]),ISNUMBER(LifeExpectancyData[[#This Row],[Life expectancy]]), LifeExpectancyData[[#This Row],[Year]]=2013)</f>
        <v>0</v>
      </c>
    </row>
    <row r="368" spans="1:23" x14ac:dyDescent="0.25">
      <c r="A368" t="s">
        <v>296</v>
      </c>
      <c r="B368">
        <v>2001</v>
      </c>
      <c r="C368" t="s">
        <v>273</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cm="1">
        <f t="array" ref="W368">AND(ISNUMBER(LifeExpectancyData[[#This Row],[Adult Mortality]:[Schooling]]),ISNUMBER(LifeExpectancyData[[#This Row],[Life expectancy]]), LifeExpectancyData[[#This Row],[Year]]=2013)</f>
        <v>0</v>
      </c>
    </row>
    <row r="369" spans="1:23" x14ac:dyDescent="0.25">
      <c r="A369" t="s">
        <v>296</v>
      </c>
      <c r="B369">
        <v>2000</v>
      </c>
      <c r="C369" t="s">
        <v>273</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cm="1">
        <f t="array" ref="W369">AND(ISNUMBER(LifeExpectancyData[[#This Row],[Adult Mortality]:[Schooling]]),ISNUMBER(LifeExpectancyData[[#This Row],[Life expectancy]]), LifeExpectancyData[[#This Row],[Year]]=2013)</f>
        <v>0</v>
      </c>
    </row>
    <row r="370" spans="1:23" hidden="1" x14ac:dyDescent="0.25">
      <c r="A370" t="s">
        <v>297</v>
      </c>
      <c r="B370">
        <v>2015</v>
      </c>
      <c r="C370" t="s">
        <v>273</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cm="1">
        <f t="array" ref="W370">AND(ISNUMBER(LifeExpectancyData[[#This Row],[Adult Mortality]:[Schooling]]),ISNUMBER(LifeExpectancyData[[#This Row],[Life expectancy]]), LifeExpectancyData[[#This Row],[Year]]=2013)</f>
        <v>0</v>
      </c>
    </row>
    <row r="371" spans="1:23" hidden="1" x14ac:dyDescent="0.25">
      <c r="A371" t="s">
        <v>297</v>
      </c>
      <c r="B371">
        <v>2014</v>
      </c>
      <c r="C371" t="s">
        <v>273</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cm="1">
        <f t="array" ref="W371">AND(ISNUMBER(LifeExpectancyData[[#This Row],[Adult Mortality]:[Schooling]]),ISNUMBER(LifeExpectancyData[[#This Row],[Life expectancy]]), LifeExpectancyData[[#This Row],[Year]]=2013)</f>
        <v>0</v>
      </c>
    </row>
    <row r="372" spans="1:23" hidden="1" x14ac:dyDescent="0.25">
      <c r="A372" t="s">
        <v>297</v>
      </c>
      <c r="B372">
        <v>2013</v>
      </c>
      <c r="C372" t="s">
        <v>273</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cm="1">
        <f t="array" ref="W372">AND(ISNUMBER(LifeExpectancyData[[#This Row],[Adult Mortality]:[Schooling]]),ISNUMBER(LifeExpectancyData[[#This Row],[Life expectancy]]), LifeExpectancyData[[#This Row],[Year]]=2013)</f>
        <v>0</v>
      </c>
    </row>
    <row r="373" spans="1:23" hidden="1" x14ac:dyDescent="0.25">
      <c r="A373" t="s">
        <v>297</v>
      </c>
      <c r="B373">
        <v>2012</v>
      </c>
      <c r="C373" t="s">
        <v>273</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cm="1">
        <f t="array" ref="W373">AND(ISNUMBER(LifeExpectancyData[[#This Row],[Adult Mortality]:[Schooling]]),ISNUMBER(LifeExpectancyData[[#This Row],[Life expectancy]]), LifeExpectancyData[[#This Row],[Year]]=2013)</f>
        <v>0</v>
      </c>
    </row>
    <row r="374" spans="1:23" hidden="1" x14ac:dyDescent="0.25">
      <c r="A374" t="s">
        <v>297</v>
      </c>
      <c r="B374">
        <v>2011</v>
      </c>
      <c r="C374" t="s">
        <v>273</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cm="1">
        <f t="array" ref="W374">AND(ISNUMBER(LifeExpectancyData[[#This Row],[Adult Mortality]:[Schooling]]),ISNUMBER(LifeExpectancyData[[#This Row],[Life expectancy]]), LifeExpectancyData[[#This Row],[Year]]=2013)</f>
        <v>0</v>
      </c>
    </row>
    <row r="375" spans="1:23" hidden="1" x14ac:dyDescent="0.25">
      <c r="A375" t="s">
        <v>297</v>
      </c>
      <c r="B375">
        <v>2010</v>
      </c>
      <c r="C375" t="s">
        <v>273</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cm="1">
        <f t="array" ref="W375">AND(ISNUMBER(LifeExpectancyData[[#This Row],[Adult Mortality]:[Schooling]]),ISNUMBER(LifeExpectancyData[[#This Row],[Life expectancy]]), LifeExpectancyData[[#This Row],[Year]]=2013)</f>
        <v>0</v>
      </c>
    </row>
    <row r="376" spans="1:23" hidden="1" x14ac:dyDescent="0.25">
      <c r="A376" t="s">
        <v>297</v>
      </c>
      <c r="B376">
        <v>2009</v>
      </c>
      <c r="C376" t="s">
        <v>273</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cm="1">
        <f t="array" ref="W376">AND(ISNUMBER(LifeExpectancyData[[#This Row],[Adult Mortality]:[Schooling]]),ISNUMBER(LifeExpectancyData[[#This Row],[Life expectancy]]), LifeExpectancyData[[#This Row],[Year]]=2013)</f>
        <v>0</v>
      </c>
    </row>
    <row r="377" spans="1:23" hidden="1" x14ac:dyDescent="0.25">
      <c r="A377" t="s">
        <v>297</v>
      </c>
      <c r="B377">
        <v>2008</v>
      </c>
      <c r="C377" t="s">
        <v>273</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cm="1">
        <f t="array" ref="W377">AND(ISNUMBER(LifeExpectancyData[[#This Row],[Adult Mortality]:[Schooling]]),ISNUMBER(LifeExpectancyData[[#This Row],[Life expectancy]]), LifeExpectancyData[[#This Row],[Year]]=2013)</f>
        <v>0</v>
      </c>
    </row>
    <row r="378" spans="1:23" hidden="1" x14ac:dyDescent="0.25">
      <c r="A378" t="s">
        <v>297</v>
      </c>
      <c r="B378">
        <v>2007</v>
      </c>
      <c r="C378" t="s">
        <v>273</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cm="1">
        <f t="array" ref="W378">AND(ISNUMBER(LifeExpectancyData[[#This Row],[Adult Mortality]:[Schooling]]),ISNUMBER(LifeExpectancyData[[#This Row],[Life expectancy]]), LifeExpectancyData[[#This Row],[Year]]=2013)</f>
        <v>0</v>
      </c>
    </row>
    <row r="379" spans="1:23" hidden="1" x14ac:dyDescent="0.25">
      <c r="A379" t="s">
        <v>297</v>
      </c>
      <c r="B379">
        <v>2006</v>
      </c>
      <c r="C379" t="s">
        <v>273</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cm="1">
        <f t="array" ref="W379">AND(ISNUMBER(LifeExpectancyData[[#This Row],[Adult Mortality]:[Schooling]]),ISNUMBER(LifeExpectancyData[[#This Row],[Life expectancy]]), LifeExpectancyData[[#This Row],[Year]]=2013)</f>
        <v>0</v>
      </c>
    </row>
    <row r="380" spans="1:23" hidden="1" x14ac:dyDescent="0.25">
      <c r="A380" t="s">
        <v>297</v>
      </c>
      <c r="B380">
        <v>2005</v>
      </c>
      <c r="C380" t="s">
        <v>273</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cm="1">
        <f t="array" ref="W380">AND(ISNUMBER(LifeExpectancyData[[#This Row],[Adult Mortality]:[Schooling]]),ISNUMBER(LifeExpectancyData[[#This Row],[Life expectancy]]), LifeExpectancyData[[#This Row],[Year]]=2013)</f>
        <v>0</v>
      </c>
    </row>
    <row r="381" spans="1:23" hidden="1" x14ac:dyDescent="0.25">
      <c r="A381" t="s">
        <v>297</v>
      </c>
      <c r="B381">
        <v>2004</v>
      </c>
      <c r="C381" t="s">
        <v>273</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cm="1">
        <f t="array" ref="W381">AND(ISNUMBER(LifeExpectancyData[[#This Row],[Adult Mortality]:[Schooling]]),ISNUMBER(LifeExpectancyData[[#This Row],[Life expectancy]]), LifeExpectancyData[[#This Row],[Year]]=2013)</f>
        <v>0</v>
      </c>
    </row>
    <row r="382" spans="1:23" hidden="1" x14ac:dyDescent="0.25">
      <c r="A382" t="s">
        <v>297</v>
      </c>
      <c r="B382">
        <v>2003</v>
      </c>
      <c r="C382" t="s">
        <v>273</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cm="1">
        <f t="array" ref="W382">AND(ISNUMBER(LifeExpectancyData[[#This Row],[Adult Mortality]:[Schooling]]),ISNUMBER(LifeExpectancyData[[#This Row],[Life expectancy]]), LifeExpectancyData[[#This Row],[Year]]=2013)</f>
        <v>0</v>
      </c>
    </row>
    <row r="383" spans="1:23" hidden="1" x14ac:dyDescent="0.25">
      <c r="A383" t="s">
        <v>297</v>
      </c>
      <c r="B383">
        <v>2002</v>
      </c>
      <c r="C383" t="s">
        <v>273</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cm="1">
        <f t="array" ref="W383">AND(ISNUMBER(LifeExpectancyData[[#This Row],[Adult Mortality]:[Schooling]]),ISNUMBER(LifeExpectancyData[[#This Row],[Life expectancy]]), LifeExpectancyData[[#This Row],[Year]]=2013)</f>
        <v>0</v>
      </c>
    </row>
    <row r="384" spans="1:23" hidden="1" x14ac:dyDescent="0.25">
      <c r="A384" t="s">
        <v>297</v>
      </c>
      <c r="B384">
        <v>2001</v>
      </c>
      <c r="C384" t="s">
        <v>273</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cm="1">
        <f t="array" ref="W384">AND(ISNUMBER(LifeExpectancyData[[#This Row],[Adult Mortality]:[Schooling]]),ISNUMBER(LifeExpectancyData[[#This Row],[Life expectancy]]), LifeExpectancyData[[#This Row],[Year]]=2013)</f>
        <v>0</v>
      </c>
    </row>
    <row r="385" spans="1:23" hidden="1" x14ac:dyDescent="0.25">
      <c r="A385" t="s">
        <v>297</v>
      </c>
      <c r="B385">
        <v>2000</v>
      </c>
      <c r="C385" t="s">
        <v>273</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cm="1">
        <f t="array" ref="W385">AND(ISNUMBER(LifeExpectancyData[[#This Row],[Adult Mortality]:[Schooling]]),ISNUMBER(LifeExpectancyData[[#This Row],[Life expectancy]]), LifeExpectancyData[[#This Row],[Year]]=2013)</f>
        <v>0</v>
      </c>
    </row>
    <row r="386" spans="1:23" hidden="1" x14ac:dyDescent="0.25">
      <c r="A386" t="s">
        <v>298</v>
      </c>
      <c r="B386">
        <v>2015</v>
      </c>
      <c r="C386" t="s">
        <v>281</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cm="1">
        <f t="array" ref="W386">AND(ISNUMBER(LifeExpectancyData[[#This Row],[Adult Mortality]:[Schooling]]),ISNUMBER(LifeExpectancyData[[#This Row],[Life expectancy]]), LifeExpectancyData[[#This Row],[Year]]=2013)</f>
        <v>0</v>
      </c>
    </row>
    <row r="387" spans="1:23" x14ac:dyDescent="0.25">
      <c r="A387" t="s">
        <v>298</v>
      </c>
      <c r="B387">
        <v>2014</v>
      </c>
      <c r="C387" t="s">
        <v>281</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cm="1">
        <f t="array" ref="W387">AND(ISNUMBER(LifeExpectancyData[[#This Row],[Adult Mortality]:[Schooling]]),ISNUMBER(LifeExpectancyData[[#This Row],[Life expectancy]]), LifeExpectancyData[[#This Row],[Year]]=2013)</f>
        <v>0</v>
      </c>
    </row>
    <row r="388" spans="1:23" x14ac:dyDescent="0.25">
      <c r="A388" t="s">
        <v>298</v>
      </c>
      <c r="B388">
        <v>2013</v>
      </c>
      <c r="C388" t="s">
        <v>281</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cm="1">
        <f t="array" ref="W388">AND(ISNUMBER(LifeExpectancyData[[#This Row],[Adult Mortality]:[Schooling]]),ISNUMBER(LifeExpectancyData[[#This Row],[Life expectancy]]), LifeExpectancyData[[#This Row],[Year]]=2013)</f>
        <v>1</v>
      </c>
    </row>
    <row r="389" spans="1:23" x14ac:dyDescent="0.25">
      <c r="A389" t="s">
        <v>298</v>
      </c>
      <c r="B389">
        <v>2012</v>
      </c>
      <c r="C389" t="s">
        <v>281</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cm="1">
        <f t="array" ref="W389">AND(ISNUMBER(LifeExpectancyData[[#This Row],[Adult Mortality]:[Schooling]]),ISNUMBER(LifeExpectancyData[[#This Row],[Life expectancy]]), LifeExpectancyData[[#This Row],[Year]]=2013)</f>
        <v>0</v>
      </c>
    </row>
    <row r="390" spans="1:23" x14ac:dyDescent="0.25">
      <c r="A390" t="s">
        <v>298</v>
      </c>
      <c r="B390">
        <v>2011</v>
      </c>
      <c r="C390" t="s">
        <v>281</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cm="1">
        <f t="array" ref="W390">AND(ISNUMBER(LifeExpectancyData[[#This Row],[Adult Mortality]:[Schooling]]),ISNUMBER(LifeExpectancyData[[#This Row],[Life expectancy]]), LifeExpectancyData[[#This Row],[Year]]=2013)</f>
        <v>0</v>
      </c>
    </row>
    <row r="391" spans="1:23" x14ac:dyDescent="0.25">
      <c r="A391" t="s">
        <v>298</v>
      </c>
      <c r="B391">
        <v>2010</v>
      </c>
      <c r="C391" t="s">
        <v>281</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cm="1">
        <f t="array" ref="W391">AND(ISNUMBER(LifeExpectancyData[[#This Row],[Adult Mortality]:[Schooling]]),ISNUMBER(LifeExpectancyData[[#This Row],[Life expectancy]]), LifeExpectancyData[[#This Row],[Year]]=2013)</f>
        <v>0</v>
      </c>
    </row>
    <row r="392" spans="1:23" x14ac:dyDescent="0.25">
      <c r="A392" t="s">
        <v>298</v>
      </c>
      <c r="B392">
        <v>2009</v>
      </c>
      <c r="C392" t="s">
        <v>281</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cm="1">
        <f t="array" ref="W392">AND(ISNUMBER(LifeExpectancyData[[#This Row],[Adult Mortality]:[Schooling]]),ISNUMBER(LifeExpectancyData[[#This Row],[Life expectancy]]), LifeExpectancyData[[#This Row],[Year]]=2013)</f>
        <v>0</v>
      </c>
    </row>
    <row r="393" spans="1:23" x14ac:dyDescent="0.25">
      <c r="A393" t="s">
        <v>298</v>
      </c>
      <c r="B393">
        <v>2008</v>
      </c>
      <c r="C393" t="s">
        <v>281</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cm="1">
        <f t="array" ref="W393">AND(ISNUMBER(LifeExpectancyData[[#This Row],[Adult Mortality]:[Schooling]]),ISNUMBER(LifeExpectancyData[[#This Row],[Life expectancy]]), LifeExpectancyData[[#This Row],[Year]]=2013)</f>
        <v>0</v>
      </c>
    </row>
    <row r="394" spans="1:23" x14ac:dyDescent="0.25">
      <c r="A394" t="s">
        <v>298</v>
      </c>
      <c r="B394">
        <v>2007</v>
      </c>
      <c r="C394" t="s">
        <v>281</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cm="1">
        <f t="array" ref="W394">AND(ISNUMBER(LifeExpectancyData[[#This Row],[Adult Mortality]:[Schooling]]),ISNUMBER(LifeExpectancyData[[#This Row],[Life expectancy]]), LifeExpectancyData[[#This Row],[Year]]=2013)</f>
        <v>0</v>
      </c>
    </row>
    <row r="395" spans="1:23" x14ac:dyDescent="0.25">
      <c r="A395" t="s">
        <v>298</v>
      </c>
      <c r="B395">
        <v>2006</v>
      </c>
      <c r="C395" t="s">
        <v>281</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cm="1">
        <f t="array" ref="W395">AND(ISNUMBER(LifeExpectancyData[[#This Row],[Adult Mortality]:[Schooling]]),ISNUMBER(LifeExpectancyData[[#This Row],[Life expectancy]]), LifeExpectancyData[[#This Row],[Year]]=2013)</f>
        <v>0</v>
      </c>
    </row>
    <row r="396" spans="1:23" x14ac:dyDescent="0.25">
      <c r="A396" t="s">
        <v>298</v>
      </c>
      <c r="B396">
        <v>2005</v>
      </c>
      <c r="C396" t="s">
        <v>281</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cm="1">
        <f t="array" ref="W396">AND(ISNUMBER(LifeExpectancyData[[#This Row],[Adult Mortality]:[Schooling]]),ISNUMBER(LifeExpectancyData[[#This Row],[Life expectancy]]), LifeExpectancyData[[#This Row],[Year]]=2013)</f>
        <v>0</v>
      </c>
    </row>
    <row r="397" spans="1:23" x14ac:dyDescent="0.25">
      <c r="A397" t="s">
        <v>298</v>
      </c>
      <c r="B397">
        <v>2004</v>
      </c>
      <c r="C397" t="s">
        <v>281</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cm="1">
        <f t="array" ref="W397">AND(ISNUMBER(LifeExpectancyData[[#This Row],[Adult Mortality]:[Schooling]]),ISNUMBER(LifeExpectancyData[[#This Row],[Life expectancy]]), LifeExpectancyData[[#This Row],[Year]]=2013)</f>
        <v>0</v>
      </c>
    </row>
    <row r="398" spans="1:23" x14ac:dyDescent="0.25">
      <c r="A398" t="s">
        <v>298</v>
      </c>
      <c r="B398">
        <v>2003</v>
      </c>
      <c r="C398" t="s">
        <v>281</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cm="1">
        <f t="array" ref="W398">AND(ISNUMBER(LifeExpectancyData[[#This Row],[Adult Mortality]:[Schooling]]),ISNUMBER(LifeExpectancyData[[#This Row],[Life expectancy]]), LifeExpectancyData[[#This Row],[Year]]=2013)</f>
        <v>0</v>
      </c>
    </row>
    <row r="399" spans="1:23" x14ac:dyDescent="0.25">
      <c r="A399" t="s">
        <v>298</v>
      </c>
      <c r="B399">
        <v>2002</v>
      </c>
      <c r="C399" t="s">
        <v>281</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cm="1">
        <f t="array" ref="W399">AND(ISNUMBER(LifeExpectancyData[[#This Row],[Adult Mortality]:[Schooling]]),ISNUMBER(LifeExpectancyData[[#This Row],[Life expectancy]]), LifeExpectancyData[[#This Row],[Year]]=2013)</f>
        <v>0</v>
      </c>
    </row>
    <row r="400" spans="1:23" x14ac:dyDescent="0.25">
      <c r="A400" t="s">
        <v>298</v>
      </c>
      <c r="B400">
        <v>2001</v>
      </c>
      <c r="C400" t="s">
        <v>281</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cm="1">
        <f t="array" ref="W400">AND(ISNUMBER(LifeExpectancyData[[#This Row],[Adult Mortality]:[Schooling]]),ISNUMBER(LifeExpectancyData[[#This Row],[Life expectancy]]), LifeExpectancyData[[#This Row],[Year]]=2013)</f>
        <v>0</v>
      </c>
    </row>
    <row r="401" spans="1:23" x14ac:dyDescent="0.25">
      <c r="A401" t="s">
        <v>298</v>
      </c>
      <c r="B401">
        <v>2000</v>
      </c>
      <c r="C401" t="s">
        <v>281</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cm="1">
        <f t="array" ref="W401">AND(ISNUMBER(LifeExpectancyData[[#This Row],[Adult Mortality]:[Schooling]]),ISNUMBER(LifeExpectancyData[[#This Row],[Life expectancy]]), LifeExpectancyData[[#This Row],[Year]]=2013)</f>
        <v>0</v>
      </c>
    </row>
    <row r="402" spans="1:23" hidden="1" x14ac:dyDescent="0.25">
      <c r="A402" t="s">
        <v>299</v>
      </c>
      <c r="B402">
        <v>2015</v>
      </c>
      <c r="C402" t="s">
        <v>273</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cm="1">
        <f t="array" ref="W402">AND(ISNUMBER(LifeExpectancyData[[#This Row],[Adult Mortality]:[Schooling]]),ISNUMBER(LifeExpectancyData[[#This Row],[Life expectancy]]), LifeExpectancyData[[#This Row],[Year]]=2013)</f>
        <v>0</v>
      </c>
    </row>
    <row r="403" spans="1:23" x14ac:dyDescent="0.25">
      <c r="A403" t="s">
        <v>299</v>
      </c>
      <c r="B403">
        <v>2014</v>
      </c>
      <c r="C403" t="s">
        <v>273</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cm="1">
        <f t="array" ref="W403">AND(ISNUMBER(LifeExpectancyData[[#This Row],[Adult Mortality]:[Schooling]]),ISNUMBER(LifeExpectancyData[[#This Row],[Life expectancy]]), LifeExpectancyData[[#This Row],[Year]]=2013)</f>
        <v>0</v>
      </c>
    </row>
    <row r="404" spans="1:23" x14ac:dyDescent="0.25">
      <c r="A404" t="s">
        <v>299</v>
      </c>
      <c r="B404">
        <v>2013</v>
      </c>
      <c r="C404" t="s">
        <v>273</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cm="1">
        <f t="array" ref="W404">AND(ISNUMBER(LifeExpectancyData[[#This Row],[Adult Mortality]:[Schooling]]),ISNUMBER(LifeExpectancyData[[#This Row],[Life expectancy]]), LifeExpectancyData[[#This Row],[Year]]=2013)</f>
        <v>1</v>
      </c>
    </row>
    <row r="405" spans="1:23" x14ac:dyDescent="0.25">
      <c r="A405" t="s">
        <v>299</v>
      </c>
      <c r="B405">
        <v>2012</v>
      </c>
      <c r="C405" t="s">
        <v>273</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cm="1">
        <f t="array" ref="W405">AND(ISNUMBER(LifeExpectancyData[[#This Row],[Adult Mortality]:[Schooling]]),ISNUMBER(LifeExpectancyData[[#This Row],[Life expectancy]]), LifeExpectancyData[[#This Row],[Year]]=2013)</f>
        <v>0</v>
      </c>
    </row>
    <row r="406" spans="1:23" x14ac:dyDescent="0.25">
      <c r="A406" t="s">
        <v>299</v>
      </c>
      <c r="B406">
        <v>2011</v>
      </c>
      <c r="C406" t="s">
        <v>273</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cm="1">
        <f t="array" ref="W406">AND(ISNUMBER(LifeExpectancyData[[#This Row],[Adult Mortality]:[Schooling]]),ISNUMBER(LifeExpectancyData[[#This Row],[Life expectancy]]), LifeExpectancyData[[#This Row],[Year]]=2013)</f>
        <v>0</v>
      </c>
    </row>
    <row r="407" spans="1:23" x14ac:dyDescent="0.25">
      <c r="A407" t="s">
        <v>299</v>
      </c>
      <c r="B407">
        <v>2010</v>
      </c>
      <c r="C407" t="s">
        <v>273</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cm="1">
        <f t="array" ref="W407">AND(ISNUMBER(LifeExpectancyData[[#This Row],[Adult Mortality]:[Schooling]]),ISNUMBER(LifeExpectancyData[[#This Row],[Life expectancy]]), LifeExpectancyData[[#This Row],[Year]]=2013)</f>
        <v>0</v>
      </c>
    </row>
    <row r="408" spans="1:23" x14ac:dyDescent="0.25">
      <c r="A408" t="s">
        <v>299</v>
      </c>
      <c r="B408">
        <v>2009</v>
      </c>
      <c r="C408" t="s">
        <v>273</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cm="1">
        <f t="array" ref="W408">AND(ISNUMBER(LifeExpectancyData[[#This Row],[Adult Mortality]:[Schooling]]),ISNUMBER(LifeExpectancyData[[#This Row],[Life expectancy]]), LifeExpectancyData[[#This Row],[Year]]=2013)</f>
        <v>0</v>
      </c>
    </row>
    <row r="409" spans="1:23" x14ac:dyDescent="0.25">
      <c r="A409" t="s">
        <v>299</v>
      </c>
      <c r="B409">
        <v>2008</v>
      </c>
      <c r="C409" t="s">
        <v>273</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cm="1">
        <f t="array" ref="W409">AND(ISNUMBER(LifeExpectancyData[[#This Row],[Adult Mortality]:[Schooling]]),ISNUMBER(LifeExpectancyData[[#This Row],[Life expectancy]]), LifeExpectancyData[[#This Row],[Year]]=2013)</f>
        <v>0</v>
      </c>
    </row>
    <row r="410" spans="1:23" x14ac:dyDescent="0.25">
      <c r="A410" t="s">
        <v>299</v>
      </c>
      <c r="B410">
        <v>2007</v>
      </c>
      <c r="C410" t="s">
        <v>273</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cm="1">
        <f t="array" ref="W410">AND(ISNUMBER(LifeExpectancyData[[#This Row],[Adult Mortality]:[Schooling]]),ISNUMBER(LifeExpectancyData[[#This Row],[Life expectancy]]), LifeExpectancyData[[#This Row],[Year]]=2013)</f>
        <v>0</v>
      </c>
    </row>
    <row r="411" spans="1:23" x14ac:dyDescent="0.25">
      <c r="A411" t="s">
        <v>299</v>
      </c>
      <c r="B411">
        <v>2006</v>
      </c>
      <c r="C411" t="s">
        <v>273</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cm="1">
        <f t="array" ref="W411">AND(ISNUMBER(LifeExpectancyData[[#This Row],[Adult Mortality]:[Schooling]]),ISNUMBER(LifeExpectancyData[[#This Row],[Life expectancy]]), LifeExpectancyData[[#This Row],[Year]]=2013)</f>
        <v>0</v>
      </c>
    </row>
    <row r="412" spans="1:23" hidden="1" x14ac:dyDescent="0.25">
      <c r="A412" t="s">
        <v>299</v>
      </c>
      <c r="B412">
        <v>2005</v>
      </c>
      <c r="C412" t="s">
        <v>273</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cm="1">
        <f t="array" ref="W412">AND(ISNUMBER(LifeExpectancyData[[#This Row],[Adult Mortality]:[Schooling]]),ISNUMBER(LifeExpectancyData[[#This Row],[Life expectancy]]), LifeExpectancyData[[#This Row],[Year]]=2013)</f>
        <v>0</v>
      </c>
    </row>
    <row r="413" spans="1:23" hidden="1" x14ac:dyDescent="0.25">
      <c r="A413" t="s">
        <v>299</v>
      </c>
      <c r="B413">
        <v>2004</v>
      </c>
      <c r="C413" t="s">
        <v>273</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cm="1">
        <f t="array" ref="W413">AND(ISNUMBER(LifeExpectancyData[[#This Row],[Adult Mortality]:[Schooling]]),ISNUMBER(LifeExpectancyData[[#This Row],[Life expectancy]]), LifeExpectancyData[[#This Row],[Year]]=2013)</f>
        <v>0</v>
      </c>
    </row>
    <row r="414" spans="1:23" hidden="1" x14ac:dyDescent="0.25">
      <c r="A414" t="s">
        <v>299</v>
      </c>
      <c r="B414">
        <v>2003</v>
      </c>
      <c r="C414" t="s">
        <v>273</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cm="1">
        <f t="array" ref="W414">AND(ISNUMBER(LifeExpectancyData[[#This Row],[Adult Mortality]:[Schooling]]),ISNUMBER(LifeExpectancyData[[#This Row],[Life expectancy]]), LifeExpectancyData[[#This Row],[Year]]=2013)</f>
        <v>0</v>
      </c>
    </row>
    <row r="415" spans="1:23" hidden="1" x14ac:dyDescent="0.25">
      <c r="A415" t="s">
        <v>299</v>
      </c>
      <c r="B415">
        <v>2002</v>
      </c>
      <c r="C415" t="s">
        <v>273</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cm="1">
        <f t="array" ref="W415">AND(ISNUMBER(LifeExpectancyData[[#This Row],[Adult Mortality]:[Schooling]]),ISNUMBER(LifeExpectancyData[[#This Row],[Life expectancy]]), LifeExpectancyData[[#This Row],[Year]]=2013)</f>
        <v>0</v>
      </c>
    </row>
    <row r="416" spans="1:23" hidden="1" x14ac:dyDescent="0.25">
      <c r="A416" t="s">
        <v>299</v>
      </c>
      <c r="B416">
        <v>2001</v>
      </c>
      <c r="C416" t="s">
        <v>273</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cm="1">
        <f t="array" ref="W416">AND(ISNUMBER(LifeExpectancyData[[#This Row],[Adult Mortality]:[Schooling]]),ISNUMBER(LifeExpectancyData[[#This Row],[Life expectancy]]), LifeExpectancyData[[#This Row],[Year]]=2013)</f>
        <v>0</v>
      </c>
    </row>
    <row r="417" spans="1:23" hidden="1" x14ac:dyDescent="0.25">
      <c r="A417" t="s">
        <v>299</v>
      </c>
      <c r="B417">
        <v>2000</v>
      </c>
      <c r="C417" t="s">
        <v>273</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cm="1">
        <f t="array" ref="W417">AND(ISNUMBER(LifeExpectancyData[[#This Row],[Adult Mortality]:[Schooling]]),ISNUMBER(LifeExpectancyData[[#This Row],[Life expectancy]]), LifeExpectancyData[[#This Row],[Year]]=2013)</f>
        <v>0</v>
      </c>
    </row>
    <row r="418" spans="1:23" hidden="1" x14ac:dyDescent="0.25">
      <c r="A418" t="s">
        <v>300</v>
      </c>
      <c r="B418">
        <v>2015</v>
      </c>
      <c r="C418" t="s">
        <v>273</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cm="1">
        <f t="array" ref="W418">AND(ISNUMBER(LifeExpectancyData[[#This Row],[Adult Mortality]:[Schooling]]),ISNUMBER(LifeExpectancyData[[#This Row],[Life expectancy]]), LifeExpectancyData[[#This Row],[Year]]=2013)</f>
        <v>0</v>
      </c>
    </row>
    <row r="419" spans="1:23" x14ac:dyDescent="0.25">
      <c r="A419" t="s">
        <v>300</v>
      </c>
      <c r="B419">
        <v>2014</v>
      </c>
      <c r="C419" t="s">
        <v>273</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cm="1">
        <f t="array" ref="W419">AND(ISNUMBER(LifeExpectancyData[[#This Row],[Adult Mortality]:[Schooling]]),ISNUMBER(LifeExpectancyData[[#This Row],[Life expectancy]]), LifeExpectancyData[[#This Row],[Year]]=2013)</f>
        <v>0</v>
      </c>
    </row>
    <row r="420" spans="1:23" x14ac:dyDescent="0.25">
      <c r="A420" t="s">
        <v>300</v>
      </c>
      <c r="B420">
        <v>2013</v>
      </c>
      <c r="C420" t="s">
        <v>273</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cm="1">
        <f t="array" ref="W420">AND(ISNUMBER(LifeExpectancyData[[#This Row],[Adult Mortality]:[Schooling]]),ISNUMBER(LifeExpectancyData[[#This Row],[Life expectancy]]), LifeExpectancyData[[#This Row],[Year]]=2013)</f>
        <v>1</v>
      </c>
    </row>
    <row r="421" spans="1:23" x14ac:dyDescent="0.25">
      <c r="A421" t="s">
        <v>300</v>
      </c>
      <c r="B421">
        <v>2012</v>
      </c>
      <c r="C421" t="s">
        <v>273</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cm="1">
        <f t="array" ref="W421">AND(ISNUMBER(LifeExpectancyData[[#This Row],[Adult Mortality]:[Schooling]]),ISNUMBER(LifeExpectancyData[[#This Row],[Life expectancy]]), LifeExpectancyData[[#This Row],[Year]]=2013)</f>
        <v>0</v>
      </c>
    </row>
    <row r="422" spans="1:23" x14ac:dyDescent="0.25">
      <c r="A422" t="s">
        <v>300</v>
      </c>
      <c r="B422">
        <v>2011</v>
      </c>
      <c r="C422" t="s">
        <v>273</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cm="1">
        <f t="array" ref="W422">AND(ISNUMBER(LifeExpectancyData[[#This Row],[Adult Mortality]:[Schooling]]),ISNUMBER(LifeExpectancyData[[#This Row],[Life expectancy]]), LifeExpectancyData[[#This Row],[Year]]=2013)</f>
        <v>0</v>
      </c>
    </row>
    <row r="423" spans="1:23" x14ac:dyDescent="0.25">
      <c r="A423" t="s">
        <v>300</v>
      </c>
      <c r="B423">
        <v>2010</v>
      </c>
      <c r="C423" t="s">
        <v>273</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cm="1">
        <f t="array" ref="W423">AND(ISNUMBER(LifeExpectancyData[[#This Row],[Adult Mortality]:[Schooling]]),ISNUMBER(LifeExpectancyData[[#This Row],[Life expectancy]]), LifeExpectancyData[[#This Row],[Year]]=2013)</f>
        <v>0</v>
      </c>
    </row>
    <row r="424" spans="1:23" x14ac:dyDescent="0.25">
      <c r="A424" t="s">
        <v>300</v>
      </c>
      <c r="B424">
        <v>2009</v>
      </c>
      <c r="C424" t="s">
        <v>273</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cm="1">
        <f t="array" ref="W424">AND(ISNUMBER(LifeExpectancyData[[#This Row],[Adult Mortality]:[Schooling]]),ISNUMBER(LifeExpectancyData[[#This Row],[Life expectancy]]), LifeExpectancyData[[#This Row],[Year]]=2013)</f>
        <v>0</v>
      </c>
    </row>
    <row r="425" spans="1:23" x14ac:dyDescent="0.25">
      <c r="A425" t="s">
        <v>300</v>
      </c>
      <c r="B425">
        <v>2008</v>
      </c>
      <c r="C425" t="s">
        <v>273</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cm="1">
        <f t="array" ref="W425">AND(ISNUMBER(LifeExpectancyData[[#This Row],[Adult Mortality]:[Schooling]]),ISNUMBER(LifeExpectancyData[[#This Row],[Life expectancy]]), LifeExpectancyData[[#This Row],[Year]]=2013)</f>
        <v>0</v>
      </c>
    </row>
    <row r="426" spans="1:23" x14ac:dyDescent="0.25">
      <c r="A426" t="s">
        <v>300</v>
      </c>
      <c r="B426">
        <v>2007</v>
      </c>
      <c r="C426" t="s">
        <v>273</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cm="1">
        <f t="array" ref="W426">AND(ISNUMBER(LifeExpectancyData[[#This Row],[Adult Mortality]:[Schooling]]),ISNUMBER(LifeExpectancyData[[#This Row],[Life expectancy]]), LifeExpectancyData[[#This Row],[Year]]=2013)</f>
        <v>0</v>
      </c>
    </row>
    <row r="427" spans="1:23" x14ac:dyDescent="0.25">
      <c r="A427" t="s">
        <v>300</v>
      </c>
      <c r="B427">
        <v>2006</v>
      </c>
      <c r="C427" t="s">
        <v>273</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cm="1">
        <f t="array" ref="W427">AND(ISNUMBER(LifeExpectancyData[[#This Row],[Adult Mortality]:[Schooling]]),ISNUMBER(LifeExpectancyData[[#This Row],[Life expectancy]]), LifeExpectancyData[[#This Row],[Year]]=2013)</f>
        <v>0</v>
      </c>
    </row>
    <row r="428" spans="1:23" x14ac:dyDescent="0.25">
      <c r="A428" t="s">
        <v>300</v>
      </c>
      <c r="B428">
        <v>2005</v>
      </c>
      <c r="C428" t="s">
        <v>273</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cm="1">
        <f t="array" ref="W428">AND(ISNUMBER(LifeExpectancyData[[#This Row],[Adult Mortality]:[Schooling]]),ISNUMBER(LifeExpectancyData[[#This Row],[Life expectancy]]), LifeExpectancyData[[#This Row],[Year]]=2013)</f>
        <v>0</v>
      </c>
    </row>
    <row r="429" spans="1:23" x14ac:dyDescent="0.25">
      <c r="A429" t="s">
        <v>300</v>
      </c>
      <c r="B429">
        <v>2004</v>
      </c>
      <c r="C429" t="s">
        <v>273</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cm="1">
        <f t="array" ref="W429">AND(ISNUMBER(LifeExpectancyData[[#This Row],[Adult Mortality]:[Schooling]]),ISNUMBER(LifeExpectancyData[[#This Row],[Life expectancy]]), LifeExpectancyData[[#This Row],[Year]]=2013)</f>
        <v>0</v>
      </c>
    </row>
    <row r="430" spans="1:23" hidden="1" x14ac:dyDescent="0.25">
      <c r="A430" t="s">
        <v>300</v>
      </c>
      <c r="B430">
        <v>2003</v>
      </c>
      <c r="C430" t="s">
        <v>273</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cm="1">
        <f t="array" ref="W430">AND(ISNUMBER(LifeExpectancyData[[#This Row],[Adult Mortality]:[Schooling]]),ISNUMBER(LifeExpectancyData[[#This Row],[Life expectancy]]), LifeExpectancyData[[#This Row],[Year]]=2013)</f>
        <v>0</v>
      </c>
    </row>
    <row r="431" spans="1:23" hidden="1" x14ac:dyDescent="0.25">
      <c r="A431" t="s">
        <v>300</v>
      </c>
      <c r="B431">
        <v>2002</v>
      </c>
      <c r="C431" t="s">
        <v>273</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cm="1">
        <f t="array" ref="W431">AND(ISNUMBER(LifeExpectancyData[[#This Row],[Adult Mortality]:[Schooling]]),ISNUMBER(LifeExpectancyData[[#This Row],[Life expectancy]]), LifeExpectancyData[[#This Row],[Year]]=2013)</f>
        <v>0</v>
      </c>
    </row>
    <row r="432" spans="1:23" hidden="1" x14ac:dyDescent="0.25">
      <c r="A432" t="s">
        <v>300</v>
      </c>
      <c r="B432">
        <v>2001</v>
      </c>
      <c r="C432" t="s">
        <v>273</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cm="1">
        <f t="array" ref="W432">AND(ISNUMBER(LifeExpectancyData[[#This Row],[Adult Mortality]:[Schooling]]),ISNUMBER(LifeExpectancyData[[#This Row],[Life expectancy]]), LifeExpectancyData[[#This Row],[Year]]=2013)</f>
        <v>0</v>
      </c>
    </row>
    <row r="433" spans="1:23" hidden="1" x14ac:dyDescent="0.25">
      <c r="A433" t="s">
        <v>300</v>
      </c>
      <c r="B433">
        <v>2000</v>
      </c>
      <c r="C433" t="s">
        <v>273</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cm="1">
        <f t="array" ref="W433">AND(ISNUMBER(LifeExpectancyData[[#This Row],[Adult Mortality]:[Schooling]]),ISNUMBER(LifeExpectancyData[[#This Row],[Life expectancy]]), LifeExpectancyData[[#This Row],[Year]]=2013)</f>
        <v>0</v>
      </c>
    </row>
    <row r="434" spans="1:23" hidden="1" x14ac:dyDescent="0.25">
      <c r="A434" t="s">
        <v>301</v>
      </c>
      <c r="B434">
        <v>2015</v>
      </c>
      <c r="C434" t="s">
        <v>273</v>
      </c>
      <c r="D434">
        <v>53.3</v>
      </c>
      <c r="E434">
        <v>397</v>
      </c>
      <c r="F434">
        <v>57</v>
      </c>
      <c r="H434">
        <v>0</v>
      </c>
      <c r="I434">
        <v>83</v>
      </c>
      <c r="J434">
        <v>65</v>
      </c>
      <c r="K434">
        <v>28</v>
      </c>
      <c r="L434">
        <v>79</v>
      </c>
      <c r="M434">
        <v>81</v>
      </c>
      <c r="O434">
        <v>83</v>
      </c>
      <c r="P434">
        <v>1.9</v>
      </c>
      <c r="S434">
        <v>5.5</v>
      </c>
      <c r="T434">
        <v>5.5</v>
      </c>
      <c r="W434" t="b" cm="1">
        <f t="array" ref="W434">AND(ISNUMBER(LifeExpectancyData[[#This Row],[Adult Mortality]:[Schooling]]),ISNUMBER(LifeExpectancyData[[#This Row],[Life expectancy]]), LifeExpectancyData[[#This Row],[Year]]=2013)</f>
        <v>0</v>
      </c>
    </row>
    <row r="435" spans="1:23" hidden="1" x14ac:dyDescent="0.25">
      <c r="A435" t="s">
        <v>301</v>
      </c>
      <c r="B435">
        <v>2014</v>
      </c>
      <c r="C435" t="s">
        <v>273</v>
      </c>
      <c r="D435">
        <v>52.8</v>
      </c>
      <c r="E435">
        <v>47</v>
      </c>
      <c r="F435">
        <v>58</v>
      </c>
      <c r="G435">
        <v>0.01</v>
      </c>
      <c r="H435">
        <v>0</v>
      </c>
      <c r="I435">
        <v>76</v>
      </c>
      <c r="J435">
        <v>50</v>
      </c>
      <c r="K435">
        <v>27.4</v>
      </c>
      <c r="L435">
        <v>80</v>
      </c>
      <c r="M435">
        <v>76</v>
      </c>
      <c r="N435">
        <v>5.72</v>
      </c>
      <c r="O435">
        <v>76</v>
      </c>
      <c r="P435">
        <v>2</v>
      </c>
      <c r="S435">
        <v>5.6</v>
      </c>
      <c r="T435">
        <v>5.6</v>
      </c>
      <c r="W435" t="b" cm="1">
        <f t="array" ref="W435">AND(ISNUMBER(LifeExpectancyData[[#This Row],[Adult Mortality]:[Schooling]]),ISNUMBER(LifeExpectancyData[[#This Row],[Life expectancy]]), LifeExpectancyData[[#This Row],[Year]]=2013)</f>
        <v>0</v>
      </c>
    </row>
    <row r="436" spans="1:23" hidden="1" x14ac:dyDescent="0.25">
      <c r="A436" t="s">
        <v>301</v>
      </c>
      <c r="B436">
        <v>2013</v>
      </c>
      <c r="C436" t="s">
        <v>273</v>
      </c>
      <c r="D436">
        <v>52.3</v>
      </c>
      <c r="E436">
        <v>412</v>
      </c>
      <c r="F436">
        <v>59</v>
      </c>
      <c r="G436">
        <v>3.15</v>
      </c>
      <c r="H436">
        <v>0</v>
      </c>
      <c r="I436">
        <v>8</v>
      </c>
      <c r="J436">
        <v>48</v>
      </c>
      <c r="K436">
        <v>26.8</v>
      </c>
      <c r="L436">
        <v>81</v>
      </c>
      <c r="M436">
        <v>79</v>
      </c>
      <c r="N436">
        <v>5.81</v>
      </c>
      <c r="O436">
        <v>8</v>
      </c>
      <c r="P436">
        <v>2.4</v>
      </c>
      <c r="S436">
        <v>5.8</v>
      </c>
      <c r="T436">
        <v>5.7</v>
      </c>
      <c r="W436" t="b" cm="1">
        <f t="array" ref="W436">AND(ISNUMBER(LifeExpectancyData[[#This Row],[Adult Mortality]:[Schooling]]),ISNUMBER(LifeExpectancyData[[#This Row],[Life expectancy]]), LifeExpectancyData[[#This Row],[Year]]=2013)</f>
        <v>0</v>
      </c>
    </row>
    <row r="437" spans="1:23" hidden="1" x14ac:dyDescent="0.25">
      <c r="A437" t="s">
        <v>301</v>
      </c>
      <c r="B437">
        <v>2012</v>
      </c>
      <c r="C437" t="s">
        <v>273</v>
      </c>
      <c r="D437">
        <v>52</v>
      </c>
      <c r="E437">
        <v>415</v>
      </c>
      <c r="F437">
        <v>59</v>
      </c>
      <c r="G437">
        <v>3.24</v>
      </c>
      <c r="H437">
        <v>0</v>
      </c>
      <c r="I437">
        <v>82</v>
      </c>
      <c r="J437">
        <v>137</v>
      </c>
      <c r="K437">
        <v>26.2</v>
      </c>
      <c r="L437">
        <v>82</v>
      </c>
      <c r="M437">
        <v>83</v>
      </c>
      <c r="N437">
        <v>6.14</v>
      </c>
      <c r="O437">
        <v>82</v>
      </c>
      <c r="P437">
        <v>2.9</v>
      </c>
      <c r="S437">
        <v>5.9</v>
      </c>
      <c r="T437">
        <v>5.9</v>
      </c>
      <c r="W437" t="b" cm="1">
        <f t="array" ref="W437">AND(ISNUMBER(LifeExpectancyData[[#This Row],[Adult Mortality]:[Schooling]]),ISNUMBER(LifeExpectancyData[[#This Row],[Life expectancy]]), LifeExpectancyData[[#This Row],[Year]]=2013)</f>
        <v>0</v>
      </c>
    </row>
    <row r="438" spans="1:23" hidden="1" x14ac:dyDescent="0.25">
      <c r="A438" t="s">
        <v>301</v>
      </c>
      <c r="B438">
        <v>2011</v>
      </c>
      <c r="C438" t="s">
        <v>273</v>
      </c>
      <c r="D438">
        <v>51.7</v>
      </c>
      <c r="E438">
        <v>419</v>
      </c>
      <c r="F438">
        <v>60</v>
      </c>
      <c r="G438">
        <v>3.13</v>
      </c>
      <c r="H438">
        <v>0</v>
      </c>
      <c r="I438">
        <v>62</v>
      </c>
      <c r="J438">
        <v>628</v>
      </c>
      <c r="K438">
        <v>25.6</v>
      </c>
      <c r="L438">
        <v>83</v>
      </c>
      <c r="M438">
        <v>58</v>
      </c>
      <c r="N438">
        <v>6.42</v>
      </c>
      <c r="O438">
        <v>62</v>
      </c>
      <c r="P438">
        <v>3.3</v>
      </c>
      <c r="S438">
        <v>6.1</v>
      </c>
      <c r="T438">
        <v>6</v>
      </c>
      <c r="W438" t="b" cm="1">
        <f t="array" ref="W438">AND(ISNUMBER(LifeExpectancyData[[#This Row],[Adult Mortality]:[Schooling]]),ISNUMBER(LifeExpectancyData[[#This Row],[Life expectancy]]), LifeExpectancyData[[#This Row],[Year]]=2013)</f>
        <v>0</v>
      </c>
    </row>
    <row r="439" spans="1:23" hidden="1" x14ac:dyDescent="0.25">
      <c r="A439" t="s">
        <v>301</v>
      </c>
      <c r="B439">
        <v>2010</v>
      </c>
      <c r="C439" t="s">
        <v>273</v>
      </c>
      <c r="D439">
        <v>51.5</v>
      </c>
      <c r="E439">
        <v>417</v>
      </c>
      <c r="F439">
        <v>60</v>
      </c>
      <c r="G439">
        <v>3.15</v>
      </c>
      <c r="H439">
        <v>0</v>
      </c>
      <c r="I439">
        <v>85</v>
      </c>
      <c r="J439">
        <v>441</v>
      </c>
      <c r="K439">
        <v>25</v>
      </c>
      <c r="L439">
        <v>84</v>
      </c>
      <c r="M439">
        <v>81</v>
      </c>
      <c r="N439">
        <v>6.32</v>
      </c>
      <c r="O439">
        <v>85</v>
      </c>
      <c r="P439">
        <v>3.3</v>
      </c>
      <c r="S439">
        <v>6.3</v>
      </c>
      <c r="T439">
        <v>6.2</v>
      </c>
      <c r="W439" t="b" cm="1">
        <f t="array" ref="W439">AND(ISNUMBER(LifeExpectancyData[[#This Row],[Adult Mortality]:[Schooling]]),ISNUMBER(LifeExpectancyData[[#This Row],[Life expectancy]]), LifeExpectancyData[[#This Row],[Year]]=2013)</f>
        <v>0</v>
      </c>
    </row>
    <row r="440" spans="1:23" hidden="1" x14ac:dyDescent="0.25">
      <c r="A440" t="s">
        <v>301</v>
      </c>
      <c r="B440">
        <v>2009</v>
      </c>
      <c r="C440" t="s">
        <v>273</v>
      </c>
      <c r="D440">
        <v>51</v>
      </c>
      <c r="E440">
        <v>426</v>
      </c>
      <c r="F440">
        <v>60</v>
      </c>
      <c r="G440">
        <v>2.92</v>
      </c>
      <c r="H440">
        <v>0</v>
      </c>
      <c r="I440">
        <v>81</v>
      </c>
      <c r="J440">
        <v>183</v>
      </c>
      <c r="K440">
        <v>24.4</v>
      </c>
      <c r="L440">
        <v>84</v>
      </c>
      <c r="M440">
        <v>77</v>
      </c>
      <c r="N440">
        <v>6.41</v>
      </c>
      <c r="O440">
        <v>81</v>
      </c>
      <c r="P440">
        <v>3.7</v>
      </c>
      <c r="S440">
        <v>6.5</v>
      </c>
      <c r="T440">
        <v>6.4</v>
      </c>
      <c r="W440" t="b" cm="1">
        <f t="array" ref="W440">AND(ISNUMBER(LifeExpectancyData[[#This Row],[Adult Mortality]:[Schooling]]),ISNUMBER(LifeExpectancyData[[#This Row],[Life expectancy]]), LifeExpectancyData[[#This Row],[Year]]=2013)</f>
        <v>0</v>
      </c>
    </row>
    <row r="441" spans="1:23" hidden="1" x14ac:dyDescent="0.25">
      <c r="A441" t="s">
        <v>301</v>
      </c>
      <c r="B441">
        <v>2008</v>
      </c>
      <c r="C441" t="s">
        <v>273</v>
      </c>
      <c r="D441">
        <v>54</v>
      </c>
      <c r="E441">
        <v>437</v>
      </c>
      <c r="F441">
        <v>60</v>
      </c>
      <c r="G441">
        <v>2.69</v>
      </c>
      <c r="H441">
        <v>0</v>
      </c>
      <c r="I441">
        <v>74</v>
      </c>
      <c r="J441">
        <v>12</v>
      </c>
      <c r="K441">
        <v>23.8</v>
      </c>
      <c r="L441">
        <v>85</v>
      </c>
      <c r="M441">
        <v>58</v>
      </c>
      <c r="N441">
        <v>6.21</v>
      </c>
      <c r="O441">
        <v>74</v>
      </c>
      <c r="P441">
        <v>4.0999999999999996</v>
      </c>
      <c r="S441">
        <v>6.6</v>
      </c>
      <c r="T441">
        <v>6.6</v>
      </c>
      <c r="W441" t="b" cm="1">
        <f t="array" ref="W441">AND(ISNUMBER(LifeExpectancyData[[#This Row],[Adult Mortality]:[Schooling]]),ISNUMBER(LifeExpectancyData[[#This Row],[Life expectancy]]), LifeExpectancyData[[#This Row],[Year]]=2013)</f>
        <v>0</v>
      </c>
    </row>
    <row r="442" spans="1:23" hidden="1" x14ac:dyDescent="0.25">
      <c r="A442" t="s">
        <v>301</v>
      </c>
      <c r="B442">
        <v>2007</v>
      </c>
      <c r="C442" t="s">
        <v>273</v>
      </c>
      <c r="D442">
        <v>49.9</v>
      </c>
      <c r="E442">
        <v>443</v>
      </c>
      <c r="F442">
        <v>61</v>
      </c>
      <c r="G442">
        <v>2.58</v>
      </c>
      <c r="H442">
        <v>0</v>
      </c>
      <c r="I442">
        <v>76</v>
      </c>
      <c r="J442">
        <v>5</v>
      </c>
      <c r="K442">
        <v>23.2</v>
      </c>
      <c r="L442">
        <v>87</v>
      </c>
      <c r="M442">
        <v>75</v>
      </c>
      <c r="N442">
        <v>6.35</v>
      </c>
      <c r="O442">
        <v>76</v>
      </c>
      <c r="P442">
        <v>5.3</v>
      </c>
      <c r="S442">
        <v>6.8</v>
      </c>
      <c r="T442">
        <v>6.7</v>
      </c>
      <c r="W442" t="b" cm="1">
        <f t="array" ref="W442">AND(ISNUMBER(LifeExpectancyData[[#This Row],[Adult Mortality]:[Schooling]]),ISNUMBER(LifeExpectancyData[[#This Row],[Life expectancy]]), LifeExpectancyData[[#This Row],[Year]]=2013)</f>
        <v>0</v>
      </c>
    </row>
    <row r="443" spans="1:23" hidden="1" x14ac:dyDescent="0.25">
      <c r="A443" t="s">
        <v>301</v>
      </c>
      <c r="B443">
        <v>2006</v>
      </c>
      <c r="C443" t="s">
        <v>273</v>
      </c>
      <c r="D443">
        <v>49.4</v>
      </c>
      <c r="E443">
        <v>452</v>
      </c>
      <c r="F443">
        <v>62</v>
      </c>
      <c r="G443">
        <v>2.65</v>
      </c>
      <c r="H443">
        <v>0</v>
      </c>
      <c r="I443">
        <v>77</v>
      </c>
      <c r="J443">
        <v>11</v>
      </c>
      <c r="K443">
        <v>22.6</v>
      </c>
      <c r="L443">
        <v>89</v>
      </c>
      <c r="M443">
        <v>76</v>
      </c>
      <c r="N443">
        <v>5.87</v>
      </c>
      <c r="O443">
        <v>77</v>
      </c>
      <c r="P443">
        <v>5.8</v>
      </c>
      <c r="S443">
        <v>7</v>
      </c>
      <c r="T443">
        <v>6.9</v>
      </c>
      <c r="W443" t="b" cm="1">
        <f t="array" ref="W443">AND(ISNUMBER(LifeExpectancyData[[#This Row],[Adult Mortality]:[Schooling]]),ISNUMBER(LifeExpectancyData[[#This Row],[Life expectancy]]), LifeExpectancyData[[#This Row],[Year]]=2013)</f>
        <v>0</v>
      </c>
    </row>
    <row r="444" spans="1:23" hidden="1" x14ac:dyDescent="0.25">
      <c r="A444" t="s">
        <v>301</v>
      </c>
      <c r="B444">
        <v>2005</v>
      </c>
      <c r="C444" t="s">
        <v>273</v>
      </c>
      <c r="D444">
        <v>48.7</v>
      </c>
      <c r="E444">
        <v>466</v>
      </c>
      <c r="F444">
        <v>63</v>
      </c>
      <c r="G444">
        <v>3.11</v>
      </c>
      <c r="H444">
        <v>0</v>
      </c>
      <c r="I444">
        <v>76</v>
      </c>
      <c r="J444">
        <v>115</v>
      </c>
      <c r="K444">
        <v>22.1</v>
      </c>
      <c r="L444">
        <v>90</v>
      </c>
      <c r="M444">
        <v>87</v>
      </c>
      <c r="N444">
        <v>5.39</v>
      </c>
      <c r="O444">
        <v>76</v>
      </c>
      <c r="P444">
        <v>6.1</v>
      </c>
      <c r="S444">
        <v>7.2</v>
      </c>
      <c r="T444">
        <v>7.1</v>
      </c>
      <c r="W444" t="b" cm="1">
        <f t="array" ref="W444">AND(ISNUMBER(LifeExpectancyData[[#This Row],[Adult Mortality]:[Schooling]]),ISNUMBER(LifeExpectancyData[[#This Row],[Life expectancy]]), LifeExpectancyData[[#This Row],[Year]]=2013)</f>
        <v>0</v>
      </c>
    </row>
    <row r="445" spans="1:23" hidden="1" x14ac:dyDescent="0.25">
      <c r="A445" t="s">
        <v>301</v>
      </c>
      <c r="B445">
        <v>2004</v>
      </c>
      <c r="C445" t="s">
        <v>273</v>
      </c>
      <c r="D445">
        <v>48.2</v>
      </c>
      <c r="E445">
        <v>472</v>
      </c>
      <c r="F445">
        <v>64</v>
      </c>
      <c r="G445">
        <v>3.08</v>
      </c>
      <c r="H445">
        <v>0</v>
      </c>
      <c r="I445">
        <v>67</v>
      </c>
      <c r="J445">
        <v>3466</v>
      </c>
      <c r="K445">
        <v>21.5</v>
      </c>
      <c r="L445">
        <v>91</v>
      </c>
      <c r="M445">
        <v>76</v>
      </c>
      <c r="N445">
        <v>5.24</v>
      </c>
      <c r="O445">
        <v>67</v>
      </c>
      <c r="P445">
        <v>6.5</v>
      </c>
      <c r="S445">
        <v>7.3</v>
      </c>
      <c r="T445">
        <v>7.3</v>
      </c>
      <c r="W445" t="b" cm="1">
        <f t="array" ref="W445">AND(ISNUMBER(LifeExpectancyData[[#This Row],[Adult Mortality]:[Schooling]]),ISNUMBER(LifeExpectancyData[[#This Row],[Life expectancy]]), LifeExpectancyData[[#This Row],[Year]]=2013)</f>
        <v>0</v>
      </c>
    </row>
    <row r="446" spans="1:23" hidden="1" x14ac:dyDescent="0.25">
      <c r="A446" t="s">
        <v>301</v>
      </c>
      <c r="B446">
        <v>2003</v>
      </c>
      <c r="C446" t="s">
        <v>273</v>
      </c>
      <c r="D446">
        <v>48</v>
      </c>
      <c r="E446">
        <v>473</v>
      </c>
      <c r="F446">
        <v>64</v>
      </c>
      <c r="G446">
        <v>3.12</v>
      </c>
      <c r="H446">
        <v>0</v>
      </c>
      <c r="I446">
        <v>63</v>
      </c>
      <c r="J446">
        <v>4770</v>
      </c>
      <c r="K446">
        <v>2.9</v>
      </c>
      <c r="L446">
        <v>92</v>
      </c>
      <c r="M446">
        <v>68</v>
      </c>
      <c r="N446">
        <v>4.6500000000000004</v>
      </c>
      <c r="O446">
        <v>61</v>
      </c>
      <c r="P446">
        <v>6.7</v>
      </c>
      <c r="S446">
        <v>7.5</v>
      </c>
      <c r="T446">
        <v>7.5</v>
      </c>
      <c r="W446" t="b" cm="1">
        <f t="array" ref="W446">AND(ISNUMBER(LifeExpectancyData[[#This Row],[Adult Mortality]:[Schooling]]),ISNUMBER(LifeExpectancyData[[#This Row],[Life expectancy]]), LifeExpectancyData[[#This Row],[Year]]=2013)</f>
        <v>0</v>
      </c>
    </row>
    <row r="447" spans="1:23" hidden="1" x14ac:dyDescent="0.25">
      <c r="A447" t="s">
        <v>301</v>
      </c>
      <c r="B447">
        <v>2002</v>
      </c>
      <c r="C447" t="s">
        <v>273</v>
      </c>
      <c r="D447">
        <v>47.7</v>
      </c>
      <c r="E447">
        <v>473</v>
      </c>
      <c r="F447">
        <v>65</v>
      </c>
      <c r="G447">
        <v>3.13</v>
      </c>
      <c r="H447">
        <v>0</v>
      </c>
      <c r="I447">
        <v>48</v>
      </c>
      <c r="J447">
        <v>5882</v>
      </c>
      <c r="K447">
        <v>2.4</v>
      </c>
      <c r="L447">
        <v>93</v>
      </c>
      <c r="M447">
        <v>7</v>
      </c>
      <c r="N447">
        <v>4.47</v>
      </c>
      <c r="O447">
        <v>64</v>
      </c>
      <c r="P447">
        <v>6.9</v>
      </c>
      <c r="S447">
        <v>7.7</v>
      </c>
      <c r="T447">
        <v>7.7</v>
      </c>
      <c r="W447" t="b" cm="1">
        <f t="array" ref="W447">AND(ISNUMBER(LifeExpectancyData[[#This Row],[Adult Mortality]:[Schooling]]),ISNUMBER(LifeExpectancyData[[#This Row],[Life expectancy]]), LifeExpectancyData[[#This Row],[Year]]=2013)</f>
        <v>0</v>
      </c>
    </row>
    <row r="448" spans="1:23" hidden="1" x14ac:dyDescent="0.25">
      <c r="A448" t="s">
        <v>301</v>
      </c>
      <c r="B448">
        <v>2001</v>
      </c>
      <c r="C448" t="s">
        <v>273</v>
      </c>
      <c r="D448">
        <v>47.8</v>
      </c>
      <c r="E448">
        <v>467</v>
      </c>
      <c r="F448">
        <v>65</v>
      </c>
      <c r="G448">
        <v>3.15</v>
      </c>
      <c r="H448">
        <v>0</v>
      </c>
      <c r="I448">
        <v>1</v>
      </c>
      <c r="J448">
        <v>5790</v>
      </c>
      <c r="K448">
        <v>19.899999999999999</v>
      </c>
      <c r="L448">
        <v>94</v>
      </c>
      <c r="M448">
        <v>7</v>
      </c>
      <c r="N448">
        <v>4.8499999999999996</v>
      </c>
      <c r="O448">
        <v>66</v>
      </c>
      <c r="P448">
        <v>7</v>
      </c>
      <c r="S448">
        <v>7.9</v>
      </c>
      <c r="T448">
        <v>7.9</v>
      </c>
      <c r="W448" t="b" cm="1">
        <f t="array" ref="W448">AND(ISNUMBER(LifeExpectancyData[[#This Row],[Adult Mortality]:[Schooling]]),ISNUMBER(LifeExpectancyData[[#This Row],[Life expectancy]]), LifeExpectancyData[[#This Row],[Year]]=2013)</f>
        <v>0</v>
      </c>
    </row>
    <row r="449" spans="1:23" hidden="1" x14ac:dyDescent="0.25">
      <c r="A449" t="s">
        <v>301</v>
      </c>
      <c r="B449">
        <v>2000</v>
      </c>
      <c r="C449" t="s">
        <v>273</v>
      </c>
      <c r="D449">
        <v>47.9</v>
      </c>
      <c r="E449">
        <v>461</v>
      </c>
      <c r="F449">
        <v>67</v>
      </c>
      <c r="G449">
        <v>3.45</v>
      </c>
      <c r="H449">
        <v>0</v>
      </c>
      <c r="J449">
        <v>5729</v>
      </c>
      <c r="K449">
        <v>19.399999999999999</v>
      </c>
      <c r="L449">
        <v>95</v>
      </c>
      <c r="M449">
        <v>66</v>
      </c>
      <c r="N449">
        <v>6</v>
      </c>
      <c r="O449">
        <v>65</v>
      </c>
      <c r="P449">
        <v>7.1</v>
      </c>
      <c r="S449">
        <v>8.1</v>
      </c>
      <c r="T449">
        <v>8.1</v>
      </c>
      <c r="W449" t="b" cm="1">
        <f t="array" ref="W449">AND(ISNUMBER(LifeExpectancyData[[#This Row],[Adult Mortality]:[Schooling]]),ISNUMBER(LifeExpectancyData[[#This Row],[Life expectancy]]), LifeExpectancyData[[#This Row],[Year]]=2013)</f>
        <v>0</v>
      </c>
    </row>
    <row r="450" spans="1:23" hidden="1" x14ac:dyDescent="0.25">
      <c r="A450" t="s">
        <v>302</v>
      </c>
      <c r="B450">
        <v>2015</v>
      </c>
      <c r="C450" t="s">
        <v>273</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cm="1">
        <f t="array" ref="W450">AND(ISNUMBER(LifeExpectancyData[[#This Row],[Adult Mortality]:[Schooling]]),ISNUMBER(LifeExpectancyData[[#This Row],[Life expectancy]]), LifeExpectancyData[[#This Row],[Year]]=2013)</f>
        <v>0</v>
      </c>
    </row>
    <row r="451" spans="1:23" x14ac:dyDescent="0.25">
      <c r="A451" t="s">
        <v>302</v>
      </c>
      <c r="B451">
        <v>2014</v>
      </c>
      <c r="C451" t="s">
        <v>273</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cm="1">
        <f t="array" ref="W451">AND(ISNUMBER(LifeExpectancyData[[#This Row],[Adult Mortality]:[Schooling]]),ISNUMBER(LifeExpectancyData[[#This Row],[Life expectancy]]), LifeExpectancyData[[#This Row],[Year]]=2013)</f>
        <v>0</v>
      </c>
    </row>
    <row r="452" spans="1:23" x14ac:dyDescent="0.25">
      <c r="A452" t="s">
        <v>302</v>
      </c>
      <c r="B452">
        <v>2013</v>
      </c>
      <c r="C452" t="s">
        <v>273</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cm="1">
        <f t="array" ref="W452">AND(ISNUMBER(LifeExpectancyData[[#This Row],[Adult Mortality]:[Schooling]]),ISNUMBER(LifeExpectancyData[[#This Row],[Life expectancy]]), LifeExpectancyData[[#This Row],[Year]]=2013)</f>
        <v>1</v>
      </c>
    </row>
    <row r="453" spans="1:23" x14ac:dyDescent="0.25">
      <c r="A453" t="s">
        <v>302</v>
      </c>
      <c r="B453">
        <v>2012</v>
      </c>
      <c r="C453" t="s">
        <v>273</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cm="1">
        <f t="array" ref="W453">AND(ISNUMBER(LifeExpectancyData[[#This Row],[Adult Mortality]:[Schooling]]),ISNUMBER(LifeExpectancyData[[#This Row],[Life expectancy]]), LifeExpectancyData[[#This Row],[Year]]=2013)</f>
        <v>0</v>
      </c>
    </row>
    <row r="454" spans="1:23" x14ac:dyDescent="0.25">
      <c r="A454" t="s">
        <v>302</v>
      </c>
      <c r="B454">
        <v>2011</v>
      </c>
      <c r="C454" t="s">
        <v>273</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cm="1">
        <f t="array" ref="W454">AND(ISNUMBER(LifeExpectancyData[[#This Row],[Adult Mortality]:[Schooling]]),ISNUMBER(LifeExpectancyData[[#This Row],[Life expectancy]]), LifeExpectancyData[[#This Row],[Year]]=2013)</f>
        <v>0</v>
      </c>
    </row>
    <row r="455" spans="1:23" x14ac:dyDescent="0.25">
      <c r="A455" t="s">
        <v>302</v>
      </c>
      <c r="B455">
        <v>2010</v>
      </c>
      <c r="C455" t="s">
        <v>273</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cm="1">
        <f t="array" ref="W455">AND(ISNUMBER(LifeExpectancyData[[#This Row],[Adult Mortality]:[Schooling]]),ISNUMBER(LifeExpectancyData[[#This Row],[Life expectancy]]), LifeExpectancyData[[#This Row],[Year]]=2013)</f>
        <v>0</v>
      </c>
    </row>
    <row r="456" spans="1:23" x14ac:dyDescent="0.25">
      <c r="A456" t="s">
        <v>302</v>
      </c>
      <c r="B456">
        <v>2009</v>
      </c>
      <c r="C456" t="s">
        <v>273</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cm="1">
        <f t="array" ref="W456">AND(ISNUMBER(LifeExpectancyData[[#This Row],[Adult Mortality]:[Schooling]]),ISNUMBER(LifeExpectancyData[[#This Row],[Life expectancy]]), LifeExpectancyData[[#This Row],[Year]]=2013)</f>
        <v>0</v>
      </c>
    </row>
    <row r="457" spans="1:23" x14ac:dyDescent="0.25">
      <c r="A457" t="s">
        <v>302</v>
      </c>
      <c r="B457">
        <v>2008</v>
      </c>
      <c r="C457" t="s">
        <v>273</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cm="1">
        <f t="array" ref="W457">AND(ISNUMBER(LifeExpectancyData[[#This Row],[Adult Mortality]:[Schooling]]),ISNUMBER(LifeExpectancyData[[#This Row],[Life expectancy]]), LifeExpectancyData[[#This Row],[Year]]=2013)</f>
        <v>0</v>
      </c>
    </row>
    <row r="458" spans="1:23" x14ac:dyDescent="0.25">
      <c r="A458" t="s">
        <v>302</v>
      </c>
      <c r="B458">
        <v>2007</v>
      </c>
      <c r="C458" t="s">
        <v>273</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cm="1">
        <f t="array" ref="W458">AND(ISNUMBER(LifeExpectancyData[[#This Row],[Adult Mortality]:[Schooling]]),ISNUMBER(LifeExpectancyData[[#This Row],[Life expectancy]]), LifeExpectancyData[[#This Row],[Year]]=2013)</f>
        <v>0</v>
      </c>
    </row>
    <row r="459" spans="1:23" x14ac:dyDescent="0.25">
      <c r="A459" t="s">
        <v>302</v>
      </c>
      <c r="B459">
        <v>2006</v>
      </c>
      <c r="C459" t="s">
        <v>273</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cm="1">
        <f t="array" ref="W459">AND(ISNUMBER(LifeExpectancyData[[#This Row],[Adult Mortality]:[Schooling]]),ISNUMBER(LifeExpectancyData[[#This Row],[Life expectancy]]), LifeExpectancyData[[#This Row],[Year]]=2013)</f>
        <v>0</v>
      </c>
    </row>
    <row r="460" spans="1:23" x14ac:dyDescent="0.25">
      <c r="A460" t="s">
        <v>302</v>
      </c>
      <c r="B460">
        <v>2005</v>
      </c>
      <c r="C460" t="s">
        <v>273</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cm="1">
        <f t="array" ref="W460">AND(ISNUMBER(LifeExpectancyData[[#This Row],[Adult Mortality]:[Schooling]]),ISNUMBER(LifeExpectancyData[[#This Row],[Life expectancy]]), LifeExpectancyData[[#This Row],[Year]]=2013)</f>
        <v>0</v>
      </c>
    </row>
    <row r="461" spans="1:23" x14ac:dyDescent="0.25">
      <c r="A461" t="s">
        <v>302</v>
      </c>
      <c r="B461">
        <v>2004</v>
      </c>
      <c r="C461" t="s">
        <v>273</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cm="1">
        <f t="array" ref="W461">AND(ISNUMBER(LifeExpectancyData[[#This Row],[Adult Mortality]:[Schooling]]),ISNUMBER(LifeExpectancyData[[#This Row],[Life expectancy]]), LifeExpectancyData[[#This Row],[Year]]=2013)</f>
        <v>0</v>
      </c>
    </row>
    <row r="462" spans="1:23" x14ac:dyDescent="0.25">
      <c r="A462" t="s">
        <v>302</v>
      </c>
      <c r="B462">
        <v>2003</v>
      </c>
      <c r="C462" t="s">
        <v>273</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cm="1">
        <f t="array" ref="W462">AND(ISNUMBER(LifeExpectancyData[[#This Row],[Adult Mortality]:[Schooling]]),ISNUMBER(LifeExpectancyData[[#This Row],[Life expectancy]]), LifeExpectancyData[[#This Row],[Year]]=2013)</f>
        <v>0</v>
      </c>
    </row>
    <row r="463" spans="1:23" x14ac:dyDescent="0.25">
      <c r="A463" t="s">
        <v>302</v>
      </c>
      <c r="B463">
        <v>2002</v>
      </c>
      <c r="C463" t="s">
        <v>273</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cm="1">
        <f t="array" ref="W463">AND(ISNUMBER(LifeExpectancyData[[#This Row],[Adult Mortality]:[Schooling]]),ISNUMBER(LifeExpectancyData[[#This Row],[Life expectancy]]), LifeExpectancyData[[#This Row],[Year]]=2013)</f>
        <v>0</v>
      </c>
    </row>
    <row r="464" spans="1:23" hidden="1" x14ac:dyDescent="0.25">
      <c r="A464" t="s">
        <v>302</v>
      </c>
      <c r="B464">
        <v>2001</v>
      </c>
      <c r="C464" t="s">
        <v>273</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cm="1">
        <f t="array" ref="W464">AND(ISNUMBER(LifeExpectancyData[[#This Row],[Adult Mortality]:[Schooling]]),ISNUMBER(LifeExpectancyData[[#This Row],[Life expectancy]]), LifeExpectancyData[[#This Row],[Year]]=2013)</f>
        <v>0</v>
      </c>
    </row>
    <row r="465" spans="1:23" hidden="1" x14ac:dyDescent="0.25">
      <c r="A465" t="s">
        <v>302</v>
      </c>
      <c r="B465">
        <v>2000</v>
      </c>
      <c r="C465" t="s">
        <v>273</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cm="1">
        <f t="array" ref="W465">AND(ISNUMBER(LifeExpectancyData[[#This Row],[Adult Mortality]:[Schooling]]),ISNUMBER(LifeExpectancyData[[#This Row],[Life expectancy]]), LifeExpectancyData[[#This Row],[Year]]=2013)</f>
        <v>0</v>
      </c>
    </row>
    <row r="466" spans="1:23" hidden="1" x14ac:dyDescent="0.25">
      <c r="A466" t="s">
        <v>303</v>
      </c>
      <c r="B466">
        <v>2015</v>
      </c>
      <c r="C466" t="s">
        <v>273</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cm="1">
        <f t="array" ref="W466">AND(ISNUMBER(LifeExpectancyData[[#This Row],[Adult Mortality]:[Schooling]]),ISNUMBER(LifeExpectancyData[[#This Row],[Life expectancy]]), LifeExpectancyData[[#This Row],[Year]]=2013)</f>
        <v>0</v>
      </c>
    </row>
    <row r="467" spans="1:23" x14ac:dyDescent="0.25">
      <c r="A467" t="s">
        <v>303</v>
      </c>
      <c r="B467">
        <v>2014</v>
      </c>
      <c r="C467" t="s">
        <v>273</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cm="1">
        <f t="array" ref="W467">AND(ISNUMBER(LifeExpectancyData[[#This Row],[Adult Mortality]:[Schooling]]),ISNUMBER(LifeExpectancyData[[#This Row],[Life expectancy]]), LifeExpectancyData[[#This Row],[Year]]=2013)</f>
        <v>0</v>
      </c>
    </row>
    <row r="468" spans="1:23" x14ac:dyDescent="0.25">
      <c r="A468" t="s">
        <v>303</v>
      </c>
      <c r="B468">
        <v>2013</v>
      </c>
      <c r="C468" t="s">
        <v>273</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cm="1">
        <f t="array" ref="W468">AND(ISNUMBER(LifeExpectancyData[[#This Row],[Adult Mortality]:[Schooling]]),ISNUMBER(LifeExpectancyData[[#This Row],[Life expectancy]]), LifeExpectancyData[[#This Row],[Year]]=2013)</f>
        <v>1</v>
      </c>
    </row>
    <row r="469" spans="1:23" x14ac:dyDescent="0.25">
      <c r="A469" t="s">
        <v>303</v>
      </c>
      <c r="B469">
        <v>2012</v>
      </c>
      <c r="C469" t="s">
        <v>273</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cm="1">
        <f t="array" ref="W469">AND(ISNUMBER(LifeExpectancyData[[#This Row],[Adult Mortality]:[Schooling]]),ISNUMBER(LifeExpectancyData[[#This Row],[Life expectancy]]), LifeExpectancyData[[#This Row],[Year]]=2013)</f>
        <v>0</v>
      </c>
    </row>
    <row r="470" spans="1:23" x14ac:dyDescent="0.25">
      <c r="A470" t="s">
        <v>303</v>
      </c>
      <c r="B470">
        <v>2011</v>
      </c>
      <c r="C470" t="s">
        <v>273</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cm="1">
        <f t="array" ref="W470">AND(ISNUMBER(LifeExpectancyData[[#This Row],[Adult Mortality]:[Schooling]]),ISNUMBER(LifeExpectancyData[[#This Row],[Life expectancy]]), LifeExpectancyData[[#This Row],[Year]]=2013)</f>
        <v>0</v>
      </c>
    </row>
    <row r="471" spans="1:23" x14ac:dyDescent="0.25">
      <c r="A471" t="s">
        <v>303</v>
      </c>
      <c r="B471">
        <v>2010</v>
      </c>
      <c r="C471" t="s">
        <v>273</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cm="1">
        <f t="array" ref="W471">AND(ISNUMBER(LifeExpectancyData[[#This Row],[Adult Mortality]:[Schooling]]),ISNUMBER(LifeExpectancyData[[#This Row],[Life expectancy]]), LifeExpectancyData[[#This Row],[Year]]=2013)</f>
        <v>0</v>
      </c>
    </row>
    <row r="472" spans="1:23" x14ac:dyDescent="0.25">
      <c r="A472" t="s">
        <v>303</v>
      </c>
      <c r="B472">
        <v>2009</v>
      </c>
      <c r="C472" t="s">
        <v>273</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cm="1">
        <f t="array" ref="W472">AND(ISNUMBER(LifeExpectancyData[[#This Row],[Adult Mortality]:[Schooling]]),ISNUMBER(LifeExpectancyData[[#This Row],[Life expectancy]]), LifeExpectancyData[[#This Row],[Year]]=2013)</f>
        <v>0</v>
      </c>
    </row>
    <row r="473" spans="1:23" x14ac:dyDescent="0.25">
      <c r="A473" t="s">
        <v>303</v>
      </c>
      <c r="B473">
        <v>2008</v>
      </c>
      <c r="C473" t="s">
        <v>273</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cm="1">
        <f t="array" ref="W473">AND(ISNUMBER(LifeExpectancyData[[#This Row],[Adult Mortality]:[Schooling]]),ISNUMBER(LifeExpectancyData[[#This Row],[Life expectancy]]), LifeExpectancyData[[#This Row],[Year]]=2013)</f>
        <v>0</v>
      </c>
    </row>
    <row r="474" spans="1:23" x14ac:dyDescent="0.25">
      <c r="A474" t="s">
        <v>303</v>
      </c>
      <c r="B474">
        <v>2007</v>
      </c>
      <c r="C474" t="s">
        <v>273</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cm="1">
        <f t="array" ref="W474">AND(ISNUMBER(LifeExpectancyData[[#This Row],[Adult Mortality]:[Schooling]]),ISNUMBER(LifeExpectancyData[[#This Row],[Life expectancy]]), LifeExpectancyData[[#This Row],[Year]]=2013)</f>
        <v>0</v>
      </c>
    </row>
    <row r="475" spans="1:23" x14ac:dyDescent="0.25">
      <c r="A475" t="s">
        <v>303</v>
      </c>
      <c r="B475">
        <v>2006</v>
      </c>
      <c r="C475" t="s">
        <v>273</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cm="1">
        <f t="array" ref="W475">AND(ISNUMBER(LifeExpectancyData[[#This Row],[Adult Mortality]:[Schooling]]),ISNUMBER(LifeExpectancyData[[#This Row],[Life expectancy]]), LifeExpectancyData[[#This Row],[Year]]=2013)</f>
        <v>0</v>
      </c>
    </row>
    <row r="476" spans="1:23" hidden="1" x14ac:dyDescent="0.25">
      <c r="A476" t="s">
        <v>303</v>
      </c>
      <c r="B476">
        <v>2005</v>
      </c>
      <c r="C476" t="s">
        <v>273</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cm="1">
        <f t="array" ref="W476">AND(ISNUMBER(LifeExpectancyData[[#This Row],[Adult Mortality]:[Schooling]]),ISNUMBER(LifeExpectancyData[[#This Row],[Life expectancy]]), LifeExpectancyData[[#This Row],[Year]]=2013)</f>
        <v>0</v>
      </c>
    </row>
    <row r="477" spans="1:23" hidden="1" x14ac:dyDescent="0.25">
      <c r="A477" t="s">
        <v>303</v>
      </c>
      <c r="B477">
        <v>2004</v>
      </c>
      <c r="C477" t="s">
        <v>273</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cm="1">
        <f t="array" ref="W477">AND(ISNUMBER(LifeExpectancyData[[#This Row],[Adult Mortality]:[Schooling]]),ISNUMBER(LifeExpectancyData[[#This Row],[Life expectancy]]), LifeExpectancyData[[#This Row],[Year]]=2013)</f>
        <v>0</v>
      </c>
    </row>
    <row r="478" spans="1:23" hidden="1" x14ac:dyDescent="0.25">
      <c r="A478" t="s">
        <v>303</v>
      </c>
      <c r="B478">
        <v>2003</v>
      </c>
      <c r="C478" t="s">
        <v>273</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cm="1">
        <f t="array" ref="W478">AND(ISNUMBER(LifeExpectancyData[[#This Row],[Adult Mortality]:[Schooling]]),ISNUMBER(LifeExpectancyData[[#This Row],[Life expectancy]]), LifeExpectancyData[[#This Row],[Year]]=2013)</f>
        <v>0</v>
      </c>
    </row>
    <row r="479" spans="1:23" hidden="1" x14ac:dyDescent="0.25">
      <c r="A479" t="s">
        <v>303</v>
      </c>
      <c r="B479">
        <v>2002</v>
      </c>
      <c r="C479" t="s">
        <v>273</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cm="1">
        <f t="array" ref="W479">AND(ISNUMBER(LifeExpectancyData[[#This Row],[Adult Mortality]:[Schooling]]),ISNUMBER(LifeExpectancyData[[#This Row],[Life expectancy]]), LifeExpectancyData[[#This Row],[Year]]=2013)</f>
        <v>0</v>
      </c>
    </row>
    <row r="480" spans="1:23" hidden="1" x14ac:dyDescent="0.25">
      <c r="A480" t="s">
        <v>303</v>
      </c>
      <c r="B480">
        <v>2001</v>
      </c>
      <c r="C480" t="s">
        <v>273</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cm="1">
        <f t="array" ref="W480">AND(ISNUMBER(LifeExpectancyData[[#This Row],[Adult Mortality]:[Schooling]]),ISNUMBER(LifeExpectancyData[[#This Row],[Life expectancy]]), LifeExpectancyData[[#This Row],[Year]]=2013)</f>
        <v>0</v>
      </c>
    </row>
    <row r="481" spans="1:23" hidden="1" x14ac:dyDescent="0.25">
      <c r="A481" t="s">
        <v>303</v>
      </c>
      <c r="B481">
        <v>2000</v>
      </c>
      <c r="C481" t="s">
        <v>273</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cm="1">
        <f t="array" ref="W481">AND(ISNUMBER(LifeExpectancyData[[#This Row],[Adult Mortality]:[Schooling]]),ISNUMBER(LifeExpectancyData[[#This Row],[Life expectancy]]), LifeExpectancyData[[#This Row],[Year]]=2013)</f>
        <v>0</v>
      </c>
    </row>
    <row r="482" spans="1:23" hidden="1" x14ac:dyDescent="0.25">
      <c r="A482" t="s">
        <v>304</v>
      </c>
      <c r="B482">
        <v>2015</v>
      </c>
      <c r="C482" t="s">
        <v>273</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cm="1">
        <f t="array" ref="W482">AND(ISNUMBER(LifeExpectancyData[[#This Row],[Adult Mortality]:[Schooling]]),ISNUMBER(LifeExpectancyData[[#This Row],[Life expectancy]]), LifeExpectancyData[[#This Row],[Year]]=2013)</f>
        <v>0</v>
      </c>
    </row>
    <row r="483" spans="1:23" x14ac:dyDescent="0.25">
      <c r="A483" t="s">
        <v>304</v>
      </c>
      <c r="B483">
        <v>2014</v>
      </c>
      <c r="C483" t="s">
        <v>273</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cm="1">
        <f t="array" ref="W483">AND(ISNUMBER(LifeExpectancyData[[#This Row],[Adult Mortality]:[Schooling]]),ISNUMBER(LifeExpectancyData[[#This Row],[Life expectancy]]), LifeExpectancyData[[#This Row],[Year]]=2013)</f>
        <v>0</v>
      </c>
    </row>
    <row r="484" spans="1:23" x14ac:dyDescent="0.25">
      <c r="A484" t="s">
        <v>304</v>
      </c>
      <c r="B484">
        <v>2013</v>
      </c>
      <c r="C484" t="s">
        <v>273</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cm="1">
        <f t="array" ref="W484">AND(ISNUMBER(LifeExpectancyData[[#This Row],[Adult Mortality]:[Schooling]]),ISNUMBER(LifeExpectancyData[[#This Row],[Life expectancy]]), LifeExpectancyData[[#This Row],[Year]]=2013)</f>
        <v>1</v>
      </c>
    </row>
    <row r="485" spans="1:23" x14ac:dyDescent="0.25">
      <c r="A485" t="s">
        <v>304</v>
      </c>
      <c r="B485">
        <v>2012</v>
      </c>
      <c r="C485" t="s">
        <v>273</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cm="1">
        <f t="array" ref="W485">AND(ISNUMBER(LifeExpectancyData[[#This Row],[Adult Mortality]:[Schooling]]),ISNUMBER(LifeExpectancyData[[#This Row],[Life expectancy]]), LifeExpectancyData[[#This Row],[Year]]=2013)</f>
        <v>0</v>
      </c>
    </row>
    <row r="486" spans="1:23" x14ac:dyDescent="0.25">
      <c r="A486" t="s">
        <v>304</v>
      </c>
      <c r="B486">
        <v>2011</v>
      </c>
      <c r="C486" t="s">
        <v>273</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cm="1">
        <f t="array" ref="W486">AND(ISNUMBER(LifeExpectancyData[[#This Row],[Adult Mortality]:[Schooling]]),ISNUMBER(LifeExpectancyData[[#This Row],[Life expectancy]]), LifeExpectancyData[[#This Row],[Year]]=2013)</f>
        <v>0</v>
      </c>
    </row>
    <row r="487" spans="1:23" x14ac:dyDescent="0.25">
      <c r="A487" t="s">
        <v>304</v>
      </c>
      <c r="B487">
        <v>2010</v>
      </c>
      <c r="C487" t="s">
        <v>273</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cm="1">
        <f t="array" ref="W487">AND(ISNUMBER(LifeExpectancyData[[#This Row],[Adult Mortality]:[Schooling]]),ISNUMBER(LifeExpectancyData[[#This Row],[Life expectancy]]), LifeExpectancyData[[#This Row],[Year]]=2013)</f>
        <v>0</v>
      </c>
    </row>
    <row r="488" spans="1:23" x14ac:dyDescent="0.25">
      <c r="A488" t="s">
        <v>304</v>
      </c>
      <c r="B488">
        <v>2009</v>
      </c>
      <c r="C488" t="s">
        <v>273</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cm="1">
        <f t="array" ref="W488">AND(ISNUMBER(LifeExpectancyData[[#This Row],[Adult Mortality]:[Schooling]]),ISNUMBER(LifeExpectancyData[[#This Row],[Life expectancy]]), LifeExpectancyData[[#This Row],[Year]]=2013)</f>
        <v>0</v>
      </c>
    </row>
    <row r="489" spans="1:23" x14ac:dyDescent="0.25">
      <c r="A489" t="s">
        <v>304</v>
      </c>
      <c r="B489">
        <v>2008</v>
      </c>
      <c r="C489" t="s">
        <v>273</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cm="1">
        <f t="array" ref="W489">AND(ISNUMBER(LifeExpectancyData[[#This Row],[Adult Mortality]:[Schooling]]),ISNUMBER(LifeExpectancyData[[#This Row],[Life expectancy]]), LifeExpectancyData[[#This Row],[Year]]=2013)</f>
        <v>0</v>
      </c>
    </row>
    <row r="490" spans="1:23" x14ac:dyDescent="0.25">
      <c r="A490" t="s">
        <v>304</v>
      </c>
      <c r="B490">
        <v>2007</v>
      </c>
      <c r="C490" t="s">
        <v>273</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cm="1">
        <f t="array" ref="W490">AND(ISNUMBER(LifeExpectancyData[[#This Row],[Adult Mortality]:[Schooling]]),ISNUMBER(LifeExpectancyData[[#This Row],[Life expectancy]]), LifeExpectancyData[[#This Row],[Year]]=2013)</f>
        <v>0</v>
      </c>
    </row>
    <row r="491" spans="1:23" x14ac:dyDescent="0.25">
      <c r="A491" t="s">
        <v>304</v>
      </c>
      <c r="B491">
        <v>2006</v>
      </c>
      <c r="C491" t="s">
        <v>273</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cm="1">
        <f t="array" ref="W491">AND(ISNUMBER(LifeExpectancyData[[#This Row],[Adult Mortality]:[Schooling]]),ISNUMBER(LifeExpectancyData[[#This Row],[Life expectancy]]), LifeExpectancyData[[#This Row],[Year]]=2013)</f>
        <v>0</v>
      </c>
    </row>
    <row r="492" spans="1:23" x14ac:dyDescent="0.25">
      <c r="A492" t="s">
        <v>304</v>
      </c>
      <c r="B492">
        <v>2005</v>
      </c>
      <c r="C492" t="s">
        <v>273</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cm="1">
        <f t="array" ref="W492">AND(ISNUMBER(LifeExpectancyData[[#This Row],[Adult Mortality]:[Schooling]]),ISNUMBER(LifeExpectancyData[[#This Row],[Life expectancy]]), LifeExpectancyData[[#This Row],[Year]]=2013)</f>
        <v>0</v>
      </c>
    </row>
    <row r="493" spans="1:23" hidden="1" x14ac:dyDescent="0.25">
      <c r="A493" t="s">
        <v>304</v>
      </c>
      <c r="B493">
        <v>2004</v>
      </c>
      <c r="C493" t="s">
        <v>273</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cm="1">
        <f t="array" ref="W493">AND(ISNUMBER(LifeExpectancyData[[#This Row],[Adult Mortality]:[Schooling]]),ISNUMBER(LifeExpectancyData[[#This Row],[Life expectancy]]), LifeExpectancyData[[#This Row],[Year]]=2013)</f>
        <v>0</v>
      </c>
    </row>
    <row r="494" spans="1:23" hidden="1" x14ac:dyDescent="0.25">
      <c r="A494" t="s">
        <v>304</v>
      </c>
      <c r="B494">
        <v>2003</v>
      </c>
      <c r="C494" t="s">
        <v>273</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cm="1">
        <f t="array" ref="W494">AND(ISNUMBER(LifeExpectancyData[[#This Row],[Adult Mortality]:[Schooling]]),ISNUMBER(LifeExpectancyData[[#This Row],[Life expectancy]]), LifeExpectancyData[[#This Row],[Year]]=2013)</f>
        <v>0</v>
      </c>
    </row>
    <row r="495" spans="1:23" hidden="1" x14ac:dyDescent="0.25">
      <c r="A495" t="s">
        <v>304</v>
      </c>
      <c r="B495">
        <v>2002</v>
      </c>
      <c r="C495" t="s">
        <v>273</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cm="1">
        <f t="array" ref="W495">AND(ISNUMBER(LifeExpectancyData[[#This Row],[Adult Mortality]:[Schooling]]),ISNUMBER(LifeExpectancyData[[#This Row],[Life expectancy]]), LifeExpectancyData[[#This Row],[Year]]=2013)</f>
        <v>0</v>
      </c>
    </row>
    <row r="496" spans="1:23" hidden="1" x14ac:dyDescent="0.25">
      <c r="A496" t="s">
        <v>304</v>
      </c>
      <c r="B496">
        <v>2001</v>
      </c>
      <c r="C496" t="s">
        <v>273</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cm="1">
        <f t="array" ref="W496">AND(ISNUMBER(LifeExpectancyData[[#This Row],[Adult Mortality]:[Schooling]]),ISNUMBER(LifeExpectancyData[[#This Row],[Life expectancy]]), LifeExpectancyData[[#This Row],[Year]]=2013)</f>
        <v>0</v>
      </c>
    </row>
    <row r="497" spans="1:23" hidden="1" x14ac:dyDescent="0.25">
      <c r="A497" t="s">
        <v>304</v>
      </c>
      <c r="B497">
        <v>2000</v>
      </c>
      <c r="C497" t="s">
        <v>273</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cm="1">
        <f t="array" ref="W497">AND(ISNUMBER(LifeExpectancyData[[#This Row],[Adult Mortality]:[Schooling]]),ISNUMBER(LifeExpectancyData[[#This Row],[Life expectancy]]), LifeExpectancyData[[#This Row],[Year]]=2013)</f>
        <v>0</v>
      </c>
    </row>
    <row r="498" spans="1:23" hidden="1" x14ac:dyDescent="0.25">
      <c r="A498" t="s">
        <v>305</v>
      </c>
      <c r="B498">
        <v>2015</v>
      </c>
      <c r="C498" t="s">
        <v>273</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cm="1">
        <f t="array" ref="W498">AND(ISNUMBER(LifeExpectancyData[[#This Row],[Adult Mortality]:[Schooling]]),ISNUMBER(LifeExpectancyData[[#This Row],[Life expectancy]]), LifeExpectancyData[[#This Row],[Year]]=2013)</f>
        <v>0</v>
      </c>
    </row>
    <row r="499" spans="1:23" x14ac:dyDescent="0.25">
      <c r="A499" t="s">
        <v>305</v>
      </c>
      <c r="B499">
        <v>2014</v>
      </c>
      <c r="C499" t="s">
        <v>273</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cm="1">
        <f t="array" ref="W499">AND(ISNUMBER(LifeExpectancyData[[#This Row],[Adult Mortality]:[Schooling]]),ISNUMBER(LifeExpectancyData[[#This Row],[Life expectancy]]), LifeExpectancyData[[#This Row],[Year]]=2013)</f>
        <v>0</v>
      </c>
    </row>
    <row r="500" spans="1:23" x14ac:dyDescent="0.25">
      <c r="A500" t="s">
        <v>305</v>
      </c>
      <c r="B500">
        <v>2013</v>
      </c>
      <c r="C500" t="s">
        <v>273</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cm="1">
        <f t="array" ref="W500">AND(ISNUMBER(LifeExpectancyData[[#This Row],[Adult Mortality]:[Schooling]]),ISNUMBER(LifeExpectancyData[[#This Row],[Life expectancy]]), LifeExpectancyData[[#This Row],[Year]]=2013)</f>
        <v>1</v>
      </c>
    </row>
    <row r="501" spans="1:23" x14ac:dyDescent="0.25">
      <c r="A501" t="s">
        <v>305</v>
      </c>
      <c r="B501">
        <v>2012</v>
      </c>
      <c r="C501" t="s">
        <v>273</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cm="1">
        <f t="array" ref="W501">AND(ISNUMBER(LifeExpectancyData[[#This Row],[Adult Mortality]:[Schooling]]),ISNUMBER(LifeExpectancyData[[#This Row],[Life expectancy]]), LifeExpectancyData[[#This Row],[Year]]=2013)</f>
        <v>0</v>
      </c>
    </row>
    <row r="502" spans="1:23" x14ac:dyDescent="0.25">
      <c r="A502" t="s">
        <v>305</v>
      </c>
      <c r="B502">
        <v>2011</v>
      </c>
      <c r="C502" t="s">
        <v>273</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cm="1">
        <f t="array" ref="W502">AND(ISNUMBER(LifeExpectancyData[[#This Row],[Adult Mortality]:[Schooling]]),ISNUMBER(LifeExpectancyData[[#This Row],[Life expectancy]]), LifeExpectancyData[[#This Row],[Year]]=2013)</f>
        <v>0</v>
      </c>
    </row>
    <row r="503" spans="1:23" x14ac:dyDescent="0.25">
      <c r="A503" t="s">
        <v>305</v>
      </c>
      <c r="B503">
        <v>2010</v>
      </c>
      <c r="C503" t="s">
        <v>273</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cm="1">
        <f t="array" ref="W503">AND(ISNUMBER(LifeExpectancyData[[#This Row],[Adult Mortality]:[Schooling]]),ISNUMBER(LifeExpectancyData[[#This Row],[Life expectancy]]), LifeExpectancyData[[#This Row],[Year]]=2013)</f>
        <v>0</v>
      </c>
    </row>
    <row r="504" spans="1:23" x14ac:dyDescent="0.25">
      <c r="A504" t="s">
        <v>305</v>
      </c>
      <c r="B504">
        <v>2009</v>
      </c>
      <c r="C504" t="s">
        <v>273</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cm="1">
        <f t="array" ref="W504">AND(ISNUMBER(LifeExpectancyData[[#This Row],[Adult Mortality]:[Schooling]]),ISNUMBER(LifeExpectancyData[[#This Row],[Life expectancy]]), LifeExpectancyData[[#This Row],[Year]]=2013)</f>
        <v>0</v>
      </c>
    </row>
    <row r="505" spans="1:23" x14ac:dyDescent="0.25">
      <c r="A505" t="s">
        <v>305</v>
      </c>
      <c r="B505">
        <v>2008</v>
      </c>
      <c r="C505" t="s">
        <v>273</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cm="1">
        <f t="array" ref="W505">AND(ISNUMBER(LifeExpectancyData[[#This Row],[Adult Mortality]:[Schooling]]),ISNUMBER(LifeExpectancyData[[#This Row],[Life expectancy]]), LifeExpectancyData[[#This Row],[Year]]=2013)</f>
        <v>0</v>
      </c>
    </row>
    <row r="506" spans="1:23" x14ac:dyDescent="0.25">
      <c r="A506" t="s">
        <v>305</v>
      </c>
      <c r="B506">
        <v>2007</v>
      </c>
      <c r="C506" t="s">
        <v>273</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cm="1">
        <f t="array" ref="W506">AND(ISNUMBER(LifeExpectancyData[[#This Row],[Adult Mortality]:[Schooling]]),ISNUMBER(LifeExpectancyData[[#This Row],[Life expectancy]]), LifeExpectancyData[[#This Row],[Year]]=2013)</f>
        <v>0</v>
      </c>
    </row>
    <row r="507" spans="1:23" x14ac:dyDescent="0.25">
      <c r="A507" t="s">
        <v>305</v>
      </c>
      <c r="B507">
        <v>2006</v>
      </c>
      <c r="C507" t="s">
        <v>273</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cm="1">
        <f t="array" ref="W507">AND(ISNUMBER(LifeExpectancyData[[#This Row],[Adult Mortality]:[Schooling]]),ISNUMBER(LifeExpectancyData[[#This Row],[Life expectancy]]), LifeExpectancyData[[#This Row],[Year]]=2013)</f>
        <v>0</v>
      </c>
    </row>
    <row r="508" spans="1:23" x14ac:dyDescent="0.25">
      <c r="A508" t="s">
        <v>305</v>
      </c>
      <c r="B508">
        <v>2005</v>
      </c>
      <c r="C508" t="s">
        <v>273</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cm="1">
        <f t="array" ref="W508">AND(ISNUMBER(LifeExpectancyData[[#This Row],[Adult Mortality]:[Schooling]]),ISNUMBER(LifeExpectancyData[[#This Row],[Life expectancy]]), LifeExpectancyData[[#This Row],[Year]]=2013)</f>
        <v>0</v>
      </c>
    </row>
    <row r="509" spans="1:23" x14ac:dyDescent="0.25">
      <c r="A509" t="s">
        <v>305</v>
      </c>
      <c r="B509">
        <v>2004</v>
      </c>
      <c r="C509" t="s">
        <v>273</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cm="1">
        <f t="array" ref="W509">AND(ISNUMBER(LifeExpectancyData[[#This Row],[Adult Mortality]:[Schooling]]),ISNUMBER(LifeExpectancyData[[#This Row],[Life expectancy]]), LifeExpectancyData[[#This Row],[Year]]=2013)</f>
        <v>0</v>
      </c>
    </row>
    <row r="510" spans="1:23" x14ac:dyDescent="0.25">
      <c r="A510" t="s">
        <v>305</v>
      </c>
      <c r="B510">
        <v>2003</v>
      </c>
      <c r="C510" t="s">
        <v>273</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cm="1">
        <f t="array" ref="W510">AND(ISNUMBER(LifeExpectancyData[[#This Row],[Adult Mortality]:[Schooling]]),ISNUMBER(LifeExpectancyData[[#This Row],[Life expectancy]]), LifeExpectancyData[[#This Row],[Year]]=2013)</f>
        <v>0</v>
      </c>
    </row>
    <row r="511" spans="1:23" hidden="1" x14ac:dyDescent="0.25">
      <c r="A511" t="s">
        <v>305</v>
      </c>
      <c r="B511">
        <v>2002</v>
      </c>
      <c r="C511" t="s">
        <v>273</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cm="1">
        <f t="array" ref="W511">AND(ISNUMBER(LifeExpectancyData[[#This Row],[Adult Mortality]:[Schooling]]),ISNUMBER(LifeExpectancyData[[#This Row],[Life expectancy]]), LifeExpectancyData[[#This Row],[Year]]=2013)</f>
        <v>0</v>
      </c>
    </row>
    <row r="512" spans="1:23" hidden="1" x14ac:dyDescent="0.25">
      <c r="A512" t="s">
        <v>305</v>
      </c>
      <c r="B512">
        <v>2001</v>
      </c>
      <c r="C512" t="s">
        <v>273</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cm="1">
        <f t="array" ref="W512">AND(ISNUMBER(LifeExpectancyData[[#This Row],[Adult Mortality]:[Schooling]]),ISNUMBER(LifeExpectancyData[[#This Row],[Life expectancy]]), LifeExpectancyData[[#This Row],[Year]]=2013)</f>
        <v>0</v>
      </c>
    </row>
    <row r="513" spans="1:23" hidden="1" x14ac:dyDescent="0.25">
      <c r="A513" t="s">
        <v>305</v>
      </c>
      <c r="B513">
        <v>2000</v>
      </c>
      <c r="C513" t="s">
        <v>273</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cm="1">
        <f t="array" ref="W513">AND(ISNUMBER(LifeExpectancyData[[#This Row],[Adult Mortality]:[Schooling]]),ISNUMBER(LifeExpectancyData[[#This Row],[Life expectancy]]), LifeExpectancyData[[#This Row],[Year]]=2013)</f>
        <v>0</v>
      </c>
    </row>
    <row r="514" spans="1:23" hidden="1" x14ac:dyDescent="0.25">
      <c r="A514" t="s">
        <v>306</v>
      </c>
      <c r="B514">
        <v>2015</v>
      </c>
      <c r="C514" t="s">
        <v>273</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cm="1">
        <f t="array" ref="W514">AND(ISNUMBER(LifeExpectancyData[[#This Row],[Adult Mortality]:[Schooling]]),ISNUMBER(LifeExpectancyData[[#This Row],[Life expectancy]]), LifeExpectancyData[[#This Row],[Year]]=2013)</f>
        <v>0</v>
      </c>
    </row>
    <row r="515" spans="1:23" x14ac:dyDescent="0.25">
      <c r="A515" t="s">
        <v>306</v>
      </c>
      <c r="B515">
        <v>2014</v>
      </c>
      <c r="C515" t="s">
        <v>273</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cm="1">
        <f t="array" ref="W515">AND(ISNUMBER(LifeExpectancyData[[#This Row],[Adult Mortality]:[Schooling]]),ISNUMBER(LifeExpectancyData[[#This Row],[Life expectancy]]), LifeExpectancyData[[#This Row],[Year]]=2013)</f>
        <v>0</v>
      </c>
    </row>
    <row r="516" spans="1:23" x14ac:dyDescent="0.25">
      <c r="A516" t="s">
        <v>306</v>
      </c>
      <c r="B516">
        <v>2013</v>
      </c>
      <c r="C516" t="s">
        <v>273</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cm="1">
        <f t="array" ref="W516">AND(ISNUMBER(LifeExpectancyData[[#This Row],[Adult Mortality]:[Schooling]]),ISNUMBER(LifeExpectancyData[[#This Row],[Life expectancy]]), LifeExpectancyData[[#This Row],[Year]]=2013)</f>
        <v>1</v>
      </c>
    </row>
    <row r="517" spans="1:23" x14ac:dyDescent="0.25">
      <c r="A517" t="s">
        <v>306</v>
      </c>
      <c r="B517">
        <v>2012</v>
      </c>
      <c r="C517" t="s">
        <v>273</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cm="1">
        <f t="array" ref="W517">AND(ISNUMBER(LifeExpectancyData[[#This Row],[Adult Mortality]:[Schooling]]),ISNUMBER(LifeExpectancyData[[#This Row],[Life expectancy]]), LifeExpectancyData[[#This Row],[Year]]=2013)</f>
        <v>0</v>
      </c>
    </row>
    <row r="518" spans="1:23" x14ac:dyDescent="0.25">
      <c r="A518" t="s">
        <v>306</v>
      </c>
      <c r="B518">
        <v>2011</v>
      </c>
      <c r="C518" t="s">
        <v>273</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cm="1">
        <f t="array" ref="W518">AND(ISNUMBER(LifeExpectancyData[[#This Row],[Adult Mortality]:[Schooling]]),ISNUMBER(LifeExpectancyData[[#This Row],[Life expectancy]]), LifeExpectancyData[[#This Row],[Year]]=2013)</f>
        <v>0</v>
      </c>
    </row>
    <row r="519" spans="1:23" x14ac:dyDescent="0.25">
      <c r="A519" t="s">
        <v>306</v>
      </c>
      <c r="B519">
        <v>2010</v>
      </c>
      <c r="C519" t="s">
        <v>273</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cm="1">
        <f t="array" ref="W519">AND(ISNUMBER(LifeExpectancyData[[#This Row],[Adult Mortality]:[Schooling]]),ISNUMBER(LifeExpectancyData[[#This Row],[Life expectancy]]), LifeExpectancyData[[#This Row],[Year]]=2013)</f>
        <v>0</v>
      </c>
    </row>
    <row r="520" spans="1:23" x14ac:dyDescent="0.25">
      <c r="A520" t="s">
        <v>306</v>
      </c>
      <c r="B520">
        <v>2009</v>
      </c>
      <c r="C520" t="s">
        <v>273</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cm="1">
        <f t="array" ref="W520">AND(ISNUMBER(LifeExpectancyData[[#This Row],[Adult Mortality]:[Schooling]]),ISNUMBER(LifeExpectancyData[[#This Row],[Life expectancy]]), LifeExpectancyData[[#This Row],[Year]]=2013)</f>
        <v>0</v>
      </c>
    </row>
    <row r="521" spans="1:23" hidden="1" x14ac:dyDescent="0.25">
      <c r="A521" t="s">
        <v>306</v>
      </c>
      <c r="B521">
        <v>2008</v>
      </c>
      <c r="C521" t="s">
        <v>273</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cm="1">
        <f t="array" ref="W521">AND(ISNUMBER(LifeExpectancyData[[#This Row],[Adult Mortality]:[Schooling]]),ISNUMBER(LifeExpectancyData[[#This Row],[Life expectancy]]), LifeExpectancyData[[#This Row],[Year]]=2013)</f>
        <v>0</v>
      </c>
    </row>
    <row r="522" spans="1:23" hidden="1" x14ac:dyDescent="0.25">
      <c r="A522" t="s">
        <v>306</v>
      </c>
      <c r="B522">
        <v>2007</v>
      </c>
      <c r="C522" t="s">
        <v>273</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cm="1">
        <f t="array" ref="W522">AND(ISNUMBER(LifeExpectancyData[[#This Row],[Adult Mortality]:[Schooling]]),ISNUMBER(LifeExpectancyData[[#This Row],[Life expectancy]]), LifeExpectancyData[[#This Row],[Year]]=2013)</f>
        <v>0</v>
      </c>
    </row>
    <row r="523" spans="1:23" hidden="1" x14ac:dyDescent="0.25">
      <c r="A523" t="s">
        <v>306</v>
      </c>
      <c r="B523">
        <v>2006</v>
      </c>
      <c r="C523" t="s">
        <v>273</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cm="1">
        <f t="array" ref="W523">AND(ISNUMBER(LifeExpectancyData[[#This Row],[Adult Mortality]:[Schooling]]),ISNUMBER(LifeExpectancyData[[#This Row],[Life expectancy]]), LifeExpectancyData[[#This Row],[Year]]=2013)</f>
        <v>0</v>
      </c>
    </row>
    <row r="524" spans="1:23" hidden="1" x14ac:dyDescent="0.25">
      <c r="A524" t="s">
        <v>306</v>
      </c>
      <c r="B524">
        <v>2005</v>
      </c>
      <c r="C524" t="s">
        <v>273</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cm="1">
        <f t="array" ref="W524">AND(ISNUMBER(LifeExpectancyData[[#This Row],[Adult Mortality]:[Schooling]]),ISNUMBER(LifeExpectancyData[[#This Row],[Life expectancy]]), LifeExpectancyData[[#This Row],[Year]]=2013)</f>
        <v>0</v>
      </c>
    </row>
    <row r="525" spans="1:23" hidden="1" x14ac:dyDescent="0.25">
      <c r="A525" t="s">
        <v>306</v>
      </c>
      <c r="B525">
        <v>2004</v>
      </c>
      <c r="C525" t="s">
        <v>273</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cm="1">
        <f t="array" ref="W525">AND(ISNUMBER(LifeExpectancyData[[#This Row],[Adult Mortality]:[Schooling]]),ISNUMBER(LifeExpectancyData[[#This Row],[Life expectancy]]), LifeExpectancyData[[#This Row],[Year]]=2013)</f>
        <v>0</v>
      </c>
    </row>
    <row r="526" spans="1:23" hidden="1" x14ac:dyDescent="0.25">
      <c r="A526" t="s">
        <v>306</v>
      </c>
      <c r="B526">
        <v>2003</v>
      </c>
      <c r="C526" t="s">
        <v>273</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cm="1">
        <f t="array" ref="W526">AND(ISNUMBER(LifeExpectancyData[[#This Row],[Adult Mortality]:[Schooling]]),ISNUMBER(LifeExpectancyData[[#This Row],[Life expectancy]]), LifeExpectancyData[[#This Row],[Year]]=2013)</f>
        <v>0</v>
      </c>
    </row>
    <row r="527" spans="1:23" hidden="1" x14ac:dyDescent="0.25">
      <c r="A527" t="s">
        <v>306</v>
      </c>
      <c r="B527">
        <v>2002</v>
      </c>
      <c r="C527" t="s">
        <v>273</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cm="1">
        <f t="array" ref="W527">AND(ISNUMBER(LifeExpectancyData[[#This Row],[Adult Mortality]:[Schooling]]),ISNUMBER(LifeExpectancyData[[#This Row],[Life expectancy]]), LifeExpectancyData[[#This Row],[Year]]=2013)</f>
        <v>0</v>
      </c>
    </row>
    <row r="528" spans="1:23" hidden="1" x14ac:dyDescent="0.25">
      <c r="A528" t="s">
        <v>306</v>
      </c>
      <c r="B528">
        <v>2001</v>
      </c>
      <c r="C528" t="s">
        <v>273</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cm="1">
        <f t="array" ref="W528">AND(ISNUMBER(LifeExpectancyData[[#This Row],[Adult Mortality]:[Schooling]]),ISNUMBER(LifeExpectancyData[[#This Row],[Life expectancy]]), LifeExpectancyData[[#This Row],[Year]]=2013)</f>
        <v>0</v>
      </c>
    </row>
    <row r="529" spans="1:23" hidden="1" x14ac:dyDescent="0.25">
      <c r="A529" t="s">
        <v>306</v>
      </c>
      <c r="B529">
        <v>2000</v>
      </c>
      <c r="C529" t="s">
        <v>273</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cm="1">
        <f t="array" ref="W529">AND(ISNUMBER(LifeExpectancyData[[#This Row],[Adult Mortality]:[Schooling]]),ISNUMBER(LifeExpectancyData[[#This Row],[Life expectancy]]), LifeExpectancyData[[#This Row],[Year]]=2013)</f>
        <v>0</v>
      </c>
    </row>
    <row r="530" spans="1:23" hidden="1" x14ac:dyDescent="0.25">
      <c r="A530" t="s">
        <v>307</v>
      </c>
      <c r="B530">
        <v>2015</v>
      </c>
      <c r="C530" t="s">
        <v>273</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cm="1">
        <f t="array" ref="W530">AND(ISNUMBER(LifeExpectancyData[[#This Row],[Adult Mortality]:[Schooling]]),ISNUMBER(LifeExpectancyData[[#This Row],[Life expectancy]]), LifeExpectancyData[[#This Row],[Year]]=2013)</f>
        <v>0</v>
      </c>
    </row>
    <row r="531" spans="1:23" x14ac:dyDescent="0.25">
      <c r="A531" t="s">
        <v>307</v>
      </c>
      <c r="B531">
        <v>2014</v>
      </c>
      <c r="C531" t="s">
        <v>273</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cm="1">
        <f t="array" ref="W531">AND(ISNUMBER(LifeExpectancyData[[#This Row],[Adult Mortality]:[Schooling]]),ISNUMBER(LifeExpectancyData[[#This Row],[Life expectancy]]), LifeExpectancyData[[#This Row],[Year]]=2013)</f>
        <v>0</v>
      </c>
    </row>
    <row r="532" spans="1:23" x14ac:dyDescent="0.25">
      <c r="A532" t="s">
        <v>307</v>
      </c>
      <c r="B532">
        <v>2013</v>
      </c>
      <c r="C532" t="s">
        <v>273</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cm="1">
        <f t="array" ref="W532">AND(ISNUMBER(LifeExpectancyData[[#This Row],[Adult Mortality]:[Schooling]]),ISNUMBER(LifeExpectancyData[[#This Row],[Life expectancy]]), LifeExpectancyData[[#This Row],[Year]]=2013)</f>
        <v>1</v>
      </c>
    </row>
    <row r="533" spans="1:23" x14ac:dyDescent="0.25">
      <c r="A533" t="s">
        <v>307</v>
      </c>
      <c r="B533">
        <v>2012</v>
      </c>
      <c r="C533" t="s">
        <v>273</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cm="1">
        <f t="array" ref="W533">AND(ISNUMBER(LifeExpectancyData[[#This Row],[Adult Mortality]:[Schooling]]),ISNUMBER(LifeExpectancyData[[#This Row],[Life expectancy]]), LifeExpectancyData[[#This Row],[Year]]=2013)</f>
        <v>0</v>
      </c>
    </row>
    <row r="534" spans="1:23" x14ac:dyDescent="0.25">
      <c r="A534" t="s">
        <v>307</v>
      </c>
      <c r="B534">
        <v>2011</v>
      </c>
      <c r="C534" t="s">
        <v>273</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cm="1">
        <f t="array" ref="W534">AND(ISNUMBER(LifeExpectancyData[[#This Row],[Adult Mortality]:[Schooling]]),ISNUMBER(LifeExpectancyData[[#This Row],[Life expectancy]]), LifeExpectancyData[[#This Row],[Year]]=2013)</f>
        <v>0</v>
      </c>
    </row>
    <row r="535" spans="1:23" x14ac:dyDescent="0.25">
      <c r="A535" t="s">
        <v>307</v>
      </c>
      <c r="B535">
        <v>2010</v>
      </c>
      <c r="C535" t="s">
        <v>273</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cm="1">
        <f t="array" ref="W535">AND(ISNUMBER(LifeExpectancyData[[#This Row],[Adult Mortality]:[Schooling]]),ISNUMBER(LifeExpectancyData[[#This Row],[Life expectancy]]), LifeExpectancyData[[#This Row],[Year]]=2013)</f>
        <v>0</v>
      </c>
    </row>
    <row r="536" spans="1:23" x14ac:dyDescent="0.25">
      <c r="A536" t="s">
        <v>307</v>
      </c>
      <c r="B536">
        <v>2009</v>
      </c>
      <c r="C536" t="s">
        <v>273</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cm="1">
        <f t="array" ref="W536">AND(ISNUMBER(LifeExpectancyData[[#This Row],[Adult Mortality]:[Schooling]]),ISNUMBER(LifeExpectancyData[[#This Row],[Life expectancy]]), LifeExpectancyData[[#This Row],[Year]]=2013)</f>
        <v>0</v>
      </c>
    </row>
    <row r="537" spans="1:23" x14ac:dyDescent="0.25">
      <c r="A537" t="s">
        <v>307</v>
      </c>
      <c r="B537">
        <v>2008</v>
      </c>
      <c r="C537" t="s">
        <v>273</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cm="1">
        <f t="array" ref="W537">AND(ISNUMBER(LifeExpectancyData[[#This Row],[Adult Mortality]:[Schooling]]),ISNUMBER(LifeExpectancyData[[#This Row],[Life expectancy]]), LifeExpectancyData[[#This Row],[Year]]=2013)</f>
        <v>0</v>
      </c>
    </row>
    <row r="538" spans="1:23" hidden="1" x14ac:dyDescent="0.25">
      <c r="A538" t="s">
        <v>307</v>
      </c>
      <c r="B538">
        <v>2007</v>
      </c>
      <c r="C538" t="s">
        <v>273</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cm="1">
        <f t="array" ref="W538">AND(ISNUMBER(LifeExpectancyData[[#This Row],[Adult Mortality]:[Schooling]]),ISNUMBER(LifeExpectancyData[[#This Row],[Life expectancy]]), LifeExpectancyData[[#This Row],[Year]]=2013)</f>
        <v>0</v>
      </c>
    </row>
    <row r="539" spans="1:23" hidden="1" x14ac:dyDescent="0.25">
      <c r="A539" t="s">
        <v>307</v>
      </c>
      <c r="B539">
        <v>2006</v>
      </c>
      <c r="C539" t="s">
        <v>273</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cm="1">
        <f t="array" ref="W539">AND(ISNUMBER(LifeExpectancyData[[#This Row],[Adult Mortality]:[Schooling]]),ISNUMBER(LifeExpectancyData[[#This Row],[Life expectancy]]), LifeExpectancyData[[#This Row],[Year]]=2013)</f>
        <v>0</v>
      </c>
    </row>
    <row r="540" spans="1:23" hidden="1" x14ac:dyDescent="0.25">
      <c r="A540" t="s">
        <v>307</v>
      </c>
      <c r="B540">
        <v>2005</v>
      </c>
      <c r="C540" t="s">
        <v>273</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cm="1">
        <f t="array" ref="W540">AND(ISNUMBER(LifeExpectancyData[[#This Row],[Adult Mortality]:[Schooling]]),ISNUMBER(LifeExpectancyData[[#This Row],[Life expectancy]]), LifeExpectancyData[[#This Row],[Year]]=2013)</f>
        <v>0</v>
      </c>
    </row>
    <row r="541" spans="1:23" hidden="1" x14ac:dyDescent="0.25">
      <c r="A541" t="s">
        <v>307</v>
      </c>
      <c r="B541">
        <v>2004</v>
      </c>
      <c r="C541" t="s">
        <v>273</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cm="1">
        <f t="array" ref="W541">AND(ISNUMBER(LifeExpectancyData[[#This Row],[Adult Mortality]:[Schooling]]),ISNUMBER(LifeExpectancyData[[#This Row],[Life expectancy]]), LifeExpectancyData[[#This Row],[Year]]=2013)</f>
        <v>0</v>
      </c>
    </row>
    <row r="542" spans="1:23" hidden="1" x14ac:dyDescent="0.25">
      <c r="A542" t="s">
        <v>307</v>
      </c>
      <c r="B542">
        <v>2003</v>
      </c>
      <c r="C542" t="s">
        <v>273</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cm="1">
        <f t="array" ref="W542">AND(ISNUMBER(LifeExpectancyData[[#This Row],[Adult Mortality]:[Schooling]]),ISNUMBER(LifeExpectancyData[[#This Row],[Life expectancy]]), LifeExpectancyData[[#This Row],[Year]]=2013)</f>
        <v>0</v>
      </c>
    </row>
    <row r="543" spans="1:23" hidden="1" x14ac:dyDescent="0.25">
      <c r="A543" t="s">
        <v>307</v>
      </c>
      <c r="B543">
        <v>2002</v>
      </c>
      <c r="C543" t="s">
        <v>273</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cm="1">
        <f t="array" ref="W543">AND(ISNUMBER(LifeExpectancyData[[#This Row],[Adult Mortality]:[Schooling]]),ISNUMBER(LifeExpectancyData[[#This Row],[Life expectancy]]), LifeExpectancyData[[#This Row],[Year]]=2013)</f>
        <v>0</v>
      </c>
    </row>
    <row r="544" spans="1:23" hidden="1" x14ac:dyDescent="0.25">
      <c r="A544" t="s">
        <v>307</v>
      </c>
      <c r="B544">
        <v>2001</v>
      </c>
      <c r="C544" t="s">
        <v>273</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cm="1">
        <f t="array" ref="W544">AND(ISNUMBER(LifeExpectancyData[[#This Row],[Adult Mortality]:[Schooling]]),ISNUMBER(LifeExpectancyData[[#This Row],[Life expectancy]]), LifeExpectancyData[[#This Row],[Year]]=2013)</f>
        <v>0</v>
      </c>
    </row>
    <row r="545" spans="1:23" hidden="1" x14ac:dyDescent="0.25">
      <c r="A545" t="s">
        <v>307</v>
      </c>
      <c r="B545">
        <v>2000</v>
      </c>
      <c r="C545" t="s">
        <v>273</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cm="1">
        <f t="array" ref="W545">AND(ISNUMBER(LifeExpectancyData[[#This Row],[Adult Mortality]:[Schooling]]),ISNUMBER(LifeExpectancyData[[#This Row],[Life expectancy]]), LifeExpectancyData[[#This Row],[Year]]=2013)</f>
        <v>0</v>
      </c>
    </row>
    <row r="546" spans="1:23" hidden="1" x14ac:dyDescent="0.25">
      <c r="A546" t="s">
        <v>308</v>
      </c>
      <c r="B546">
        <v>2015</v>
      </c>
      <c r="C546" t="s">
        <v>273</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cm="1">
        <f t="array" ref="W546">AND(ISNUMBER(LifeExpectancyData[[#This Row],[Adult Mortality]:[Schooling]]),ISNUMBER(LifeExpectancyData[[#This Row],[Life expectancy]]), LifeExpectancyData[[#This Row],[Year]]=2013)</f>
        <v>0</v>
      </c>
    </row>
    <row r="547" spans="1:23" x14ac:dyDescent="0.25">
      <c r="A547" t="s">
        <v>308</v>
      </c>
      <c r="B547">
        <v>2014</v>
      </c>
      <c r="C547" t="s">
        <v>273</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cm="1">
        <f t="array" ref="W547">AND(ISNUMBER(LifeExpectancyData[[#This Row],[Adult Mortality]:[Schooling]]),ISNUMBER(LifeExpectancyData[[#This Row],[Life expectancy]]), LifeExpectancyData[[#This Row],[Year]]=2013)</f>
        <v>0</v>
      </c>
    </row>
    <row r="548" spans="1:23" x14ac:dyDescent="0.25">
      <c r="A548" t="s">
        <v>308</v>
      </c>
      <c r="B548">
        <v>2013</v>
      </c>
      <c r="C548" t="s">
        <v>273</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cm="1">
        <f t="array" ref="W548">AND(ISNUMBER(LifeExpectancyData[[#This Row],[Adult Mortality]:[Schooling]]),ISNUMBER(LifeExpectancyData[[#This Row],[Life expectancy]]), LifeExpectancyData[[#This Row],[Year]]=2013)</f>
        <v>1</v>
      </c>
    </row>
    <row r="549" spans="1:23" x14ac:dyDescent="0.25">
      <c r="A549" t="s">
        <v>308</v>
      </c>
      <c r="B549">
        <v>2012</v>
      </c>
      <c r="C549" t="s">
        <v>273</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cm="1">
        <f t="array" ref="W549">AND(ISNUMBER(LifeExpectancyData[[#This Row],[Adult Mortality]:[Schooling]]),ISNUMBER(LifeExpectancyData[[#This Row],[Life expectancy]]), LifeExpectancyData[[#This Row],[Year]]=2013)</f>
        <v>0</v>
      </c>
    </row>
    <row r="550" spans="1:23" x14ac:dyDescent="0.25">
      <c r="A550" t="s">
        <v>308</v>
      </c>
      <c r="B550">
        <v>2011</v>
      </c>
      <c r="C550" t="s">
        <v>273</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cm="1">
        <f t="array" ref="W550">AND(ISNUMBER(LifeExpectancyData[[#This Row],[Adult Mortality]:[Schooling]]),ISNUMBER(LifeExpectancyData[[#This Row],[Life expectancy]]), LifeExpectancyData[[#This Row],[Year]]=2013)</f>
        <v>0</v>
      </c>
    </row>
    <row r="551" spans="1:23" x14ac:dyDescent="0.25">
      <c r="A551" t="s">
        <v>308</v>
      </c>
      <c r="B551">
        <v>2010</v>
      </c>
      <c r="C551" t="s">
        <v>273</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cm="1">
        <f t="array" ref="W551">AND(ISNUMBER(LifeExpectancyData[[#This Row],[Adult Mortality]:[Schooling]]),ISNUMBER(LifeExpectancyData[[#This Row],[Life expectancy]]), LifeExpectancyData[[#This Row],[Year]]=2013)</f>
        <v>0</v>
      </c>
    </row>
    <row r="552" spans="1:23" x14ac:dyDescent="0.25">
      <c r="A552" t="s">
        <v>308</v>
      </c>
      <c r="B552">
        <v>2009</v>
      </c>
      <c r="C552" t="s">
        <v>273</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cm="1">
        <f t="array" ref="W552">AND(ISNUMBER(LifeExpectancyData[[#This Row],[Adult Mortality]:[Schooling]]),ISNUMBER(LifeExpectancyData[[#This Row],[Life expectancy]]), LifeExpectancyData[[#This Row],[Year]]=2013)</f>
        <v>0</v>
      </c>
    </row>
    <row r="553" spans="1:23" x14ac:dyDescent="0.25">
      <c r="A553" t="s">
        <v>308</v>
      </c>
      <c r="B553">
        <v>2008</v>
      </c>
      <c r="C553" t="s">
        <v>273</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cm="1">
        <f t="array" ref="W553">AND(ISNUMBER(LifeExpectancyData[[#This Row],[Adult Mortality]:[Schooling]]),ISNUMBER(LifeExpectancyData[[#This Row],[Life expectancy]]), LifeExpectancyData[[#This Row],[Year]]=2013)</f>
        <v>0</v>
      </c>
    </row>
    <row r="554" spans="1:23" x14ac:dyDescent="0.25">
      <c r="A554" t="s">
        <v>308</v>
      </c>
      <c r="B554">
        <v>2007</v>
      </c>
      <c r="C554" t="s">
        <v>273</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cm="1">
        <f t="array" ref="W554">AND(ISNUMBER(LifeExpectancyData[[#This Row],[Adult Mortality]:[Schooling]]),ISNUMBER(LifeExpectancyData[[#This Row],[Life expectancy]]), LifeExpectancyData[[#This Row],[Year]]=2013)</f>
        <v>0</v>
      </c>
    </row>
    <row r="555" spans="1:23" x14ac:dyDescent="0.25">
      <c r="A555" t="s">
        <v>308</v>
      </c>
      <c r="B555">
        <v>2006</v>
      </c>
      <c r="C555" t="s">
        <v>273</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cm="1">
        <f t="array" ref="W555">AND(ISNUMBER(LifeExpectancyData[[#This Row],[Adult Mortality]:[Schooling]]),ISNUMBER(LifeExpectancyData[[#This Row],[Life expectancy]]), LifeExpectancyData[[#This Row],[Year]]=2013)</f>
        <v>0</v>
      </c>
    </row>
    <row r="556" spans="1:23" hidden="1" x14ac:dyDescent="0.25">
      <c r="A556" t="s">
        <v>308</v>
      </c>
      <c r="B556">
        <v>2005</v>
      </c>
      <c r="C556" t="s">
        <v>273</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cm="1">
        <f t="array" ref="W556">AND(ISNUMBER(LifeExpectancyData[[#This Row],[Adult Mortality]:[Schooling]]),ISNUMBER(LifeExpectancyData[[#This Row],[Life expectancy]]), LifeExpectancyData[[#This Row],[Year]]=2013)</f>
        <v>0</v>
      </c>
    </row>
    <row r="557" spans="1:23" hidden="1" x14ac:dyDescent="0.25">
      <c r="A557" t="s">
        <v>308</v>
      </c>
      <c r="B557">
        <v>2004</v>
      </c>
      <c r="C557" t="s">
        <v>273</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cm="1">
        <f t="array" ref="W557">AND(ISNUMBER(LifeExpectancyData[[#This Row],[Adult Mortality]:[Schooling]]),ISNUMBER(LifeExpectancyData[[#This Row],[Life expectancy]]), LifeExpectancyData[[#This Row],[Year]]=2013)</f>
        <v>0</v>
      </c>
    </row>
    <row r="558" spans="1:23" hidden="1" x14ac:dyDescent="0.25">
      <c r="A558" t="s">
        <v>308</v>
      </c>
      <c r="B558">
        <v>2003</v>
      </c>
      <c r="C558" t="s">
        <v>273</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cm="1">
        <f t="array" ref="W558">AND(ISNUMBER(LifeExpectancyData[[#This Row],[Adult Mortality]:[Schooling]]),ISNUMBER(LifeExpectancyData[[#This Row],[Life expectancy]]), LifeExpectancyData[[#This Row],[Year]]=2013)</f>
        <v>0</v>
      </c>
    </row>
    <row r="559" spans="1:23" hidden="1" x14ac:dyDescent="0.25">
      <c r="A559" t="s">
        <v>308</v>
      </c>
      <c r="B559">
        <v>2002</v>
      </c>
      <c r="C559" t="s">
        <v>273</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cm="1">
        <f t="array" ref="W559">AND(ISNUMBER(LifeExpectancyData[[#This Row],[Adult Mortality]:[Schooling]]),ISNUMBER(LifeExpectancyData[[#This Row],[Life expectancy]]), LifeExpectancyData[[#This Row],[Year]]=2013)</f>
        <v>0</v>
      </c>
    </row>
    <row r="560" spans="1:23" hidden="1" x14ac:dyDescent="0.25">
      <c r="A560" t="s">
        <v>308</v>
      </c>
      <c r="B560">
        <v>2001</v>
      </c>
      <c r="C560" t="s">
        <v>273</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cm="1">
        <f t="array" ref="W560">AND(ISNUMBER(LifeExpectancyData[[#This Row],[Adult Mortality]:[Schooling]]),ISNUMBER(LifeExpectancyData[[#This Row],[Life expectancy]]), LifeExpectancyData[[#This Row],[Year]]=2013)</f>
        <v>0</v>
      </c>
    </row>
    <row r="561" spans="1:23" hidden="1" x14ac:dyDescent="0.25">
      <c r="A561" t="s">
        <v>308</v>
      </c>
      <c r="B561">
        <v>2000</v>
      </c>
      <c r="C561" t="s">
        <v>273</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cm="1">
        <f t="array" ref="W561">AND(ISNUMBER(LifeExpectancyData[[#This Row],[Adult Mortality]:[Schooling]]),ISNUMBER(LifeExpectancyData[[#This Row],[Life expectancy]]), LifeExpectancyData[[#This Row],[Year]]=2013)</f>
        <v>0</v>
      </c>
    </row>
    <row r="562" spans="1:23" hidden="1" x14ac:dyDescent="0.25">
      <c r="A562" t="s">
        <v>309</v>
      </c>
      <c r="B562">
        <v>2015</v>
      </c>
      <c r="C562" t="s">
        <v>273</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cm="1">
        <f t="array" ref="W562">AND(ISNUMBER(LifeExpectancyData[[#This Row],[Adult Mortality]:[Schooling]]),ISNUMBER(LifeExpectancyData[[#This Row],[Life expectancy]]), LifeExpectancyData[[#This Row],[Year]]=2013)</f>
        <v>0</v>
      </c>
    </row>
    <row r="563" spans="1:23" x14ac:dyDescent="0.25">
      <c r="A563" t="s">
        <v>309</v>
      </c>
      <c r="B563">
        <v>2014</v>
      </c>
      <c r="C563" t="s">
        <v>273</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cm="1">
        <f t="array" ref="W563">AND(ISNUMBER(LifeExpectancyData[[#This Row],[Adult Mortality]:[Schooling]]),ISNUMBER(LifeExpectancyData[[#This Row],[Life expectancy]]), LifeExpectancyData[[#This Row],[Year]]=2013)</f>
        <v>0</v>
      </c>
    </row>
    <row r="564" spans="1:23" x14ac:dyDescent="0.25">
      <c r="A564" t="s">
        <v>309</v>
      </c>
      <c r="B564">
        <v>2013</v>
      </c>
      <c r="C564" t="s">
        <v>273</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cm="1">
        <f t="array" ref="W564">AND(ISNUMBER(LifeExpectancyData[[#This Row],[Adult Mortality]:[Schooling]]),ISNUMBER(LifeExpectancyData[[#This Row],[Life expectancy]]), LifeExpectancyData[[#This Row],[Year]]=2013)</f>
        <v>1</v>
      </c>
    </row>
    <row r="565" spans="1:23" x14ac:dyDescent="0.25">
      <c r="A565" t="s">
        <v>309</v>
      </c>
      <c r="B565">
        <v>2012</v>
      </c>
      <c r="C565" t="s">
        <v>273</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cm="1">
        <f t="array" ref="W565">AND(ISNUMBER(LifeExpectancyData[[#This Row],[Adult Mortality]:[Schooling]]),ISNUMBER(LifeExpectancyData[[#This Row],[Life expectancy]]), LifeExpectancyData[[#This Row],[Year]]=2013)</f>
        <v>0</v>
      </c>
    </row>
    <row r="566" spans="1:23" x14ac:dyDescent="0.25">
      <c r="A566" t="s">
        <v>309</v>
      </c>
      <c r="B566">
        <v>2011</v>
      </c>
      <c r="C566" t="s">
        <v>273</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cm="1">
        <f t="array" ref="W566">AND(ISNUMBER(LifeExpectancyData[[#This Row],[Adult Mortality]:[Schooling]]),ISNUMBER(LifeExpectancyData[[#This Row],[Life expectancy]]), LifeExpectancyData[[#This Row],[Year]]=2013)</f>
        <v>0</v>
      </c>
    </row>
    <row r="567" spans="1:23" x14ac:dyDescent="0.25">
      <c r="A567" t="s">
        <v>309</v>
      </c>
      <c r="B567">
        <v>2010</v>
      </c>
      <c r="C567" t="s">
        <v>273</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cm="1">
        <f t="array" ref="W567">AND(ISNUMBER(LifeExpectancyData[[#This Row],[Adult Mortality]:[Schooling]]),ISNUMBER(LifeExpectancyData[[#This Row],[Life expectancy]]), LifeExpectancyData[[#This Row],[Year]]=2013)</f>
        <v>0</v>
      </c>
    </row>
    <row r="568" spans="1:23" x14ac:dyDescent="0.25">
      <c r="A568" t="s">
        <v>309</v>
      </c>
      <c r="B568">
        <v>2009</v>
      </c>
      <c r="C568" t="s">
        <v>273</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cm="1">
        <f t="array" ref="W568">AND(ISNUMBER(LifeExpectancyData[[#This Row],[Adult Mortality]:[Schooling]]),ISNUMBER(LifeExpectancyData[[#This Row],[Life expectancy]]), LifeExpectancyData[[#This Row],[Year]]=2013)</f>
        <v>0</v>
      </c>
    </row>
    <row r="569" spans="1:23" x14ac:dyDescent="0.25">
      <c r="A569" t="s">
        <v>309</v>
      </c>
      <c r="B569">
        <v>2008</v>
      </c>
      <c r="C569" t="s">
        <v>273</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cm="1">
        <f t="array" ref="W569">AND(ISNUMBER(LifeExpectancyData[[#This Row],[Adult Mortality]:[Schooling]]),ISNUMBER(LifeExpectancyData[[#This Row],[Life expectancy]]), LifeExpectancyData[[#This Row],[Year]]=2013)</f>
        <v>0</v>
      </c>
    </row>
    <row r="570" spans="1:23" x14ac:dyDescent="0.25">
      <c r="A570" t="s">
        <v>309</v>
      </c>
      <c r="B570">
        <v>2007</v>
      </c>
      <c r="C570" t="s">
        <v>273</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cm="1">
        <f t="array" ref="W570">AND(ISNUMBER(LifeExpectancyData[[#This Row],[Adult Mortality]:[Schooling]]),ISNUMBER(LifeExpectancyData[[#This Row],[Life expectancy]]), LifeExpectancyData[[#This Row],[Year]]=2013)</f>
        <v>0</v>
      </c>
    </row>
    <row r="571" spans="1:23" x14ac:dyDescent="0.25">
      <c r="A571" t="s">
        <v>309</v>
      </c>
      <c r="B571">
        <v>2006</v>
      </c>
      <c r="C571" t="s">
        <v>273</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cm="1">
        <f t="array" ref="W571">AND(ISNUMBER(LifeExpectancyData[[#This Row],[Adult Mortality]:[Schooling]]),ISNUMBER(LifeExpectancyData[[#This Row],[Life expectancy]]), LifeExpectancyData[[#This Row],[Year]]=2013)</f>
        <v>0</v>
      </c>
    </row>
    <row r="572" spans="1:23" x14ac:dyDescent="0.25">
      <c r="A572" t="s">
        <v>309</v>
      </c>
      <c r="B572">
        <v>2005</v>
      </c>
      <c r="C572" t="s">
        <v>273</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cm="1">
        <f t="array" ref="W572">AND(ISNUMBER(LifeExpectancyData[[#This Row],[Adult Mortality]:[Schooling]]),ISNUMBER(LifeExpectancyData[[#This Row],[Life expectancy]]), LifeExpectancyData[[#This Row],[Year]]=2013)</f>
        <v>0</v>
      </c>
    </row>
    <row r="573" spans="1:23" x14ac:dyDescent="0.25">
      <c r="A573" t="s">
        <v>309</v>
      </c>
      <c r="B573">
        <v>2004</v>
      </c>
      <c r="C573" t="s">
        <v>273</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cm="1">
        <f t="array" ref="W573">AND(ISNUMBER(LifeExpectancyData[[#This Row],[Adult Mortality]:[Schooling]]),ISNUMBER(LifeExpectancyData[[#This Row],[Life expectancy]]), LifeExpectancyData[[#This Row],[Year]]=2013)</f>
        <v>0</v>
      </c>
    </row>
    <row r="574" spans="1:23" x14ac:dyDescent="0.25">
      <c r="A574" t="s">
        <v>309</v>
      </c>
      <c r="B574">
        <v>2003</v>
      </c>
      <c r="C574" t="s">
        <v>273</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cm="1">
        <f t="array" ref="W574">AND(ISNUMBER(LifeExpectancyData[[#This Row],[Adult Mortality]:[Schooling]]),ISNUMBER(LifeExpectancyData[[#This Row],[Life expectancy]]), LifeExpectancyData[[#This Row],[Year]]=2013)</f>
        <v>0</v>
      </c>
    </row>
    <row r="575" spans="1:23" x14ac:dyDescent="0.25">
      <c r="A575" t="s">
        <v>309</v>
      </c>
      <c r="B575">
        <v>2002</v>
      </c>
      <c r="C575" t="s">
        <v>273</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cm="1">
        <f t="array" ref="W575">AND(ISNUMBER(LifeExpectancyData[[#This Row],[Adult Mortality]:[Schooling]]),ISNUMBER(LifeExpectancyData[[#This Row],[Life expectancy]]), LifeExpectancyData[[#This Row],[Year]]=2013)</f>
        <v>0</v>
      </c>
    </row>
    <row r="576" spans="1:23" x14ac:dyDescent="0.25">
      <c r="A576" t="s">
        <v>309</v>
      </c>
      <c r="B576">
        <v>2001</v>
      </c>
      <c r="C576" t="s">
        <v>273</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cm="1">
        <f t="array" ref="W576">AND(ISNUMBER(LifeExpectancyData[[#This Row],[Adult Mortality]:[Schooling]]),ISNUMBER(LifeExpectancyData[[#This Row],[Life expectancy]]), LifeExpectancyData[[#This Row],[Year]]=2013)</f>
        <v>0</v>
      </c>
    </row>
    <row r="577" spans="1:23" x14ac:dyDescent="0.25">
      <c r="A577" t="s">
        <v>309</v>
      </c>
      <c r="B577">
        <v>2000</v>
      </c>
      <c r="C577" t="s">
        <v>273</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cm="1">
        <f t="array" ref="W577">AND(ISNUMBER(LifeExpectancyData[[#This Row],[Adult Mortality]:[Schooling]]),ISNUMBER(LifeExpectancyData[[#This Row],[Life expectancy]]), LifeExpectancyData[[#This Row],[Year]]=2013)</f>
        <v>0</v>
      </c>
    </row>
    <row r="578" spans="1:23" hidden="1" x14ac:dyDescent="0.25">
      <c r="A578" t="s">
        <v>310</v>
      </c>
      <c r="B578">
        <v>2015</v>
      </c>
      <c r="C578" t="s">
        <v>273</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cm="1">
        <f t="array" ref="W578">AND(ISNUMBER(LifeExpectancyData[[#This Row],[Adult Mortality]:[Schooling]]),ISNUMBER(LifeExpectancyData[[#This Row],[Life expectancy]]), LifeExpectancyData[[#This Row],[Year]]=2013)</f>
        <v>0</v>
      </c>
    </row>
    <row r="579" spans="1:23" x14ac:dyDescent="0.25">
      <c r="A579" t="s">
        <v>310</v>
      </c>
      <c r="B579">
        <v>2014</v>
      </c>
      <c r="C579" t="s">
        <v>273</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cm="1">
        <f t="array" ref="W579">AND(ISNUMBER(LifeExpectancyData[[#This Row],[Adult Mortality]:[Schooling]]),ISNUMBER(LifeExpectancyData[[#This Row],[Life expectancy]]), LifeExpectancyData[[#This Row],[Year]]=2013)</f>
        <v>0</v>
      </c>
    </row>
    <row r="580" spans="1:23" x14ac:dyDescent="0.25">
      <c r="A580" t="s">
        <v>310</v>
      </c>
      <c r="B580">
        <v>2013</v>
      </c>
      <c r="C580" t="s">
        <v>273</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cm="1">
        <f t="array" ref="W580">AND(ISNUMBER(LifeExpectancyData[[#This Row],[Adult Mortality]:[Schooling]]),ISNUMBER(LifeExpectancyData[[#This Row],[Life expectancy]]), LifeExpectancyData[[#This Row],[Year]]=2013)</f>
        <v>1</v>
      </c>
    </row>
    <row r="581" spans="1:23" x14ac:dyDescent="0.25">
      <c r="A581" t="s">
        <v>310</v>
      </c>
      <c r="B581">
        <v>2012</v>
      </c>
      <c r="C581" t="s">
        <v>273</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cm="1">
        <f t="array" ref="W581">AND(ISNUMBER(LifeExpectancyData[[#This Row],[Adult Mortality]:[Schooling]]),ISNUMBER(LifeExpectancyData[[#This Row],[Life expectancy]]), LifeExpectancyData[[#This Row],[Year]]=2013)</f>
        <v>0</v>
      </c>
    </row>
    <row r="582" spans="1:23" x14ac:dyDescent="0.25">
      <c r="A582" t="s">
        <v>310</v>
      </c>
      <c r="B582">
        <v>2011</v>
      </c>
      <c r="C582" t="s">
        <v>273</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cm="1">
        <f t="array" ref="W582">AND(ISNUMBER(LifeExpectancyData[[#This Row],[Adult Mortality]:[Schooling]]),ISNUMBER(LifeExpectancyData[[#This Row],[Life expectancy]]), LifeExpectancyData[[#This Row],[Year]]=2013)</f>
        <v>0</v>
      </c>
    </row>
    <row r="583" spans="1:23" x14ac:dyDescent="0.25">
      <c r="A583" t="s">
        <v>310</v>
      </c>
      <c r="B583">
        <v>2010</v>
      </c>
      <c r="C583" t="s">
        <v>273</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cm="1">
        <f t="array" ref="W583">AND(ISNUMBER(LifeExpectancyData[[#This Row],[Adult Mortality]:[Schooling]]),ISNUMBER(LifeExpectancyData[[#This Row],[Life expectancy]]), LifeExpectancyData[[#This Row],[Year]]=2013)</f>
        <v>0</v>
      </c>
    </row>
    <row r="584" spans="1:23" x14ac:dyDescent="0.25">
      <c r="A584" t="s">
        <v>310</v>
      </c>
      <c r="B584">
        <v>2009</v>
      </c>
      <c r="C584" t="s">
        <v>273</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cm="1">
        <f t="array" ref="W584">AND(ISNUMBER(LifeExpectancyData[[#This Row],[Adult Mortality]:[Schooling]]),ISNUMBER(LifeExpectancyData[[#This Row],[Life expectancy]]), LifeExpectancyData[[#This Row],[Year]]=2013)</f>
        <v>0</v>
      </c>
    </row>
    <row r="585" spans="1:23" x14ac:dyDescent="0.25">
      <c r="A585" t="s">
        <v>310</v>
      </c>
      <c r="B585">
        <v>2008</v>
      </c>
      <c r="C585" t="s">
        <v>273</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cm="1">
        <f t="array" ref="W585">AND(ISNUMBER(LifeExpectancyData[[#This Row],[Adult Mortality]:[Schooling]]),ISNUMBER(LifeExpectancyData[[#This Row],[Life expectancy]]), LifeExpectancyData[[#This Row],[Year]]=2013)</f>
        <v>0</v>
      </c>
    </row>
    <row r="586" spans="1:23" x14ac:dyDescent="0.25">
      <c r="A586" t="s">
        <v>310</v>
      </c>
      <c r="B586">
        <v>2007</v>
      </c>
      <c r="C586" t="s">
        <v>273</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cm="1">
        <f t="array" ref="W586">AND(ISNUMBER(LifeExpectancyData[[#This Row],[Adult Mortality]:[Schooling]]),ISNUMBER(LifeExpectancyData[[#This Row],[Life expectancy]]), LifeExpectancyData[[#This Row],[Year]]=2013)</f>
        <v>0</v>
      </c>
    </row>
    <row r="587" spans="1:23" x14ac:dyDescent="0.25">
      <c r="A587" t="s">
        <v>310</v>
      </c>
      <c r="B587">
        <v>2006</v>
      </c>
      <c r="C587" t="s">
        <v>273</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cm="1">
        <f t="array" ref="W587">AND(ISNUMBER(LifeExpectancyData[[#This Row],[Adult Mortality]:[Schooling]]),ISNUMBER(LifeExpectancyData[[#This Row],[Life expectancy]]), LifeExpectancyData[[#This Row],[Year]]=2013)</f>
        <v>0</v>
      </c>
    </row>
    <row r="588" spans="1:23" x14ac:dyDescent="0.25">
      <c r="A588" t="s">
        <v>310</v>
      </c>
      <c r="B588">
        <v>2005</v>
      </c>
      <c r="C588" t="s">
        <v>273</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cm="1">
        <f t="array" ref="W588">AND(ISNUMBER(LifeExpectancyData[[#This Row],[Adult Mortality]:[Schooling]]),ISNUMBER(LifeExpectancyData[[#This Row],[Life expectancy]]), LifeExpectancyData[[#This Row],[Year]]=2013)</f>
        <v>0</v>
      </c>
    </row>
    <row r="589" spans="1:23" x14ac:dyDescent="0.25">
      <c r="A589" t="s">
        <v>310</v>
      </c>
      <c r="B589">
        <v>2004</v>
      </c>
      <c r="C589" t="s">
        <v>273</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cm="1">
        <f t="array" ref="W589">AND(ISNUMBER(LifeExpectancyData[[#This Row],[Adult Mortality]:[Schooling]]),ISNUMBER(LifeExpectancyData[[#This Row],[Life expectancy]]), LifeExpectancyData[[#This Row],[Year]]=2013)</f>
        <v>0</v>
      </c>
    </row>
    <row r="590" spans="1:23" x14ac:dyDescent="0.25">
      <c r="A590" t="s">
        <v>310</v>
      </c>
      <c r="B590">
        <v>2003</v>
      </c>
      <c r="C590" t="s">
        <v>273</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cm="1">
        <f t="array" ref="W590">AND(ISNUMBER(LifeExpectancyData[[#This Row],[Adult Mortality]:[Schooling]]),ISNUMBER(LifeExpectancyData[[#This Row],[Life expectancy]]), LifeExpectancyData[[#This Row],[Year]]=2013)</f>
        <v>0</v>
      </c>
    </row>
    <row r="591" spans="1:23" x14ac:dyDescent="0.25">
      <c r="A591" t="s">
        <v>310</v>
      </c>
      <c r="B591">
        <v>2002</v>
      </c>
      <c r="C591" t="s">
        <v>273</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cm="1">
        <f t="array" ref="W591">AND(ISNUMBER(LifeExpectancyData[[#This Row],[Adult Mortality]:[Schooling]]),ISNUMBER(LifeExpectancyData[[#This Row],[Life expectancy]]), LifeExpectancyData[[#This Row],[Year]]=2013)</f>
        <v>0</v>
      </c>
    </row>
    <row r="592" spans="1:23" x14ac:dyDescent="0.25">
      <c r="A592" t="s">
        <v>310</v>
      </c>
      <c r="B592">
        <v>2001</v>
      </c>
      <c r="C592" t="s">
        <v>273</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cm="1">
        <f t="array" ref="W592">AND(ISNUMBER(LifeExpectancyData[[#This Row],[Adult Mortality]:[Schooling]]),ISNUMBER(LifeExpectancyData[[#This Row],[Life expectancy]]), LifeExpectancyData[[#This Row],[Year]]=2013)</f>
        <v>0</v>
      </c>
    </row>
    <row r="593" spans="1:23" x14ac:dyDescent="0.25">
      <c r="A593" t="s">
        <v>310</v>
      </c>
      <c r="B593">
        <v>2000</v>
      </c>
      <c r="C593" t="s">
        <v>273</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cm="1">
        <f t="array" ref="W593">AND(ISNUMBER(LifeExpectancyData[[#This Row],[Adult Mortality]:[Schooling]]),ISNUMBER(LifeExpectancyData[[#This Row],[Life expectancy]]), LifeExpectancyData[[#This Row],[Year]]=2013)</f>
        <v>0</v>
      </c>
    </row>
    <row r="594" spans="1:23" hidden="1" x14ac:dyDescent="0.25">
      <c r="A594" t="s">
        <v>311</v>
      </c>
      <c r="B594">
        <v>2015</v>
      </c>
      <c r="C594" t="s">
        <v>273</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cm="1">
        <f t="array" ref="W594">AND(ISNUMBER(LifeExpectancyData[[#This Row],[Adult Mortality]:[Schooling]]),ISNUMBER(LifeExpectancyData[[#This Row],[Life expectancy]]), LifeExpectancyData[[#This Row],[Year]]=2013)</f>
        <v>0</v>
      </c>
    </row>
    <row r="595" spans="1:23" x14ac:dyDescent="0.25">
      <c r="A595" t="s">
        <v>311</v>
      </c>
      <c r="B595">
        <v>2014</v>
      </c>
      <c r="C595" t="s">
        <v>273</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cm="1">
        <f t="array" ref="W595">AND(ISNUMBER(LifeExpectancyData[[#This Row],[Adult Mortality]:[Schooling]]),ISNUMBER(LifeExpectancyData[[#This Row],[Life expectancy]]), LifeExpectancyData[[#This Row],[Year]]=2013)</f>
        <v>0</v>
      </c>
    </row>
    <row r="596" spans="1:23" x14ac:dyDescent="0.25">
      <c r="A596" t="s">
        <v>311</v>
      </c>
      <c r="B596">
        <v>2013</v>
      </c>
      <c r="C596" t="s">
        <v>273</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cm="1">
        <f t="array" ref="W596">AND(ISNUMBER(LifeExpectancyData[[#This Row],[Adult Mortality]:[Schooling]]),ISNUMBER(LifeExpectancyData[[#This Row],[Life expectancy]]), LifeExpectancyData[[#This Row],[Year]]=2013)</f>
        <v>1</v>
      </c>
    </row>
    <row r="597" spans="1:23" x14ac:dyDescent="0.25">
      <c r="A597" t="s">
        <v>311</v>
      </c>
      <c r="B597">
        <v>2012</v>
      </c>
      <c r="C597" t="s">
        <v>273</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cm="1">
        <f t="array" ref="W597">AND(ISNUMBER(LifeExpectancyData[[#This Row],[Adult Mortality]:[Schooling]]),ISNUMBER(LifeExpectancyData[[#This Row],[Life expectancy]]), LifeExpectancyData[[#This Row],[Year]]=2013)</f>
        <v>0</v>
      </c>
    </row>
    <row r="598" spans="1:23" x14ac:dyDescent="0.25">
      <c r="A598" t="s">
        <v>311</v>
      </c>
      <c r="B598">
        <v>2011</v>
      </c>
      <c r="C598" t="s">
        <v>273</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cm="1">
        <f t="array" ref="W598">AND(ISNUMBER(LifeExpectancyData[[#This Row],[Adult Mortality]:[Schooling]]),ISNUMBER(LifeExpectancyData[[#This Row],[Life expectancy]]), LifeExpectancyData[[#This Row],[Year]]=2013)</f>
        <v>0</v>
      </c>
    </row>
    <row r="599" spans="1:23" x14ac:dyDescent="0.25">
      <c r="A599" t="s">
        <v>311</v>
      </c>
      <c r="B599">
        <v>2010</v>
      </c>
      <c r="C599" t="s">
        <v>273</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cm="1">
        <f t="array" ref="W599">AND(ISNUMBER(LifeExpectancyData[[#This Row],[Adult Mortality]:[Schooling]]),ISNUMBER(LifeExpectancyData[[#This Row],[Life expectancy]]), LifeExpectancyData[[#This Row],[Year]]=2013)</f>
        <v>0</v>
      </c>
    </row>
    <row r="600" spans="1:23" x14ac:dyDescent="0.25">
      <c r="A600" t="s">
        <v>311</v>
      </c>
      <c r="B600">
        <v>2009</v>
      </c>
      <c r="C600" t="s">
        <v>273</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cm="1">
        <f t="array" ref="W600">AND(ISNUMBER(LifeExpectancyData[[#This Row],[Adult Mortality]:[Schooling]]),ISNUMBER(LifeExpectancyData[[#This Row],[Life expectancy]]), LifeExpectancyData[[#This Row],[Year]]=2013)</f>
        <v>0</v>
      </c>
    </row>
    <row r="601" spans="1:23" x14ac:dyDescent="0.25">
      <c r="A601" t="s">
        <v>311</v>
      </c>
      <c r="B601">
        <v>2008</v>
      </c>
      <c r="C601" t="s">
        <v>273</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cm="1">
        <f t="array" ref="W601">AND(ISNUMBER(LifeExpectancyData[[#This Row],[Adult Mortality]:[Schooling]]),ISNUMBER(LifeExpectancyData[[#This Row],[Life expectancy]]), LifeExpectancyData[[#This Row],[Year]]=2013)</f>
        <v>0</v>
      </c>
    </row>
    <row r="602" spans="1:23" x14ac:dyDescent="0.25">
      <c r="A602" t="s">
        <v>311</v>
      </c>
      <c r="B602">
        <v>2007</v>
      </c>
      <c r="C602" t="s">
        <v>273</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cm="1">
        <f t="array" ref="W602">AND(ISNUMBER(LifeExpectancyData[[#This Row],[Adult Mortality]:[Schooling]]),ISNUMBER(LifeExpectancyData[[#This Row],[Life expectancy]]), LifeExpectancyData[[#This Row],[Year]]=2013)</f>
        <v>0</v>
      </c>
    </row>
    <row r="603" spans="1:23" x14ac:dyDescent="0.25">
      <c r="A603" t="s">
        <v>311</v>
      </c>
      <c r="B603">
        <v>2006</v>
      </c>
      <c r="C603" t="s">
        <v>273</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cm="1">
        <f t="array" ref="W603">AND(ISNUMBER(LifeExpectancyData[[#This Row],[Adult Mortality]:[Schooling]]),ISNUMBER(LifeExpectancyData[[#This Row],[Life expectancy]]), LifeExpectancyData[[#This Row],[Year]]=2013)</f>
        <v>0</v>
      </c>
    </row>
    <row r="604" spans="1:23" x14ac:dyDescent="0.25">
      <c r="A604" t="s">
        <v>311</v>
      </c>
      <c r="B604">
        <v>2005</v>
      </c>
      <c r="C604" t="s">
        <v>273</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cm="1">
        <f t="array" ref="W604">AND(ISNUMBER(LifeExpectancyData[[#This Row],[Adult Mortality]:[Schooling]]),ISNUMBER(LifeExpectancyData[[#This Row],[Life expectancy]]), LifeExpectancyData[[#This Row],[Year]]=2013)</f>
        <v>0</v>
      </c>
    </row>
    <row r="605" spans="1:23" x14ac:dyDescent="0.25">
      <c r="A605" t="s">
        <v>311</v>
      </c>
      <c r="B605">
        <v>2004</v>
      </c>
      <c r="C605" t="s">
        <v>273</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cm="1">
        <f t="array" ref="W605">AND(ISNUMBER(LifeExpectancyData[[#This Row],[Adult Mortality]:[Schooling]]),ISNUMBER(LifeExpectancyData[[#This Row],[Life expectancy]]), LifeExpectancyData[[#This Row],[Year]]=2013)</f>
        <v>0</v>
      </c>
    </row>
    <row r="606" spans="1:23" x14ac:dyDescent="0.25">
      <c r="A606" t="s">
        <v>311</v>
      </c>
      <c r="B606">
        <v>2003</v>
      </c>
      <c r="C606" t="s">
        <v>273</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cm="1">
        <f t="array" ref="W606">AND(ISNUMBER(LifeExpectancyData[[#This Row],[Adult Mortality]:[Schooling]]),ISNUMBER(LifeExpectancyData[[#This Row],[Life expectancy]]), LifeExpectancyData[[#This Row],[Year]]=2013)</f>
        <v>0</v>
      </c>
    </row>
    <row r="607" spans="1:23" hidden="1" x14ac:dyDescent="0.25">
      <c r="A607" t="s">
        <v>311</v>
      </c>
      <c r="B607">
        <v>2002</v>
      </c>
      <c r="C607" t="s">
        <v>273</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cm="1">
        <f t="array" ref="W607">AND(ISNUMBER(LifeExpectancyData[[#This Row],[Adult Mortality]:[Schooling]]),ISNUMBER(LifeExpectancyData[[#This Row],[Life expectancy]]), LifeExpectancyData[[#This Row],[Year]]=2013)</f>
        <v>0</v>
      </c>
    </row>
    <row r="608" spans="1:23" hidden="1" x14ac:dyDescent="0.25">
      <c r="A608" t="s">
        <v>311</v>
      </c>
      <c r="B608">
        <v>2001</v>
      </c>
      <c r="C608" t="s">
        <v>273</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cm="1">
        <f t="array" ref="W608">AND(ISNUMBER(LifeExpectancyData[[#This Row],[Adult Mortality]:[Schooling]]),ISNUMBER(LifeExpectancyData[[#This Row],[Life expectancy]]), LifeExpectancyData[[#This Row],[Year]]=2013)</f>
        <v>0</v>
      </c>
    </row>
    <row r="609" spans="1:23" hidden="1" x14ac:dyDescent="0.25">
      <c r="A609" t="s">
        <v>311</v>
      </c>
      <c r="B609">
        <v>2000</v>
      </c>
      <c r="C609" t="s">
        <v>273</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cm="1">
        <f t="array" ref="W609">AND(ISNUMBER(LifeExpectancyData[[#This Row],[Adult Mortality]:[Schooling]]),ISNUMBER(LifeExpectancyData[[#This Row],[Life expectancy]]), LifeExpectancyData[[#This Row],[Year]]=2013)</f>
        <v>0</v>
      </c>
    </row>
    <row r="610" spans="1:23" hidden="1" x14ac:dyDescent="0.25">
      <c r="A610" t="s">
        <v>312</v>
      </c>
      <c r="B610">
        <v>2015</v>
      </c>
      <c r="C610" t="s">
        <v>273</v>
      </c>
      <c r="D610">
        <v>64.7</v>
      </c>
      <c r="E610">
        <v>267</v>
      </c>
      <c r="F610">
        <v>7</v>
      </c>
      <c r="H610">
        <v>0</v>
      </c>
      <c r="I610">
        <v>8</v>
      </c>
      <c r="J610">
        <v>1359</v>
      </c>
      <c r="K610">
        <v>27.4</v>
      </c>
      <c r="L610">
        <v>10</v>
      </c>
      <c r="M610">
        <v>8</v>
      </c>
      <c r="O610">
        <v>8</v>
      </c>
      <c r="P610">
        <v>2.8</v>
      </c>
      <c r="S610">
        <v>7.5</v>
      </c>
      <c r="T610">
        <v>7.1</v>
      </c>
      <c r="U610">
        <v>0.59</v>
      </c>
      <c r="V610">
        <v>11.1</v>
      </c>
      <c r="W610" t="b" cm="1">
        <f t="array" ref="W610">AND(ISNUMBER(LifeExpectancyData[[#This Row],[Adult Mortality]:[Schooling]]),ISNUMBER(LifeExpectancyData[[#This Row],[Life expectancy]]), LifeExpectancyData[[#This Row],[Year]]=2013)</f>
        <v>0</v>
      </c>
    </row>
    <row r="611" spans="1:23" hidden="1" x14ac:dyDescent="0.25">
      <c r="A611" t="s">
        <v>312</v>
      </c>
      <c r="B611">
        <v>2014</v>
      </c>
      <c r="C611" t="s">
        <v>273</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cm="1">
        <f t="array" ref="W611">AND(ISNUMBER(LifeExpectancyData[[#This Row],[Adult Mortality]:[Schooling]]),ISNUMBER(LifeExpectancyData[[#This Row],[Life expectancy]]), LifeExpectancyData[[#This Row],[Year]]=2013)</f>
        <v>0</v>
      </c>
    </row>
    <row r="612" spans="1:23" hidden="1" x14ac:dyDescent="0.25">
      <c r="A612" t="s">
        <v>312</v>
      </c>
      <c r="B612">
        <v>2013</v>
      </c>
      <c r="C612" t="s">
        <v>273</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cm="1">
        <f t="array" ref="W612">AND(ISNUMBER(LifeExpectancyData[[#This Row],[Adult Mortality]:[Schooling]]),ISNUMBER(LifeExpectancyData[[#This Row],[Life expectancy]]), LifeExpectancyData[[#This Row],[Year]]=2013)</f>
        <v>0</v>
      </c>
    </row>
    <row r="613" spans="1:23" hidden="1" x14ac:dyDescent="0.25">
      <c r="A613" t="s">
        <v>312</v>
      </c>
      <c r="B613">
        <v>2012</v>
      </c>
      <c r="C613" t="s">
        <v>273</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cm="1">
        <f t="array" ref="W613">AND(ISNUMBER(LifeExpectancyData[[#This Row],[Adult Mortality]:[Schooling]]),ISNUMBER(LifeExpectancyData[[#This Row],[Life expectancy]]), LifeExpectancyData[[#This Row],[Year]]=2013)</f>
        <v>0</v>
      </c>
    </row>
    <row r="614" spans="1:23" hidden="1" x14ac:dyDescent="0.25">
      <c r="A614" t="s">
        <v>312</v>
      </c>
      <c r="B614">
        <v>2011</v>
      </c>
      <c r="C614" t="s">
        <v>273</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cm="1">
        <f t="array" ref="W614">AND(ISNUMBER(LifeExpectancyData[[#This Row],[Adult Mortality]:[Schooling]]),ISNUMBER(LifeExpectancyData[[#This Row],[Life expectancy]]), LifeExpectancyData[[#This Row],[Year]]=2013)</f>
        <v>0</v>
      </c>
    </row>
    <row r="615" spans="1:23" hidden="1" x14ac:dyDescent="0.25">
      <c r="A615" t="s">
        <v>312</v>
      </c>
      <c r="B615">
        <v>2010</v>
      </c>
      <c r="C615" t="s">
        <v>273</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cm="1">
        <f t="array" ref="W615">AND(ISNUMBER(LifeExpectancyData[[#This Row],[Adult Mortality]:[Schooling]]),ISNUMBER(LifeExpectancyData[[#This Row],[Life expectancy]]), LifeExpectancyData[[#This Row],[Year]]=2013)</f>
        <v>0</v>
      </c>
    </row>
    <row r="616" spans="1:23" hidden="1" x14ac:dyDescent="0.25">
      <c r="A616" t="s">
        <v>312</v>
      </c>
      <c r="B616">
        <v>2009</v>
      </c>
      <c r="C616" t="s">
        <v>273</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cm="1">
        <f t="array" ref="W616">AND(ISNUMBER(LifeExpectancyData[[#This Row],[Adult Mortality]:[Schooling]]),ISNUMBER(LifeExpectancyData[[#This Row],[Life expectancy]]), LifeExpectancyData[[#This Row],[Year]]=2013)</f>
        <v>0</v>
      </c>
    </row>
    <row r="617" spans="1:23" hidden="1" x14ac:dyDescent="0.25">
      <c r="A617" t="s">
        <v>312</v>
      </c>
      <c r="B617">
        <v>2008</v>
      </c>
      <c r="C617" t="s">
        <v>273</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cm="1">
        <f t="array" ref="W617">AND(ISNUMBER(LifeExpectancyData[[#This Row],[Adult Mortality]:[Schooling]]),ISNUMBER(LifeExpectancyData[[#This Row],[Life expectancy]]), LifeExpectancyData[[#This Row],[Year]]=2013)</f>
        <v>0</v>
      </c>
    </row>
    <row r="618" spans="1:23" hidden="1" x14ac:dyDescent="0.25">
      <c r="A618" t="s">
        <v>312</v>
      </c>
      <c r="B618">
        <v>2007</v>
      </c>
      <c r="C618" t="s">
        <v>273</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cm="1">
        <f t="array" ref="W618">AND(ISNUMBER(LifeExpectancyData[[#This Row],[Adult Mortality]:[Schooling]]),ISNUMBER(LifeExpectancyData[[#This Row],[Life expectancy]]), LifeExpectancyData[[#This Row],[Year]]=2013)</f>
        <v>0</v>
      </c>
    </row>
    <row r="619" spans="1:23" hidden="1" x14ac:dyDescent="0.25">
      <c r="A619" t="s">
        <v>312</v>
      </c>
      <c r="B619">
        <v>2006</v>
      </c>
      <c r="C619" t="s">
        <v>273</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cm="1">
        <f t="array" ref="W619">AND(ISNUMBER(LifeExpectancyData[[#This Row],[Adult Mortality]:[Schooling]]),ISNUMBER(LifeExpectancyData[[#This Row],[Life expectancy]]), LifeExpectancyData[[#This Row],[Year]]=2013)</f>
        <v>0</v>
      </c>
    </row>
    <row r="620" spans="1:23" hidden="1" x14ac:dyDescent="0.25">
      <c r="A620" t="s">
        <v>312</v>
      </c>
      <c r="B620">
        <v>2005</v>
      </c>
      <c r="C620" t="s">
        <v>273</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cm="1">
        <f t="array" ref="W620">AND(ISNUMBER(LifeExpectancyData[[#This Row],[Adult Mortality]:[Schooling]]),ISNUMBER(LifeExpectancyData[[#This Row],[Life expectancy]]), LifeExpectancyData[[#This Row],[Year]]=2013)</f>
        <v>0</v>
      </c>
    </row>
    <row r="621" spans="1:23" hidden="1" x14ac:dyDescent="0.25">
      <c r="A621" t="s">
        <v>312</v>
      </c>
      <c r="B621">
        <v>2004</v>
      </c>
      <c r="C621" t="s">
        <v>273</v>
      </c>
      <c r="D621">
        <v>54.1</v>
      </c>
      <c r="E621">
        <v>48</v>
      </c>
      <c r="F621">
        <v>9</v>
      </c>
      <c r="G621">
        <v>2.58</v>
      </c>
      <c r="H621">
        <v>0</v>
      </c>
      <c r="J621">
        <v>3524</v>
      </c>
      <c r="K621">
        <v>21.2</v>
      </c>
      <c r="L621">
        <v>13</v>
      </c>
      <c r="M621">
        <v>67</v>
      </c>
      <c r="N621">
        <v>2.56</v>
      </c>
      <c r="O621">
        <v>67</v>
      </c>
      <c r="P621">
        <v>6.3</v>
      </c>
      <c r="S621">
        <v>9</v>
      </c>
      <c r="T621">
        <v>8.6</v>
      </c>
      <c r="U621">
        <v>0.497</v>
      </c>
      <c r="V621">
        <v>9.1999999999999993</v>
      </c>
      <c r="W621" t="b" cm="1">
        <f t="array" ref="W621">AND(ISNUMBER(LifeExpectancyData[[#This Row],[Adult Mortality]:[Schooling]]),ISNUMBER(LifeExpectancyData[[#This Row],[Life expectancy]]), LifeExpectancyData[[#This Row],[Year]]=2013)</f>
        <v>0</v>
      </c>
    </row>
    <row r="622" spans="1:23" hidden="1" x14ac:dyDescent="0.25">
      <c r="A622" t="s">
        <v>312</v>
      </c>
      <c r="B622">
        <v>2003</v>
      </c>
      <c r="C622" t="s">
        <v>273</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cm="1">
        <f t="array" ref="W622">AND(ISNUMBER(LifeExpectancyData[[#This Row],[Adult Mortality]:[Schooling]]),ISNUMBER(LifeExpectancyData[[#This Row],[Life expectancy]]), LifeExpectancyData[[#This Row],[Year]]=2013)</f>
        <v>0</v>
      </c>
    </row>
    <row r="623" spans="1:23" hidden="1" x14ac:dyDescent="0.25">
      <c r="A623" t="s">
        <v>312</v>
      </c>
      <c r="B623">
        <v>2002</v>
      </c>
      <c r="C623" t="s">
        <v>273</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cm="1">
        <f t="array" ref="W623">AND(ISNUMBER(LifeExpectancyData[[#This Row],[Adult Mortality]:[Schooling]]),ISNUMBER(LifeExpectancyData[[#This Row],[Life expectancy]]), LifeExpectancyData[[#This Row],[Year]]=2013)</f>
        <v>0</v>
      </c>
    </row>
    <row r="624" spans="1:23" hidden="1" x14ac:dyDescent="0.25">
      <c r="A624" t="s">
        <v>312</v>
      </c>
      <c r="B624">
        <v>2001</v>
      </c>
      <c r="C624" t="s">
        <v>273</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cm="1">
        <f t="array" ref="W624">AND(ISNUMBER(LifeExpectancyData[[#This Row],[Adult Mortality]:[Schooling]]),ISNUMBER(LifeExpectancyData[[#This Row],[Life expectancy]]), LifeExpectancyData[[#This Row],[Year]]=2013)</f>
        <v>0</v>
      </c>
    </row>
    <row r="625" spans="1:23" hidden="1" x14ac:dyDescent="0.25">
      <c r="A625" t="s">
        <v>312</v>
      </c>
      <c r="B625">
        <v>2000</v>
      </c>
      <c r="C625" t="s">
        <v>273</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cm="1">
        <f t="array" ref="W625">AND(ISNUMBER(LifeExpectancyData[[#This Row],[Adult Mortality]:[Schooling]]),ISNUMBER(LifeExpectancyData[[#This Row],[Life expectancy]]), LifeExpectancyData[[#This Row],[Year]]=2013)</f>
        <v>0</v>
      </c>
    </row>
    <row r="626" spans="1:23" hidden="1" x14ac:dyDescent="0.25">
      <c r="A626" t="s">
        <v>313</v>
      </c>
      <c r="B626">
        <v>2013</v>
      </c>
      <c r="C626" t="s">
        <v>273</v>
      </c>
      <c r="F626">
        <v>0</v>
      </c>
      <c r="G626">
        <v>0.01</v>
      </c>
      <c r="H626">
        <v>0</v>
      </c>
      <c r="I626">
        <v>98</v>
      </c>
      <c r="J626">
        <v>0</v>
      </c>
      <c r="K626">
        <v>82.8</v>
      </c>
      <c r="L626">
        <v>0</v>
      </c>
      <c r="M626">
        <v>98</v>
      </c>
      <c r="N626">
        <v>3.58</v>
      </c>
      <c r="O626">
        <v>98</v>
      </c>
      <c r="P626">
        <v>0.1</v>
      </c>
      <c r="S626">
        <v>0.1</v>
      </c>
      <c r="T626">
        <v>0.1</v>
      </c>
      <c r="W626" t="b" cm="1">
        <f t="array" ref="W626">AND(ISNUMBER(LifeExpectancyData[[#This Row],[Adult Mortality]:[Schooling]]),ISNUMBER(LifeExpectancyData[[#This Row],[Life expectancy]]), LifeExpectancyData[[#This Row],[Year]]=2013)</f>
        <v>0</v>
      </c>
    </row>
    <row r="627" spans="1:23" hidden="1" x14ac:dyDescent="0.25">
      <c r="A627" t="s">
        <v>314</v>
      </c>
      <c r="B627">
        <v>2015</v>
      </c>
      <c r="C627" t="s">
        <v>273</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cm="1">
        <f t="array" ref="W627">AND(ISNUMBER(LifeExpectancyData[[#This Row],[Adult Mortality]:[Schooling]]),ISNUMBER(LifeExpectancyData[[#This Row],[Life expectancy]]), LifeExpectancyData[[#This Row],[Year]]=2013)</f>
        <v>0</v>
      </c>
    </row>
    <row r="628" spans="1:23" x14ac:dyDescent="0.25">
      <c r="A628" t="s">
        <v>314</v>
      </c>
      <c r="B628">
        <v>2014</v>
      </c>
      <c r="C628" t="s">
        <v>273</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cm="1">
        <f t="array" ref="W628">AND(ISNUMBER(LifeExpectancyData[[#This Row],[Adult Mortality]:[Schooling]]),ISNUMBER(LifeExpectancyData[[#This Row],[Life expectancy]]), LifeExpectancyData[[#This Row],[Year]]=2013)</f>
        <v>0</v>
      </c>
    </row>
    <row r="629" spans="1:23" x14ac:dyDescent="0.25">
      <c r="A629" t="s">
        <v>314</v>
      </c>
      <c r="B629">
        <v>2013</v>
      </c>
      <c r="C629" t="s">
        <v>273</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cm="1">
        <f t="array" ref="W629">AND(ISNUMBER(LifeExpectancyData[[#This Row],[Adult Mortality]:[Schooling]]),ISNUMBER(LifeExpectancyData[[#This Row],[Life expectancy]]), LifeExpectancyData[[#This Row],[Year]]=2013)</f>
        <v>1</v>
      </c>
    </row>
    <row r="630" spans="1:23" x14ac:dyDescent="0.25">
      <c r="A630" t="s">
        <v>314</v>
      </c>
      <c r="B630">
        <v>2012</v>
      </c>
      <c r="C630" t="s">
        <v>273</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cm="1">
        <f t="array" ref="W630">AND(ISNUMBER(LifeExpectancyData[[#This Row],[Adult Mortality]:[Schooling]]),ISNUMBER(LifeExpectancyData[[#This Row],[Life expectancy]]), LifeExpectancyData[[#This Row],[Year]]=2013)</f>
        <v>0</v>
      </c>
    </row>
    <row r="631" spans="1:23" x14ac:dyDescent="0.25">
      <c r="A631" t="s">
        <v>314</v>
      </c>
      <c r="B631">
        <v>2011</v>
      </c>
      <c r="C631" t="s">
        <v>273</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cm="1">
        <f t="array" ref="W631">AND(ISNUMBER(LifeExpectancyData[[#This Row],[Adult Mortality]:[Schooling]]),ISNUMBER(LifeExpectancyData[[#This Row],[Life expectancy]]), LifeExpectancyData[[#This Row],[Year]]=2013)</f>
        <v>0</v>
      </c>
    </row>
    <row r="632" spans="1:23" x14ac:dyDescent="0.25">
      <c r="A632" t="s">
        <v>314</v>
      </c>
      <c r="B632">
        <v>2010</v>
      </c>
      <c r="C632" t="s">
        <v>273</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cm="1">
        <f t="array" ref="W632">AND(ISNUMBER(LifeExpectancyData[[#This Row],[Adult Mortality]:[Schooling]]),ISNUMBER(LifeExpectancyData[[#This Row],[Life expectancy]]), LifeExpectancyData[[#This Row],[Year]]=2013)</f>
        <v>0</v>
      </c>
    </row>
    <row r="633" spans="1:23" x14ac:dyDescent="0.25">
      <c r="A633" t="s">
        <v>314</v>
      </c>
      <c r="B633">
        <v>2009</v>
      </c>
      <c r="C633" t="s">
        <v>273</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cm="1">
        <f t="array" ref="W633">AND(ISNUMBER(LifeExpectancyData[[#This Row],[Adult Mortality]:[Schooling]]),ISNUMBER(LifeExpectancyData[[#This Row],[Life expectancy]]), LifeExpectancyData[[#This Row],[Year]]=2013)</f>
        <v>0</v>
      </c>
    </row>
    <row r="634" spans="1:23" x14ac:dyDescent="0.25">
      <c r="A634" t="s">
        <v>314</v>
      </c>
      <c r="B634">
        <v>2008</v>
      </c>
      <c r="C634" t="s">
        <v>273</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cm="1">
        <f t="array" ref="W634">AND(ISNUMBER(LifeExpectancyData[[#This Row],[Adult Mortality]:[Schooling]]),ISNUMBER(LifeExpectancyData[[#This Row],[Life expectancy]]), LifeExpectancyData[[#This Row],[Year]]=2013)</f>
        <v>0</v>
      </c>
    </row>
    <row r="635" spans="1:23" x14ac:dyDescent="0.25">
      <c r="A635" t="s">
        <v>314</v>
      </c>
      <c r="B635">
        <v>2007</v>
      </c>
      <c r="C635" t="s">
        <v>273</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cm="1">
        <f t="array" ref="W635">AND(ISNUMBER(LifeExpectancyData[[#This Row],[Adult Mortality]:[Schooling]]),ISNUMBER(LifeExpectancyData[[#This Row],[Life expectancy]]), LifeExpectancyData[[#This Row],[Year]]=2013)</f>
        <v>0</v>
      </c>
    </row>
    <row r="636" spans="1:23" x14ac:dyDescent="0.25">
      <c r="A636" t="s">
        <v>314</v>
      </c>
      <c r="B636">
        <v>2006</v>
      </c>
      <c r="C636" t="s">
        <v>273</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cm="1">
        <f t="array" ref="W636">AND(ISNUMBER(LifeExpectancyData[[#This Row],[Adult Mortality]:[Schooling]]),ISNUMBER(LifeExpectancyData[[#This Row],[Life expectancy]]), LifeExpectancyData[[#This Row],[Year]]=2013)</f>
        <v>0</v>
      </c>
    </row>
    <row r="637" spans="1:23" x14ac:dyDescent="0.25">
      <c r="A637" t="s">
        <v>314</v>
      </c>
      <c r="B637">
        <v>2005</v>
      </c>
      <c r="C637" t="s">
        <v>273</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cm="1">
        <f t="array" ref="W637">AND(ISNUMBER(LifeExpectancyData[[#This Row],[Adult Mortality]:[Schooling]]),ISNUMBER(LifeExpectancyData[[#This Row],[Life expectancy]]), LifeExpectancyData[[#This Row],[Year]]=2013)</f>
        <v>0</v>
      </c>
    </row>
    <row r="638" spans="1:23" x14ac:dyDescent="0.25">
      <c r="A638" t="s">
        <v>314</v>
      </c>
      <c r="B638">
        <v>2004</v>
      </c>
      <c r="C638" t="s">
        <v>273</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cm="1">
        <f t="array" ref="W638">AND(ISNUMBER(LifeExpectancyData[[#This Row],[Adult Mortality]:[Schooling]]),ISNUMBER(LifeExpectancyData[[#This Row],[Life expectancy]]), LifeExpectancyData[[#This Row],[Year]]=2013)</f>
        <v>0</v>
      </c>
    </row>
    <row r="639" spans="1:23" x14ac:dyDescent="0.25">
      <c r="A639" t="s">
        <v>314</v>
      </c>
      <c r="B639">
        <v>2003</v>
      </c>
      <c r="C639" t="s">
        <v>273</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cm="1">
        <f t="array" ref="W639">AND(ISNUMBER(LifeExpectancyData[[#This Row],[Adult Mortality]:[Schooling]]),ISNUMBER(LifeExpectancyData[[#This Row],[Life expectancy]]), LifeExpectancyData[[#This Row],[Year]]=2013)</f>
        <v>0</v>
      </c>
    </row>
    <row r="640" spans="1:23" x14ac:dyDescent="0.25">
      <c r="A640" t="s">
        <v>314</v>
      </c>
      <c r="B640">
        <v>2002</v>
      </c>
      <c r="C640" t="s">
        <v>273</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cm="1">
        <f t="array" ref="W640">AND(ISNUMBER(LifeExpectancyData[[#This Row],[Adult Mortality]:[Schooling]]),ISNUMBER(LifeExpectancyData[[#This Row],[Life expectancy]]), LifeExpectancyData[[#This Row],[Year]]=2013)</f>
        <v>0</v>
      </c>
    </row>
    <row r="641" spans="1:23" x14ac:dyDescent="0.25">
      <c r="A641" t="s">
        <v>314</v>
      </c>
      <c r="B641">
        <v>2001</v>
      </c>
      <c r="C641" t="s">
        <v>273</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cm="1">
        <f t="array" ref="W641">AND(ISNUMBER(LifeExpectancyData[[#This Row],[Adult Mortality]:[Schooling]]),ISNUMBER(LifeExpectancyData[[#This Row],[Life expectancy]]), LifeExpectancyData[[#This Row],[Year]]=2013)</f>
        <v>0</v>
      </c>
    </row>
    <row r="642" spans="1:23" x14ac:dyDescent="0.25">
      <c r="A642" t="s">
        <v>314</v>
      </c>
      <c r="B642">
        <v>2000</v>
      </c>
      <c r="C642" t="s">
        <v>273</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cm="1">
        <f t="array" ref="W642">AND(ISNUMBER(LifeExpectancyData[[#This Row],[Adult Mortality]:[Schooling]]),ISNUMBER(LifeExpectancyData[[#This Row],[Life expectancy]]), LifeExpectancyData[[#This Row],[Year]]=2013)</f>
        <v>0</v>
      </c>
    </row>
    <row r="643" spans="1:23" hidden="1" x14ac:dyDescent="0.25">
      <c r="A643" t="s">
        <v>315</v>
      </c>
      <c r="B643">
        <v>2015</v>
      </c>
      <c r="C643" t="s">
        <v>281</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cm="1">
        <f t="array" ref="W643">AND(ISNUMBER(LifeExpectancyData[[#This Row],[Adult Mortality]:[Schooling]]),ISNUMBER(LifeExpectancyData[[#This Row],[Life expectancy]]), LifeExpectancyData[[#This Row],[Year]]=2013)</f>
        <v>0</v>
      </c>
    </row>
    <row r="644" spans="1:23" x14ac:dyDescent="0.25">
      <c r="A644" t="s">
        <v>315</v>
      </c>
      <c r="B644">
        <v>2014</v>
      </c>
      <c r="C644" t="s">
        <v>281</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cm="1">
        <f t="array" ref="W644">AND(ISNUMBER(LifeExpectancyData[[#This Row],[Adult Mortality]:[Schooling]]),ISNUMBER(LifeExpectancyData[[#This Row],[Life expectancy]]), LifeExpectancyData[[#This Row],[Year]]=2013)</f>
        <v>0</v>
      </c>
    </row>
    <row r="645" spans="1:23" x14ac:dyDescent="0.25">
      <c r="A645" t="s">
        <v>315</v>
      </c>
      <c r="B645">
        <v>2013</v>
      </c>
      <c r="C645" t="s">
        <v>281</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cm="1">
        <f t="array" ref="W645">AND(ISNUMBER(LifeExpectancyData[[#This Row],[Adult Mortality]:[Schooling]]),ISNUMBER(LifeExpectancyData[[#This Row],[Life expectancy]]), LifeExpectancyData[[#This Row],[Year]]=2013)</f>
        <v>1</v>
      </c>
    </row>
    <row r="646" spans="1:23" x14ac:dyDescent="0.25">
      <c r="A646" t="s">
        <v>315</v>
      </c>
      <c r="B646">
        <v>2012</v>
      </c>
      <c r="C646" t="s">
        <v>281</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cm="1">
        <f t="array" ref="W646">AND(ISNUMBER(LifeExpectancyData[[#This Row],[Adult Mortality]:[Schooling]]),ISNUMBER(LifeExpectancyData[[#This Row],[Life expectancy]]), LifeExpectancyData[[#This Row],[Year]]=2013)</f>
        <v>0</v>
      </c>
    </row>
    <row r="647" spans="1:23" x14ac:dyDescent="0.25">
      <c r="A647" t="s">
        <v>315</v>
      </c>
      <c r="B647">
        <v>2011</v>
      </c>
      <c r="C647" t="s">
        <v>281</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cm="1">
        <f t="array" ref="W647">AND(ISNUMBER(LifeExpectancyData[[#This Row],[Adult Mortality]:[Schooling]]),ISNUMBER(LifeExpectancyData[[#This Row],[Life expectancy]]), LifeExpectancyData[[#This Row],[Year]]=2013)</f>
        <v>0</v>
      </c>
    </row>
    <row r="648" spans="1:23" x14ac:dyDescent="0.25">
      <c r="A648" t="s">
        <v>315</v>
      </c>
      <c r="B648">
        <v>2010</v>
      </c>
      <c r="C648" t="s">
        <v>281</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cm="1">
        <f t="array" ref="W648">AND(ISNUMBER(LifeExpectancyData[[#This Row],[Adult Mortality]:[Schooling]]),ISNUMBER(LifeExpectancyData[[#This Row],[Life expectancy]]), LifeExpectancyData[[#This Row],[Year]]=2013)</f>
        <v>0</v>
      </c>
    </row>
    <row r="649" spans="1:23" x14ac:dyDescent="0.25">
      <c r="A649" t="s">
        <v>315</v>
      </c>
      <c r="B649">
        <v>2009</v>
      </c>
      <c r="C649" t="s">
        <v>281</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cm="1">
        <f t="array" ref="W649">AND(ISNUMBER(LifeExpectancyData[[#This Row],[Adult Mortality]:[Schooling]]),ISNUMBER(LifeExpectancyData[[#This Row],[Life expectancy]]), LifeExpectancyData[[#This Row],[Year]]=2013)</f>
        <v>0</v>
      </c>
    </row>
    <row r="650" spans="1:23" x14ac:dyDescent="0.25">
      <c r="A650" t="s">
        <v>315</v>
      </c>
      <c r="B650">
        <v>2008</v>
      </c>
      <c r="C650" t="s">
        <v>281</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cm="1">
        <f t="array" ref="W650">AND(ISNUMBER(LifeExpectancyData[[#This Row],[Adult Mortality]:[Schooling]]),ISNUMBER(LifeExpectancyData[[#This Row],[Life expectancy]]), LifeExpectancyData[[#This Row],[Year]]=2013)</f>
        <v>0</v>
      </c>
    </row>
    <row r="651" spans="1:23" x14ac:dyDescent="0.25">
      <c r="A651" t="s">
        <v>315</v>
      </c>
      <c r="B651">
        <v>2007</v>
      </c>
      <c r="C651" t="s">
        <v>281</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cm="1">
        <f t="array" ref="W651">AND(ISNUMBER(LifeExpectancyData[[#This Row],[Adult Mortality]:[Schooling]]),ISNUMBER(LifeExpectancyData[[#This Row],[Life expectancy]]), LifeExpectancyData[[#This Row],[Year]]=2013)</f>
        <v>0</v>
      </c>
    </row>
    <row r="652" spans="1:23" hidden="1" x14ac:dyDescent="0.25">
      <c r="A652" t="s">
        <v>315</v>
      </c>
      <c r="B652">
        <v>2006</v>
      </c>
      <c r="C652" t="s">
        <v>281</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cm="1">
        <f t="array" ref="W652">AND(ISNUMBER(LifeExpectancyData[[#This Row],[Adult Mortality]:[Schooling]]),ISNUMBER(LifeExpectancyData[[#This Row],[Life expectancy]]), LifeExpectancyData[[#This Row],[Year]]=2013)</f>
        <v>0</v>
      </c>
    </row>
    <row r="653" spans="1:23" hidden="1" x14ac:dyDescent="0.25">
      <c r="A653" t="s">
        <v>315</v>
      </c>
      <c r="B653">
        <v>2005</v>
      </c>
      <c r="C653" t="s">
        <v>281</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cm="1">
        <f t="array" ref="W653">AND(ISNUMBER(LifeExpectancyData[[#This Row],[Adult Mortality]:[Schooling]]),ISNUMBER(LifeExpectancyData[[#This Row],[Life expectancy]]), LifeExpectancyData[[#This Row],[Year]]=2013)</f>
        <v>0</v>
      </c>
    </row>
    <row r="654" spans="1:23" hidden="1" x14ac:dyDescent="0.25">
      <c r="A654" t="s">
        <v>315</v>
      </c>
      <c r="B654">
        <v>2004</v>
      </c>
      <c r="C654" t="s">
        <v>281</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cm="1">
        <f t="array" ref="W654">AND(ISNUMBER(LifeExpectancyData[[#This Row],[Adult Mortality]:[Schooling]]),ISNUMBER(LifeExpectancyData[[#This Row],[Life expectancy]]), LifeExpectancyData[[#This Row],[Year]]=2013)</f>
        <v>0</v>
      </c>
    </row>
    <row r="655" spans="1:23" hidden="1" x14ac:dyDescent="0.25">
      <c r="A655" t="s">
        <v>315</v>
      </c>
      <c r="B655">
        <v>2003</v>
      </c>
      <c r="C655" t="s">
        <v>281</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cm="1">
        <f t="array" ref="W655">AND(ISNUMBER(LifeExpectancyData[[#This Row],[Adult Mortality]:[Schooling]]),ISNUMBER(LifeExpectancyData[[#This Row],[Life expectancy]]), LifeExpectancyData[[#This Row],[Year]]=2013)</f>
        <v>0</v>
      </c>
    </row>
    <row r="656" spans="1:23" hidden="1" x14ac:dyDescent="0.25">
      <c r="A656" t="s">
        <v>315</v>
      </c>
      <c r="B656">
        <v>2002</v>
      </c>
      <c r="C656" t="s">
        <v>281</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cm="1">
        <f t="array" ref="W656">AND(ISNUMBER(LifeExpectancyData[[#This Row],[Adult Mortality]:[Schooling]]),ISNUMBER(LifeExpectancyData[[#This Row],[Life expectancy]]), LifeExpectancyData[[#This Row],[Year]]=2013)</f>
        <v>0</v>
      </c>
    </row>
    <row r="657" spans="1:23" hidden="1" x14ac:dyDescent="0.25">
      <c r="A657" t="s">
        <v>315</v>
      </c>
      <c r="B657">
        <v>2001</v>
      </c>
      <c r="C657" t="s">
        <v>281</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cm="1">
        <f t="array" ref="W657">AND(ISNUMBER(LifeExpectancyData[[#This Row],[Adult Mortality]:[Schooling]]),ISNUMBER(LifeExpectancyData[[#This Row],[Life expectancy]]), LifeExpectancyData[[#This Row],[Year]]=2013)</f>
        <v>0</v>
      </c>
    </row>
    <row r="658" spans="1:23" hidden="1" x14ac:dyDescent="0.25">
      <c r="A658" t="s">
        <v>315</v>
      </c>
      <c r="B658">
        <v>2000</v>
      </c>
      <c r="C658" t="s">
        <v>281</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cm="1">
        <f t="array" ref="W658">AND(ISNUMBER(LifeExpectancyData[[#This Row],[Adult Mortality]:[Schooling]]),ISNUMBER(LifeExpectancyData[[#This Row],[Life expectancy]]), LifeExpectancyData[[#This Row],[Year]]=2013)</f>
        <v>0</v>
      </c>
    </row>
    <row r="659" spans="1:23" hidden="1" x14ac:dyDescent="0.25">
      <c r="A659" t="s">
        <v>316</v>
      </c>
      <c r="B659">
        <v>2015</v>
      </c>
      <c r="C659" t="s">
        <v>273</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cm="1">
        <f t="array" ref="W659">AND(ISNUMBER(LifeExpectancyData[[#This Row],[Adult Mortality]:[Schooling]]),ISNUMBER(LifeExpectancyData[[#This Row],[Life expectancy]]), LifeExpectancyData[[#This Row],[Year]]=2013)</f>
        <v>0</v>
      </c>
    </row>
    <row r="660" spans="1:23" hidden="1" x14ac:dyDescent="0.25">
      <c r="A660" t="s">
        <v>316</v>
      </c>
      <c r="B660">
        <v>2014</v>
      </c>
      <c r="C660" t="s">
        <v>273</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cm="1">
        <f t="array" ref="W660">AND(ISNUMBER(LifeExpectancyData[[#This Row],[Adult Mortality]:[Schooling]]),ISNUMBER(LifeExpectancyData[[#This Row],[Life expectancy]]), LifeExpectancyData[[#This Row],[Year]]=2013)</f>
        <v>0</v>
      </c>
    </row>
    <row r="661" spans="1:23" hidden="1" x14ac:dyDescent="0.25">
      <c r="A661" t="s">
        <v>316</v>
      </c>
      <c r="B661">
        <v>2013</v>
      </c>
      <c r="C661" t="s">
        <v>273</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cm="1">
        <f t="array" ref="W661">AND(ISNUMBER(LifeExpectancyData[[#This Row],[Adult Mortality]:[Schooling]]),ISNUMBER(LifeExpectancyData[[#This Row],[Life expectancy]]), LifeExpectancyData[[#This Row],[Year]]=2013)</f>
        <v>0</v>
      </c>
    </row>
    <row r="662" spans="1:23" hidden="1" x14ac:dyDescent="0.25">
      <c r="A662" t="s">
        <v>316</v>
      </c>
      <c r="B662">
        <v>2012</v>
      </c>
      <c r="C662" t="s">
        <v>273</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cm="1">
        <f t="array" ref="W662">AND(ISNUMBER(LifeExpectancyData[[#This Row],[Adult Mortality]:[Schooling]]),ISNUMBER(LifeExpectancyData[[#This Row],[Life expectancy]]), LifeExpectancyData[[#This Row],[Year]]=2013)</f>
        <v>0</v>
      </c>
    </row>
    <row r="663" spans="1:23" hidden="1" x14ac:dyDescent="0.25">
      <c r="A663" t="s">
        <v>316</v>
      </c>
      <c r="B663">
        <v>2011</v>
      </c>
      <c r="C663" t="s">
        <v>273</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cm="1">
        <f t="array" ref="W663">AND(ISNUMBER(LifeExpectancyData[[#This Row],[Adult Mortality]:[Schooling]]),ISNUMBER(LifeExpectancyData[[#This Row],[Life expectancy]]), LifeExpectancyData[[#This Row],[Year]]=2013)</f>
        <v>0</v>
      </c>
    </row>
    <row r="664" spans="1:23" hidden="1" x14ac:dyDescent="0.25">
      <c r="A664" t="s">
        <v>316</v>
      </c>
      <c r="B664">
        <v>2010</v>
      </c>
      <c r="C664" t="s">
        <v>273</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cm="1">
        <f t="array" ref="W664">AND(ISNUMBER(LifeExpectancyData[[#This Row],[Adult Mortality]:[Schooling]]),ISNUMBER(LifeExpectancyData[[#This Row],[Life expectancy]]), LifeExpectancyData[[#This Row],[Year]]=2013)</f>
        <v>0</v>
      </c>
    </row>
    <row r="665" spans="1:23" hidden="1" x14ac:dyDescent="0.25">
      <c r="A665" t="s">
        <v>316</v>
      </c>
      <c r="B665">
        <v>2009</v>
      </c>
      <c r="C665" t="s">
        <v>273</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cm="1">
        <f t="array" ref="W665">AND(ISNUMBER(LifeExpectancyData[[#This Row],[Adult Mortality]:[Schooling]]),ISNUMBER(LifeExpectancyData[[#This Row],[Life expectancy]]), LifeExpectancyData[[#This Row],[Year]]=2013)</f>
        <v>0</v>
      </c>
    </row>
    <row r="666" spans="1:23" hidden="1" x14ac:dyDescent="0.25">
      <c r="A666" t="s">
        <v>316</v>
      </c>
      <c r="B666">
        <v>2008</v>
      </c>
      <c r="C666" t="s">
        <v>273</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cm="1">
        <f t="array" ref="W666">AND(ISNUMBER(LifeExpectancyData[[#This Row],[Adult Mortality]:[Schooling]]),ISNUMBER(LifeExpectancyData[[#This Row],[Life expectancy]]), LifeExpectancyData[[#This Row],[Year]]=2013)</f>
        <v>0</v>
      </c>
    </row>
    <row r="667" spans="1:23" hidden="1" x14ac:dyDescent="0.25">
      <c r="A667" t="s">
        <v>316</v>
      </c>
      <c r="B667">
        <v>2007</v>
      </c>
      <c r="C667" t="s">
        <v>273</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cm="1">
        <f t="array" ref="W667">AND(ISNUMBER(LifeExpectancyData[[#This Row],[Adult Mortality]:[Schooling]]),ISNUMBER(LifeExpectancyData[[#This Row],[Life expectancy]]), LifeExpectancyData[[#This Row],[Year]]=2013)</f>
        <v>0</v>
      </c>
    </row>
    <row r="668" spans="1:23" hidden="1" x14ac:dyDescent="0.25">
      <c r="A668" t="s">
        <v>316</v>
      </c>
      <c r="B668">
        <v>2006</v>
      </c>
      <c r="C668" t="s">
        <v>273</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cm="1">
        <f t="array" ref="W668">AND(ISNUMBER(LifeExpectancyData[[#This Row],[Adult Mortality]:[Schooling]]),ISNUMBER(LifeExpectancyData[[#This Row],[Life expectancy]]), LifeExpectancyData[[#This Row],[Year]]=2013)</f>
        <v>0</v>
      </c>
    </row>
    <row r="669" spans="1:23" hidden="1" x14ac:dyDescent="0.25">
      <c r="A669" t="s">
        <v>316</v>
      </c>
      <c r="B669">
        <v>2005</v>
      </c>
      <c r="C669" t="s">
        <v>273</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cm="1">
        <f t="array" ref="W669">AND(ISNUMBER(LifeExpectancyData[[#This Row],[Adult Mortality]:[Schooling]]),ISNUMBER(LifeExpectancyData[[#This Row],[Life expectancy]]), LifeExpectancyData[[#This Row],[Year]]=2013)</f>
        <v>0</v>
      </c>
    </row>
    <row r="670" spans="1:23" hidden="1" x14ac:dyDescent="0.25">
      <c r="A670" t="s">
        <v>316</v>
      </c>
      <c r="B670">
        <v>2004</v>
      </c>
      <c r="C670" t="s">
        <v>273</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cm="1">
        <f t="array" ref="W670">AND(ISNUMBER(LifeExpectancyData[[#This Row],[Adult Mortality]:[Schooling]]),ISNUMBER(LifeExpectancyData[[#This Row],[Life expectancy]]), LifeExpectancyData[[#This Row],[Year]]=2013)</f>
        <v>0</v>
      </c>
    </row>
    <row r="671" spans="1:23" hidden="1" x14ac:dyDescent="0.25">
      <c r="A671" t="s">
        <v>316</v>
      </c>
      <c r="B671">
        <v>2003</v>
      </c>
      <c r="C671" t="s">
        <v>273</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cm="1">
        <f t="array" ref="W671">AND(ISNUMBER(LifeExpectancyData[[#This Row],[Adult Mortality]:[Schooling]]),ISNUMBER(LifeExpectancyData[[#This Row],[Life expectancy]]), LifeExpectancyData[[#This Row],[Year]]=2013)</f>
        <v>0</v>
      </c>
    </row>
    <row r="672" spans="1:23" hidden="1" x14ac:dyDescent="0.25">
      <c r="A672" t="s">
        <v>316</v>
      </c>
      <c r="B672">
        <v>2002</v>
      </c>
      <c r="C672" t="s">
        <v>273</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cm="1">
        <f t="array" ref="W672">AND(ISNUMBER(LifeExpectancyData[[#This Row],[Adult Mortality]:[Schooling]]),ISNUMBER(LifeExpectancyData[[#This Row],[Life expectancy]]), LifeExpectancyData[[#This Row],[Year]]=2013)</f>
        <v>0</v>
      </c>
    </row>
    <row r="673" spans="1:23" hidden="1" x14ac:dyDescent="0.25">
      <c r="A673" t="s">
        <v>316</v>
      </c>
      <c r="B673">
        <v>2001</v>
      </c>
      <c r="C673" t="s">
        <v>273</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cm="1">
        <f t="array" ref="W673">AND(ISNUMBER(LifeExpectancyData[[#This Row],[Adult Mortality]:[Schooling]]),ISNUMBER(LifeExpectancyData[[#This Row],[Life expectancy]]), LifeExpectancyData[[#This Row],[Year]]=2013)</f>
        <v>0</v>
      </c>
    </row>
    <row r="674" spans="1:23" hidden="1" x14ac:dyDescent="0.25">
      <c r="A674" t="s">
        <v>316</v>
      </c>
      <c r="B674">
        <v>2000</v>
      </c>
      <c r="C674" t="s">
        <v>273</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cm="1">
        <f t="array" ref="W674">AND(ISNUMBER(LifeExpectancyData[[#This Row],[Adult Mortality]:[Schooling]]),ISNUMBER(LifeExpectancyData[[#This Row],[Life expectancy]]), LifeExpectancyData[[#This Row],[Year]]=2013)</f>
        <v>0</v>
      </c>
    </row>
    <row r="675" spans="1:23" hidden="1" x14ac:dyDescent="0.25">
      <c r="A675" t="s">
        <v>317</v>
      </c>
      <c r="B675">
        <v>2015</v>
      </c>
      <c r="C675" t="s">
        <v>281</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cm="1">
        <f t="array" ref="W675">AND(ISNUMBER(LifeExpectancyData[[#This Row],[Adult Mortality]:[Schooling]]),ISNUMBER(LifeExpectancyData[[#This Row],[Life expectancy]]), LifeExpectancyData[[#This Row],[Year]]=2013)</f>
        <v>0</v>
      </c>
    </row>
    <row r="676" spans="1:23" x14ac:dyDescent="0.25">
      <c r="A676" t="s">
        <v>317</v>
      </c>
      <c r="B676">
        <v>2014</v>
      </c>
      <c r="C676" t="s">
        <v>281</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cm="1">
        <f t="array" ref="W676">AND(ISNUMBER(LifeExpectancyData[[#This Row],[Adult Mortality]:[Schooling]]),ISNUMBER(LifeExpectancyData[[#This Row],[Life expectancy]]), LifeExpectancyData[[#This Row],[Year]]=2013)</f>
        <v>0</v>
      </c>
    </row>
    <row r="677" spans="1:23" x14ac:dyDescent="0.25">
      <c r="A677" t="s">
        <v>317</v>
      </c>
      <c r="B677">
        <v>2013</v>
      </c>
      <c r="C677" t="s">
        <v>281</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cm="1">
        <f t="array" ref="W677">AND(ISNUMBER(LifeExpectancyData[[#This Row],[Adult Mortality]:[Schooling]]),ISNUMBER(LifeExpectancyData[[#This Row],[Life expectancy]]), LifeExpectancyData[[#This Row],[Year]]=2013)</f>
        <v>1</v>
      </c>
    </row>
    <row r="678" spans="1:23" x14ac:dyDescent="0.25">
      <c r="A678" t="s">
        <v>317</v>
      </c>
      <c r="B678">
        <v>2012</v>
      </c>
      <c r="C678" t="s">
        <v>281</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cm="1">
        <f t="array" ref="W678">AND(ISNUMBER(LifeExpectancyData[[#This Row],[Adult Mortality]:[Schooling]]),ISNUMBER(LifeExpectancyData[[#This Row],[Life expectancy]]), LifeExpectancyData[[#This Row],[Year]]=2013)</f>
        <v>0</v>
      </c>
    </row>
    <row r="679" spans="1:23" x14ac:dyDescent="0.25">
      <c r="A679" t="s">
        <v>317</v>
      </c>
      <c r="B679">
        <v>2011</v>
      </c>
      <c r="C679" t="s">
        <v>281</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cm="1">
        <f t="array" ref="W679">AND(ISNUMBER(LifeExpectancyData[[#This Row],[Adult Mortality]:[Schooling]]),ISNUMBER(LifeExpectancyData[[#This Row],[Life expectancy]]), LifeExpectancyData[[#This Row],[Year]]=2013)</f>
        <v>0</v>
      </c>
    </row>
    <row r="680" spans="1:23" x14ac:dyDescent="0.25">
      <c r="A680" t="s">
        <v>317</v>
      </c>
      <c r="B680">
        <v>2010</v>
      </c>
      <c r="C680" t="s">
        <v>281</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cm="1">
        <f t="array" ref="W680">AND(ISNUMBER(LifeExpectancyData[[#This Row],[Adult Mortality]:[Schooling]]),ISNUMBER(LifeExpectancyData[[#This Row],[Life expectancy]]), LifeExpectancyData[[#This Row],[Year]]=2013)</f>
        <v>0</v>
      </c>
    </row>
    <row r="681" spans="1:23" x14ac:dyDescent="0.25">
      <c r="A681" t="s">
        <v>317</v>
      </c>
      <c r="B681">
        <v>2009</v>
      </c>
      <c r="C681" t="s">
        <v>281</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cm="1">
        <f t="array" ref="W681">AND(ISNUMBER(LifeExpectancyData[[#This Row],[Adult Mortality]:[Schooling]]),ISNUMBER(LifeExpectancyData[[#This Row],[Life expectancy]]), LifeExpectancyData[[#This Row],[Year]]=2013)</f>
        <v>0</v>
      </c>
    </row>
    <row r="682" spans="1:23" x14ac:dyDescent="0.25">
      <c r="A682" t="s">
        <v>317</v>
      </c>
      <c r="B682">
        <v>2008</v>
      </c>
      <c r="C682" t="s">
        <v>281</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cm="1">
        <f t="array" ref="W682">AND(ISNUMBER(LifeExpectancyData[[#This Row],[Adult Mortality]:[Schooling]]),ISNUMBER(LifeExpectancyData[[#This Row],[Life expectancy]]), LifeExpectancyData[[#This Row],[Year]]=2013)</f>
        <v>0</v>
      </c>
    </row>
    <row r="683" spans="1:23" x14ac:dyDescent="0.25">
      <c r="A683" t="s">
        <v>317</v>
      </c>
      <c r="B683">
        <v>2007</v>
      </c>
      <c r="C683" t="s">
        <v>281</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cm="1">
        <f t="array" ref="W683">AND(ISNUMBER(LifeExpectancyData[[#This Row],[Adult Mortality]:[Schooling]]),ISNUMBER(LifeExpectancyData[[#This Row],[Life expectancy]]), LifeExpectancyData[[#This Row],[Year]]=2013)</f>
        <v>0</v>
      </c>
    </row>
    <row r="684" spans="1:23" x14ac:dyDescent="0.25">
      <c r="A684" t="s">
        <v>317</v>
      </c>
      <c r="B684">
        <v>2006</v>
      </c>
      <c r="C684" t="s">
        <v>281</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cm="1">
        <f t="array" ref="W684">AND(ISNUMBER(LifeExpectancyData[[#This Row],[Adult Mortality]:[Schooling]]),ISNUMBER(LifeExpectancyData[[#This Row],[Life expectancy]]), LifeExpectancyData[[#This Row],[Year]]=2013)</f>
        <v>0</v>
      </c>
    </row>
    <row r="685" spans="1:23" x14ac:dyDescent="0.25">
      <c r="A685" t="s">
        <v>317</v>
      </c>
      <c r="B685">
        <v>2005</v>
      </c>
      <c r="C685" t="s">
        <v>281</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cm="1">
        <f t="array" ref="W685">AND(ISNUMBER(LifeExpectancyData[[#This Row],[Adult Mortality]:[Schooling]]),ISNUMBER(LifeExpectancyData[[#This Row],[Life expectancy]]), LifeExpectancyData[[#This Row],[Year]]=2013)</f>
        <v>0</v>
      </c>
    </row>
    <row r="686" spans="1:23" x14ac:dyDescent="0.25">
      <c r="A686" t="s">
        <v>317</v>
      </c>
      <c r="B686">
        <v>2004</v>
      </c>
      <c r="C686" t="s">
        <v>281</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cm="1">
        <f t="array" ref="W686">AND(ISNUMBER(LifeExpectancyData[[#This Row],[Adult Mortality]:[Schooling]]),ISNUMBER(LifeExpectancyData[[#This Row],[Life expectancy]]), LifeExpectancyData[[#This Row],[Year]]=2013)</f>
        <v>0</v>
      </c>
    </row>
    <row r="687" spans="1:23" x14ac:dyDescent="0.25">
      <c r="A687" t="s">
        <v>317</v>
      </c>
      <c r="B687">
        <v>2003</v>
      </c>
      <c r="C687" t="s">
        <v>281</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cm="1">
        <f t="array" ref="W687">AND(ISNUMBER(LifeExpectancyData[[#This Row],[Adult Mortality]:[Schooling]]),ISNUMBER(LifeExpectancyData[[#This Row],[Life expectancy]]), LifeExpectancyData[[#This Row],[Year]]=2013)</f>
        <v>0</v>
      </c>
    </row>
    <row r="688" spans="1:23" x14ac:dyDescent="0.25">
      <c r="A688" t="s">
        <v>317</v>
      </c>
      <c r="B688">
        <v>2002</v>
      </c>
      <c r="C688" t="s">
        <v>281</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cm="1">
        <f t="array" ref="W688">AND(ISNUMBER(LifeExpectancyData[[#This Row],[Adult Mortality]:[Schooling]]),ISNUMBER(LifeExpectancyData[[#This Row],[Life expectancy]]), LifeExpectancyData[[#This Row],[Year]]=2013)</f>
        <v>0</v>
      </c>
    </row>
    <row r="689" spans="1:23" x14ac:dyDescent="0.25">
      <c r="A689" t="s">
        <v>317</v>
      </c>
      <c r="B689">
        <v>2001</v>
      </c>
      <c r="C689" t="s">
        <v>281</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cm="1">
        <f t="array" ref="W689">AND(ISNUMBER(LifeExpectancyData[[#This Row],[Adult Mortality]:[Schooling]]),ISNUMBER(LifeExpectancyData[[#This Row],[Life expectancy]]), LifeExpectancyData[[#This Row],[Year]]=2013)</f>
        <v>0</v>
      </c>
    </row>
    <row r="690" spans="1:23" x14ac:dyDescent="0.25">
      <c r="A690" t="s">
        <v>317</v>
      </c>
      <c r="B690">
        <v>2000</v>
      </c>
      <c r="C690" t="s">
        <v>281</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cm="1">
        <f t="array" ref="W690">AND(ISNUMBER(LifeExpectancyData[[#This Row],[Adult Mortality]:[Schooling]]),ISNUMBER(LifeExpectancyData[[#This Row],[Life expectancy]]), LifeExpectancyData[[#This Row],[Year]]=2013)</f>
        <v>0</v>
      </c>
    </row>
    <row r="691" spans="1:23" hidden="1" x14ac:dyDescent="0.25">
      <c r="A691" t="s">
        <v>318</v>
      </c>
      <c r="B691">
        <v>2015</v>
      </c>
      <c r="C691" t="s">
        <v>281</v>
      </c>
      <c r="D691">
        <v>78.8</v>
      </c>
      <c r="E691">
        <v>86</v>
      </c>
      <c r="F691">
        <v>0</v>
      </c>
      <c r="H691">
        <v>0</v>
      </c>
      <c r="I691">
        <v>97</v>
      </c>
      <c r="J691">
        <v>9</v>
      </c>
      <c r="K691">
        <v>66.099999999999994</v>
      </c>
      <c r="L691">
        <v>0</v>
      </c>
      <c r="M691">
        <v>97</v>
      </c>
      <c r="O691">
        <v>97</v>
      </c>
      <c r="P691">
        <v>0.1</v>
      </c>
      <c r="S691">
        <v>1.8</v>
      </c>
      <c r="T691">
        <v>1.8</v>
      </c>
      <c r="W691" t="b" cm="1">
        <f t="array" ref="W691">AND(ISNUMBER(LifeExpectancyData[[#This Row],[Adult Mortality]:[Schooling]]),ISNUMBER(LifeExpectancyData[[#This Row],[Life expectancy]]), LifeExpectancyData[[#This Row],[Year]]=2013)</f>
        <v>0</v>
      </c>
    </row>
    <row r="692" spans="1:23" hidden="1" x14ac:dyDescent="0.25">
      <c r="A692" t="s">
        <v>318</v>
      </c>
      <c r="B692">
        <v>2014</v>
      </c>
      <c r="C692" t="s">
        <v>281</v>
      </c>
      <c r="D692">
        <v>78.599999999999994</v>
      </c>
      <c r="E692">
        <v>88</v>
      </c>
      <c r="F692">
        <v>0</v>
      </c>
      <c r="G692">
        <v>12.68</v>
      </c>
      <c r="H692">
        <v>0</v>
      </c>
      <c r="I692">
        <v>99</v>
      </c>
      <c r="J692">
        <v>222</v>
      </c>
      <c r="K692">
        <v>65.599999999999994</v>
      </c>
      <c r="L692">
        <v>0</v>
      </c>
      <c r="M692">
        <v>99</v>
      </c>
      <c r="N692">
        <v>7.41</v>
      </c>
      <c r="O692">
        <v>97</v>
      </c>
      <c r="P692">
        <v>0.1</v>
      </c>
      <c r="S692">
        <v>1.8</v>
      </c>
      <c r="T692">
        <v>1.9</v>
      </c>
      <c r="W692" t="b" cm="1">
        <f t="array" ref="W692">AND(ISNUMBER(LifeExpectancyData[[#This Row],[Adult Mortality]:[Schooling]]),ISNUMBER(LifeExpectancyData[[#This Row],[Life expectancy]]), LifeExpectancyData[[#This Row],[Year]]=2013)</f>
        <v>0</v>
      </c>
    </row>
    <row r="693" spans="1:23" hidden="1" x14ac:dyDescent="0.25">
      <c r="A693" t="s">
        <v>318</v>
      </c>
      <c r="B693">
        <v>2013</v>
      </c>
      <c r="C693" t="s">
        <v>281</v>
      </c>
      <c r="D693">
        <v>78.2</v>
      </c>
      <c r="E693">
        <v>9</v>
      </c>
      <c r="F693">
        <v>0</v>
      </c>
      <c r="G693">
        <v>12.45</v>
      </c>
      <c r="H693">
        <v>0</v>
      </c>
      <c r="I693">
        <v>99</v>
      </c>
      <c r="J693">
        <v>15</v>
      </c>
      <c r="K693">
        <v>65.099999999999994</v>
      </c>
      <c r="L693">
        <v>0</v>
      </c>
      <c r="M693">
        <v>99</v>
      </c>
      <c r="N693">
        <v>7.49</v>
      </c>
      <c r="O693">
        <v>98</v>
      </c>
      <c r="P693">
        <v>0.1</v>
      </c>
      <c r="S693">
        <v>1.8</v>
      </c>
      <c r="T693">
        <v>1.9</v>
      </c>
      <c r="W693" t="b" cm="1">
        <f t="array" ref="W693">AND(ISNUMBER(LifeExpectancyData[[#This Row],[Adult Mortality]:[Schooling]]),ISNUMBER(LifeExpectancyData[[#This Row],[Life expectancy]]), LifeExpectancyData[[#This Row],[Year]]=2013)</f>
        <v>0</v>
      </c>
    </row>
    <row r="694" spans="1:23" hidden="1" x14ac:dyDescent="0.25">
      <c r="A694" t="s">
        <v>318</v>
      </c>
      <c r="B694">
        <v>2012</v>
      </c>
      <c r="C694" t="s">
        <v>281</v>
      </c>
      <c r="D694">
        <v>78</v>
      </c>
      <c r="E694">
        <v>93</v>
      </c>
      <c r="F694">
        <v>0</v>
      </c>
      <c r="G694">
        <v>12.71</v>
      </c>
      <c r="H694">
        <v>0</v>
      </c>
      <c r="I694">
        <v>99</v>
      </c>
      <c r="J694">
        <v>22</v>
      </c>
      <c r="K694">
        <v>64.5</v>
      </c>
      <c r="L694">
        <v>0</v>
      </c>
      <c r="M694">
        <v>99</v>
      </c>
      <c r="N694">
        <v>7.55</v>
      </c>
      <c r="O694">
        <v>99</v>
      </c>
      <c r="P694">
        <v>0.1</v>
      </c>
      <c r="S694">
        <v>1.8</v>
      </c>
      <c r="T694">
        <v>1.9</v>
      </c>
      <c r="W694" t="b" cm="1">
        <f t="array" ref="W694">AND(ISNUMBER(LifeExpectancyData[[#This Row],[Adult Mortality]:[Schooling]]),ISNUMBER(LifeExpectancyData[[#This Row],[Life expectancy]]), LifeExpectancyData[[#This Row],[Year]]=2013)</f>
        <v>0</v>
      </c>
    </row>
    <row r="695" spans="1:23" hidden="1" x14ac:dyDescent="0.25">
      <c r="A695" t="s">
        <v>318</v>
      </c>
      <c r="B695">
        <v>2011</v>
      </c>
      <c r="C695" t="s">
        <v>281</v>
      </c>
      <c r="D695">
        <v>77.8</v>
      </c>
      <c r="E695">
        <v>97</v>
      </c>
      <c r="F695">
        <v>0</v>
      </c>
      <c r="G695">
        <v>12.43</v>
      </c>
      <c r="H695">
        <v>0</v>
      </c>
      <c r="I695">
        <v>99</v>
      </c>
      <c r="J695">
        <v>17</v>
      </c>
      <c r="K695">
        <v>64</v>
      </c>
      <c r="L695">
        <v>0</v>
      </c>
      <c r="M695">
        <v>99</v>
      </c>
      <c r="N695">
        <v>7.5</v>
      </c>
      <c r="O695">
        <v>99</v>
      </c>
      <c r="P695">
        <v>0.1</v>
      </c>
      <c r="S695">
        <v>1.9</v>
      </c>
      <c r="T695">
        <v>1.9</v>
      </c>
      <c r="W695" t="b" cm="1">
        <f t="array" ref="W695">AND(ISNUMBER(LifeExpectancyData[[#This Row],[Adult Mortality]:[Schooling]]),ISNUMBER(LifeExpectancyData[[#This Row],[Life expectancy]]), LifeExpectancyData[[#This Row],[Year]]=2013)</f>
        <v>0</v>
      </c>
    </row>
    <row r="696" spans="1:23" hidden="1" x14ac:dyDescent="0.25">
      <c r="A696" t="s">
        <v>318</v>
      </c>
      <c r="B696">
        <v>2010</v>
      </c>
      <c r="C696" t="s">
        <v>281</v>
      </c>
      <c r="D696">
        <v>77.5</v>
      </c>
      <c r="E696">
        <v>99</v>
      </c>
      <c r="F696">
        <v>0</v>
      </c>
      <c r="G696">
        <v>12.69</v>
      </c>
      <c r="H696">
        <v>0</v>
      </c>
      <c r="I696">
        <v>99</v>
      </c>
      <c r="J696">
        <v>0</v>
      </c>
      <c r="K696">
        <v>63.6</v>
      </c>
      <c r="L696">
        <v>0</v>
      </c>
      <c r="M696">
        <v>99</v>
      </c>
      <c r="N696">
        <v>7.43</v>
      </c>
      <c r="O696">
        <v>99</v>
      </c>
      <c r="P696">
        <v>0.1</v>
      </c>
      <c r="S696">
        <v>1.9</v>
      </c>
      <c r="T696">
        <v>2</v>
      </c>
      <c r="W696" t="b" cm="1">
        <f t="array" ref="W696">AND(ISNUMBER(LifeExpectancyData[[#This Row],[Adult Mortality]:[Schooling]]),ISNUMBER(LifeExpectancyData[[#This Row],[Life expectancy]]), LifeExpectancyData[[#This Row],[Year]]=2013)</f>
        <v>0</v>
      </c>
    </row>
    <row r="697" spans="1:23" hidden="1" x14ac:dyDescent="0.25">
      <c r="A697" t="s">
        <v>318</v>
      </c>
      <c r="B697">
        <v>2009</v>
      </c>
      <c r="C697" t="s">
        <v>281</v>
      </c>
      <c r="D697">
        <v>77.099999999999994</v>
      </c>
      <c r="E697">
        <v>12</v>
      </c>
      <c r="F697">
        <v>0</v>
      </c>
      <c r="G697">
        <v>13.23</v>
      </c>
      <c r="H697">
        <v>0</v>
      </c>
      <c r="I697">
        <v>99</v>
      </c>
      <c r="J697">
        <v>5</v>
      </c>
      <c r="K697">
        <v>63.1</v>
      </c>
      <c r="L697">
        <v>0</v>
      </c>
      <c r="M697">
        <v>99</v>
      </c>
      <c r="N697">
        <v>7.85</v>
      </c>
      <c r="O697">
        <v>99</v>
      </c>
      <c r="P697">
        <v>0.1</v>
      </c>
      <c r="S697">
        <v>1.9</v>
      </c>
      <c r="T697">
        <v>2</v>
      </c>
      <c r="W697" t="b" cm="1">
        <f t="array" ref="W697">AND(ISNUMBER(LifeExpectancyData[[#This Row],[Adult Mortality]:[Schooling]]),ISNUMBER(LifeExpectancyData[[#This Row],[Life expectancy]]), LifeExpectancyData[[#This Row],[Year]]=2013)</f>
        <v>0</v>
      </c>
    </row>
    <row r="698" spans="1:23" hidden="1" x14ac:dyDescent="0.25">
      <c r="A698" t="s">
        <v>318</v>
      </c>
      <c r="B698">
        <v>2008</v>
      </c>
      <c r="C698" t="s">
        <v>281</v>
      </c>
      <c r="D698">
        <v>77</v>
      </c>
      <c r="E698">
        <v>16</v>
      </c>
      <c r="F698">
        <v>0</v>
      </c>
      <c r="G698">
        <v>13.25</v>
      </c>
      <c r="H698">
        <v>0</v>
      </c>
      <c r="I698">
        <v>99</v>
      </c>
      <c r="J698">
        <v>2</v>
      </c>
      <c r="K698">
        <v>62.6</v>
      </c>
      <c r="L698">
        <v>0</v>
      </c>
      <c r="M698">
        <v>99</v>
      </c>
      <c r="N698">
        <v>6.82</v>
      </c>
      <c r="O698">
        <v>99</v>
      </c>
      <c r="P698">
        <v>0.1</v>
      </c>
      <c r="S698">
        <v>1.9</v>
      </c>
      <c r="T698">
        <v>2</v>
      </c>
      <c r="W698" t="b" cm="1">
        <f t="array" ref="W698">AND(ISNUMBER(LifeExpectancyData[[#This Row],[Adult Mortality]:[Schooling]]),ISNUMBER(LifeExpectancyData[[#This Row],[Life expectancy]]), LifeExpectancyData[[#This Row],[Year]]=2013)</f>
        <v>0</v>
      </c>
    </row>
    <row r="699" spans="1:23" hidden="1" x14ac:dyDescent="0.25">
      <c r="A699" t="s">
        <v>318</v>
      </c>
      <c r="B699">
        <v>2007</v>
      </c>
      <c r="C699" t="s">
        <v>281</v>
      </c>
      <c r="D699">
        <v>76.8</v>
      </c>
      <c r="E699">
        <v>17</v>
      </c>
      <c r="F699">
        <v>0</v>
      </c>
      <c r="G699">
        <v>13.43</v>
      </c>
      <c r="H699">
        <v>0</v>
      </c>
      <c r="I699">
        <v>99</v>
      </c>
      <c r="J699">
        <v>2</v>
      </c>
      <c r="K699">
        <v>62.2</v>
      </c>
      <c r="L699">
        <v>0</v>
      </c>
      <c r="M699">
        <v>99</v>
      </c>
      <c r="N699">
        <v>6.52</v>
      </c>
      <c r="O699">
        <v>99</v>
      </c>
      <c r="P699">
        <v>0.1</v>
      </c>
      <c r="S699">
        <v>2</v>
      </c>
      <c r="T699">
        <v>2.1</v>
      </c>
      <c r="W699" t="b" cm="1">
        <f t="array" ref="W699">AND(ISNUMBER(LifeExpectancyData[[#This Row],[Adult Mortality]:[Schooling]]),ISNUMBER(LifeExpectancyData[[#This Row],[Life expectancy]]), LifeExpectancyData[[#This Row],[Year]]=2013)</f>
        <v>0</v>
      </c>
    </row>
    <row r="700" spans="1:23" hidden="1" x14ac:dyDescent="0.25">
      <c r="A700" t="s">
        <v>318</v>
      </c>
      <c r="B700">
        <v>2006</v>
      </c>
      <c r="C700" t="s">
        <v>281</v>
      </c>
      <c r="D700">
        <v>76.5</v>
      </c>
      <c r="E700">
        <v>19</v>
      </c>
      <c r="F700">
        <v>0</v>
      </c>
      <c r="G700">
        <v>13.03</v>
      </c>
      <c r="H700">
        <v>0</v>
      </c>
      <c r="I700">
        <v>98</v>
      </c>
      <c r="J700">
        <v>7</v>
      </c>
      <c r="K700">
        <v>61.8</v>
      </c>
      <c r="L700">
        <v>0</v>
      </c>
      <c r="M700">
        <v>98</v>
      </c>
      <c r="N700">
        <v>6.69</v>
      </c>
      <c r="O700">
        <v>98</v>
      </c>
      <c r="P700">
        <v>0.1</v>
      </c>
      <c r="S700">
        <v>2</v>
      </c>
      <c r="T700">
        <v>2.1</v>
      </c>
      <c r="W700" t="b" cm="1">
        <f t="array" ref="W700">AND(ISNUMBER(LifeExpectancyData[[#This Row],[Adult Mortality]:[Schooling]]),ISNUMBER(LifeExpectancyData[[#This Row],[Life expectancy]]), LifeExpectancyData[[#This Row],[Year]]=2013)</f>
        <v>0</v>
      </c>
    </row>
    <row r="701" spans="1:23" hidden="1" x14ac:dyDescent="0.25">
      <c r="A701" t="s">
        <v>318</v>
      </c>
      <c r="B701">
        <v>2005</v>
      </c>
      <c r="C701" t="s">
        <v>281</v>
      </c>
      <c r="D701">
        <v>75.900000000000006</v>
      </c>
      <c r="E701">
        <v>114</v>
      </c>
      <c r="F701">
        <v>0</v>
      </c>
      <c r="G701">
        <v>13.19</v>
      </c>
      <c r="H701">
        <v>0</v>
      </c>
      <c r="I701">
        <v>99</v>
      </c>
      <c r="J701">
        <v>0</v>
      </c>
      <c r="K701">
        <v>61.3</v>
      </c>
      <c r="L701">
        <v>0</v>
      </c>
      <c r="M701">
        <v>96</v>
      </c>
      <c r="N701">
        <v>6.93</v>
      </c>
      <c r="O701">
        <v>97</v>
      </c>
      <c r="P701">
        <v>0.1</v>
      </c>
      <c r="S701">
        <v>2.1</v>
      </c>
      <c r="T701">
        <v>2.1</v>
      </c>
      <c r="W701" t="b" cm="1">
        <f t="array" ref="W701">AND(ISNUMBER(LifeExpectancyData[[#This Row],[Adult Mortality]:[Schooling]]),ISNUMBER(LifeExpectancyData[[#This Row],[Life expectancy]]), LifeExpectancyData[[#This Row],[Year]]=2013)</f>
        <v>0</v>
      </c>
    </row>
    <row r="702" spans="1:23" hidden="1" x14ac:dyDescent="0.25">
      <c r="A702" t="s">
        <v>318</v>
      </c>
      <c r="B702">
        <v>2004</v>
      </c>
      <c r="C702" t="s">
        <v>281</v>
      </c>
      <c r="D702">
        <v>75.8</v>
      </c>
      <c r="E702">
        <v>116</v>
      </c>
      <c r="F702">
        <v>0</v>
      </c>
      <c r="G702">
        <v>13.24</v>
      </c>
      <c r="H702">
        <v>0</v>
      </c>
      <c r="I702">
        <v>98</v>
      </c>
      <c r="J702">
        <v>17</v>
      </c>
      <c r="K702">
        <v>6.8</v>
      </c>
      <c r="L702">
        <v>0</v>
      </c>
      <c r="M702">
        <v>96</v>
      </c>
      <c r="N702">
        <v>6.9</v>
      </c>
      <c r="O702">
        <v>98</v>
      </c>
      <c r="P702">
        <v>0.1</v>
      </c>
      <c r="S702">
        <v>2.1</v>
      </c>
      <c r="T702">
        <v>2.2000000000000002</v>
      </c>
      <c r="W702" t="b" cm="1">
        <f t="array" ref="W702">AND(ISNUMBER(LifeExpectancyData[[#This Row],[Adult Mortality]:[Schooling]]),ISNUMBER(LifeExpectancyData[[#This Row],[Life expectancy]]), LifeExpectancyData[[#This Row],[Year]]=2013)</f>
        <v>0</v>
      </c>
    </row>
    <row r="703" spans="1:23" hidden="1" x14ac:dyDescent="0.25">
      <c r="A703" t="s">
        <v>318</v>
      </c>
      <c r="B703">
        <v>2003</v>
      </c>
      <c r="C703" t="s">
        <v>281</v>
      </c>
      <c r="D703">
        <v>75.2</v>
      </c>
      <c r="E703">
        <v>122</v>
      </c>
      <c r="F703">
        <v>0</v>
      </c>
      <c r="G703">
        <v>13.01</v>
      </c>
      <c r="H703">
        <v>0</v>
      </c>
      <c r="I703">
        <v>92</v>
      </c>
      <c r="J703">
        <v>30</v>
      </c>
      <c r="K703">
        <v>6.4</v>
      </c>
      <c r="L703">
        <v>0</v>
      </c>
      <c r="M703">
        <v>97</v>
      </c>
      <c r="N703">
        <v>7.13</v>
      </c>
      <c r="O703">
        <v>97</v>
      </c>
      <c r="P703">
        <v>0.1</v>
      </c>
      <c r="S703">
        <v>2.2000000000000002</v>
      </c>
      <c r="T703">
        <v>2.2000000000000002</v>
      </c>
      <c r="W703" t="b" cm="1">
        <f t="array" ref="W703">AND(ISNUMBER(LifeExpectancyData[[#This Row],[Adult Mortality]:[Schooling]]),ISNUMBER(LifeExpectancyData[[#This Row],[Life expectancy]]), LifeExpectancyData[[#This Row],[Year]]=2013)</f>
        <v>0</v>
      </c>
    </row>
    <row r="704" spans="1:23" hidden="1" x14ac:dyDescent="0.25">
      <c r="A704" t="s">
        <v>318</v>
      </c>
      <c r="B704">
        <v>2002</v>
      </c>
      <c r="C704" t="s">
        <v>281</v>
      </c>
      <c r="D704">
        <v>75.3</v>
      </c>
      <c r="E704">
        <v>12</v>
      </c>
      <c r="F704">
        <v>0</v>
      </c>
      <c r="G704">
        <v>13.47</v>
      </c>
      <c r="H704">
        <v>0</v>
      </c>
      <c r="I704">
        <v>86</v>
      </c>
      <c r="J704">
        <v>4</v>
      </c>
      <c r="K704">
        <v>59.9</v>
      </c>
      <c r="L704">
        <v>0</v>
      </c>
      <c r="M704">
        <v>97</v>
      </c>
      <c r="N704">
        <v>6.8</v>
      </c>
      <c r="O704">
        <v>98</v>
      </c>
      <c r="P704">
        <v>0.1</v>
      </c>
      <c r="S704">
        <v>2.2000000000000002</v>
      </c>
      <c r="T704">
        <v>2.2999999999999998</v>
      </c>
      <c r="W704" t="b" cm="1">
        <f t="array" ref="W704">AND(ISNUMBER(LifeExpectancyData[[#This Row],[Adult Mortality]:[Schooling]]),ISNUMBER(LifeExpectancyData[[#This Row],[Life expectancy]]), LifeExpectancyData[[#This Row],[Year]]=2013)</f>
        <v>0</v>
      </c>
    </row>
    <row r="705" spans="1:23" hidden="1" x14ac:dyDescent="0.25">
      <c r="A705" t="s">
        <v>318</v>
      </c>
      <c r="B705">
        <v>2001</v>
      </c>
      <c r="C705" t="s">
        <v>281</v>
      </c>
      <c r="D705">
        <v>75.099999999999994</v>
      </c>
      <c r="E705">
        <v>123</v>
      </c>
      <c r="F705">
        <v>0</v>
      </c>
      <c r="G705">
        <v>13.36</v>
      </c>
      <c r="H705">
        <v>0</v>
      </c>
      <c r="J705">
        <v>6</v>
      </c>
      <c r="K705">
        <v>59.4</v>
      </c>
      <c r="L705">
        <v>0</v>
      </c>
      <c r="M705">
        <v>97</v>
      </c>
      <c r="N705">
        <v>6.42</v>
      </c>
      <c r="O705">
        <v>98</v>
      </c>
      <c r="P705">
        <v>0.1</v>
      </c>
      <c r="S705">
        <v>2.2000000000000002</v>
      </c>
      <c r="T705">
        <v>2.2999999999999998</v>
      </c>
      <c r="W705" t="b" cm="1">
        <f t="array" ref="W705">AND(ISNUMBER(LifeExpectancyData[[#This Row],[Adult Mortality]:[Schooling]]),ISNUMBER(LifeExpectancyData[[#This Row],[Life expectancy]]), LifeExpectancyData[[#This Row],[Year]]=2013)</f>
        <v>0</v>
      </c>
    </row>
    <row r="706" spans="1:23" hidden="1" x14ac:dyDescent="0.25">
      <c r="A706" t="s">
        <v>318</v>
      </c>
      <c r="B706">
        <v>2000</v>
      </c>
      <c r="C706" t="s">
        <v>281</v>
      </c>
      <c r="D706">
        <v>74.7</v>
      </c>
      <c r="E706">
        <v>126</v>
      </c>
      <c r="F706">
        <v>0</v>
      </c>
      <c r="G706">
        <v>13.22</v>
      </c>
      <c r="H706">
        <v>0</v>
      </c>
      <c r="J706">
        <v>9</v>
      </c>
      <c r="K706">
        <v>59</v>
      </c>
      <c r="L706">
        <v>0</v>
      </c>
      <c r="M706">
        <v>98</v>
      </c>
      <c r="N706">
        <v>6.31</v>
      </c>
      <c r="O706">
        <v>98</v>
      </c>
      <c r="P706">
        <v>0.1</v>
      </c>
      <c r="S706">
        <v>2.2999999999999998</v>
      </c>
      <c r="T706">
        <v>2.2999999999999998</v>
      </c>
      <c r="W706" t="b" cm="1">
        <f t="array" ref="W706">AND(ISNUMBER(LifeExpectancyData[[#This Row],[Adult Mortality]:[Schooling]]),ISNUMBER(LifeExpectancyData[[#This Row],[Life expectancy]]), LifeExpectancyData[[#This Row],[Year]]=2013)</f>
        <v>0</v>
      </c>
    </row>
    <row r="707" spans="1:23" hidden="1" x14ac:dyDescent="0.25">
      <c r="A707" t="s">
        <v>319</v>
      </c>
      <c r="B707">
        <v>2015</v>
      </c>
      <c r="C707" t="s">
        <v>273</v>
      </c>
      <c r="D707">
        <v>76</v>
      </c>
      <c r="E707">
        <v>139</v>
      </c>
      <c r="F707">
        <v>6</v>
      </c>
      <c r="H707">
        <v>0</v>
      </c>
      <c r="I707">
        <v>96</v>
      </c>
      <c r="J707">
        <v>0</v>
      </c>
      <c r="K707">
        <v>32.9</v>
      </c>
      <c r="L707">
        <v>7</v>
      </c>
      <c r="M707">
        <v>99</v>
      </c>
      <c r="O707">
        <v>96</v>
      </c>
      <c r="P707">
        <v>0.1</v>
      </c>
      <c r="S707">
        <v>4.9000000000000004</v>
      </c>
      <c r="T707">
        <v>4.9000000000000004</v>
      </c>
      <c r="W707" t="b" cm="1">
        <f t="array" ref="W707">AND(ISNUMBER(LifeExpectancyData[[#This Row],[Adult Mortality]:[Schooling]]),ISNUMBER(LifeExpectancyData[[#This Row],[Life expectancy]]), LifeExpectancyData[[#This Row],[Year]]=2013)</f>
        <v>0</v>
      </c>
    </row>
    <row r="708" spans="1:23" hidden="1" x14ac:dyDescent="0.25">
      <c r="A708" t="s">
        <v>319</v>
      </c>
      <c r="B708">
        <v>2014</v>
      </c>
      <c r="C708" t="s">
        <v>273</v>
      </c>
      <c r="D708">
        <v>73</v>
      </c>
      <c r="E708">
        <v>142</v>
      </c>
      <c r="F708">
        <v>6</v>
      </c>
      <c r="G708">
        <v>0.01</v>
      </c>
      <c r="H708">
        <v>0</v>
      </c>
      <c r="I708">
        <v>93</v>
      </c>
      <c r="J708">
        <v>3</v>
      </c>
      <c r="K708">
        <v>32.4</v>
      </c>
      <c r="L708">
        <v>8</v>
      </c>
      <c r="M708">
        <v>99</v>
      </c>
      <c r="O708">
        <v>93</v>
      </c>
      <c r="P708">
        <v>0.1</v>
      </c>
      <c r="S708">
        <v>4.9000000000000004</v>
      </c>
      <c r="T708">
        <v>4.9000000000000004</v>
      </c>
      <c r="W708" t="b" cm="1">
        <f t="array" ref="W708">AND(ISNUMBER(LifeExpectancyData[[#This Row],[Adult Mortality]:[Schooling]]),ISNUMBER(LifeExpectancyData[[#This Row],[Life expectancy]]), LifeExpectancyData[[#This Row],[Year]]=2013)</f>
        <v>0</v>
      </c>
    </row>
    <row r="709" spans="1:23" hidden="1" x14ac:dyDescent="0.25">
      <c r="A709" t="s">
        <v>319</v>
      </c>
      <c r="B709">
        <v>2013</v>
      </c>
      <c r="C709" t="s">
        <v>273</v>
      </c>
      <c r="D709">
        <v>71</v>
      </c>
      <c r="E709">
        <v>146</v>
      </c>
      <c r="F709">
        <v>6</v>
      </c>
      <c r="G709">
        <v>3.35</v>
      </c>
      <c r="H709">
        <v>0</v>
      </c>
      <c r="I709">
        <v>93</v>
      </c>
      <c r="J709">
        <v>0</v>
      </c>
      <c r="K709">
        <v>31.8</v>
      </c>
      <c r="L709">
        <v>8</v>
      </c>
      <c r="M709">
        <v>99</v>
      </c>
      <c r="O709">
        <v>93</v>
      </c>
      <c r="P709">
        <v>0.1</v>
      </c>
      <c r="S709">
        <v>5</v>
      </c>
      <c r="T709">
        <v>5</v>
      </c>
      <c r="W709" t="b" cm="1">
        <f t="array" ref="W709">AND(ISNUMBER(LifeExpectancyData[[#This Row],[Adult Mortality]:[Schooling]]),ISNUMBER(LifeExpectancyData[[#This Row],[Life expectancy]]), LifeExpectancyData[[#This Row],[Year]]=2013)</f>
        <v>0</v>
      </c>
    </row>
    <row r="710" spans="1:23" hidden="1" x14ac:dyDescent="0.25">
      <c r="A710" t="s">
        <v>319</v>
      </c>
      <c r="B710">
        <v>2012</v>
      </c>
      <c r="C710" t="s">
        <v>273</v>
      </c>
      <c r="D710">
        <v>69.8</v>
      </c>
      <c r="E710">
        <v>149</v>
      </c>
      <c r="F710">
        <v>7</v>
      </c>
      <c r="G710">
        <v>3.61</v>
      </c>
      <c r="H710">
        <v>0</v>
      </c>
      <c r="I710">
        <v>96</v>
      </c>
      <c r="J710">
        <v>0</v>
      </c>
      <c r="K710">
        <v>31.3</v>
      </c>
      <c r="L710">
        <v>9</v>
      </c>
      <c r="M710">
        <v>99</v>
      </c>
      <c r="O710">
        <v>96</v>
      </c>
      <c r="P710">
        <v>0.1</v>
      </c>
      <c r="S710">
        <v>5.0999999999999996</v>
      </c>
      <c r="T710">
        <v>5.0999999999999996</v>
      </c>
      <c r="W710" t="b" cm="1">
        <f t="array" ref="W710">AND(ISNUMBER(LifeExpectancyData[[#This Row],[Adult Mortality]:[Schooling]]),ISNUMBER(LifeExpectancyData[[#This Row],[Life expectancy]]), LifeExpectancyData[[#This Row],[Year]]=2013)</f>
        <v>0</v>
      </c>
    </row>
    <row r="711" spans="1:23" hidden="1" x14ac:dyDescent="0.25">
      <c r="A711" t="s">
        <v>319</v>
      </c>
      <c r="B711">
        <v>2011</v>
      </c>
      <c r="C711" t="s">
        <v>273</v>
      </c>
      <c r="D711">
        <v>69.400000000000006</v>
      </c>
      <c r="E711">
        <v>153</v>
      </c>
      <c r="F711">
        <v>8</v>
      </c>
      <c r="G711">
        <v>3.39</v>
      </c>
      <c r="H711">
        <v>0</v>
      </c>
      <c r="I711">
        <v>94</v>
      </c>
      <c r="J711">
        <v>0</v>
      </c>
      <c r="K711">
        <v>3.8</v>
      </c>
      <c r="L711">
        <v>10</v>
      </c>
      <c r="M711">
        <v>99</v>
      </c>
      <c r="O711">
        <v>94</v>
      </c>
      <c r="P711">
        <v>0.1</v>
      </c>
      <c r="S711">
        <v>5.0999999999999996</v>
      </c>
      <c r="T711">
        <v>5.2</v>
      </c>
      <c r="W711" t="b" cm="1">
        <f t="array" ref="W711">AND(ISNUMBER(LifeExpectancyData[[#This Row],[Adult Mortality]:[Schooling]]),ISNUMBER(LifeExpectancyData[[#This Row],[Life expectancy]]), LifeExpectancyData[[#This Row],[Year]]=2013)</f>
        <v>0</v>
      </c>
    </row>
    <row r="712" spans="1:23" hidden="1" x14ac:dyDescent="0.25">
      <c r="A712" t="s">
        <v>319</v>
      </c>
      <c r="B712">
        <v>2010</v>
      </c>
      <c r="C712" t="s">
        <v>273</v>
      </c>
      <c r="D712">
        <v>69</v>
      </c>
      <c r="E712">
        <v>157</v>
      </c>
      <c r="F712">
        <v>8</v>
      </c>
      <c r="G712">
        <v>3.12</v>
      </c>
      <c r="H712">
        <v>0</v>
      </c>
      <c r="I712">
        <v>93</v>
      </c>
      <c r="J712">
        <v>0</v>
      </c>
      <c r="K712">
        <v>3.3</v>
      </c>
      <c r="L712">
        <v>10</v>
      </c>
      <c r="M712">
        <v>99</v>
      </c>
      <c r="O712">
        <v>93</v>
      </c>
      <c r="P712">
        <v>0.1</v>
      </c>
      <c r="S712">
        <v>5.2</v>
      </c>
      <c r="T712">
        <v>5.2</v>
      </c>
      <c r="W712" t="b" cm="1">
        <f t="array" ref="W712">AND(ISNUMBER(LifeExpectancyData[[#This Row],[Adult Mortality]:[Schooling]]),ISNUMBER(LifeExpectancyData[[#This Row],[Life expectancy]]), LifeExpectancyData[[#This Row],[Year]]=2013)</f>
        <v>0</v>
      </c>
    </row>
    <row r="713" spans="1:23" hidden="1" x14ac:dyDescent="0.25">
      <c r="A713" t="s">
        <v>319</v>
      </c>
      <c r="B713">
        <v>2009</v>
      </c>
      <c r="C713" t="s">
        <v>273</v>
      </c>
      <c r="D713">
        <v>68.7</v>
      </c>
      <c r="E713">
        <v>161</v>
      </c>
      <c r="F713">
        <v>9</v>
      </c>
      <c r="G713">
        <v>3.35</v>
      </c>
      <c r="H713">
        <v>0</v>
      </c>
      <c r="I713">
        <v>93</v>
      </c>
      <c r="J713">
        <v>0</v>
      </c>
      <c r="K713">
        <v>29.7</v>
      </c>
      <c r="L713">
        <v>11</v>
      </c>
      <c r="M713">
        <v>98</v>
      </c>
      <c r="O713">
        <v>93</v>
      </c>
      <c r="P713">
        <v>0.1</v>
      </c>
      <c r="S713">
        <v>5.3</v>
      </c>
      <c r="T713">
        <v>5.3</v>
      </c>
      <c r="W713" t="b" cm="1">
        <f t="array" ref="W713">AND(ISNUMBER(LifeExpectancyData[[#This Row],[Adult Mortality]:[Schooling]]),ISNUMBER(LifeExpectancyData[[#This Row],[Life expectancy]]), LifeExpectancyData[[#This Row],[Year]]=2013)</f>
        <v>0</v>
      </c>
    </row>
    <row r="714" spans="1:23" hidden="1" x14ac:dyDescent="0.25">
      <c r="A714" t="s">
        <v>319</v>
      </c>
      <c r="B714">
        <v>2008</v>
      </c>
      <c r="C714" t="s">
        <v>273</v>
      </c>
      <c r="D714">
        <v>68.599999999999994</v>
      </c>
      <c r="E714">
        <v>164</v>
      </c>
      <c r="F714">
        <v>9</v>
      </c>
      <c r="G714">
        <v>3.16</v>
      </c>
      <c r="H714">
        <v>0</v>
      </c>
      <c r="I714">
        <v>92</v>
      </c>
      <c r="J714">
        <v>8</v>
      </c>
      <c r="K714">
        <v>29.2</v>
      </c>
      <c r="L714">
        <v>12</v>
      </c>
      <c r="M714">
        <v>98</v>
      </c>
      <c r="O714">
        <v>92</v>
      </c>
      <c r="P714">
        <v>0.1</v>
      </c>
      <c r="S714">
        <v>5.4</v>
      </c>
      <c r="T714">
        <v>5.4</v>
      </c>
      <c r="W714" t="b" cm="1">
        <f t="array" ref="W714">AND(ISNUMBER(LifeExpectancyData[[#This Row],[Adult Mortality]:[Schooling]]),ISNUMBER(LifeExpectancyData[[#This Row],[Life expectancy]]), LifeExpectancyData[[#This Row],[Year]]=2013)</f>
        <v>0</v>
      </c>
    </row>
    <row r="715" spans="1:23" hidden="1" x14ac:dyDescent="0.25">
      <c r="A715" t="s">
        <v>319</v>
      </c>
      <c r="B715">
        <v>2007</v>
      </c>
      <c r="C715" t="s">
        <v>273</v>
      </c>
      <c r="D715">
        <v>68.5</v>
      </c>
      <c r="E715">
        <v>166</v>
      </c>
      <c r="F715">
        <v>9</v>
      </c>
      <c r="G715">
        <v>3.13</v>
      </c>
      <c r="H715">
        <v>0</v>
      </c>
      <c r="I715">
        <v>92</v>
      </c>
      <c r="J715">
        <v>3550</v>
      </c>
      <c r="K715">
        <v>28.7</v>
      </c>
      <c r="L715">
        <v>12</v>
      </c>
      <c r="M715">
        <v>99</v>
      </c>
      <c r="O715">
        <v>92</v>
      </c>
      <c r="P715">
        <v>0.1</v>
      </c>
      <c r="S715">
        <v>5.5</v>
      </c>
      <c r="T715">
        <v>5.5</v>
      </c>
      <c r="W715" t="b" cm="1">
        <f t="array" ref="W715">AND(ISNUMBER(LifeExpectancyData[[#This Row],[Adult Mortality]:[Schooling]]),ISNUMBER(LifeExpectancyData[[#This Row],[Life expectancy]]), LifeExpectancyData[[#This Row],[Year]]=2013)</f>
        <v>0</v>
      </c>
    </row>
    <row r="716" spans="1:23" hidden="1" x14ac:dyDescent="0.25">
      <c r="A716" t="s">
        <v>319</v>
      </c>
      <c r="B716">
        <v>2006</v>
      </c>
      <c r="C716" t="s">
        <v>273</v>
      </c>
      <c r="D716">
        <v>68.5</v>
      </c>
      <c r="E716">
        <v>165</v>
      </c>
      <c r="F716">
        <v>10</v>
      </c>
      <c r="G716">
        <v>3.28</v>
      </c>
      <c r="H716">
        <v>0</v>
      </c>
      <c r="I716">
        <v>96</v>
      </c>
      <c r="J716">
        <v>0</v>
      </c>
      <c r="K716">
        <v>28.2</v>
      </c>
      <c r="L716">
        <v>12</v>
      </c>
      <c r="M716">
        <v>98</v>
      </c>
      <c r="O716">
        <v>89</v>
      </c>
      <c r="P716">
        <v>0.1</v>
      </c>
      <c r="S716">
        <v>5.6</v>
      </c>
      <c r="T716">
        <v>5.6</v>
      </c>
      <c r="W716" t="b" cm="1">
        <f t="array" ref="W716">AND(ISNUMBER(LifeExpectancyData[[#This Row],[Adult Mortality]:[Schooling]]),ISNUMBER(LifeExpectancyData[[#This Row],[Life expectancy]]), LifeExpectancyData[[#This Row],[Year]]=2013)</f>
        <v>0</v>
      </c>
    </row>
    <row r="717" spans="1:23" hidden="1" x14ac:dyDescent="0.25">
      <c r="A717" t="s">
        <v>319</v>
      </c>
      <c r="B717">
        <v>2005</v>
      </c>
      <c r="C717" t="s">
        <v>273</v>
      </c>
      <c r="D717">
        <v>68.5</v>
      </c>
      <c r="E717">
        <v>165</v>
      </c>
      <c r="F717">
        <v>10</v>
      </c>
      <c r="G717">
        <v>3.21</v>
      </c>
      <c r="H717">
        <v>0</v>
      </c>
      <c r="I717">
        <v>92</v>
      </c>
      <c r="J717">
        <v>0</v>
      </c>
      <c r="K717">
        <v>27.7</v>
      </c>
      <c r="L717">
        <v>13</v>
      </c>
      <c r="M717">
        <v>97</v>
      </c>
      <c r="O717">
        <v>79</v>
      </c>
      <c r="P717">
        <v>0.1</v>
      </c>
      <c r="S717">
        <v>5.7</v>
      </c>
      <c r="T717">
        <v>5.7</v>
      </c>
      <c r="W717" t="b" cm="1">
        <f t="array" ref="W717">AND(ISNUMBER(LifeExpectancyData[[#This Row],[Adult Mortality]:[Schooling]]),ISNUMBER(LifeExpectancyData[[#This Row],[Life expectancy]]), LifeExpectancyData[[#This Row],[Year]]=2013)</f>
        <v>0</v>
      </c>
    </row>
    <row r="718" spans="1:23" hidden="1" x14ac:dyDescent="0.25">
      <c r="A718" t="s">
        <v>319</v>
      </c>
      <c r="B718">
        <v>2004</v>
      </c>
      <c r="C718" t="s">
        <v>273</v>
      </c>
      <c r="D718">
        <v>68.400000000000006</v>
      </c>
      <c r="E718">
        <v>165</v>
      </c>
      <c r="F718">
        <v>11</v>
      </c>
      <c r="G718">
        <v>3.13</v>
      </c>
      <c r="H718">
        <v>0</v>
      </c>
      <c r="I718">
        <v>98</v>
      </c>
      <c r="J718">
        <v>0</v>
      </c>
      <c r="K718">
        <v>27.2</v>
      </c>
      <c r="L718">
        <v>14</v>
      </c>
      <c r="M718">
        <v>99</v>
      </c>
      <c r="O718">
        <v>72</v>
      </c>
      <c r="P718">
        <v>0.1</v>
      </c>
      <c r="S718">
        <v>5.7</v>
      </c>
      <c r="T718">
        <v>5.7</v>
      </c>
      <c r="W718" t="b" cm="1">
        <f t="array" ref="W718">AND(ISNUMBER(LifeExpectancyData[[#This Row],[Adult Mortality]:[Schooling]]),ISNUMBER(LifeExpectancyData[[#This Row],[Life expectancy]]), LifeExpectancyData[[#This Row],[Year]]=2013)</f>
        <v>0</v>
      </c>
    </row>
    <row r="719" spans="1:23" hidden="1" x14ac:dyDescent="0.25">
      <c r="A719" t="s">
        <v>319</v>
      </c>
      <c r="B719">
        <v>2003</v>
      </c>
      <c r="C719" t="s">
        <v>273</v>
      </c>
      <c r="D719">
        <v>68.099999999999994</v>
      </c>
      <c r="E719">
        <v>165</v>
      </c>
      <c r="F719">
        <v>12</v>
      </c>
      <c r="G719">
        <v>3.13</v>
      </c>
      <c r="H719">
        <v>0</v>
      </c>
      <c r="I719">
        <v>27</v>
      </c>
      <c r="J719">
        <v>0</v>
      </c>
      <c r="K719">
        <v>26.7</v>
      </c>
      <c r="L719">
        <v>15</v>
      </c>
      <c r="M719">
        <v>99</v>
      </c>
      <c r="O719">
        <v>68</v>
      </c>
      <c r="P719">
        <v>0.1</v>
      </c>
      <c r="S719">
        <v>5.8</v>
      </c>
      <c r="T719">
        <v>5.8</v>
      </c>
      <c r="W719" t="b" cm="1">
        <f t="array" ref="W719">AND(ISNUMBER(LifeExpectancyData[[#This Row],[Adult Mortality]:[Schooling]]),ISNUMBER(LifeExpectancyData[[#This Row],[Life expectancy]]), LifeExpectancyData[[#This Row],[Year]]=2013)</f>
        <v>0</v>
      </c>
    </row>
    <row r="720" spans="1:23" hidden="1" x14ac:dyDescent="0.25">
      <c r="A720" t="s">
        <v>319</v>
      </c>
      <c r="B720">
        <v>2002</v>
      </c>
      <c r="C720" t="s">
        <v>273</v>
      </c>
      <c r="D720">
        <v>67.599999999999994</v>
      </c>
      <c r="E720">
        <v>167</v>
      </c>
      <c r="F720">
        <v>14</v>
      </c>
      <c r="G720">
        <v>3.08</v>
      </c>
      <c r="H720">
        <v>0</v>
      </c>
      <c r="J720">
        <v>0</v>
      </c>
      <c r="K720">
        <v>26.2</v>
      </c>
      <c r="L720">
        <v>18</v>
      </c>
      <c r="M720">
        <v>99</v>
      </c>
      <c r="O720">
        <v>64</v>
      </c>
      <c r="P720">
        <v>0.1</v>
      </c>
      <c r="S720">
        <v>5.9</v>
      </c>
      <c r="T720">
        <v>5.9</v>
      </c>
      <c r="W720" t="b" cm="1">
        <f t="array" ref="W720">AND(ISNUMBER(LifeExpectancyData[[#This Row],[Adult Mortality]:[Schooling]]),ISNUMBER(LifeExpectancyData[[#This Row],[Life expectancy]]), LifeExpectancyData[[#This Row],[Year]]=2013)</f>
        <v>0</v>
      </c>
    </row>
    <row r="721" spans="1:23" hidden="1" x14ac:dyDescent="0.25">
      <c r="A721" t="s">
        <v>319</v>
      </c>
      <c r="B721">
        <v>2001</v>
      </c>
      <c r="C721" t="s">
        <v>273</v>
      </c>
      <c r="D721">
        <v>66.599999999999994</v>
      </c>
      <c r="E721">
        <v>177</v>
      </c>
      <c r="F721">
        <v>16</v>
      </c>
      <c r="G721">
        <v>2.5299999999999998</v>
      </c>
      <c r="H721">
        <v>0</v>
      </c>
      <c r="J721">
        <v>0</v>
      </c>
      <c r="K721">
        <v>25.7</v>
      </c>
      <c r="L721">
        <v>21</v>
      </c>
      <c r="M721">
        <v>98</v>
      </c>
      <c r="O721">
        <v>62</v>
      </c>
      <c r="P721">
        <v>0.1</v>
      </c>
      <c r="S721">
        <v>5.9</v>
      </c>
      <c r="T721">
        <v>6</v>
      </c>
      <c r="W721" t="b" cm="1">
        <f t="array" ref="W721">AND(ISNUMBER(LifeExpectancyData[[#This Row],[Adult Mortality]:[Schooling]]),ISNUMBER(LifeExpectancyData[[#This Row],[Life expectancy]]), LifeExpectancyData[[#This Row],[Year]]=2013)</f>
        <v>0</v>
      </c>
    </row>
    <row r="722" spans="1:23" hidden="1" x14ac:dyDescent="0.25">
      <c r="A722" t="s">
        <v>319</v>
      </c>
      <c r="B722">
        <v>2000</v>
      </c>
      <c r="C722" t="s">
        <v>273</v>
      </c>
      <c r="D722">
        <v>65.400000000000006</v>
      </c>
      <c r="E722">
        <v>192</v>
      </c>
      <c r="F722">
        <v>18</v>
      </c>
      <c r="G722">
        <v>3.52</v>
      </c>
      <c r="H722">
        <v>0</v>
      </c>
      <c r="J722">
        <v>0</v>
      </c>
      <c r="K722">
        <v>25.2</v>
      </c>
      <c r="L722">
        <v>25</v>
      </c>
      <c r="M722">
        <v>93</v>
      </c>
      <c r="O722">
        <v>56</v>
      </c>
      <c r="P722">
        <v>0.1</v>
      </c>
      <c r="S722">
        <v>6</v>
      </c>
      <c r="T722">
        <v>6</v>
      </c>
      <c r="W722" t="b" cm="1">
        <f t="array" ref="W722">AND(ISNUMBER(LifeExpectancyData[[#This Row],[Adult Mortality]:[Schooling]]),ISNUMBER(LifeExpectancyData[[#This Row],[Life expectancy]]), LifeExpectancyData[[#This Row],[Year]]=2013)</f>
        <v>0</v>
      </c>
    </row>
    <row r="723" spans="1:23" hidden="1" x14ac:dyDescent="0.25">
      <c r="A723" t="s">
        <v>320</v>
      </c>
      <c r="B723">
        <v>2015</v>
      </c>
      <c r="C723" t="s">
        <v>273</v>
      </c>
      <c r="D723">
        <v>59.8</v>
      </c>
      <c r="E723">
        <v>258</v>
      </c>
      <c r="F723">
        <v>236</v>
      </c>
      <c r="H723">
        <v>0</v>
      </c>
      <c r="I723">
        <v>81</v>
      </c>
      <c r="J723">
        <v>5020</v>
      </c>
      <c r="K723">
        <v>21.6</v>
      </c>
      <c r="L723">
        <v>308</v>
      </c>
      <c r="M723">
        <v>78</v>
      </c>
      <c r="O723">
        <v>81</v>
      </c>
      <c r="P723">
        <v>1.1000000000000001</v>
      </c>
      <c r="S723">
        <v>9.5</v>
      </c>
      <c r="T723">
        <v>9.3000000000000007</v>
      </c>
      <c r="W723" t="b" cm="1">
        <f t="array" ref="W723">AND(ISNUMBER(LifeExpectancyData[[#This Row],[Adult Mortality]:[Schooling]]),ISNUMBER(LifeExpectancyData[[#This Row],[Life expectancy]]), LifeExpectancyData[[#This Row],[Year]]=2013)</f>
        <v>0</v>
      </c>
    </row>
    <row r="724" spans="1:23" hidden="1" x14ac:dyDescent="0.25">
      <c r="A724" t="s">
        <v>320</v>
      </c>
      <c r="B724">
        <v>2014</v>
      </c>
      <c r="C724" t="s">
        <v>273</v>
      </c>
      <c r="D724">
        <v>59.3</v>
      </c>
      <c r="E724">
        <v>266</v>
      </c>
      <c r="F724">
        <v>237</v>
      </c>
      <c r="G724">
        <v>0.01</v>
      </c>
      <c r="H724">
        <v>0</v>
      </c>
      <c r="I724">
        <v>8</v>
      </c>
      <c r="J724">
        <v>33711</v>
      </c>
      <c r="K724">
        <v>21.1</v>
      </c>
      <c r="L724">
        <v>312</v>
      </c>
      <c r="M724">
        <v>79</v>
      </c>
      <c r="N724">
        <v>4.33</v>
      </c>
      <c r="O724">
        <v>8</v>
      </c>
      <c r="P724">
        <v>1.1000000000000001</v>
      </c>
      <c r="S724">
        <v>9.6999999999999993</v>
      </c>
      <c r="T724">
        <v>9.5</v>
      </c>
      <c r="W724" t="b" cm="1">
        <f t="array" ref="W724">AND(ISNUMBER(LifeExpectancyData[[#This Row],[Adult Mortality]:[Schooling]]),ISNUMBER(LifeExpectancyData[[#This Row],[Life expectancy]]), LifeExpectancyData[[#This Row],[Year]]=2013)</f>
        <v>0</v>
      </c>
    </row>
    <row r="725" spans="1:23" hidden="1" x14ac:dyDescent="0.25">
      <c r="A725" t="s">
        <v>320</v>
      </c>
      <c r="B725">
        <v>2013</v>
      </c>
      <c r="C725" t="s">
        <v>273</v>
      </c>
      <c r="D725">
        <v>58.8</v>
      </c>
      <c r="E725">
        <v>272</v>
      </c>
      <c r="F725">
        <v>238</v>
      </c>
      <c r="G725">
        <v>0.01</v>
      </c>
      <c r="H725">
        <v>0</v>
      </c>
      <c r="I725">
        <v>74</v>
      </c>
      <c r="J725">
        <v>88381</v>
      </c>
      <c r="K725">
        <v>2.6</v>
      </c>
      <c r="L725">
        <v>314</v>
      </c>
      <c r="M725">
        <v>74</v>
      </c>
      <c r="N725">
        <v>3.89</v>
      </c>
      <c r="O725">
        <v>74</v>
      </c>
      <c r="P725">
        <v>1.2</v>
      </c>
      <c r="S725">
        <v>9.9</v>
      </c>
      <c r="T725">
        <v>9.6</v>
      </c>
      <c r="W725" t="b" cm="1">
        <f t="array" ref="W725">AND(ISNUMBER(LifeExpectancyData[[#This Row],[Adult Mortality]:[Schooling]]),ISNUMBER(LifeExpectancyData[[#This Row],[Life expectancy]]), LifeExpectancyData[[#This Row],[Year]]=2013)</f>
        <v>0</v>
      </c>
    </row>
    <row r="726" spans="1:23" hidden="1" x14ac:dyDescent="0.25">
      <c r="A726" t="s">
        <v>320</v>
      </c>
      <c r="B726">
        <v>2012</v>
      </c>
      <c r="C726" t="s">
        <v>273</v>
      </c>
      <c r="D726">
        <v>58.3</v>
      </c>
      <c r="E726">
        <v>277</v>
      </c>
      <c r="F726">
        <v>239</v>
      </c>
      <c r="G726">
        <v>0.01</v>
      </c>
      <c r="H726">
        <v>0</v>
      </c>
      <c r="I726">
        <v>75</v>
      </c>
      <c r="J726">
        <v>72029</v>
      </c>
      <c r="K726">
        <v>2.1</v>
      </c>
      <c r="L726">
        <v>317</v>
      </c>
      <c r="M726">
        <v>76</v>
      </c>
      <c r="N726">
        <v>3.77</v>
      </c>
      <c r="O726">
        <v>75</v>
      </c>
      <c r="P726">
        <v>1.5</v>
      </c>
      <c r="S726">
        <v>1</v>
      </c>
      <c r="T726">
        <v>9.8000000000000007</v>
      </c>
      <c r="W726" t="b" cm="1">
        <f t="array" ref="W726">AND(ISNUMBER(LifeExpectancyData[[#This Row],[Adult Mortality]:[Schooling]]),ISNUMBER(LifeExpectancyData[[#This Row],[Life expectancy]]), LifeExpectancyData[[#This Row],[Year]]=2013)</f>
        <v>0</v>
      </c>
    </row>
    <row r="727" spans="1:23" hidden="1" x14ac:dyDescent="0.25">
      <c r="A727" t="s">
        <v>320</v>
      </c>
      <c r="B727">
        <v>2011</v>
      </c>
      <c r="C727" t="s">
        <v>273</v>
      </c>
      <c r="D727">
        <v>57.9</v>
      </c>
      <c r="E727">
        <v>278</v>
      </c>
      <c r="F727">
        <v>239</v>
      </c>
      <c r="G727">
        <v>1.82</v>
      </c>
      <c r="H727">
        <v>0</v>
      </c>
      <c r="I727">
        <v>74</v>
      </c>
      <c r="J727">
        <v>133802</v>
      </c>
      <c r="K727">
        <v>19.600000000000001</v>
      </c>
      <c r="L727">
        <v>319</v>
      </c>
      <c r="M727">
        <v>77</v>
      </c>
      <c r="N727">
        <v>3.53</v>
      </c>
      <c r="O727">
        <v>74</v>
      </c>
      <c r="P727">
        <v>1.6</v>
      </c>
      <c r="S727">
        <v>1.2</v>
      </c>
      <c r="T727">
        <v>1</v>
      </c>
      <c r="W727" t="b" cm="1">
        <f t="array" ref="W727">AND(ISNUMBER(LifeExpectancyData[[#This Row],[Adult Mortality]:[Schooling]]),ISNUMBER(LifeExpectancyData[[#This Row],[Life expectancy]]), LifeExpectancyData[[#This Row],[Year]]=2013)</f>
        <v>0</v>
      </c>
    </row>
    <row r="728" spans="1:23" hidden="1" x14ac:dyDescent="0.25">
      <c r="A728" t="s">
        <v>320</v>
      </c>
      <c r="B728">
        <v>2010</v>
      </c>
      <c r="C728" t="s">
        <v>273</v>
      </c>
      <c r="D728">
        <v>57.4</v>
      </c>
      <c r="E728">
        <v>283</v>
      </c>
      <c r="F728">
        <v>239</v>
      </c>
      <c r="G728">
        <v>1.81</v>
      </c>
      <c r="H728">
        <v>0</v>
      </c>
      <c r="I728">
        <v>6</v>
      </c>
      <c r="J728">
        <v>5407</v>
      </c>
      <c r="K728">
        <v>19.100000000000001</v>
      </c>
      <c r="L728">
        <v>321</v>
      </c>
      <c r="M728">
        <v>76</v>
      </c>
      <c r="N728">
        <v>4.4000000000000004</v>
      </c>
      <c r="O728">
        <v>6</v>
      </c>
      <c r="P728">
        <v>1.6</v>
      </c>
      <c r="S728">
        <v>1.4</v>
      </c>
      <c r="T728">
        <v>1.2</v>
      </c>
      <c r="W728" t="b" cm="1">
        <f t="array" ref="W728">AND(ISNUMBER(LifeExpectancyData[[#This Row],[Adult Mortality]:[Schooling]]),ISNUMBER(LifeExpectancyData[[#This Row],[Life expectancy]]), LifeExpectancyData[[#This Row],[Year]]=2013)</f>
        <v>0</v>
      </c>
    </row>
    <row r="729" spans="1:23" hidden="1" x14ac:dyDescent="0.25">
      <c r="A729" t="s">
        <v>320</v>
      </c>
      <c r="B729">
        <v>2009</v>
      </c>
      <c r="C729" t="s">
        <v>273</v>
      </c>
      <c r="D729">
        <v>56.7</v>
      </c>
      <c r="E729">
        <v>292</v>
      </c>
      <c r="F729">
        <v>238</v>
      </c>
      <c r="G729">
        <v>2.13</v>
      </c>
      <c r="H729">
        <v>0</v>
      </c>
      <c r="I729">
        <v>72</v>
      </c>
      <c r="J729">
        <v>57</v>
      </c>
      <c r="K729">
        <v>18.600000000000001</v>
      </c>
      <c r="L729">
        <v>323</v>
      </c>
      <c r="M729">
        <v>78</v>
      </c>
      <c r="N729">
        <v>5.61</v>
      </c>
      <c r="O729">
        <v>72</v>
      </c>
      <c r="P729">
        <v>1.7</v>
      </c>
      <c r="S729">
        <v>1.6</v>
      </c>
      <c r="T729">
        <v>1.4</v>
      </c>
      <c r="W729" t="b" cm="1">
        <f t="array" ref="W729">AND(ISNUMBER(LifeExpectancyData[[#This Row],[Adult Mortality]:[Schooling]]),ISNUMBER(LifeExpectancyData[[#This Row],[Life expectancy]]), LifeExpectancyData[[#This Row],[Year]]=2013)</f>
        <v>0</v>
      </c>
    </row>
    <row r="730" spans="1:23" hidden="1" x14ac:dyDescent="0.25">
      <c r="A730" t="s">
        <v>320</v>
      </c>
      <c r="B730">
        <v>2008</v>
      </c>
      <c r="C730" t="s">
        <v>273</v>
      </c>
      <c r="D730">
        <v>56.3</v>
      </c>
      <c r="E730">
        <v>295</v>
      </c>
      <c r="F730">
        <v>237</v>
      </c>
      <c r="G730">
        <v>2.09</v>
      </c>
      <c r="H730">
        <v>0</v>
      </c>
      <c r="I730">
        <v>65</v>
      </c>
      <c r="J730">
        <v>12461</v>
      </c>
      <c r="K730">
        <v>18.2</v>
      </c>
      <c r="L730">
        <v>324</v>
      </c>
      <c r="M730">
        <v>64</v>
      </c>
      <c r="N730">
        <v>4.46</v>
      </c>
      <c r="O730">
        <v>65</v>
      </c>
      <c r="P730">
        <v>1.8</v>
      </c>
      <c r="S730">
        <v>1.8</v>
      </c>
      <c r="T730">
        <v>1.7</v>
      </c>
      <c r="W730" t="b" cm="1">
        <f t="array" ref="W730">AND(ISNUMBER(LifeExpectancyData[[#This Row],[Adult Mortality]:[Schooling]]),ISNUMBER(LifeExpectancyData[[#This Row],[Life expectancy]]), LifeExpectancyData[[#This Row],[Year]]=2013)</f>
        <v>0</v>
      </c>
    </row>
    <row r="731" spans="1:23" hidden="1" x14ac:dyDescent="0.25">
      <c r="A731" t="s">
        <v>320</v>
      </c>
      <c r="B731">
        <v>2007</v>
      </c>
      <c r="C731" t="s">
        <v>273</v>
      </c>
      <c r="D731">
        <v>55.7</v>
      </c>
      <c r="E731">
        <v>299</v>
      </c>
      <c r="F731">
        <v>236</v>
      </c>
      <c r="G731">
        <v>1.52</v>
      </c>
      <c r="H731">
        <v>0</v>
      </c>
      <c r="I731">
        <v>7</v>
      </c>
      <c r="J731">
        <v>55577</v>
      </c>
      <c r="K731">
        <v>17.8</v>
      </c>
      <c r="L731">
        <v>326</v>
      </c>
      <c r="M731">
        <v>72</v>
      </c>
      <c r="N731">
        <v>3.61</v>
      </c>
      <c r="O731">
        <v>7</v>
      </c>
      <c r="P731">
        <v>1.9</v>
      </c>
      <c r="S731">
        <v>11.1</v>
      </c>
      <c r="T731">
        <v>1.9</v>
      </c>
      <c r="W731" t="b" cm="1">
        <f t="array" ref="W731">AND(ISNUMBER(LifeExpectancyData[[#This Row],[Adult Mortality]:[Schooling]]),ISNUMBER(LifeExpectancyData[[#This Row],[Life expectancy]]), LifeExpectancyData[[#This Row],[Year]]=2013)</f>
        <v>0</v>
      </c>
    </row>
    <row r="732" spans="1:23" hidden="1" x14ac:dyDescent="0.25">
      <c r="A732" t="s">
        <v>320</v>
      </c>
      <c r="B732">
        <v>2006</v>
      </c>
      <c r="C732" t="s">
        <v>273</v>
      </c>
      <c r="D732">
        <v>55</v>
      </c>
      <c r="E732">
        <v>36</v>
      </c>
      <c r="F732">
        <v>235</v>
      </c>
      <c r="G732">
        <v>1.53</v>
      </c>
      <c r="H732">
        <v>0</v>
      </c>
      <c r="J732">
        <v>80123</v>
      </c>
      <c r="K732">
        <v>17.3</v>
      </c>
      <c r="L732">
        <v>327</v>
      </c>
      <c r="M732">
        <v>62</v>
      </c>
      <c r="N732">
        <v>3.39</v>
      </c>
      <c r="O732">
        <v>62</v>
      </c>
      <c r="P732">
        <v>2</v>
      </c>
      <c r="S732">
        <v>11.3</v>
      </c>
      <c r="T732">
        <v>11.1</v>
      </c>
      <c r="W732" t="b" cm="1">
        <f t="array" ref="W732">AND(ISNUMBER(LifeExpectancyData[[#This Row],[Adult Mortality]:[Schooling]]),ISNUMBER(LifeExpectancyData[[#This Row],[Life expectancy]]), LifeExpectancyData[[#This Row],[Year]]=2013)</f>
        <v>0</v>
      </c>
    </row>
    <row r="733" spans="1:23" hidden="1" x14ac:dyDescent="0.25">
      <c r="A733" t="s">
        <v>320</v>
      </c>
      <c r="B733">
        <v>2005</v>
      </c>
      <c r="C733" t="s">
        <v>273</v>
      </c>
      <c r="D733">
        <v>54.3</v>
      </c>
      <c r="E733">
        <v>314</v>
      </c>
      <c r="F733">
        <v>233</v>
      </c>
      <c r="G733">
        <v>1.43</v>
      </c>
      <c r="H733">
        <v>0</v>
      </c>
      <c r="J733">
        <v>182485</v>
      </c>
      <c r="K733">
        <v>16.899999999999999</v>
      </c>
      <c r="L733">
        <v>329</v>
      </c>
      <c r="M733">
        <v>6</v>
      </c>
      <c r="N733">
        <v>3.14</v>
      </c>
      <c r="O733">
        <v>6</v>
      </c>
      <c r="P733">
        <v>2</v>
      </c>
      <c r="S733">
        <v>11.5</v>
      </c>
      <c r="T733">
        <v>11.3</v>
      </c>
      <c r="W733" t="b" cm="1">
        <f t="array" ref="W733">AND(ISNUMBER(LifeExpectancyData[[#This Row],[Adult Mortality]:[Schooling]]),ISNUMBER(LifeExpectancyData[[#This Row],[Life expectancy]]), LifeExpectancyData[[#This Row],[Year]]=2013)</f>
        <v>0</v>
      </c>
    </row>
    <row r="734" spans="1:23" hidden="1" x14ac:dyDescent="0.25">
      <c r="A734" t="s">
        <v>320</v>
      </c>
      <c r="B734">
        <v>2004</v>
      </c>
      <c r="C734" t="s">
        <v>273</v>
      </c>
      <c r="D734">
        <v>53.5</v>
      </c>
      <c r="E734">
        <v>323</v>
      </c>
      <c r="F734">
        <v>232</v>
      </c>
      <c r="G734">
        <v>1.44</v>
      </c>
      <c r="H734">
        <v>0</v>
      </c>
      <c r="J734">
        <v>44934</v>
      </c>
      <c r="K734">
        <v>16.5</v>
      </c>
      <c r="L734">
        <v>330</v>
      </c>
      <c r="M734">
        <v>52</v>
      </c>
      <c r="N734">
        <v>3.34</v>
      </c>
      <c r="O734">
        <v>54</v>
      </c>
      <c r="P734">
        <v>2.1</v>
      </c>
      <c r="S734">
        <v>11.7</v>
      </c>
      <c r="T734">
        <v>11.5</v>
      </c>
      <c r="W734" t="b" cm="1">
        <f t="array" ref="W734">AND(ISNUMBER(LifeExpectancyData[[#This Row],[Adult Mortality]:[Schooling]]),ISNUMBER(LifeExpectancyData[[#This Row],[Life expectancy]]), LifeExpectancyData[[#This Row],[Year]]=2013)</f>
        <v>0</v>
      </c>
    </row>
    <row r="735" spans="1:23" hidden="1" x14ac:dyDescent="0.25">
      <c r="A735" t="s">
        <v>320</v>
      </c>
      <c r="B735">
        <v>2003</v>
      </c>
      <c r="C735" t="s">
        <v>273</v>
      </c>
      <c r="D735">
        <v>52.8</v>
      </c>
      <c r="E735">
        <v>332</v>
      </c>
      <c r="F735">
        <v>231</v>
      </c>
      <c r="G735">
        <v>1.83</v>
      </c>
      <c r="H735">
        <v>0</v>
      </c>
      <c r="J735">
        <v>21956</v>
      </c>
      <c r="K735">
        <v>16.100000000000001</v>
      </c>
      <c r="L735">
        <v>331</v>
      </c>
      <c r="M735">
        <v>47</v>
      </c>
      <c r="N735">
        <v>3.2</v>
      </c>
      <c r="O735">
        <v>41</v>
      </c>
      <c r="P735">
        <v>2.2000000000000002</v>
      </c>
      <c r="S735">
        <v>11.9</v>
      </c>
      <c r="T735">
        <v>11.7</v>
      </c>
      <c r="W735" t="b" cm="1">
        <f t="array" ref="W735">AND(ISNUMBER(LifeExpectancyData[[#This Row],[Adult Mortality]:[Schooling]]),ISNUMBER(LifeExpectancyData[[#This Row],[Life expectancy]]), LifeExpectancyData[[#This Row],[Year]]=2013)</f>
        <v>0</v>
      </c>
    </row>
    <row r="736" spans="1:23" hidden="1" x14ac:dyDescent="0.25">
      <c r="A736" t="s">
        <v>320</v>
      </c>
      <c r="B736">
        <v>2002</v>
      </c>
      <c r="C736" t="s">
        <v>273</v>
      </c>
      <c r="D736">
        <v>52.1</v>
      </c>
      <c r="E736">
        <v>341</v>
      </c>
      <c r="F736">
        <v>229</v>
      </c>
      <c r="G736">
        <v>1.85</v>
      </c>
      <c r="H736">
        <v>0</v>
      </c>
      <c r="J736">
        <v>30466</v>
      </c>
      <c r="K736">
        <v>15.7</v>
      </c>
      <c r="L736">
        <v>331</v>
      </c>
      <c r="M736">
        <v>4</v>
      </c>
      <c r="N736">
        <v>2.59</v>
      </c>
      <c r="O736">
        <v>38</v>
      </c>
      <c r="P736">
        <v>2.4</v>
      </c>
      <c r="S736">
        <v>12.1</v>
      </c>
      <c r="T736">
        <v>11.9</v>
      </c>
      <c r="W736" t="b" cm="1">
        <f t="array" ref="W736">AND(ISNUMBER(LifeExpectancyData[[#This Row],[Adult Mortality]:[Schooling]]),ISNUMBER(LifeExpectancyData[[#This Row],[Life expectancy]]), LifeExpectancyData[[#This Row],[Year]]=2013)</f>
        <v>0</v>
      </c>
    </row>
    <row r="737" spans="1:23" hidden="1" x14ac:dyDescent="0.25">
      <c r="A737" t="s">
        <v>320</v>
      </c>
      <c r="B737">
        <v>2001</v>
      </c>
      <c r="C737" t="s">
        <v>273</v>
      </c>
      <c r="D737">
        <v>51.8</v>
      </c>
      <c r="E737">
        <v>34</v>
      </c>
      <c r="F737">
        <v>227</v>
      </c>
      <c r="G737">
        <v>1.9</v>
      </c>
      <c r="H737">
        <v>0</v>
      </c>
      <c r="J737">
        <v>8072</v>
      </c>
      <c r="K737">
        <v>15.3</v>
      </c>
      <c r="L737">
        <v>332</v>
      </c>
      <c r="M737">
        <v>3</v>
      </c>
      <c r="N737">
        <v>2.67</v>
      </c>
      <c r="O737">
        <v>3</v>
      </c>
      <c r="P737">
        <v>2.4</v>
      </c>
      <c r="S737">
        <v>12.2</v>
      </c>
      <c r="T737">
        <v>12.1</v>
      </c>
      <c r="W737" t="b" cm="1">
        <f t="array" ref="W737">AND(ISNUMBER(LifeExpectancyData[[#This Row],[Adult Mortality]:[Schooling]]),ISNUMBER(LifeExpectancyData[[#This Row],[Life expectancy]]), LifeExpectancyData[[#This Row],[Year]]=2013)</f>
        <v>0</v>
      </c>
    </row>
    <row r="738" spans="1:23" hidden="1" x14ac:dyDescent="0.25">
      <c r="A738" t="s">
        <v>320</v>
      </c>
      <c r="B738">
        <v>2000</v>
      </c>
      <c r="C738" t="s">
        <v>273</v>
      </c>
      <c r="D738">
        <v>51.3</v>
      </c>
      <c r="E738">
        <v>346</v>
      </c>
      <c r="F738">
        <v>226</v>
      </c>
      <c r="G738">
        <v>1.98</v>
      </c>
      <c r="H738">
        <v>0</v>
      </c>
      <c r="J738">
        <v>8282</v>
      </c>
      <c r="K738">
        <v>14.9</v>
      </c>
      <c r="L738">
        <v>332</v>
      </c>
      <c r="M738">
        <v>42</v>
      </c>
      <c r="N738">
        <v>1.45</v>
      </c>
      <c r="O738">
        <v>4</v>
      </c>
      <c r="P738">
        <v>2.5</v>
      </c>
      <c r="S738">
        <v>12.4</v>
      </c>
      <c r="T738">
        <v>12.3</v>
      </c>
      <c r="W738" t="b" cm="1">
        <f t="array" ref="W738">AND(ISNUMBER(LifeExpectancyData[[#This Row],[Adult Mortality]:[Schooling]]),ISNUMBER(LifeExpectancyData[[#This Row],[Life expectancy]]), LifeExpectancyData[[#This Row],[Year]]=2013)</f>
        <v>0</v>
      </c>
    </row>
    <row r="739" spans="1:23" hidden="1" x14ac:dyDescent="0.25">
      <c r="A739" t="s">
        <v>321</v>
      </c>
      <c r="B739">
        <v>2015</v>
      </c>
      <c r="C739" t="s">
        <v>281</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cm="1">
        <f t="array" ref="W739">AND(ISNUMBER(LifeExpectancyData[[#This Row],[Adult Mortality]:[Schooling]]),ISNUMBER(LifeExpectancyData[[#This Row],[Life expectancy]]), LifeExpectancyData[[#This Row],[Year]]=2013)</f>
        <v>0</v>
      </c>
    </row>
    <row r="740" spans="1:23" hidden="1" x14ac:dyDescent="0.25">
      <c r="A740" t="s">
        <v>321</v>
      </c>
      <c r="B740">
        <v>2014</v>
      </c>
      <c r="C740" t="s">
        <v>281</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cm="1">
        <f t="array" ref="W740">AND(ISNUMBER(LifeExpectancyData[[#This Row],[Adult Mortality]:[Schooling]]),ISNUMBER(LifeExpectancyData[[#This Row],[Life expectancy]]), LifeExpectancyData[[#This Row],[Year]]=2013)</f>
        <v>0</v>
      </c>
    </row>
    <row r="741" spans="1:23" hidden="1" x14ac:dyDescent="0.25">
      <c r="A741" t="s">
        <v>321</v>
      </c>
      <c r="B741">
        <v>2013</v>
      </c>
      <c r="C741" t="s">
        <v>281</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cm="1">
        <f t="array" ref="W741">AND(ISNUMBER(LifeExpectancyData[[#This Row],[Adult Mortality]:[Schooling]]),ISNUMBER(LifeExpectancyData[[#This Row],[Life expectancy]]), LifeExpectancyData[[#This Row],[Year]]=2013)</f>
        <v>0</v>
      </c>
    </row>
    <row r="742" spans="1:23" hidden="1" x14ac:dyDescent="0.25">
      <c r="A742" t="s">
        <v>321</v>
      </c>
      <c r="B742">
        <v>2012</v>
      </c>
      <c r="C742" t="s">
        <v>281</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cm="1">
        <f t="array" ref="W742">AND(ISNUMBER(LifeExpectancyData[[#This Row],[Adult Mortality]:[Schooling]]),ISNUMBER(LifeExpectancyData[[#This Row],[Life expectancy]]), LifeExpectancyData[[#This Row],[Year]]=2013)</f>
        <v>0</v>
      </c>
    </row>
    <row r="743" spans="1:23" hidden="1" x14ac:dyDescent="0.25">
      <c r="A743" t="s">
        <v>321</v>
      </c>
      <c r="B743">
        <v>2011</v>
      </c>
      <c r="C743" t="s">
        <v>281</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cm="1">
        <f t="array" ref="W743">AND(ISNUMBER(LifeExpectancyData[[#This Row],[Adult Mortality]:[Schooling]]),ISNUMBER(LifeExpectancyData[[#This Row],[Life expectancy]]), LifeExpectancyData[[#This Row],[Year]]=2013)</f>
        <v>0</v>
      </c>
    </row>
    <row r="744" spans="1:23" hidden="1" x14ac:dyDescent="0.25">
      <c r="A744" t="s">
        <v>321</v>
      </c>
      <c r="B744">
        <v>2010</v>
      </c>
      <c r="C744" t="s">
        <v>281</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cm="1">
        <f t="array" ref="W744">AND(ISNUMBER(LifeExpectancyData[[#This Row],[Adult Mortality]:[Schooling]]),ISNUMBER(LifeExpectancyData[[#This Row],[Life expectancy]]), LifeExpectancyData[[#This Row],[Year]]=2013)</f>
        <v>0</v>
      </c>
    </row>
    <row r="745" spans="1:23" hidden="1" x14ac:dyDescent="0.25">
      <c r="A745" t="s">
        <v>321</v>
      </c>
      <c r="B745">
        <v>2009</v>
      </c>
      <c r="C745" t="s">
        <v>281</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cm="1">
        <f t="array" ref="W745">AND(ISNUMBER(LifeExpectancyData[[#This Row],[Adult Mortality]:[Schooling]]),ISNUMBER(LifeExpectancyData[[#This Row],[Life expectancy]]), LifeExpectancyData[[#This Row],[Year]]=2013)</f>
        <v>0</v>
      </c>
    </row>
    <row r="746" spans="1:23" hidden="1" x14ac:dyDescent="0.25">
      <c r="A746" t="s">
        <v>321</v>
      </c>
      <c r="B746">
        <v>2008</v>
      </c>
      <c r="C746" t="s">
        <v>281</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cm="1">
        <f t="array" ref="W746">AND(ISNUMBER(LifeExpectancyData[[#This Row],[Adult Mortality]:[Schooling]]),ISNUMBER(LifeExpectancyData[[#This Row],[Life expectancy]]), LifeExpectancyData[[#This Row],[Year]]=2013)</f>
        <v>0</v>
      </c>
    </row>
    <row r="747" spans="1:23" hidden="1" x14ac:dyDescent="0.25">
      <c r="A747" t="s">
        <v>321</v>
      </c>
      <c r="B747">
        <v>2007</v>
      </c>
      <c r="C747" t="s">
        <v>281</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cm="1">
        <f t="array" ref="W747">AND(ISNUMBER(LifeExpectancyData[[#This Row],[Adult Mortality]:[Schooling]]),ISNUMBER(LifeExpectancyData[[#This Row],[Life expectancy]]), LifeExpectancyData[[#This Row],[Year]]=2013)</f>
        <v>0</v>
      </c>
    </row>
    <row r="748" spans="1:23" hidden="1" x14ac:dyDescent="0.25">
      <c r="A748" t="s">
        <v>321</v>
      </c>
      <c r="B748">
        <v>2006</v>
      </c>
      <c r="C748" t="s">
        <v>281</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cm="1">
        <f t="array" ref="W748">AND(ISNUMBER(LifeExpectancyData[[#This Row],[Adult Mortality]:[Schooling]]),ISNUMBER(LifeExpectancyData[[#This Row],[Life expectancy]]), LifeExpectancyData[[#This Row],[Year]]=2013)</f>
        <v>0</v>
      </c>
    </row>
    <row r="749" spans="1:23" hidden="1" x14ac:dyDescent="0.25">
      <c r="A749" t="s">
        <v>321</v>
      </c>
      <c r="B749">
        <v>2005</v>
      </c>
      <c r="C749" t="s">
        <v>281</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cm="1">
        <f t="array" ref="W749">AND(ISNUMBER(LifeExpectancyData[[#This Row],[Adult Mortality]:[Schooling]]),ISNUMBER(LifeExpectancyData[[#This Row],[Life expectancy]]), LifeExpectancyData[[#This Row],[Year]]=2013)</f>
        <v>0</v>
      </c>
    </row>
    <row r="750" spans="1:23" hidden="1" x14ac:dyDescent="0.25">
      <c r="A750" t="s">
        <v>321</v>
      </c>
      <c r="B750">
        <v>2004</v>
      </c>
      <c r="C750" t="s">
        <v>281</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cm="1">
        <f t="array" ref="W750">AND(ISNUMBER(LifeExpectancyData[[#This Row],[Adult Mortality]:[Schooling]]),ISNUMBER(LifeExpectancyData[[#This Row],[Life expectancy]]), LifeExpectancyData[[#This Row],[Year]]=2013)</f>
        <v>0</v>
      </c>
    </row>
    <row r="751" spans="1:23" hidden="1" x14ac:dyDescent="0.25">
      <c r="A751" t="s">
        <v>321</v>
      </c>
      <c r="B751">
        <v>2003</v>
      </c>
      <c r="C751" t="s">
        <v>281</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cm="1">
        <f t="array" ref="W751">AND(ISNUMBER(LifeExpectancyData[[#This Row],[Adult Mortality]:[Schooling]]),ISNUMBER(LifeExpectancyData[[#This Row],[Life expectancy]]), LifeExpectancyData[[#This Row],[Year]]=2013)</f>
        <v>0</v>
      </c>
    </row>
    <row r="752" spans="1:23" hidden="1" x14ac:dyDescent="0.25">
      <c r="A752" t="s">
        <v>321</v>
      </c>
      <c r="B752">
        <v>2002</v>
      </c>
      <c r="C752" t="s">
        <v>281</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cm="1">
        <f t="array" ref="W752">AND(ISNUMBER(LifeExpectancyData[[#This Row],[Adult Mortality]:[Schooling]]),ISNUMBER(LifeExpectancyData[[#This Row],[Life expectancy]]), LifeExpectancyData[[#This Row],[Year]]=2013)</f>
        <v>0</v>
      </c>
    </row>
    <row r="753" spans="1:23" hidden="1" x14ac:dyDescent="0.25">
      <c r="A753" t="s">
        <v>321</v>
      </c>
      <c r="B753">
        <v>2001</v>
      </c>
      <c r="C753" t="s">
        <v>281</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cm="1">
        <f t="array" ref="W753">AND(ISNUMBER(LifeExpectancyData[[#This Row],[Adult Mortality]:[Schooling]]),ISNUMBER(LifeExpectancyData[[#This Row],[Life expectancy]]), LifeExpectancyData[[#This Row],[Year]]=2013)</f>
        <v>0</v>
      </c>
    </row>
    <row r="754" spans="1:23" hidden="1" x14ac:dyDescent="0.25">
      <c r="A754" t="s">
        <v>321</v>
      </c>
      <c r="B754">
        <v>2000</v>
      </c>
      <c r="C754" t="s">
        <v>281</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cm="1">
        <f t="array" ref="W754">AND(ISNUMBER(LifeExpectancyData[[#This Row],[Adult Mortality]:[Schooling]]),ISNUMBER(LifeExpectancyData[[#This Row],[Life expectancy]]), LifeExpectancyData[[#This Row],[Year]]=2013)</f>
        <v>0</v>
      </c>
    </row>
    <row r="755" spans="1:23" hidden="1" x14ac:dyDescent="0.25">
      <c r="A755" t="s">
        <v>322</v>
      </c>
      <c r="B755">
        <v>2015</v>
      </c>
      <c r="C755" t="s">
        <v>273</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cm="1">
        <f t="array" ref="W755">AND(ISNUMBER(LifeExpectancyData[[#This Row],[Adult Mortality]:[Schooling]]),ISNUMBER(LifeExpectancyData[[#This Row],[Life expectancy]]), LifeExpectancyData[[#This Row],[Year]]=2013)</f>
        <v>0</v>
      </c>
    </row>
    <row r="756" spans="1:23" x14ac:dyDescent="0.25">
      <c r="A756" t="s">
        <v>322</v>
      </c>
      <c r="B756">
        <v>2014</v>
      </c>
      <c r="C756" t="s">
        <v>273</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cm="1">
        <f t="array" ref="W756">AND(ISNUMBER(LifeExpectancyData[[#This Row],[Adult Mortality]:[Schooling]]),ISNUMBER(LifeExpectancyData[[#This Row],[Life expectancy]]), LifeExpectancyData[[#This Row],[Year]]=2013)</f>
        <v>0</v>
      </c>
    </row>
    <row r="757" spans="1:23" x14ac:dyDescent="0.25">
      <c r="A757" t="s">
        <v>322</v>
      </c>
      <c r="B757">
        <v>2013</v>
      </c>
      <c r="C757" t="s">
        <v>273</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cm="1">
        <f t="array" ref="W757">AND(ISNUMBER(LifeExpectancyData[[#This Row],[Adult Mortality]:[Schooling]]),ISNUMBER(LifeExpectancyData[[#This Row],[Life expectancy]]), LifeExpectancyData[[#This Row],[Year]]=2013)</f>
        <v>1</v>
      </c>
    </row>
    <row r="758" spans="1:23" x14ac:dyDescent="0.25">
      <c r="A758" t="s">
        <v>322</v>
      </c>
      <c r="B758">
        <v>2012</v>
      </c>
      <c r="C758" t="s">
        <v>273</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cm="1">
        <f t="array" ref="W758">AND(ISNUMBER(LifeExpectancyData[[#This Row],[Adult Mortality]:[Schooling]]),ISNUMBER(LifeExpectancyData[[#This Row],[Life expectancy]]), LifeExpectancyData[[#This Row],[Year]]=2013)</f>
        <v>0</v>
      </c>
    </row>
    <row r="759" spans="1:23" x14ac:dyDescent="0.25">
      <c r="A759" t="s">
        <v>322</v>
      </c>
      <c r="B759">
        <v>2011</v>
      </c>
      <c r="C759" t="s">
        <v>273</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cm="1">
        <f t="array" ref="W759">AND(ISNUMBER(LifeExpectancyData[[#This Row],[Adult Mortality]:[Schooling]]),ISNUMBER(LifeExpectancyData[[#This Row],[Life expectancy]]), LifeExpectancyData[[#This Row],[Year]]=2013)</f>
        <v>0</v>
      </c>
    </row>
    <row r="760" spans="1:23" x14ac:dyDescent="0.25">
      <c r="A760" t="s">
        <v>322</v>
      </c>
      <c r="B760">
        <v>2010</v>
      </c>
      <c r="C760" t="s">
        <v>273</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cm="1">
        <f t="array" ref="W760">AND(ISNUMBER(LifeExpectancyData[[#This Row],[Adult Mortality]:[Schooling]]),ISNUMBER(LifeExpectancyData[[#This Row],[Life expectancy]]), LifeExpectancyData[[#This Row],[Year]]=2013)</f>
        <v>0</v>
      </c>
    </row>
    <row r="761" spans="1:23" x14ac:dyDescent="0.25">
      <c r="A761" t="s">
        <v>322</v>
      </c>
      <c r="B761">
        <v>2009</v>
      </c>
      <c r="C761" t="s">
        <v>273</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cm="1">
        <f t="array" ref="W761">AND(ISNUMBER(LifeExpectancyData[[#This Row],[Adult Mortality]:[Schooling]]),ISNUMBER(LifeExpectancyData[[#This Row],[Life expectancy]]), LifeExpectancyData[[#This Row],[Year]]=2013)</f>
        <v>0</v>
      </c>
    </row>
    <row r="762" spans="1:23" x14ac:dyDescent="0.25">
      <c r="A762" t="s">
        <v>322</v>
      </c>
      <c r="B762">
        <v>2008</v>
      </c>
      <c r="C762" t="s">
        <v>273</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cm="1">
        <f t="array" ref="W762">AND(ISNUMBER(LifeExpectancyData[[#This Row],[Adult Mortality]:[Schooling]]),ISNUMBER(LifeExpectancyData[[#This Row],[Life expectancy]]), LifeExpectancyData[[#This Row],[Year]]=2013)</f>
        <v>0</v>
      </c>
    </row>
    <row r="763" spans="1:23" x14ac:dyDescent="0.25">
      <c r="A763" t="s">
        <v>322</v>
      </c>
      <c r="B763">
        <v>2007</v>
      </c>
      <c r="C763" t="s">
        <v>273</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cm="1">
        <f t="array" ref="W763">AND(ISNUMBER(LifeExpectancyData[[#This Row],[Adult Mortality]:[Schooling]]),ISNUMBER(LifeExpectancyData[[#This Row],[Life expectancy]]), LifeExpectancyData[[#This Row],[Year]]=2013)</f>
        <v>0</v>
      </c>
    </row>
    <row r="764" spans="1:23" hidden="1" x14ac:dyDescent="0.25">
      <c r="A764" t="s">
        <v>322</v>
      </c>
      <c r="B764">
        <v>2006</v>
      </c>
      <c r="C764" t="s">
        <v>273</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cm="1">
        <f t="array" ref="W764">AND(ISNUMBER(LifeExpectancyData[[#This Row],[Adult Mortality]:[Schooling]]),ISNUMBER(LifeExpectancyData[[#This Row],[Life expectancy]]), LifeExpectancyData[[#This Row],[Year]]=2013)</f>
        <v>0</v>
      </c>
    </row>
    <row r="765" spans="1:23" hidden="1" x14ac:dyDescent="0.25">
      <c r="A765" t="s">
        <v>322</v>
      </c>
      <c r="B765">
        <v>2005</v>
      </c>
      <c r="C765" t="s">
        <v>273</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cm="1">
        <f t="array" ref="W765">AND(ISNUMBER(LifeExpectancyData[[#This Row],[Adult Mortality]:[Schooling]]),ISNUMBER(LifeExpectancyData[[#This Row],[Life expectancy]]), LifeExpectancyData[[#This Row],[Year]]=2013)</f>
        <v>0</v>
      </c>
    </row>
    <row r="766" spans="1:23" hidden="1" x14ac:dyDescent="0.25">
      <c r="A766" t="s">
        <v>322</v>
      </c>
      <c r="B766">
        <v>2004</v>
      </c>
      <c r="C766" t="s">
        <v>273</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cm="1">
        <f t="array" ref="W766">AND(ISNUMBER(LifeExpectancyData[[#This Row],[Adult Mortality]:[Schooling]]),ISNUMBER(LifeExpectancyData[[#This Row],[Life expectancy]]), LifeExpectancyData[[#This Row],[Year]]=2013)</f>
        <v>0</v>
      </c>
    </row>
    <row r="767" spans="1:23" hidden="1" x14ac:dyDescent="0.25">
      <c r="A767" t="s">
        <v>322</v>
      </c>
      <c r="B767">
        <v>2003</v>
      </c>
      <c r="C767" t="s">
        <v>273</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cm="1">
        <f t="array" ref="W767">AND(ISNUMBER(LifeExpectancyData[[#This Row],[Adult Mortality]:[Schooling]]),ISNUMBER(LifeExpectancyData[[#This Row],[Life expectancy]]), LifeExpectancyData[[#This Row],[Year]]=2013)</f>
        <v>0</v>
      </c>
    </row>
    <row r="768" spans="1:23" hidden="1" x14ac:dyDescent="0.25">
      <c r="A768" t="s">
        <v>322</v>
      </c>
      <c r="B768">
        <v>2002</v>
      </c>
      <c r="C768" t="s">
        <v>273</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cm="1">
        <f t="array" ref="W768">AND(ISNUMBER(LifeExpectancyData[[#This Row],[Adult Mortality]:[Schooling]]),ISNUMBER(LifeExpectancyData[[#This Row],[Life expectancy]]), LifeExpectancyData[[#This Row],[Year]]=2013)</f>
        <v>0</v>
      </c>
    </row>
    <row r="769" spans="1:23" hidden="1" x14ac:dyDescent="0.25">
      <c r="A769" t="s">
        <v>322</v>
      </c>
      <c r="B769">
        <v>2001</v>
      </c>
      <c r="C769" t="s">
        <v>273</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cm="1">
        <f t="array" ref="W769">AND(ISNUMBER(LifeExpectancyData[[#This Row],[Adult Mortality]:[Schooling]]),ISNUMBER(LifeExpectancyData[[#This Row],[Life expectancy]]), LifeExpectancyData[[#This Row],[Year]]=2013)</f>
        <v>0</v>
      </c>
    </row>
    <row r="770" spans="1:23" hidden="1" x14ac:dyDescent="0.25">
      <c r="A770" t="s">
        <v>322</v>
      </c>
      <c r="B770">
        <v>2000</v>
      </c>
      <c r="C770" t="s">
        <v>273</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cm="1">
        <f t="array" ref="W770">AND(ISNUMBER(LifeExpectancyData[[#This Row],[Adult Mortality]:[Schooling]]),ISNUMBER(LifeExpectancyData[[#This Row],[Life expectancy]]), LifeExpectancyData[[#This Row],[Year]]=2013)</f>
        <v>0</v>
      </c>
    </row>
    <row r="771" spans="1:23" hidden="1" x14ac:dyDescent="0.25">
      <c r="A771" t="s">
        <v>323</v>
      </c>
      <c r="B771">
        <v>2013</v>
      </c>
      <c r="C771" t="s">
        <v>273</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cm="1">
        <f t="array" ref="W771">AND(ISNUMBER(LifeExpectancyData[[#This Row],[Adult Mortality]:[Schooling]]),ISNUMBER(LifeExpectancyData[[#This Row],[Life expectancy]]), LifeExpectancyData[[#This Row],[Year]]=2013)</f>
        <v>0</v>
      </c>
    </row>
    <row r="772" spans="1:23" hidden="1" x14ac:dyDescent="0.25">
      <c r="A772" t="s">
        <v>324</v>
      </c>
      <c r="B772">
        <v>2015</v>
      </c>
      <c r="C772" t="s">
        <v>273</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cm="1">
        <f t="array" ref="W772">AND(ISNUMBER(LifeExpectancyData[[#This Row],[Adult Mortality]:[Schooling]]),ISNUMBER(LifeExpectancyData[[#This Row],[Life expectancy]]), LifeExpectancyData[[#This Row],[Year]]=2013)</f>
        <v>0</v>
      </c>
    </row>
    <row r="773" spans="1:23" x14ac:dyDescent="0.25">
      <c r="A773" t="s">
        <v>324</v>
      </c>
      <c r="B773">
        <v>2014</v>
      </c>
      <c r="C773" t="s">
        <v>273</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cm="1">
        <f t="array" ref="W773">AND(ISNUMBER(LifeExpectancyData[[#This Row],[Adult Mortality]:[Schooling]]),ISNUMBER(LifeExpectancyData[[#This Row],[Life expectancy]]), LifeExpectancyData[[#This Row],[Year]]=2013)</f>
        <v>0</v>
      </c>
    </row>
    <row r="774" spans="1:23" x14ac:dyDescent="0.25">
      <c r="A774" t="s">
        <v>324</v>
      </c>
      <c r="B774">
        <v>2013</v>
      </c>
      <c r="C774" t="s">
        <v>273</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cm="1">
        <f t="array" ref="W774">AND(ISNUMBER(LifeExpectancyData[[#This Row],[Adult Mortality]:[Schooling]]),ISNUMBER(LifeExpectancyData[[#This Row],[Life expectancy]]), LifeExpectancyData[[#This Row],[Year]]=2013)</f>
        <v>1</v>
      </c>
    </row>
    <row r="775" spans="1:23" x14ac:dyDescent="0.25">
      <c r="A775" t="s">
        <v>324</v>
      </c>
      <c r="B775">
        <v>2012</v>
      </c>
      <c r="C775" t="s">
        <v>273</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cm="1">
        <f t="array" ref="W775">AND(ISNUMBER(LifeExpectancyData[[#This Row],[Adult Mortality]:[Schooling]]),ISNUMBER(LifeExpectancyData[[#This Row],[Life expectancy]]), LifeExpectancyData[[#This Row],[Year]]=2013)</f>
        <v>0</v>
      </c>
    </row>
    <row r="776" spans="1:23" x14ac:dyDescent="0.25">
      <c r="A776" t="s">
        <v>324</v>
      </c>
      <c r="B776">
        <v>2011</v>
      </c>
      <c r="C776" t="s">
        <v>273</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cm="1">
        <f t="array" ref="W776">AND(ISNUMBER(LifeExpectancyData[[#This Row],[Adult Mortality]:[Schooling]]),ISNUMBER(LifeExpectancyData[[#This Row],[Life expectancy]]), LifeExpectancyData[[#This Row],[Year]]=2013)</f>
        <v>0</v>
      </c>
    </row>
    <row r="777" spans="1:23" x14ac:dyDescent="0.25">
      <c r="A777" t="s">
        <v>324</v>
      </c>
      <c r="B777">
        <v>2010</v>
      </c>
      <c r="C777" t="s">
        <v>273</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cm="1">
        <f t="array" ref="W777">AND(ISNUMBER(LifeExpectancyData[[#This Row],[Adult Mortality]:[Schooling]]),ISNUMBER(LifeExpectancyData[[#This Row],[Life expectancy]]), LifeExpectancyData[[#This Row],[Year]]=2013)</f>
        <v>0</v>
      </c>
    </row>
    <row r="778" spans="1:23" x14ac:dyDescent="0.25">
      <c r="A778" t="s">
        <v>324</v>
      </c>
      <c r="B778">
        <v>2009</v>
      </c>
      <c r="C778" t="s">
        <v>273</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cm="1">
        <f t="array" ref="W778">AND(ISNUMBER(LifeExpectancyData[[#This Row],[Adult Mortality]:[Schooling]]),ISNUMBER(LifeExpectancyData[[#This Row],[Life expectancy]]), LifeExpectancyData[[#This Row],[Year]]=2013)</f>
        <v>0</v>
      </c>
    </row>
    <row r="779" spans="1:23" x14ac:dyDescent="0.25">
      <c r="A779" t="s">
        <v>324</v>
      </c>
      <c r="B779">
        <v>2008</v>
      </c>
      <c r="C779" t="s">
        <v>273</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cm="1">
        <f t="array" ref="W779">AND(ISNUMBER(LifeExpectancyData[[#This Row],[Adult Mortality]:[Schooling]]),ISNUMBER(LifeExpectancyData[[#This Row],[Life expectancy]]), LifeExpectancyData[[#This Row],[Year]]=2013)</f>
        <v>0</v>
      </c>
    </row>
    <row r="780" spans="1:23" x14ac:dyDescent="0.25">
      <c r="A780" t="s">
        <v>324</v>
      </c>
      <c r="B780">
        <v>2007</v>
      </c>
      <c r="C780" t="s">
        <v>273</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cm="1">
        <f t="array" ref="W780">AND(ISNUMBER(LifeExpectancyData[[#This Row],[Adult Mortality]:[Schooling]]),ISNUMBER(LifeExpectancyData[[#This Row],[Life expectancy]]), LifeExpectancyData[[#This Row],[Year]]=2013)</f>
        <v>0</v>
      </c>
    </row>
    <row r="781" spans="1:23" x14ac:dyDescent="0.25">
      <c r="A781" t="s">
        <v>324</v>
      </c>
      <c r="B781">
        <v>2006</v>
      </c>
      <c r="C781" t="s">
        <v>273</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cm="1">
        <f t="array" ref="W781">AND(ISNUMBER(LifeExpectancyData[[#This Row],[Adult Mortality]:[Schooling]]),ISNUMBER(LifeExpectancyData[[#This Row],[Life expectancy]]), LifeExpectancyData[[#This Row],[Year]]=2013)</f>
        <v>0</v>
      </c>
    </row>
    <row r="782" spans="1:23" x14ac:dyDescent="0.25">
      <c r="A782" t="s">
        <v>324</v>
      </c>
      <c r="B782">
        <v>2005</v>
      </c>
      <c r="C782" t="s">
        <v>273</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cm="1">
        <f t="array" ref="W782">AND(ISNUMBER(LifeExpectancyData[[#This Row],[Adult Mortality]:[Schooling]]),ISNUMBER(LifeExpectancyData[[#This Row],[Life expectancy]]), LifeExpectancyData[[#This Row],[Year]]=2013)</f>
        <v>0</v>
      </c>
    </row>
    <row r="783" spans="1:23" x14ac:dyDescent="0.25">
      <c r="A783" t="s">
        <v>324</v>
      </c>
      <c r="B783">
        <v>2004</v>
      </c>
      <c r="C783" t="s">
        <v>273</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cm="1">
        <f t="array" ref="W783">AND(ISNUMBER(LifeExpectancyData[[#This Row],[Adult Mortality]:[Schooling]]),ISNUMBER(LifeExpectancyData[[#This Row],[Life expectancy]]), LifeExpectancyData[[#This Row],[Year]]=2013)</f>
        <v>0</v>
      </c>
    </row>
    <row r="784" spans="1:23" x14ac:dyDescent="0.25">
      <c r="A784" t="s">
        <v>324</v>
      </c>
      <c r="B784">
        <v>2003</v>
      </c>
      <c r="C784" t="s">
        <v>273</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cm="1">
        <f t="array" ref="W784">AND(ISNUMBER(LifeExpectancyData[[#This Row],[Adult Mortality]:[Schooling]]),ISNUMBER(LifeExpectancyData[[#This Row],[Life expectancy]]), LifeExpectancyData[[#This Row],[Year]]=2013)</f>
        <v>0</v>
      </c>
    </row>
    <row r="785" spans="1:23" x14ac:dyDescent="0.25">
      <c r="A785" t="s">
        <v>324</v>
      </c>
      <c r="B785">
        <v>2002</v>
      </c>
      <c r="C785" t="s">
        <v>273</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cm="1">
        <f t="array" ref="W785">AND(ISNUMBER(LifeExpectancyData[[#This Row],[Adult Mortality]:[Schooling]]),ISNUMBER(LifeExpectancyData[[#This Row],[Life expectancy]]), LifeExpectancyData[[#This Row],[Year]]=2013)</f>
        <v>0</v>
      </c>
    </row>
    <row r="786" spans="1:23" x14ac:dyDescent="0.25">
      <c r="A786" t="s">
        <v>324</v>
      </c>
      <c r="B786">
        <v>2001</v>
      </c>
      <c r="C786" t="s">
        <v>273</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cm="1">
        <f t="array" ref="W786">AND(ISNUMBER(LifeExpectancyData[[#This Row],[Adult Mortality]:[Schooling]]),ISNUMBER(LifeExpectancyData[[#This Row],[Life expectancy]]), LifeExpectancyData[[#This Row],[Year]]=2013)</f>
        <v>0</v>
      </c>
    </row>
    <row r="787" spans="1:23" x14ac:dyDescent="0.25">
      <c r="A787" t="s">
        <v>324</v>
      </c>
      <c r="B787">
        <v>2000</v>
      </c>
      <c r="C787" t="s">
        <v>273</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cm="1">
        <f t="array" ref="W787">AND(ISNUMBER(LifeExpectancyData[[#This Row],[Adult Mortality]:[Schooling]]),ISNUMBER(LifeExpectancyData[[#This Row],[Life expectancy]]), LifeExpectancyData[[#This Row],[Year]]=2013)</f>
        <v>0</v>
      </c>
    </row>
    <row r="788" spans="1:23" hidden="1" x14ac:dyDescent="0.25">
      <c r="A788" t="s">
        <v>325</v>
      </c>
      <c r="B788">
        <v>2015</v>
      </c>
      <c r="C788" t="s">
        <v>273</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cm="1">
        <f t="array" ref="W788">AND(ISNUMBER(LifeExpectancyData[[#This Row],[Adult Mortality]:[Schooling]]),ISNUMBER(LifeExpectancyData[[#This Row],[Life expectancy]]), LifeExpectancyData[[#This Row],[Year]]=2013)</f>
        <v>0</v>
      </c>
    </row>
    <row r="789" spans="1:23" x14ac:dyDescent="0.25">
      <c r="A789" t="s">
        <v>325</v>
      </c>
      <c r="B789">
        <v>2014</v>
      </c>
      <c r="C789" t="s">
        <v>273</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cm="1">
        <f t="array" ref="W789">AND(ISNUMBER(LifeExpectancyData[[#This Row],[Adult Mortality]:[Schooling]]),ISNUMBER(LifeExpectancyData[[#This Row],[Life expectancy]]), LifeExpectancyData[[#This Row],[Year]]=2013)</f>
        <v>0</v>
      </c>
    </row>
    <row r="790" spans="1:23" x14ac:dyDescent="0.25">
      <c r="A790" t="s">
        <v>325</v>
      </c>
      <c r="B790">
        <v>2013</v>
      </c>
      <c r="C790" t="s">
        <v>273</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cm="1">
        <f t="array" ref="W790">AND(ISNUMBER(LifeExpectancyData[[#This Row],[Adult Mortality]:[Schooling]]),ISNUMBER(LifeExpectancyData[[#This Row],[Life expectancy]]), LifeExpectancyData[[#This Row],[Year]]=2013)</f>
        <v>1</v>
      </c>
    </row>
    <row r="791" spans="1:23" x14ac:dyDescent="0.25">
      <c r="A791" t="s">
        <v>325</v>
      </c>
      <c r="B791">
        <v>2012</v>
      </c>
      <c r="C791" t="s">
        <v>273</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cm="1">
        <f t="array" ref="W791">AND(ISNUMBER(LifeExpectancyData[[#This Row],[Adult Mortality]:[Schooling]]),ISNUMBER(LifeExpectancyData[[#This Row],[Life expectancy]]), LifeExpectancyData[[#This Row],[Year]]=2013)</f>
        <v>0</v>
      </c>
    </row>
    <row r="792" spans="1:23" x14ac:dyDescent="0.25">
      <c r="A792" t="s">
        <v>325</v>
      </c>
      <c r="B792">
        <v>2011</v>
      </c>
      <c r="C792" t="s">
        <v>273</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cm="1">
        <f t="array" ref="W792">AND(ISNUMBER(LifeExpectancyData[[#This Row],[Adult Mortality]:[Schooling]]),ISNUMBER(LifeExpectancyData[[#This Row],[Life expectancy]]), LifeExpectancyData[[#This Row],[Year]]=2013)</f>
        <v>0</v>
      </c>
    </row>
    <row r="793" spans="1:23" x14ac:dyDescent="0.25">
      <c r="A793" t="s">
        <v>325</v>
      </c>
      <c r="B793">
        <v>2010</v>
      </c>
      <c r="C793" t="s">
        <v>273</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cm="1">
        <f t="array" ref="W793">AND(ISNUMBER(LifeExpectancyData[[#This Row],[Adult Mortality]:[Schooling]]),ISNUMBER(LifeExpectancyData[[#This Row],[Life expectancy]]), LifeExpectancyData[[#This Row],[Year]]=2013)</f>
        <v>0</v>
      </c>
    </row>
    <row r="794" spans="1:23" x14ac:dyDescent="0.25">
      <c r="A794" t="s">
        <v>325</v>
      </c>
      <c r="B794">
        <v>2009</v>
      </c>
      <c r="C794" t="s">
        <v>273</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cm="1">
        <f t="array" ref="W794">AND(ISNUMBER(LifeExpectancyData[[#This Row],[Adult Mortality]:[Schooling]]),ISNUMBER(LifeExpectancyData[[#This Row],[Life expectancy]]), LifeExpectancyData[[#This Row],[Year]]=2013)</f>
        <v>0</v>
      </c>
    </row>
    <row r="795" spans="1:23" x14ac:dyDescent="0.25">
      <c r="A795" t="s">
        <v>325</v>
      </c>
      <c r="B795">
        <v>2008</v>
      </c>
      <c r="C795" t="s">
        <v>273</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cm="1">
        <f t="array" ref="W795">AND(ISNUMBER(LifeExpectancyData[[#This Row],[Adult Mortality]:[Schooling]]),ISNUMBER(LifeExpectancyData[[#This Row],[Life expectancy]]), LifeExpectancyData[[#This Row],[Year]]=2013)</f>
        <v>0</v>
      </c>
    </row>
    <row r="796" spans="1:23" x14ac:dyDescent="0.25">
      <c r="A796" t="s">
        <v>325</v>
      </c>
      <c r="B796">
        <v>2007</v>
      </c>
      <c r="C796" t="s">
        <v>273</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cm="1">
        <f t="array" ref="W796">AND(ISNUMBER(LifeExpectancyData[[#This Row],[Adult Mortality]:[Schooling]]),ISNUMBER(LifeExpectancyData[[#This Row],[Life expectancy]]), LifeExpectancyData[[#This Row],[Year]]=2013)</f>
        <v>0</v>
      </c>
    </row>
    <row r="797" spans="1:23" x14ac:dyDescent="0.25">
      <c r="A797" t="s">
        <v>325</v>
      </c>
      <c r="B797">
        <v>2006</v>
      </c>
      <c r="C797" t="s">
        <v>273</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cm="1">
        <f t="array" ref="W797">AND(ISNUMBER(LifeExpectancyData[[#This Row],[Adult Mortality]:[Schooling]]),ISNUMBER(LifeExpectancyData[[#This Row],[Life expectancy]]), LifeExpectancyData[[#This Row],[Year]]=2013)</f>
        <v>0</v>
      </c>
    </row>
    <row r="798" spans="1:23" x14ac:dyDescent="0.25">
      <c r="A798" t="s">
        <v>325</v>
      </c>
      <c r="B798">
        <v>2005</v>
      </c>
      <c r="C798" t="s">
        <v>273</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cm="1">
        <f t="array" ref="W798">AND(ISNUMBER(LifeExpectancyData[[#This Row],[Adult Mortality]:[Schooling]]),ISNUMBER(LifeExpectancyData[[#This Row],[Life expectancy]]), LifeExpectancyData[[#This Row],[Year]]=2013)</f>
        <v>0</v>
      </c>
    </row>
    <row r="799" spans="1:23" x14ac:dyDescent="0.25">
      <c r="A799" t="s">
        <v>325</v>
      </c>
      <c r="B799">
        <v>2004</v>
      </c>
      <c r="C799" t="s">
        <v>273</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cm="1">
        <f t="array" ref="W799">AND(ISNUMBER(LifeExpectancyData[[#This Row],[Adult Mortality]:[Schooling]]),ISNUMBER(LifeExpectancyData[[#This Row],[Life expectancy]]), LifeExpectancyData[[#This Row],[Year]]=2013)</f>
        <v>0</v>
      </c>
    </row>
    <row r="800" spans="1:23" x14ac:dyDescent="0.25">
      <c r="A800" t="s">
        <v>325</v>
      </c>
      <c r="B800">
        <v>2003</v>
      </c>
      <c r="C800" t="s">
        <v>273</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cm="1">
        <f t="array" ref="W800">AND(ISNUMBER(LifeExpectancyData[[#This Row],[Adult Mortality]:[Schooling]]),ISNUMBER(LifeExpectancyData[[#This Row],[Life expectancy]]), LifeExpectancyData[[#This Row],[Year]]=2013)</f>
        <v>0</v>
      </c>
    </row>
    <row r="801" spans="1:23" x14ac:dyDescent="0.25">
      <c r="A801" t="s">
        <v>325</v>
      </c>
      <c r="B801">
        <v>2002</v>
      </c>
      <c r="C801" t="s">
        <v>273</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cm="1">
        <f t="array" ref="W801">AND(ISNUMBER(LifeExpectancyData[[#This Row],[Adult Mortality]:[Schooling]]),ISNUMBER(LifeExpectancyData[[#This Row],[Life expectancy]]), LifeExpectancyData[[#This Row],[Year]]=2013)</f>
        <v>0</v>
      </c>
    </row>
    <row r="802" spans="1:23" x14ac:dyDescent="0.25">
      <c r="A802" t="s">
        <v>325</v>
      </c>
      <c r="B802">
        <v>2001</v>
      </c>
      <c r="C802" t="s">
        <v>273</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cm="1">
        <f t="array" ref="W802">AND(ISNUMBER(LifeExpectancyData[[#This Row],[Adult Mortality]:[Schooling]]),ISNUMBER(LifeExpectancyData[[#This Row],[Life expectancy]]), LifeExpectancyData[[#This Row],[Year]]=2013)</f>
        <v>0</v>
      </c>
    </row>
    <row r="803" spans="1:23" x14ac:dyDescent="0.25">
      <c r="A803" t="s">
        <v>325</v>
      </c>
      <c r="B803">
        <v>2000</v>
      </c>
      <c r="C803" t="s">
        <v>273</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cm="1">
        <f t="array" ref="W803">AND(ISNUMBER(LifeExpectancyData[[#This Row],[Adult Mortality]:[Schooling]]),ISNUMBER(LifeExpectancyData[[#This Row],[Life expectancy]]), LifeExpectancyData[[#This Row],[Year]]=2013)</f>
        <v>0</v>
      </c>
    </row>
    <row r="804" spans="1:23" hidden="1" x14ac:dyDescent="0.25">
      <c r="A804" t="s">
        <v>326</v>
      </c>
      <c r="B804">
        <v>2015</v>
      </c>
      <c r="C804" t="s">
        <v>273</v>
      </c>
      <c r="D804">
        <v>79</v>
      </c>
      <c r="E804">
        <v>159</v>
      </c>
      <c r="F804">
        <v>51</v>
      </c>
      <c r="H804">
        <v>0</v>
      </c>
      <c r="I804">
        <v>93</v>
      </c>
      <c r="J804">
        <v>5432</v>
      </c>
      <c r="K804">
        <v>61.1</v>
      </c>
      <c r="L804">
        <v>60</v>
      </c>
      <c r="M804">
        <v>93</v>
      </c>
      <c r="O804">
        <v>93</v>
      </c>
      <c r="P804">
        <v>0.1</v>
      </c>
      <c r="S804">
        <v>2.8</v>
      </c>
      <c r="T804">
        <v>2.8</v>
      </c>
      <c r="U804">
        <v>0.68799999999999994</v>
      </c>
      <c r="V804">
        <v>13.1</v>
      </c>
      <c r="W804" t="b" cm="1">
        <f t="array" ref="W804">AND(ISNUMBER(LifeExpectancyData[[#This Row],[Adult Mortality]:[Schooling]]),ISNUMBER(LifeExpectancyData[[#This Row],[Life expectancy]]), LifeExpectancyData[[#This Row],[Year]]=2013)</f>
        <v>0</v>
      </c>
    </row>
    <row r="805" spans="1:23" hidden="1" x14ac:dyDescent="0.25">
      <c r="A805" t="s">
        <v>326</v>
      </c>
      <c r="B805">
        <v>2014</v>
      </c>
      <c r="C805" t="s">
        <v>273</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cm="1">
        <f t="array" ref="W805">AND(ISNUMBER(LifeExpectancyData[[#This Row],[Adult Mortality]:[Schooling]]),ISNUMBER(LifeExpectancyData[[#This Row],[Life expectancy]]), LifeExpectancyData[[#This Row],[Year]]=2013)</f>
        <v>0</v>
      </c>
    </row>
    <row r="806" spans="1:23" hidden="1" x14ac:dyDescent="0.25">
      <c r="A806" t="s">
        <v>326</v>
      </c>
      <c r="B806">
        <v>2013</v>
      </c>
      <c r="C806" t="s">
        <v>273</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cm="1">
        <f t="array" ref="W806">AND(ISNUMBER(LifeExpectancyData[[#This Row],[Adult Mortality]:[Schooling]]),ISNUMBER(LifeExpectancyData[[#This Row],[Life expectancy]]), LifeExpectancyData[[#This Row],[Year]]=2013)</f>
        <v>0</v>
      </c>
    </row>
    <row r="807" spans="1:23" hidden="1" x14ac:dyDescent="0.25">
      <c r="A807" t="s">
        <v>326</v>
      </c>
      <c r="B807">
        <v>2012</v>
      </c>
      <c r="C807" t="s">
        <v>273</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cm="1">
        <f t="array" ref="W807">AND(ISNUMBER(LifeExpectancyData[[#This Row],[Adult Mortality]:[Schooling]]),ISNUMBER(LifeExpectancyData[[#This Row],[Life expectancy]]), LifeExpectancyData[[#This Row],[Year]]=2013)</f>
        <v>0</v>
      </c>
    </row>
    <row r="808" spans="1:23" hidden="1" x14ac:dyDescent="0.25">
      <c r="A808" t="s">
        <v>326</v>
      </c>
      <c r="B808">
        <v>2011</v>
      </c>
      <c r="C808" t="s">
        <v>273</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cm="1">
        <f t="array" ref="W808">AND(ISNUMBER(LifeExpectancyData[[#This Row],[Adult Mortality]:[Schooling]]),ISNUMBER(LifeExpectancyData[[#This Row],[Life expectancy]]), LifeExpectancyData[[#This Row],[Year]]=2013)</f>
        <v>0</v>
      </c>
    </row>
    <row r="809" spans="1:23" hidden="1" x14ac:dyDescent="0.25">
      <c r="A809" t="s">
        <v>326</v>
      </c>
      <c r="B809">
        <v>2010</v>
      </c>
      <c r="C809" t="s">
        <v>273</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cm="1">
        <f t="array" ref="W809">AND(ISNUMBER(LifeExpectancyData[[#This Row],[Adult Mortality]:[Schooling]]),ISNUMBER(LifeExpectancyData[[#This Row],[Life expectancy]]), LifeExpectancyData[[#This Row],[Year]]=2013)</f>
        <v>0</v>
      </c>
    </row>
    <row r="810" spans="1:23" hidden="1" x14ac:dyDescent="0.25">
      <c r="A810" t="s">
        <v>326</v>
      </c>
      <c r="B810">
        <v>2009</v>
      </c>
      <c r="C810" t="s">
        <v>273</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cm="1">
        <f t="array" ref="W810">AND(ISNUMBER(LifeExpectancyData[[#This Row],[Adult Mortality]:[Schooling]]),ISNUMBER(LifeExpectancyData[[#This Row],[Life expectancy]]), LifeExpectancyData[[#This Row],[Year]]=2013)</f>
        <v>0</v>
      </c>
    </row>
    <row r="811" spans="1:23" hidden="1" x14ac:dyDescent="0.25">
      <c r="A811" t="s">
        <v>326</v>
      </c>
      <c r="B811">
        <v>2008</v>
      </c>
      <c r="C811" t="s">
        <v>273</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cm="1">
        <f t="array" ref="W811">AND(ISNUMBER(LifeExpectancyData[[#This Row],[Adult Mortality]:[Schooling]]),ISNUMBER(LifeExpectancyData[[#This Row],[Life expectancy]]), LifeExpectancyData[[#This Row],[Year]]=2013)</f>
        <v>0</v>
      </c>
    </row>
    <row r="812" spans="1:23" hidden="1" x14ac:dyDescent="0.25">
      <c r="A812" t="s">
        <v>326</v>
      </c>
      <c r="B812">
        <v>2007</v>
      </c>
      <c r="C812" t="s">
        <v>273</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cm="1">
        <f t="array" ref="W812">AND(ISNUMBER(LifeExpectancyData[[#This Row],[Adult Mortality]:[Schooling]]),ISNUMBER(LifeExpectancyData[[#This Row],[Life expectancy]]), LifeExpectancyData[[#This Row],[Year]]=2013)</f>
        <v>0</v>
      </c>
    </row>
    <row r="813" spans="1:23" hidden="1" x14ac:dyDescent="0.25">
      <c r="A813" t="s">
        <v>326</v>
      </c>
      <c r="B813">
        <v>2006</v>
      </c>
      <c r="C813" t="s">
        <v>273</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cm="1">
        <f t="array" ref="W813">AND(ISNUMBER(LifeExpectancyData[[#This Row],[Adult Mortality]:[Schooling]]),ISNUMBER(LifeExpectancyData[[#This Row],[Life expectancy]]), LifeExpectancyData[[#This Row],[Year]]=2013)</f>
        <v>0</v>
      </c>
    </row>
    <row r="814" spans="1:23" hidden="1" x14ac:dyDescent="0.25">
      <c r="A814" t="s">
        <v>326</v>
      </c>
      <c r="B814">
        <v>2005</v>
      </c>
      <c r="C814" t="s">
        <v>273</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cm="1">
        <f t="array" ref="W814">AND(ISNUMBER(LifeExpectancyData[[#This Row],[Adult Mortality]:[Schooling]]),ISNUMBER(LifeExpectancyData[[#This Row],[Life expectancy]]), LifeExpectancyData[[#This Row],[Year]]=2013)</f>
        <v>0</v>
      </c>
    </row>
    <row r="815" spans="1:23" hidden="1" x14ac:dyDescent="0.25">
      <c r="A815" t="s">
        <v>326</v>
      </c>
      <c r="B815">
        <v>2004</v>
      </c>
      <c r="C815" t="s">
        <v>273</v>
      </c>
      <c r="D815">
        <v>69</v>
      </c>
      <c r="E815">
        <v>176</v>
      </c>
      <c r="F815">
        <v>57</v>
      </c>
      <c r="G815">
        <v>0.16</v>
      </c>
      <c r="H815">
        <v>0</v>
      </c>
      <c r="I815">
        <v>97</v>
      </c>
      <c r="J815">
        <v>80</v>
      </c>
      <c r="K815">
        <v>52.9</v>
      </c>
      <c r="L815">
        <v>70</v>
      </c>
      <c r="M815">
        <v>97</v>
      </c>
      <c r="N815">
        <v>5.21</v>
      </c>
      <c r="O815">
        <v>97</v>
      </c>
      <c r="P815">
        <v>0.1</v>
      </c>
      <c r="S815">
        <v>3.3</v>
      </c>
      <c r="T815">
        <v>3.2</v>
      </c>
      <c r="U815">
        <v>0.623</v>
      </c>
      <c r="V815">
        <v>11.2</v>
      </c>
      <c r="W815" t="b" cm="1">
        <f t="array" ref="W815">AND(ISNUMBER(LifeExpectancyData[[#This Row],[Adult Mortality]:[Schooling]]),ISNUMBER(LifeExpectancyData[[#This Row],[Life expectancy]]), LifeExpectancyData[[#This Row],[Year]]=2013)</f>
        <v>0</v>
      </c>
    </row>
    <row r="816" spans="1:23" hidden="1" x14ac:dyDescent="0.25">
      <c r="A816" t="s">
        <v>326</v>
      </c>
      <c r="B816">
        <v>2003</v>
      </c>
      <c r="C816" t="s">
        <v>273</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cm="1">
        <f t="array" ref="W816">AND(ISNUMBER(LifeExpectancyData[[#This Row],[Adult Mortality]:[Schooling]]),ISNUMBER(LifeExpectancyData[[#This Row],[Life expectancy]]), LifeExpectancyData[[#This Row],[Year]]=2013)</f>
        <v>0</v>
      </c>
    </row>
    <row r="817" spans="1:23" hidden="1" x14ac:dyDescent="0.25">
      <c r="A817" t="s">
        <v>326</v>
      </c>
      <c r="B817">
        <v>2002</v>
      </c>
      <c r="C817" t="s">
        <v>273</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cm="1">
        <f t="array" ref="W817">AND(ISNUMBER(LifeExpectancyData[[#This Row],[Adult Mortality]:[Schooling]]),ISNUMBER(LifeExpectancyData[[#This Row],[Life expectancy]]), LifeExpectancyData[[#This Row],[Year]]=2013)</f>
        <v>0</v>
      </c>
    </row>
    <row r="818" spans="1:23" hidden="1" x14ac:dyDescent="0.25">
      <c r="A818" t="s">
        <v>326</v>
      </c>
      <c r="B818">
        <v>2001</v>
      </c>
      <c r="C818" t="s">
        <v>273</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cm="1">
        <f t="array" ref="W818">AND(ISNUMBER(LifeExpectancyData[[#This Row],[Adult Mortality]:[Schooling]]),ISNUMBER(LifeExpectancyData[[#This Row],[Life expectancy]]), LifeExpectancyData[[#This Row],[Year]]=2013)</f>
        <v>0</v>
      </c>
    </row>
    <row r="819" spans="1:23" hidden="1" x14ac:dyDescent="0.25">
      <c r="A819" t="s">
        <v>326</v>
      </c>
      <c r="B819">
        <v>2000</v>
      </c>
      <c r="C819" t="s">
        <v>273</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cm="1">
        <f t="array" ref="W819">AND(ISNUMBER(LifeExpectancyData[[#This Row],[Adult Mortality]:[Schooling]]),ISNUMBER(LifeExpectancyData[[#This Row],[Life expectancy]]), LifeExpectancyData[[#This Row],[Year]]=2013)</f>
        <v>0</v>
      </c>
    </row>
    <row r="820" spans="1:23" hidden="1" x14ac:dyDescent="0.25">
      <c r="A820" t="s">
        <v>327</v>
      </c>
      <c r="B820">
        <v>2015</v>
      </c>
      <c r="C820" t="s">
        <v>273</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cm="1">
        <f t="array" ref="W820">AND(ISNUMBER(LifeExpectancyData[[#This Row],[Adult Mortality]:[Schooling]]),ISNUMBER(LifeExpectancyData[[#This Row],[Life expectancy]]), LifeExpectancyData[[#This Row],[Year]]=2013)</f>
        <v>0</v>
      </c>
    </row>
    <row r="821" spans="1:23" x14ac:dyDescent="0.25">
      <c r="A821" t="s">
        <v>327</v>
      </c>
      <c r="B821">
        <v>2014</v>
      </c>
      <c r="C821" t="s">
        <v>273</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cm="1">
        <f t="array" ref="W821">AND(ISNUMBER(LifeExpectancyData[[#This Row],[Adult Mortality]:[Schooling]]),ISNUMBER(LifeExpectancyData[[#This Row],[Life expectancy]]), LifeExpectancyData[[#This Row],[Year]]=2013)</f>
        <v>0</v>
      </c>
    </row>
    <row r="822" spans="1:23" x14ac:dyDescent="0.25">
      <c r="A822" t="s">
        <v>327</v>
      </c>
      <c r="B822">
        <v>2013</v>
      </c>
      <c r="C822" t="s">
        <v>273</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cm="1">
        <f t="array" ref="W822">AND(ISNUMBER(LifeExpectancyData[[#This Row],[Adult Mortality]:[Schooling]]),ISNUMBER(LifeExpectancyData[[#This Row],[Life expectancy]]), LifeExpectancyData[[#This Row],[Year]]=2013)</f>
        <v>1</v>
      </c>
    </row>
    <row r="823" spans="1:23" x14ac:dyDescent="0.25">
      <c r="A823" t="s">
        <v>327</v>
      </c>
      <c r="B823">
        <v>2012</v>
      </c>
      <c r="C823" t="s">
        <v>273</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cm="1">
        <f t="array" ref="W823">AND(ISNUMBER(LifeExpectancyData[[#This Row],[Adult Mortality]:[Schooling]]),ISNUMBER(LifeExpectancyData[[#This Row],[Life expectancy]]), LifeExpectancyData[[#This Row],[Year]]=2013)</f>
        <v>0</v>
      </c>
    </row>
    <row r="824" spans="1:23" x14ac:dyDescent="0.25">
      <c r="A824" t="s">
        <v>327</v>
      </c>
      <c r="B824">
        <v>2011</v>
      </c>
      <c r="C824" t="s">
        <v>273</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cm="1">
        <f t="array" ref="W824">AND(ISNUMBER(LifeExpectancyData[[#This Row],[Adult Mortality]:[Schooling]]),ISNUMBER(LifeExpectancyData[[#This Row],[Life expectancy]]), LifeExpectancyData[[#This Row],[Year]]=2013)</f>
        <v>0</v>
      </c>
    </row>
    <row r="825" spans="1:23" x14ac:dyDescent="0.25">
      <c r="A825" t="s">
        <v>327</v>
      </c>
      <c r="B825">
        <v>2010</v>
      </c>
      <c r="C825" t="s">
        <v>273</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cm="1">
        <f t="array" ref="W825">AND(ISNUMBER(LifeExpectancyData[[#This Row],[Adult Mortality]:[Schooling]]),ISNUMBER(LifeExpectancyData[[#This Row],[Life expectancy]]), LifeExpectancyData[[#This Row],[Year]]=2013)</f>
        <v>0</v>
      </c>
    </row>
    <row r="826" spans="1:23" x14ac:dyDescent="0.25">
      <c r="A826" t="s">
        <v>327</v>
      </c>
      <c r="B826">
        <v>2009</v>
      </c>
      <c r="C826" t="s">
        <v>273</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cm="1">
        <f t="array" ref="W826">AND(ISNUMBER(LifeExpectancyData[[#This Row],[Adult Mortality]:[Schooling]]),ISNUMBER(LifeExpectancyData[[#This Row],[Life expectancy]]), LifeExpectancyData[[#This Row],[Year]]=2013)</f>
        <v>0</v>
      </c>
    </row>
    <row r="827" spans="1:23" x14ac:dyDescent="0.25">
      <c r="A827" t="s">
        <v>327</v>
      </c>
      <c r="B827">
        <v>2008</v>
      </c>
      <c r="C827" t="s">
        <v>273</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cm="1">
        <f t="array" ref="W827">AND(ISNUMBER(LifeExpectancyData[[#This Row],[Adult Mortality]:[Schooling]]),ISNUMBER(LifeExpectancyData[[#This Row],[Life expectancy]]), LifeExpectancyData[[#This Row],[Year]]=2013)</f>
        <v>0</v>
      </c>
    </row>
    <row r="828" spans="1:23" x14ac:dyDescent="0.25">
      <c r="A828" t="s">
        <v>327</v>
      </c>
      <c r="B828">
        <v>2007</v>
      </c>
      <c r="C828" t="s">
        <v>273</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cm="1">
        <f t="array" ref="W828">AND(ISNUMBER(LifeExpectancyData[[#This Row],[Adult Mortality]:[Schooling]]),ISNUMBER(LifeExpectancyData[[#This Row],[Life expectancy]]), LifeExpectancyData[[#This Row],[Year]]=2013)</f>
        <v>0</v>
      </c>
    </row>
    <row r="829" spans="1:23" x14ac:dyDescent="0.25">
      <c r="A829" t="s">
        <v>327</v>
      </c>
      <c r="B829">
        <v>2006</v>
      </c>
      <c r="C829" t="s">
        <v>273</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cm="1">
        <f t="array" ref="W829">AND(ISNUMBER(LifeExpectancyData[[#This Row],[Adult Mortality]:[Schooling]]),ISNUMBER(LifeExpectancyData[[#This Row],[Life expectancy]]), LifeExpectancyData[[#This Row],[Year]]=2013)</f>
        <v>0</v>
      </c>
    </row>
    <row r="830" spans="1:23" x14ac:dyDescent="0.25">
      <c r="A830" t="s">
        <v>327</v>
      </c>
      <c r="B830">
        <v>2005</v>
      </c>
      <c r="C830" t="s">
        <v>273</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cm="1">
        <f t="array" ref="W830">AND(ISNUMBER(LifeExpectancyData[[#This Row],[Adult Mortality]:[Schooling]]),ISNUMBER(LifeExpectancyData[[#This Row],[Life expectancy]]), LifeExpectancyData[[#This Row],[Year]]=2013)</f>
        <v>0</v>
      </c>
    </row>
    <row r="831" spans="1:23" x14ac:dyDescent="0.25">
      <c r="A831" t="s">
        <v>327</v>
      </c>
      <c r="B831">
        <v>2004</v>
      </c>
      <c r="C831" t="s">
        <v>273</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cm="1">
        <f t="array" ref="W831">AND(ISNUMBER(LifeExpectancyData[[#This Row],[Adult Mortality]:[Schooling]]),ISNUMBER(LifeExpectancyData[[#This Row],[Life expectancy]]), LifeExpectancyData[[#This Row],[Year]]=2013)</f>
        <v>0</v>
      </c>
    </row>
    <row r="832" spans="1:23" x14ac:dyDescent="0.25">
      <c r="A832" t="s">
        <v>327</v>
      </c>
      <c r="B832">
        <v>2003</v>
      </c>
      <c r="C832" t="s">
        <v>273</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cm="1">
        <f t="array" ref="W832">AND(ISNUMBER(LifeExpectancyData[[#This Row],[Adult Mortality]:[Schooling]]),ISNUMBER(LifeExpectancyData[[#This Row],[Life expectancy]]), LifeExpectancyData[[#This Row],[Year]]=2013)</f>
        <v>0</v>
      </c>
    </row>
    <row r="833" spans="1:23" x14ac:dyDescent="0.25">
      <c r="A833" t="s">
        <v>327</v>
      </c>
      <c r="B833">
        <v>2002</v>
      </c>
      <c r="C833" t="s">
        <v>273</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cm="1">
        <f t="array" ref="W833">AND(ISNUMBER(LifeExpectancyData[[#This Row],[Adult Mortality]:[Schooling]]),ISNUMBER(LifeExpectancyData[[#This Row],[Life expectancy]]), LifeExpectancyData[[#This Row],[Year]]=2013)</f>
        <v>0</v>
      </c>
    </row>
    <row r="834" spans="1:23" x14ac:dyDescent="0.25">
      <c r="A834" t="s">
        <v>327</v>
      </c>
      <c r="B834">
        <v>2001</v>
      </c>
      <c r="C834" t="s">
        <v>273</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cm="1">
        <f t="array" ref="W834">AND(ISNUMBER(LifeExpectancyData[[#This Row],[Adult Mortality]:[Schooling]]),ISNUMBER(LifeExpectancyData[[#This Row],[Life expectancy]]), LifeExpectancyData[[#This Row],[Year]]=2013)</f>
        <v>0</v>
      </c>
    </row>
    <row r="835" spans="1:23" x14ac:dyDescent="0.25">
      <c r="A835" t="s">
        <v>327</v>
      </c>
      <c r="B835">
        <v>2000</v>
      </c>
      <c r="C835" t="s">
        <v>273</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cm="1">
        <f t="array" ref="W835">AND(ISNUMBER(LifeExpectancyData[[#This Row],[Adult Mortality]:[Schooling]]),ISNUMBER(LifeExpectancyData[[#This Row],[Life expectancy]]), LifeExpectancyData[[#This Row],[Year]]=2013)</f>
        <v>0</v>
      </c>
    </row>
    <row r="836" spans="1:23" hidden="1" x14ac:dyDescent="0.25">
      <c r="A836" t="s">
        <v>328</v>
      </c>
      <c r="B836">
        <v>2015</v>
      </c>
      <c r="C836" t="s">
        <v>273</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cm="1">
        <f t="array" ref="W836">AND(ISNUMBER(LifeExpectancyData[[#This Row],[Adult Mortality]:[Schooling]]),ISNUMBER(LifeExpectancyData[[#This Row],[Life expectancy]]), LifeExpectancyData[[#This Row],[Year]]=2013)</f>
        <v>0</v>
      </c>
    </row>
    <row r="837" spans="1:23" x14ac:dyDescent="0.25">
      <c r="A837" t="s">
        <v>328</v>
      </c>
      <c r="B837">
        <v>2014</v>
      </c>
      <c r="C837" t="s">
        <v>273</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cm="1">
        <f t="array" ref="W837">AND(ISNUMBER(LifeExpectancyData[[#This Row],[Adult Mortality]:[Schooling]]),ISNUMBER(LifeExpectancyData[[#This Row],[Life expectancy]]), LifeExpectancyData[[#This Row],[Year]]=2013)</f>
        <v>0</v>
      </c>
    </row>
    <row r="838" spans="1:23" hidden="1" x14ac:dyDescent="0.25">
      <c r="A838" t="s">
        <v>328</v>
      </c>
      <c r="B838">
        <v>2013</v>
      </c>
      <c r="C838" t="s">
        <v>273</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cm="1">
        <f t="array" ref="W838">AND(ISNUMBER(LifeExpectancyData[[#This Row],[Adult Mortality]:[Schooling]]),ISNUMBER(LifeExpectancyData[[#This Row],[Life expectancy]]), LifeExpectancyData[[#This Row],[Year]]=2013)</f>
        <v>0</v>
      </c>
    </row>
    <row r="839" spans="1:23" hidden="1" x14ac:dyDescent="0.25">
      <c r="A839" t="s">
        <v>328</v>
      </c>
      <c r="B839">
        <v>2012</v>
      </c>
      <c r="C839" t="s">
        <v>273</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cm="1">
        <f t="array" ref="W839">AND(ISNUMBER(LifeExpectancyData[[#This Row],[Adult Mortality]:[Schooling]]),ISNUMBER(LifeExpectancyData[[#This Row],[Life expectancy]]), LifeExpectancyData[[#This Row],[Year]]=2013)</f>
        <v>0</v>
      </c>
    </row>
    <row r="840" spans="1:23" hidden="1" x14ac:dyDescent="0.25">
      <c r="A840" t="s">
        <v>328</v>
      </c>
      <c r="B840">
        <v>2011</v>
      </c>
      <c r="C840" t="s">
        <v>273</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cm="1">
        <f t="array" ref="W840">AND(ISNUMBER(LifeExpectancyData[[#This Row],[Adult Mortality]:[Schooling]]),ISNUMBER(LifeExpectancyData[[#This Row],[Life expectancy]]), LifeExpectancyData[[#This Row],[Year]]=2013)</f>
        <v>0</v>
      </c>
    </row>
    <row r="841" spans="1:23" hidden="1" x14ac:dyDescent="0.25">
      <c r="A841" t="s">
        <v>328</v>
      </c>
      <c r="B841">
        <v>2010</v>
      </c>
      <c r="C841" t="s">
        <v>273</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cm="1">
        <f t="array" ref="W841">AND(ISNUMBER(LifeExpectancyData[[#This Row],[Adult Mortality]:[Schooling]]),ISNUMBER(LifeExpectancyData[[#This Row],[Life expectancy]]), LifeExpectancyData[[#This Row],[Year]]=2013)</f>
        <v>0</v>
      </c>
    </row>
    <row r="842" spans="1:23" hidden="1" x14ac:dyDescent="0.25">
      <c r="A842" t="s">
        <v>328</v>
      </c>
      <c r="B842">
        <v>2009</v>
      </c>
      <c r="C842" t="s">
        <v>273</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cm="1">
        <f t="array" ref="W842">AND(ISNUMBER(LifeExpectancyData[[#This Row],[Adult Mortality]:[Schooling]]),ISNUMBER(LifeExpectancyData[[#This Row],[Life expectancy]]), LifeExpectancyData[[#This Row],[Year]]=2013)</f>
        <v>0</v>
      </c>
    </row>
    <row r="843" spans="1:23" hidden="1" x14ac:dyDescent="0.25">
      <c r="A843" t="s">
        <v>328</v>
      </c>
      <c r="B843">
        <v>2008</v>
      </c>
      <c r="C843" t="s">
        <v>273</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cm="1">
        <f t="array" ref="W843">AND(ISNUMBER(LifeExpectancyData[[#This Row],[Adult Mortality]:[Schooling]]),ISNUMBER(LifeExpectancyData[[#This Row],[Life expectancy]]), LifeExpectancyData[[#This Row],[Year]]=2013)</f>
        <v>0</v>
      </c>
    </row>
    <row r="844" spans="1:23" hidden="1" x14ac:dyDescent="0.25">
      <c r="A844" t="s">
        <v>328</v>
      </c>
      <c r="B844">
        <v>2007</v>
      </c>
      <c r="C844" t="s">
        <v>273</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cm="1">
        <f t="array" ref="W844">AND(ISNUMBER(LifeExpectancyData[[#This Row],[Adult Mortality]:[Schooling]]),ISNUMBER(LifeExpectancyData[[#This Row],[Life expectancy]]), LifeExpectancyData[[#This Row],[Year]]=2013)</f>
        <v>0</v>
      </c>
    </row>
    <row r="845" spans="1:23" hidden="1" x14ac:dyDescent="0.25">
      <c r="A845" t="s">
        <v>328</v>
      </c>
      <c r="B845">
        <v>2006</v>
      </c>
      <c r="C845" t="s">
        <v>273</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cm="1">
        <f t="array" ref="W845">AND(ISNUMBER(LifeExpectancyData[[#This Row],[Adult Mortality]:[Schooling]]),ISNUMBER(LifeExpectancyData[[#This Row],[Life expectancy]]), LifeExpectancyData[[#This Row],[Year]]=2013)</f>
        <v>0</v>
      </c>
    </row>
    <row r="846" spans="1:23" hidden="1" x14ac:dyDescent="0.25">
      <c r="A846" t="s">
        <v>328</v>
      </c>
      <c r="B846">
        <v>2005</v>
      </c>
      <c r="C846" t="s">
        <v>273</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cm="1">
        <f t="array" ref="W846">AND(ISNUMBER(LifeExpectancyData[[#This Row],[Adult Mortality]:[Schooling]]),ISNUMBER(LifeExpectancyData[[#This Row],[Life expectancy]]), LifeExpectancyData[[#This Row],[Year]]=2013)</f>
        <v>0</v>
      </c>
    </row>
    <row r="847" spans="1:23" hidden="1" x14ac:dyDescent="0.25">
      <c r="A847" t="s">
        <v>328</v>
      </c>
      <c r="B847">
        <v>2004</v>
      </c>
      <c r="C847" t="s">
        <v>273</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cm="1">
        <f t="array" ref="W847">AND(ISNUMBER(LifeExpectancyData[[#This Row],[Adult Mortality]:[Schooling]]),ISNUMBER(LifeExpectancyData[[#This Row],[Life expectancy]]), LifeExpectancyData[[#This Row],[Year]]=2013)</f>
        <v>0</v>
      </c>
    </row>
    <row r="848" spans="1:23" hidden="1" x14ac:dyDescent="0.25">
      <c r="A848" t="s">
        <v>328</v>
      </c>
      <c r="B848">
        <v>2003</v>
      </c>
      <c r="C848" t="s">
        <v>273</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cm="1">
        <f t="array" ref="W848">AND(ISNUMBER(LifeExpectancyData[[#This Row],[Adult Mortality]:[Schooling]]),ISNUMBER(LifeExpectancyData[[#This Row],[Life expectancy]]), LifeExpectancyData[[#This Row],[Year]]=2013)</f>
        <v>0</v>
      </c>
    </row>
    <row r="849" spans="1:23" hidden="1" x14ac:dyDescent="0.25">
      <c r="A849" t="s">
        <v>328</v>
      </c>
      <c r="B849">
        <v>2002</v>
      </c>
      <c r="C849" t="s">
        <v>273</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cm="1">
        <f t="array" ref="W849">AND(ISNUMBER(LifeExpectancyData[[#This Row],[Adult Mortality]:[Schooling]]),ISNUMBER(LifeExpectancyData[[#This Row],[Life expectancy]]), LifeExpectancyData[[#This Row],[Year]]=2013)</f>
        <v>0</v>
      </c>
    </row>
    <row r="850" spans="1:23" hidden="1" x14ac:dyDescent="0.25">
      <c r="A850" t="s">
        <v>328</v>
      </c>
      <c r="B850">
        <v>2001</v>
      </c>
      <c r="C850" t="s">
        <v>273</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cm="1">
        <f t="array" ref="W850">AND(ISNUMBER(LifeExpectancyData[[#This Row],[Adult Mortality]:[Schooling]]),ISNUMBER(LifeExpectancyData[[#This Row],[Life expectancy]]), LifeExpectancyData[[#This Row],[Year]]=2013)</f>
        <v>0</v>
      </c>
    </row>
    <row r="851" spans="1:23" hidden="1" x14ac:dyDescent="0.25">
      <c r="A851" t="s">
        <v>328</v>
      </c>
      <c r="B851">
        <v>2000</v>
      </c>
      <c r="C851" t="s">
        <v>273</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cm="1">
        <f t="array" ref="W851">AND(ISNUMBER(LifeExpectancyData[[#This Row],[Adult Mortality]:[Schooling]]),ISNUMBER(LifeExpectancyData[[#This Row],[Life expectancy]]), LifeExpectancyData[[#This Row],[Year]]=2013)</f>
        <v>0</v>
      </c>
    </row>
    <row r="852" spans="1:23" hidden="1" x14ac:dyDescent="0.25">
      <c r="A852" t="s">
        <v>329</v>
      </c>
      <c r="B852">
        <v>2015</v>
      </c>
      <c r="C852" t="s">
        <v>273</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cm="1">
        <f t="array" ref="W852">AND(ISNUMBER(LifeExpectancyData[[#This Row],[Adult Mortality]:[Schooling]]),ISNUMBER(LifeExpectancyData[[#This Row],[Life expectancy]]), LifeExpectancyData[[#This Row],[Year]]=2013)</f>
        <v>0</v>
      </c>
    </row>
    <row r="853" spans="1:23" hidden="1" x14ac:dyDescent="0.25">
      <c r="A853" t="s">
        <v>329</v>
      </c>
      <c r="B853">
        <v>2014</v>
      </c>
      <c r="C853" t="s">
        <v>273</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cm="1">
        <f t="array" ref="W853">AND(ISNUMBER(LifeExpectancyData[[#This Row],[Adult Mortality]:[Schooling]]),ISNUMBER(LifeExpectancyData[[#This Row],[Life expectancy]]), LifeExpectancyData[[#This Row],[Year]]=2013)</f>
        <v>0</v>
      </c>
    </row>
    <row r="854" spans="1:23" hidden="1" x14ac:dyDescent="0.25">
      <c r="A854" t="s">
        <v>329</v>
      </c>
      <c r="B854">
        <v>2013</v>
      </c>
      <c r="C854" t="s">
        <v>273</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cm="1">
        <f t="array" ref="W854">AND(ISNUMBER(LifeExpectancyData[[#This Row],[Adult Mortality]:[Schooling]]),ISNUMBER(LifeExpectancyData[[#This Row],[Life expectancy]]), LifeExpectancyData[[#This Row],[Year]]=2013)</f>
        <v>0</v>
      </c>
    </row>
    <row r="855" spans="1:23" hidden="1" x14ac:dyDescent="0.25">
      <c r="A855" t="s">
        <v>329</v>
      </c>
      <c r="B855">
        <v>2012</v>
      </c>
      <c r="C855" t="s">
        <v>273</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cm="1">
        <f t="array" ref="W855">AND(ISNUMBER(LifeExpectancyData[[#This Row],[Adult Mortality]:[Schooling]]),ISNUMBER(LifeExpectancyData[[#This Row],[Life expectancy]]), LifeExpectancyData[[#This Row],[Year]]=2013)</f>
        <v>0</v>
      </c>
    </row>
    <row r="856" spans="1:23" x14ac:dyDescent="0.25">
      <c r="A856" t="s">
        <v>329</v>
      </c>
      <c r="B856">
        <v>2011</v>
      </c>
      <c r="C856" t="s">
        <v>273</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cm="1">
        <f t="array" ref="W856">AND(ISNUMBER(LifeExpectancyData[[#This Row],[Adult Mortality]:[Schooling]]),ISNUMBER(LifeExpectancyData[[#This Row],[Life expectancy]]), LifeExpectancyData[[#This Row],[Year]]=2013)</f>
        <v>0</v>
      </c>
    </row>
    <row r="857" spans="1:23" x14ac:dyDescent="0.25">
      <c r="A857" t="s">
        <v>329</v>
      </c>
      <c r="B857">
        <v>2010</v>
      </c>
      <c r="C857" t="s">
        <v>273</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cm="1">
        <f t="array" ref="W857">AND(ISNUMBER(LifeExpectancyData[[#This Row],[Adult Mortality]:[Schooling]]),ISNUMBER(LifeExpectancyData[[#This Row],[Life expectancy]]), LifeExpectancyData[[#This Row],[Year]]=2013)</f>
        <v>0</v>
      </c>
    </row>
    <row r="858" spans="1:23" x14ac:dyDescent="0.25">
      <c r="A858" t="s">
        <v>329</v>
      </c>
      <c r="B858">
        <v>2009</v>
      </c>
      <c r="C858" t="s">
        <v>273</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cm="1">
        <f t="array" ref="W858">AND(ISNUMBER(LifeExpectancyData[[#This Row],[Adult Mortality]:[Schooling]]),ISNUMBER(LifeExpectancyData[[#This Row],[Life expectancy]]), LifeExpectancyData[[#This Row],[Year]]=2013)</f>
        <v>0</v>
      </c>
    </row>
    <row r="859" spans="1:23" x14ac:dyDescent="0.25">
      <c r="A859" t="s">
        <v>329</v>
      </c>
      <c r="B859">
        <v>2008</v>
      </c>
      <c r="C859" t="s">
        <v>273</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cm="1">
        <f t="array" ref="W859">AND(ISNUMBER(LifeExpectancyData[[#This Row],[Adult Mortality]:[Schooling]]),ISNUMBER(LifeExpectancyData[[#This Row],[Life expectancy]]), LifeExpectancyData[[#This Row],[Year]]=2013)</f>
        <v>0</v>
      </c>
    </row>
    <row r="860" spans="1:23" x14ac:dyDescent="0.25">
      <c r="A860" t="s">
        <v>329</v>
      </c>
      <c r="B860">
        <v>2007</v>
      </c>
      <c r="C860" t="s">
        <v>273</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cm="1">
        <f t="array" ref="W860">AND(ISNUMBER(LifeExpectancyData[[#This Row],[Adult Mortality]:[Schooling]]),ISNUMBER(LifeExpectancyData[[#This Row],[Life expectancy]]), LifeExpectancyData[[#This Row],[Year]]=2013)</f>
        <v>0</v>
      </c>
    </row>
    <row r="861" spans="1:23" x14ac:dyDescent="0.25">
      <c r="A861" t="s">
        <v>329</v>
      </c>
      <c r="B861">
        <v>2006</v>
      </c>
      <c r="C861" t="s">
        <v>273</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cm="1">
        <f t="array" ref="W861">AND(ISNUMBER(LifeExpectancyData[[#This Row],[Adult Mortality]:[Schooling]]),ISNUMBER(LifeExpectancyData[[#This Row],[Life expectancy]]), LifeExpectancyData[[#This Row],[Year]]=2013)</f>
        <v>0</v>
      </c>
    </row>
    <row r="862" spans="1:23" x14ac:dyDescent="0.25">
      <c r="A862" t="s">
        <v>329</v>
      </c>
      <c r="B862">
        <v>2005</v>
      </c>
      <c r="C862" t="s">
        <v>273</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cm="1">
        <f t="array" ref="W862">AND(ISNUMBER(LifeExpectancyData[[#This Row],[Adult Mortality]:[Schooling]]),ISNUMBER(LifeExpectancyData[[#This Row],[Life expectancy]]), LifeExpectancyData[[#This Row],[Year]]=2013)</f>
        <v>0</v>
      </c>
    </row>
    <row r="863" spans="1:23" x14ac:dyDescent="0.25">
      <c r="A863" t="s">
        <v>329</v>
      </c>
      <c r="B863">
        <v>2004</v>
      </c>
      <c r="C863" t="s">
        <v>273</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cm="1">
        <f t="array" ref="W863">AND(ISNUMBER(LifeExpectancyData[[#This Row],[Adult Mortality]:[Schooling]]),ISNUMBER(LifeExpectancyData[[#This Row],[Life expectancy]]), LifeExpectancyData[[#This Row],[Year]]=2013)</f>
        <v>0</v>
      </c>
    </row>
    <row r="864" spans="1:23" x14ac:dyDescent="0.25">
      <c r="A864" t="s">
        <v>329</v>
      </c>
      <c r="B864">
        <v>2003</v>
      </c>
      <c r="C864" t="s">
        <v>273</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cm="1">
        <f t="array" ref="W864">AND(ISNUMBER(LifeExpectancyData[[#This Row],[Adult Mortality]:[Schooling]]),ISNUMBER(LifeExpectancyData[[#This Row],[Life expectancy]]), LifeExpectancyData[[#This Row],[Year]]=2013)</f>
        <v>0</v>
      </c>
    </row>
    <row r="865" spans="1:23" x14ac:dyDescent="0.25">
      <c r="A865" t="s">
        <v>329</v>
      </c>
      <c r="B865">
        <v>2002</v>
      </c>
      <c r="C865" t="s">
        <v>273</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cm="1">
        <f t="array" ref="W865">AND(ISNUMBER(LifeExpectancyData[[#This Row],[Adult Mortality]:[Schooling]]),ISNUMBER(LifeExpectancyData[[#This Row],[Life expectancy]]), LifeExpectancyData[[#This Row],[Year]]=2013)</f>
        <v>0</v>
      </c>
    </row>
    <row r="866" spans="1:23" hidden="1" x14ac:dyDescent="0.25">
      <c r="A866" t="s">
        <v>329</v>
      </c>
      <c r="B866">
        <v>2001</v>
      </c>
      <c r="C866" t="s">
        <v>273</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cm="1">
        <f t="array" ref="W866">AND(ISNUMBER(LifeExpectancyData[[#This Row],[Adult Mortality]:[Schooling]]),ISNUMBER(LifeExpectancyData[[#This Row],[Life expectancy]]), LifeExpectancyData[[#This Row],[Year]]=2013)</f>
        <v>0</v>
      </c>
    </row>
    <row r="867" spans="1:23" hidden="1" x14ac:dyDescent="0.25">
      <c r="A867" t="s">
        <v>329</v>
      </c>
      <c r="B867">
        <v>2000</v>
      </c>
      <c r="C867" t="s">
        <v>273</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cm="1">
        <f t="array" ref="W867">AND(ISNUMBER(LifeExpectancyData[[#This Row],[Adult Mortality]:[Schooling]]),ISNUMBER(LifeExpectancyData[[#This Row],[Life expectancy]]), LifeExpectancyData[[#This Row],[Year]]=2013)</f>
        <v>0</v>
      </c>
    </row>
    <row r="868" spans="1:23" hidden="1" x14ac:dyDescent="0.25">
      <c r="A868" t="s">
        <v>330</v>
      </c>
      <c r="B868">
        <v>2015</v>
      </c>
      <c r="C868" t="s">
        <v>273</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cm="1">
        <f t="array" ref="W868">AND(ISNUMBER(LifeExpectancyData[[#This Row],[Adult Mortality]:[Schooling]]),ISNUMBER(LifeExpectancyData[[#This Row],[Life expectancy]]), LifeExpectancyData[[#This Row],[Year]]=2013)</f>
        <v>0</v>
      </c>
    </row>
    <row r="869" spans="1:23" x14ac:dyDescent="0.25">
      <c r="A869" t="s">
        <v>330</v>
      </c>
      <c r="B869">
        <v>2014</v>
      </c>
      <c r="C869" t="s">
        <v>273</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cm="1">
        <f t="array" ref="W869">AND(ISNUMBER(LifeExpectancyData[[#This Row],[Adult Mortality]:[Schooling]]),ISNUMBER(LifeExpectancyData[[#This Row],[Life expectancy]]), LifeExpectancyData[[#This Row],[Year]]=2013)</f>
        <v>0</v>
      </c>
    </row>
    <row r="870" spans="1:23" x14ac:dyDescent="0.25">
      <c r="A870" t="s">
        <v>330</v>
      </c>
      <c r="B870">
        <v>2013</v>
      </c>
      <c r="C870" t="s">
        <v>273</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cm="1">
        <f t="array" ref="W870">AND(ISNUMBER(LifeExpectancyData[[#This Row],[Adult Mortality]:[Schooling]]),ISNUMBER(LifeExpectancyData[[#This Row],[Life expectancy]]), LifeExpectancyData[[#This Row],[Year]]=2013)</f>
        <v>1</v>
      </c>
    </row>
    <row r="871" spans="1:23" x14ac:dyDescent="0.25">
      <c r="A871" t="s">
        <v>330</v>
      </c>
      <c r="B871">
        <v>2012</v>
      </c>
      <c r="C871" t="s">
        <v>273</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cm="1">
        <f t="array" ref="W871">AND(ISNUMBER(LifeExpectancyData[[#This Row],[Adult Mortality]:[Schooling]]),ISNUMBER(LifeExpectancyData[[#This Row],[Life expectancy]]), LifeExpectancyData[[#This Row],[Year]]=2013)</f>
        <v>0</v>
      </c>
    </row>
    <row r="872" spans="1:23" x14ac:dyDescent="0.25">
      <c r="A872" t="s">
        <v>330</v>
      </c>
      <c r="B872">
        <v>2011</v>
      </c>
      <c r="C872" t="s">
        <v>273</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cm="1">
        <f t="array" ref="W872">AND(ISNUMBER(LifeExpectancyData[[#This Row],[Adult Mortality]:[Schooling]]),ISNUMBER(LifeExpectancyData[[#This Row],[Life expectancy]]), LifeExpectancyData[[#This Row],[Year]]=2013)</f>
        <v>0</v>
      </c>
    </row>
    <row r="873" spans="1:23" x14ac:dyDescent="0.25">
      <c r="A873" t="s">
        <v>330</v>
      </c>
      <c r="B873">
        <v>2010</v>
      </c>
      <c r="C873" t="s">
        <v>273</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cm="1">
        <f t="array" ref="W873">AND(ISNUMBER(LifeExpectancyData[[#This Row],[Adult Mortality]:[Schooling]]),ISNUMBER(LifeExpectancyData[[#This Row],[Life expectancy]]), LifeExpectancyData[[#This Row],[Year]]=2013)</f>
        <v>0</v>
      </c>
    </row>
    <row r="874" spans="1:23" x14ac:dyDescent="0.25">
      <c r="A874" t="s">
        <v>330</v>
      </c>
      <c r="B874">
        <v>2009</v>
      </c>
      <c r="C874" t="s">
        <v>273</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cm="1">
        <f t="array" ref="W874">AND(ISNUMBER(LifeExpectancyData[[#This Row],[Adult Mortality]:[Schooling]]),ISNUMBER(LifeExpectancyData[[#This Row],[Life expectancy]]), LifeExpectancyData[[#This Row],[Year]]=2013)</f>
        <v>0</v>
      </c>
    </row>
    <row r="875" spans="1:23" x14ac:dyDescent="0.25">
      <c r="A875" t="s">
        <v>330</v>
      </c>
      <c r="B875">
        <v>2008</v>
      </c>
      <c r="C875" t="s">
        <v>273</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cm="1">
        <f t="array" ref="W875">AND(ISNUMBER(LifeExpectancyData[[#This Row],[Adult Mortality]:[Schooling]]),ISNUMBER(LifeExpectancyData[[#This Row],[Life expectancy]]), LifeExpectancyData[[#This Row],[Year]]=2013)</f>
        <v>0</v>
      </c>
    </row>
    <row r="876" spans="1:23" x14ac:dyDescent="0.25">
      <c r="A876" t="s">
        <v>330</v>
      </c>
      <c r="B876">
        <v>2007</v>
      </c>
      <c r="C876" t="s">
        <v>273</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cm="1">
        <f t="array" ref="W876">AND(ISNUMBER(LifeExpectancyData[[#This Row],[Adult Mortality]:[Schooling]]),ISNUMBER(LifeExpectancyData[[#This Row],[Life expectancy]]), LifeExpectancyData[[#This Row],[Year]]=2013)</f>
        <v>0</v>
      </c>
    </row>
    <row r="877" spans="1:23" x14ac:dyDescent="0.25">
      <c r="A877" t="s">
        <v>330</v>
      </c>
      <c r="B877">
        <v>2006</v>
      </c>
      <c r="C877" t="s">
        <v>273</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cm="1">
        <f t="array" ref="W877">AND(ISNUMBER(LifeExpectancyData[[#This Row],[Adult Mortality]:[Schooling]]),ISNUMBER(LifeExpectancyData[[#This Row],[Life expectancy]]), LifeExpectancyData[[#This Row],[Year]]=2013)</f>
        <v>0</v>
      </c>
    </row>
    <row r="878" spans="1:23" x14ac:dyDescent="0.25">
      <c r="A878" t="s">
        <v>330</v>
      </c>
      <c r="B878">
        <v>2005</v>
      </c>
      <c r="C878" t="s">
        <v>273</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cm="1">
        <f t="array" ref="W878">AND(ISNUMBER(LifeExpectancyData[[#This Row],[Adult Mortality]:[Schooling]]),ISNUMBER(LifeExpectancyData[[#This Row],[Life expectancy]]), LifeExpectancyData[[#This Row],[Year]]=2013)</f>
        <v>0</v>
      </c>
    </row>
    <row r="879" spans="1:23" x14ac:dyDescent="0.25">
      <c r="A879" t="s">
        <v>330</v>
      </c>
      <c r="B879">
        <v>2004</v>
      </c>
      <c r="C879" t="s">
        <v>273</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cm="1">
        <f t="array" ref="W879">AND(ISNUMBER(LifeExpectancyData[[#This Row],[Adult Mortality]:[Schooling]]),ISNUMBER(LifeExpectancyData[[#This Row],[Life expectancy]]), LifeExpectancyData[[#This Row],[Year]]=2013)</f>
        <v>0</v>
      </c>
    </row>
    <row r="880" spans="1:23" hidden="1" x14ac:dyDescent="0.25">
      <c r="A880" t="s">
        <v>330</v>
      </c>
      <c r="B880">
        <v>2003</v>
      </c>
      <c r="C880" t="s">
        <v>273</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cm="1">
        <f t="array" ref="W880">AND(ISNUMBER(LifeExpectancyData[[#This Row],[Adult Mortality]:[Schooling]]),ISNUMBER(LifeExpectancyData[[#This Row],[Life expectancy]]), LifeExpectancyData[[#This Row],[Year]]=2013)</f>
        <v>0</v>
      </c>
    </row>
    <row r="881" spans="1:23" hidden="1" x14ac:dyDescent="0.25">
      <c r="A881" t="s">
        <v>330</v>
      </c>
      <c r="B881">
        <v>2002</v>
      </c>
      <c r="C881" t="s">
        <v>273</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cm="1">
        <f t="array" ref="W881">AND(ISNUMBER(LifeExpectancyData[[#This Row],[Adult Mortality]:[Schooling]]),ISNUMBER(LifeExpectancyData[[#This Row],[Life expectancy]]), LifeExpectancyData[[#This Row],[Year]]=2013)</f>
        <v>0</v>
      </c>
    </row>
    <row r="882" spans="1:23" hidden="1" x14ac:dyDescent="0.25">
      <c r="A882" t="s">
        <v>330</v>
      </c>
      <c r="B882">
        <v>2001</v>
      </c>
      <c r="C882" t="s">
        <v>273</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cm="1">
        <f t="array" ref="W882">AND(ISNUMBER(LifeExpectancyData[[#This Row],[Adult Mortality]:[Schooling]]),ISNUMBER(LifeExpectancyData[[#This Row],[Life expectancy]]), LifeExpectancyData[[#This Row],[Year]]=2013)</f>
        <v>0</v>
      </c>
    </row>
    <row r="883" spans="1:23" hidden="1" x14ac:dyDescent="0.25">
      <c r="A883" t="s">
        <v>330</v>
      </c>
      <c r="B883">
        <v>2000</v>
      </c>
      <c r="C883" t="s">
        <v>273</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cm="1">
        <f t="array" ref="W883">AND(ISNUMBER(LifeExpectancyData[[#This Row],[Adult Mortality]:[Schooling]]),ISNUMBER(LifeExpectancyData[[#This Row],[Life expectancy]]), LifeExpectancyData[[#This Row],[Year]]=2013)</f>
        <v>0</v>
      </c>
    </row>
    <row r="884" spans="1:23" hidden="1" x14ac:dyDescent="0.25">
      <c r="A884" t="s">
        <v>331</v>
      </c>
      <c r="B884">
        <v>2015</v>
      </c>
      <c r="C884" t="s">
        <v>273</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cm="1">
        <f t="array" ref="W884">AND(ISNUMBER(LifeExpectancyData[[#This Row],[Adult Mortality]:[Schooling]]),ISNUMBER(LifeExpectancyData[[#This Row],[Life expectancy]]), LifeExpectancyData[[#This Row],[Year]]=2013)</f>
        <v>0</v>
      </c>
    </row>
    <row r="885" spans="1:23" x14ac:dyDescent="0.25">
      <c r="A885" t="s">
        <v>331</v>
      </c>
      <c r="B885">
        <v>2014</v>
      </c>
      <c r="C885" t="s">
        <v>273</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cm="1">
        <f t="array" ref="W885">AND(ISNUMBER(LifeExpectancyData[[#This Row],[Adult Mortality]:[Schooling]]),ISNUMBER(LifeExpectancyData[[#This Row],[Life expectancy]]), LifeExpectancyData[[#This Row],[Year]]=2013)</f>
        <v>0</v>
      </c>
    </row>
    <row r="886" spans="1:23" x14ac:dyDescent="0.25">
      <c r="A886" t="s">
        <v>331</v>
      </c>
      <c r="B886">
        <v>2013</v>
      </c>
      <c r="C886" t="s">
        <v>273</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cm="1">
        <f t="array" ref="W886">AND(ISNUMBER(LifeExpectancyData[[#This Row],[Adult Mortality]:[Schooling]]),ISNUMBER(LifeExpectancyData[[#This Row],[Life expectancy]]), LifeExpectancyData[[#This Row],[Year]]=2013)</f>
        <v>1</v>
      </c>
    </row>
    <row r="887" spans="1:23" x14ac:dyDescent="0.25">
      <c r="A887" t="s">
        <v>331</v>
      </c>
      <c r="B887">
        <v>2012</v>
      </c>
      <c r="C887" t="s">
        <v>273</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cm="1">
        <f t="array" ref="W887">AND(ISNUMBER(LifeExpectancyData[[#This Row],[Adult Mortality]:[Schooling]]),ISNUMBER(LifeExpectancyData[[#This Row],[Life expectancy]]), LifeExpectancyData[[#This Row],[Year]]=2013)</f>
        <v>0</v>
      </c>
    </row>
    <row r="888" spans="1:23" x14ac:dyDescent="0.25">
      <c r="A888" t="s">
        <v>331</v>
      </c>
      <c r="B888">
        <v>2011</v>
      </c>
      <c r="C888" t="s">
        <v>273</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cm="1">
        <f t="array" ref="W888">AND(ISNUMBER(LifeExpectancyData[[#This Row],[Adult Mortality]:[Schooling]]),ISNUMBER(LifeExpectancyData[[#This Row],[Life expectancy]]), LifeExpectancyData[[#This Row],[Year]]=2013)</f>
        <v>0</v>
      </c>
    </row>
    <row r="889" spans="1:23" x14ac:dyDescent="0.25">
      <c r="A889" t="s">
        <v>331</v>
      </c>
      <c r="B889">
        <v>2010</v>
      </c>
      <c r="C889" t="s">
        <v>273</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cm="1">
        <f t="array" ref="W889">AND(ISNUMBER(LifeExpectancyData[[#This Row],[Adult Mortality]:[Schooling]]),ISNUMBER(LifeExpectancyData[[#This Row],[Life expectancy]]), LifeExpectancyData[[#This Row],[Year]]=2013)</f>
        <v>0</v>
      </c>
    </row>
    <row r="890" spans="1:23" x14ac:dyDescent="0.25">
      <c r="A890" t="s">
        <v>331</v>
      </c>
      <c r="B890">
        <v>2009</v>
      </c>
      <c r="C890" t="s">
        <v>273</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cm="1">
        <f t="array" ref="W890">AND(ISNUMBER(LifeExpectancyData[[#This Row],[Adult Mortality]:[Schooling]]),ISNUMBER(LifeExpectancyData[[#This Row],[Life expectancy]]), LifeExpectancyData[[#This Row],[Year]]=2013)</f>
        <v>0</v>
      </c>
    </row>
    <row r="891" spans="1:23" x14ac:dyDescent="0.25">
      <c r="A891" t="s">
        <v>331</v>
      </c>
      <c r="B891">
        <v>2008</v>
      </c>
      <c r="C891" t="s">
        <v>273</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cm="1">
        <f t="array" ref="W891">AND(ISNUMBER(LifeExpectancyData[[#This Row],[Adult Mortality]:[Schooling]]),ISNUMBER(LifeExpectancyData[[#This Row],[Life expectancy]]), LifeExpectancyData[[#This Row],[Year]]=2013)</f>
        <v>0</v>
      </c>
    </row>
    <row r="892" spans="1:23" x14ac:dyDescent="0.25">
      <c r="A892" t="s">
        <v>331</v>
      </c>
      <c r="B892">
        <v>2007</v>
      </c>
      <c r="C892" t="s">
        <v>273</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cm="1">
        <f t="array" ref="W892">AND(ISNUMBER(LifeExpectancyData[[#This Row],[Adult Mortality]:[Schooling]]),ISNUMBER(LifeExpectancyData[[#This Row],[Life expectancy]]), LifeExpectancyData[[#This Row],[Year]]=2013)</f>
        <v>0</v>
      </c>
    </row>
    <row r="893" spans="1:23" hidden="1" x14ac:dyDescent="0.25">
      <c r="A893" t="s">
        <v>331</v>
      </c>
      <c r="B893">
        <v>2006</v>
      </c>
      <c r="C893" t="s">
        <v>273</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cm="1">
        <f t="array" ref="W893">AND(ISNUMBER(LifeExpectancyData[[#This Row],[Adult Mortality]:[Schooling]]),ISNUMBER(LifeExpectancyData[[#This Row],[Life expectancy]]), LifeExpectancyData[[#This Row],[Year]]=2013)</f>
        <v>0</v>
      </c>
    </row>
    <row r="894" spans="1:23" hidden="1" x14ac:dyDescent="0.25">
      <c r="A894" t="s">
        <v>331</v>
      </c>
      <c r="B894">
        <v>2005</v>
      </c>
      <c r="C894" t="s">
        <v>273</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cm="1">
        <f t="array" ref="W894">AND(ISNUMBER(LifeExpectancyData[[#This Row],[Adult Mortality]:[Schooling]]),ISNUMBER(LifeExpectancyData[[#This Row],[Life expectancy]]), LifeExpectancyData[[#This Row],[Year]]=2013)</f>
        <v>0</v>
      </c>
    </row>
    <row r="895" spans="1:23" hidden="1" x14ac:dyDescent="0.25">
      <c r="A895" t="s">
        <v>331</v>
      </c>
      <c r="B895">
        <v>2004</v>
      </c>
      <c r="C895" t="s">
        <v>273</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cm="1">
        <f t="array" ref="W895">AND(ISNUMBER(LifeExpectancyData[[#This Row],[Adult Mortality]:[Schooling]]),ISNUMBER(LifeExpectancyData[[#This Row],[Life expectancy]]), LifeExpectancyData[[#This Row],[Year]]=2013)</f>
        <v>0</v>
      </c>
    </row>
    <row r="896" spans="1:23" hidden="1" x14ac:dyDescent="0.25">
      <c r="A896" t="s">
        <v>331</v>
      </c>
      <c r="B896">
        <v>2003</v>
      </c>
      <c r="C896" t="s">
        <v>273</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cm="1">
        <f t="array" ref="W896">AND(ISNUMBER(LifeExpectancyData[[#This Row],[Adult Mortality]:[Schooling]]),ISNUMBER(LifeExpectancyData[[#This Row],[Life expectancy]]), LifeExpectancyData[[#This Row],[Year]]=2013)</f>
        <v>0</v>
      </c>
    </row>
    <row r="897" spans="1:23" hidden="1" x14ac:dyDescent="0.25">
      <c r="A897" t="s">
        <v>331</v>
      </c>
      <c r="B897">
        <v>2002</v>
      </c>
      <c r="C897" t="s">
        <v>273</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cm="1">
        <f t="array" ref="W897">AND(ISNUMBER(LifeExpectancyData[[#This Row],[Adult Mortality]:[Schooling]]),ISNUMBER(LifeExpectancyData[[#This Row],[Life expectancy]]), LifeExpectancyData[[#This Row],[Year]]=2013)</f>
        <v>0</v>
      </c>
    </row>
    <row r="898" spans="1:23" hidden="1" x14ac:dyDescent="0.25">
      <c r="A898" t="s">
        <v>331</v>
      </c>
      <c r="B898">
        <v>2001</v>
      </c>
      <c r="C898" t="s">
        <v>273</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cm="1">
        <f t="array" ref="W898">AND(ISNUMBER(LifeExpectancyData[[#This Row],[Adult Mortality]:[Schooling]]),ISNUMBER(LifeExpectancyData[[#This Row],[Life expectancy]]), LifeExpectancyData[[#This Row],[Year]]=2013)</f>
        <v>0</v>
      </c>
    </row>
    <row r="899" spans="1:23" hidden="1" x14ac:dyDescent="0.25">
      <c r="A899" t="s">
        <v>331</v>
      </c>
      <c r="B899">
        <v>2000</v>
      </c>
      <c r="C899" t="s">
        <v>273</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cm="1">
        <f t="array" ref="W899">AND(ISNUMBER(LifeExpectancyData[[#This Row],[Adult Mortality]:[Schooling]]),ISNUMBER(LifeExpectancyData[[#This Row],[Life expectancy]]), LifeExpectancyData[[#This Row],[Year]]=2013)</f>
        <v>0</v>
      </c>
    </row>
    <row r="900" spans="1:23" hidden="1" x14ac:dyDescent="0.25">
      <c r="A900" t="s">
        <v>332</v>
      </c>
      <c r="B900">
        <v>2015</v>
      </c>
      <c r="C900" t="s">
        <v>273</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cm="1">
        <f t="array" ref="W900">AND(ISNUMBER(LifeExpectancyData[[#This Row],[Adult Mortality]:[Schooling]]),ISNUMBER(LifeExpectancyData[[#This Row],[Life expectancy]]), LifeExpectancyData[[#This Row],[Year]]=2013)</f>
        <v>0</v>
      </c>
    </row>
    <row r="901" spans="1:23" x14ac:dyDescent="0.25">
      <c r="A901" t="s">
        <v>332</v>
      </c>
      <c r="B901">
        <v>2014</v>
      </c>
      <c r="C901" t="s">
        <v>273</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cm="1">
        <f t="array" ref="W901">AND(ISNUMBER(LifeExpectancyData[[#This Row],[Adult Mortality]:[Schooling]]),ISNUMBER(LifeExpectancyData[[#This Row],[Life expectancy]]), LifeExpectancyData[[#This Row],[Year]]=2013)</f>
        <v>0</v>
      </c>
    </row>
    <row r="902" spans="1:23" x14ac:dyDescent="0.25">
      <c r="A902" t="s">
        <v>332</v>
      </c>
      <c r="B902">
        <v>2013</v>
      </c>
      <c r="C902" t="s">
        <v>273</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cm="1">
        <f t="array" ref="W902">AND(ISNUMBER(LifeExpectancyData[[#This Row],[Adult Mortality]:[Schooling]]),ISNUMBER(LifeExpectancyData[[#This Row],[Life expectancy]]), LifeExpectancyData[[#This Row],[Year]]=2013)</f>
        <v>1</v>
      </c>
    </row>
    <row r="903" spans="1:23" x14ac:dyDescent="0.25">
      <c r="A903" t="s">
        <v>332</v>
      </c>
      <c r="B903">
        <v>2012</v>
      </c>
      <c r="C903" t="s">
        <v>273</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cm="1">
        <f t="array" ref="W903">AND(ISNUMBER(LifeExpectancyData[[#This Row],[Adult Mortality]:[Schooling]]),ISNUMBER(LifeExpectancyData[[#This Row],[Life expectancy]]), LifeExpectancyData[[#This Row],[Year]]=2013)</f>
        <v>0</v>
      </c>
    </row>
    <row r="904" spans="1:23" x14ac:dyDescent="0.25">
      <c r="A904" t="s">
        <v>332</v>
      </c>
      <c r="B904">
        <v>2011</v>
      </c>
      <c r="C904" t="s">
        <v>273</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cm="1">
        <f t="array" ref="W904">AND(ISNUMBER(LifeExpectancyData[[#This Row],[Adult Mortality]:[Schooling]]),ISNUMBER(LifeExpectancyData[[#This Row],[Life expectancy]]), LifeExpectancyData[[#This Row],[Year]]=2013)</f>
        <v>0</v>
      </c>
    </row>
    <row r="905" spans="1:23" x14ac:dyDescent="0.25">
      <c r="A905" t="s">
        <v>332</v>
      </c>
      <c r="B905">
        <v>2010</v>
      </c>
      <c r="C905" t="s">
        <v>273</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cm="1">
        <f t="array" ref="W905">AND(ISNUMBER(LifeExpectancyData[[#This Row],[Adult Mortality]:[Schooling]]),ISNUMBER(LifeExpectancyData[[#This Row],[Life expectancy]]), LifeExpectancyData[[#This Row],[Year]]=2013)</f>
        <v>0</v>
      </c>
    </row>
    <row r="906" spans="1:23" x14ac:dyDescent="0.25">
      <c r="A906" t="s">
        <v>332</v>
      </c>
      <c r="B906">
        <v>2009</v>
      </c>
      <c r="C906" t="s">
        <v>273</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cm="1">
        <f t="array" ref="W906">AND(ISNUMBER(LifeExpectancyData[[#This Row],[Adult Mortality]:[Schooling]]),ISNUMBER(LifeExpectancyData[[#This Row],[Life expectancy]]), LifeExpectancyData[[#This Row],[Year]]=2013)</f>
        <v>0</v>
      </c>
    </row>
    <row r="907" spans="1:23" x14ac:dyDescent="0.25">
      <c r="A907" t="s">
        <v>332</v>
      </c>
      <c r="B907">
        <v>2008</v>
      </c>
      <c r="C907" t="s">
        <v>273</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cm="1">
        <f t="array" ref="W907">AND(ISNUMBER(LifeExpectancyData[[#This Row],[Adult Mortality]:[Schooling]]),ISNUMBER(LifeExpectancyData[[#This Row],[Life expectancy]]), LifeExpectancyData[[#This Row],[Year]]=2013)</f>
        <v>0</v>
      </c>
    </row>
    <row r="908" spans="1:23" x14ac:dyDescent="0.25">
      <c r="A908" t="s">
        <v>332</v>
      </c>
      <c r="B908">
        <v>2007</v>
      </c>
      <c r="C908" t="s">
        <v>273</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cm="1">
        <f t="array" ref="W908">AND(ISNUMBER(LifeExpectancyData[[#This Row],[Adult Mortality]:[Schooling]]),ISNUMBER(LifeExpectancyData[[#This Row],[Life expectancy]]), LifeExpectancyData[[#This Row],[Year]]=2013)</f>
        <v>0</v>
      </c>
    </row>
    <row r="909" spans="1:23" x14ac:dyDescent="0.25">
      <c r="A909" t="s">
        <v>332</v>
      </c>
      <c r="B909">
        <v>2006</v>
      </c>
      <c r="C909" t="s">
        <v>273</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cm="1">
        <f t="array" ref="W909">AND(ISNUMBER(LifeExpectancyData[[#This Row],[Adult Mortality]:[Schooling]]),ISNUMBER(LifeExpectancyData[[#This Row],[Life expectancy]]), LifeExpectancyData[[#This Row],[Year]]=2013)</f>
        <v>0</v>
      </c>
    </row>
    <row r="910" spans="1:23" x14ac:dyDescent="0.25">
      <c r="A910" t="s">
        <v>332</v>
      </c>
      <c r="B910">
        <v>2005</v>
      </c>
      <c r="C910" t="s">
        <v>273</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cm="1">
        <f t="array" ref="W910">AND(ISNUMBER(LifeExpectancyData[[#This Row],[Adult Mortality]:[Schooling]]),ISNUMBER(LifeExpectancyData[[#This Row],[Life expectancy]]), LifeExpectancyData[[#This Row],[Year]]=2013)</f>
        <v>0</v>
      </c>
    </row>
    <row r="911" spans="1:23" x14ac:dyDescent="0.25">
      <c r="A911" t="s">
        <v>332</v>
      </c>
      <c r="B911">
        <v>2004</v>
      </c>
      <c r="C911" t="s">
        <v>273</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cm="1">
        <f t="array" ref="W911">AND(ISNUMBER(LifeExpectancyData[[#This Row],[Adult Mortality]:[Schooling]]),ISNUMBER(LifeExpectancyData[[#This Row],[Life expectancy]]), LifeExpectancyData[[#This Row],[Year]]=2013)</f>
        <v>0</v>
      </c>
    </row>
    <row r="912" spans="1:23" x14ac:dyDescent="0.25">
      <c r="A912" t="s">
        <v>332</v>
      </c>
      <c r="B912">
        <v>2003</v>
      </c>
      <c r="C912" t="s">
        <v>273</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cm="1">
        <f t="array" ref="W912">AND(ISNUMBER(LifeExpectancyData[[#This Row],[Adult Mortality]:[Schooling]]),ISNUMBER(LifeExpectancyData[[#This Row],[Life expectancy]]), LifeExpectancyData[[#This Row],[Year]]=2013)</f>
        <v>0</v>
      </c>
    </row>
    <row r="913" spans="1:23" x14ac:dyDescent="0.25">
      <c r="A913" t="s">
        <v>332</v>
      </c>
      <c r="B913">
        <v>2002</v>
      </c>
      <c r="C913" t="s">
        <v>273</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cm="1">
        <f t="array" ref="W913">AND(ISNUMBER(LifeExpectancyData[[#This Row],[Adult Mortality]:[Schooling]]),ISNUMBER(LifeExpectancyData[[#This Row],[Life expectancy]]), LifeExpectancyData[[#This Row],[Year]]=2013)</f>
        <v>0</v>
      </c>
    </row>
    <row r="914" spans="1:23" x14ac:dyDescent="0.25">
      <c r="A914" t="s">
        <v>332</v>
      </c>
      <c r="B914">
        <v>2001</v>
      </c>
      <c r="C914" t="s">
        <v>273</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cm="1">
        <f t="array" ref="W914">AND(ISNUMBER(LifeExpectancyData[[#This Row],[Adult Mortality]:[Schooling]]),ISNUMBER(LifeExpectancyData[[#This Row],[Life expectancy]]), LifeExpectancyData[[#This Row],[Year]]=2013)</f>
        <v>0</v>
      </c>
    </row>
    <row r="915" spans="1:23" x14ac:dyDescent="0.25">
      <c r="A915" t="s">
        <v>332</v>
      </c>
      <c r="B915">
        <v>2000</v>
      </c>
      <c r="C915" t="s">
        <v>273</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cm="1">
        <f t="array" ref="W915">AND(ISNUMBER(LifeExpectancyData[[#This Row],[Adult Mortality]:[Schooling]]),ISNUMBER(LifeExpectancyData[[#This Row],[Life expectancy]]), LifeExpectancyData[[#This Row],[Year]]=2013)</f>
        <v>0</v>
      </c>
    </row>
    <row r="916" spans="1:23" hidden="1" x14ac:dyDescent="0.25">
      <c r="A916" t="s">
        <v>333</v>
      </c>
      <c r="B916">
        <v>2015</v>
      </c>
      <c r="C916" t="s">
        <v>273</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cm="1">
        <f t="array" ref="W916">AND(ISNUMBER(LifeExpectancyData[[#This Row],[Adult Mortality]:[Schooling]]),ISNUMBER(LifeExpectancyData[[#This Row],[Life expectancy]]), LifeExpectancyData[[#This Row],[Year]]=2013)</f>
        <v>0</v>
      </c>
    </row>
    <row r="917" spans="1:23" hidden="1" x14ac:dyDescent="0.25">
      <c r="A917" t="s">
        <v>333</v>
      </c>
      <c r="B917">
        <v>2014</v>
      </c>
      <c r="C917" t="s">
        <v>273</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cm="1">
        <f t="array" ref="W917">AND(ISNUMBER(LifeExpectancyData[[#This Row],[Adult Mortality]:[Schooling]]),ISNUMBER(LifeExpectancyData[[#This Row],[Life expectancy]]), LifeExpectancyData[[#This Row],[Year]]=2013)</f>
        <v>0</v>
      </c>
    </row>
    <row r="918" spans="1:23" hidden="1" x14ac:dyDescent="0.25">
      <c r="A918" t="s">
        <v>333</v>
      </c>
      <c r="B918">
        <v>2013</v>
      </c>
      <c r="C918" t="s">
        <v>273</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cm="1">
        <f t="array" ref="W918">AND(ISNUMBER(LifeExpectancyData[[#This Row],[Adult Mortality]:[Schooling]]),ISNUMBER(LifeExpectancyData[[#This Row],[Life expectancy]]), LifeExpectancyData[[#This Row],[Year]]=2013)</f>
        <v>0</v>
      </c>
    </row>
    <row r="919" spans="1:23" hidden="1" x14ac:dyDescent="0.25">
      <c r="A919" t="s">
        <v>333</v>
      </c>
      <c r="B919">
        <v>2012</v>
      </c>
      <c r="C919" t="s">
        <v>273</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cm="1">
        <f t="array" ref="W919">AND(ISNUMBER(LifeExpectancyData[[#This Row],[Adult Mortality]:[Schooling]]),ISNUMBER(LifeExpectancyData[[#This Row],[Life expectancy]]), LifeExpectancyData[[#This Row],[Year]]=2013)</f>
        <v>0</v>
      </c>
    </row>
    <row r="920" spans="1:23" hidden="1" x14ac:dyDescent="0.25">
      <c r="A920" t="s">
        <v>333</v>
      </c>
      <c r="B920">
        <v>2011</v>
      </c>
      <c r="C920" t="s">
        <v>273</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cm="1">
        <f t="array" ref="W920">AND(ISNUMBER(LifeExpectancyData[[#This Row],[Adult Mortality]:[Schooling]]),ISNUMBER(LifeExpectancyData[[#This Row],[Life expectancy]]), LifeExpectancyData[[#This Row],[Year]]=2013)</f>
        <v>0</v>
      </c>
    </row>
    <row r="921" spans="1:23" hidden="1" x14ac:dyDescent="0.25">
      <c r="A921" t="s">
        <v>333</v>
      </c>
      <c r="B921">
        <v>2010</v>
      </c>
      <c r="C921" t="s">
        <v>273</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cm="1">
        <f t="array" ref="W921">AND(ISNUMBER(LifeExpectancyData[[#This Row],[Adult Mortality]:[Schooling]]),ISNUMBER(LifeExpectancyData[[#This Row],[Life expectancy]]), LifeExpectancyData[[#This Row],[Year]]=2013)</f>
        <v>0</v>
      </c>
    </row>
    <row r="922" spans="1:23" hidden="1" x14ac:dyDescent="0.25">
      <c r="A922" t="s">
        <v>333</v>
      </c>
      <c r="B922">
        <v>2009</v>
      </c>
      <c r="C922" t="s">
        <v>273</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cm="1">
        <f t="array" ref="W922">AND(ISNUMBER(LifeExpectancyData[[#This Row],[Adult Mortality]:[Schooling]]),ISNUMBER(LifeExpectancyData[[#This Row],[Life expectancy]]), LifeExpectancyData[[#This Row],[Year]]=2013)</f>
        <v>0</v>
      </c>
    </row>
    <row r="923" spans="1:23" hidden="1" x14ac:dyDescent="0.25">
      <c r="A923" t="s">
        <v>333</v>
      </c>
      <c r="B923">
        <v>2008</v>
      </c>
      <c r="C923" t="s">
        <v>273</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cm="1">
        <f t="array" ref="W923">AND(ISNUMBER(LifeExpectancyData[[#This Row],[Adult Mortality]:[Schooling]]),ISNUMBER(LifeExpectancyData[[#This Row],[Life expectancy]]), LifeExpectancyData[[#This Row],[Year]]=2013)</f>
        <v>0</v>
      </c>
    </row>
    <row r="924" spans="1:23" hidden="1" x14ac:dyDescent="0.25">
      <c r="A924" t="s">
        <v>333</v>
      </c>
      <c r="B924">
        <v>2007</v>
      </c>
      <c r="C924" t="s">
        <v>273</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cm="1">
        <f t="array" ref="W924">AND(ISNUMBER(LifeExpectancyData[[#This Row],[Adult Mortality]:[Schooling]]),ISNUMBER(LifeExpectancyData[[#This Row],[Life expectancy]]), LifeExpectancyData[[#This Row],[Year]]=2013)</f>
        <v>0</v>
      </c>
    </row>
    <row r="925" spans="1:23" hidden="1" x14ac:dyDescent="0.25">
      <c r="A925" t="s">
        <v>333</v>
      </c>
      <c r="B925">
        <v>2006</v>
      </c>
      <c r="C925" t="s">
        <v>273</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cm="1">
        <f t="array" ref="W925">AND(ISNUMBER(LifeExpectancyData[[#This Row],[Adult Mortality]:[Schooling]]),ISNUMBER(LifeExpectancyData[[#This Row],[Life expectancy]]), LifeExpectancyData[[#This Row],[Year]]=2013)</f>
        <v>0</v>
      </c>
    </row>
    <row r="926" spans="1:23" hidden="1" x14ac:dyDescent="0.25">
      <c r="A926" t="s">
        <v>333</v>
      </c>
      <c r="B926">
        <v>2005</v>
      </c>
      <c r="C926" t="s">
        <v>273</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cm="1">
        <f t="array" ref="W926">AND(ISNUMBER(LifeExpectancyData[[#This Row],[Adult Mortality]:[Schooling]]),ISNUMBER(LifeExpectancyData[[#This Row],[Life expectancy]]), LifeExpectancyData[[#This Row],[Year]]=2013)</f>
        <v>0</v>
      </c>
    </row>
    <row r="927" spans="1:23" hidden="1" x14ac:dyDescent="0.25">
      <c r="A927" t="s">
        <v>333</v>
      </c>
      <c r="B927">
        <v>2004</v>
      </c>
      <c r="C927" t="s">
        <v>273</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cm="1">
        <f t="array" ref="W927">AND(ISNUMBER(LifeExpectancyData[[#This Row],[Adult Mortality]:[Schooling]]),ISNUMBER(LifeExpectancyData[[#This Row],[Life expectancy]]), LifeExpectancyData[[#This Row],[Year]]=2013)</f>
        <v>0</v>
      </c>
    </row>
    <row r="928" spans="1:23" hidden="1" x14ac:dyDescent="0.25">
      <c r="A928" t="s">
        <v>333</v>
      </c>
      <c r="B928">
        <v>2003</v>
      </c>
      <c r="C928" t="s">
        <v>273</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cm="1">
        <f t="array" ref="W928">AND(ISNUMBER(LifeExpectancyData[[#This Row],[Adult Mortality]:[Schooling]]),ISNUMBER(LifeExpectancyData[[#This Row],[Life expectancy]]), LifeExpectancyData[[#This Row],[Year]]=2013)</f>
        <v>0</v>
      </c>
    </row>
    <row r="929" spans="1:23" hidden="1" x14ac:dyDescent="0.25">
      <c r="A929" t="s">
        <v>333</v>
      </c>
      <c r="B929">
        <v>2002</v>
      </c>
      <c r="C929" t="s">
        <v>273</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cm="1">
        <f t="array" ref="W929">AND(ISNUMBER(LifeExpectancyData[[#This Row],[Adult Mortality]:[Schooling]]),ISNUMBER(LifeExpectancyData[[#This Row],[Life expectancy]]), LifeExpectancyData[[#This Row],[Year]]=2013)</f>
        <v>0</v>
      </c>
    </row>
    <row r="930" spans="1:23" hidden="1" x14ac:dyDescent="0.25">
      <c r="A930" t="s">
        <v>333</v>
      </c>
      <c r="B930">
        <v>2001</v>
      </c>
      <c r="C930" t="s">
        <v>273</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cm="1">
        <f t="array" ref="W930">AND(ISNUMBER(LifeExpectancyData[[#This Row],[Adult Mortality]:[Schooling]]),ISNUMBER(LifeExpectancyData[[#This Row],[Life expectancy]]), LifeExpectancyData[[#This Row],[Year]]=2013)</f>
        <v>0</v>
      </c>
    </row>
    <row r="931" spans="1:23" hidden="1" x14ac:dyDescent="0.25">
      <c r="A931" t="s">
        <v>333</v>
      </c>
      <c r="B931">
        <v>2000</v>
      </c>
      <c r="C931" t="s">
        <v>273</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cm="1">
        <f t="array" ref="W931">AND(ISNUMBER(LifeExpectancyData[[#This Row],[Adult Mortality]:[Schooling]]),ISNUMBER(LifeExpectancyData[[#This Row],[Life expectancy]]), LifeExpectancyData[[#This Row],[Year]]=2013)</f>
        <v>0</v>
      </c>
    </row>
    <row r="932" spans="1:23" hidden="1" x14ac:dyDescent="0.25">
      <c r="A932" t="s">
        <v>334</v>
      </c>
      <c r="B932">
        <v>2015</v>
      </c>
      <c r="C932" t="s">
        <v>273</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cm="1">
        <f t="array" ref="W932">AND(ISNUMBER(LifeExpectancyData[[#This Row],[Adult Mortality]:[Schooling]]),ISNUMBER(LifeExpectancyData[[#This Row],[Life expectancy]]), LifeExpectancyData[[#This Row],[Year]]=2013)</f>
        <v>0</v>
      </c>
    </row>
    <row r="933" spans="1:23" x14ac:dyDescent="0.25">
      <c r="A933" t="s">
        <v>334</v>
      </c>
      <c r="B933">
        <v>2014</v>
      </c>
      <c r="C933" t="s">
        <v>273</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cm="1">
        <f t="array" ref="W933">AND(ISNUMBER(LifeExpectancyData[[#This Row],[Adult Mortality]:[Schooling]]),ISNUMBER(LifeExpectancyData[[#This Row],[Life expectancy]]), LifeExpectancyData[[#This Row],[Year]]=2013)</f>
        <v>0</v>
      </c>
    </row>
    <row r="934" spans="1:23" x14ac:dyDescent="0.25">
      <c r="A934" t="s">
        <v>334</v>
      </c>
      <c r="B934">
        <v>2013</v>
      </c>
      <c r="C934" t="s">
        <v>273</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cm="1">
        <f t="array" ref="W934">AND(ISNUMBER(LifeExpectancyData[[#This Row],[Adult Mortality]:[Schooling]]),ISNUMBER(LifeExpectancyData[[#This Row],[Life expectancy]]), LifeExpectancyData[[#This Row],[Year]]=2013)</f>
        <v>1</v>
      </c>
    </row>
    <row r="935" spans="1:23" x14ac:dyDescent="0.25">
      <c r="A935" t="s">
        <v>334</v>
      </c>
      <c r="B935">
        <v>2012</v>
      </c>
      <c r="C935" t="s">
        <v>273</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cm="1">
        <f t="array" ref="W935">AND(ISNUMBER(LifeExpectancyData[[#This Row],[Adult Mortality]:[Schooling]]),ISNUMBER(LifeExpectancyData[[#This Row],[Life expectancy]]), LifeExpectancyData[[#This Row],[Year]]=2013)</f>
        <v>0</v>
      </c>
    </row>
    <row r="936" spans="1:23" x14ac:dyDescent="0.25">
      <c r="A936" t="s">
        <v>334</v>
      </c>
      <c r="B936">
        <v>2011</v>
      </c>
      <c r="C936" t="s">
        <v>273</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cm="1">
        <f t="array" ref="W936">AND(ISNUMBER(LifeExpectancyData[[#This Row],[Adult Mortality]:[Schooling]]),ISNUMBER(LifeExpectancyData[[#This Row],[Life expectancy]]), LifeExpectancyData[[#This Row],[Year]]=2013)</f>
        <v>0</v>
      </c>
    </row>
    <row r="937" spans="1:23" x14ac:dyDescent="0.25">
      <c r="A937" t="s">
        <v>334</v>
      </c>
      <c r="B937">
        <v>2010</v>
      </c>
      <c r="C937" t="s">
        <v>273</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cm="1">
        <f t="array" ref="W937">AND(ISNUMBER(LifeExpectancyData[[#This Row],[Adult Mortality]:[Schooling]]),ISNUMBER(LifeExpectancyData[[#This Row],[Life expectancy]]), LifeExpectancyData[[#This Row],[Year]]=2013)</f>
        <v>0</v>
      </c>
    </row>
    <row r="938" spans="1:23" x14ac:dyDescent="0.25">
      <c r="A938" t="s">
        <v>334</v>
      </c>
      <c r="B938">
        <v>2009</v>
      </c>
      <c r="C938" t="s">
        <v>273</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cm="1">
        <f t="array" ref="W938">AND(ISNUMBER(LifeExpectancyData[[#This Row],[Adult Mortality]:[Schooling]]),ISNUMBER(LifeExpectancyData[[#This Row],[Life expectancy]]), LifeExpectancyData[[#This Row],[Year]]=2013)</f>
        <v>0</v>
      </c>
    </row>
    <row r="939" spans="1:23" x14ac:dyDescent="0.25">
      <c r="A939" t="s">
        <v>334</v>
      </c>
      <c r="B939">
        <v>2008</v>
      </c>
      <c r="C939" t="s">
        <v>273</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cm="1">
        <f t="array" ref="W939">AND(ISNUMBER(LifeExpectancyData[[#This Row],[Adult Mortality]:[Schooling]]),ISNUMBER(LifeExpectancyData[[#This Row],[Life expectancy]]), LifeExpectancyData[[#This Row],[Year]]=2013)</f>
        <v>0</v>
      </c>
    </row>
    <row r="940" spans="1:23" x14ac:dyDescent="0.25">
      <c r="A940" t="s">
        <v>334</v>
      </c>
      <c r="B940">
        <v>2007</v>
      </c>
      <c r="C940" t="s">
        <v>273</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cm="1">
        <f t="array" ref="W940">AND(ISNUMBER(LifeExpectancyData[[#This Row],[Adult Mortality]:[Schooling]]),ISNUMBER(LifeExpectancyData[[#This Row],[Life expectancy]]), LifeExpectancyData[[#This Row],[Year]]=2013)</f>
        <v>0</v>
      </c>
    </row>
    <row r="941" spans="1:23" x14ac:dyDescent="0.25">
      <c r="A941" t="s">
        <v>334</v>
      </c>
      <c r="B941">
        <v>2006</v>
      </c>
      <c r="C941" t="s">
        <v>273</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cm="1">
        <f t="array" ref="W941">AND(ISNUMBER(LifeExpectancyData[[#This Row],[Adult Mortality]:[Schooling]]),ISNUMBER(LifeExpectancyData[[#This Row],[Life expectancy]]), LifeExpectancyData[[#This Row],[Year]]=2013)</f>
        <v>0</v>
      </c>
    </row>
    <row r="942" spans="1:23" x14ac:dyDescent="0.25">
      <c r="A942" t="s">
        <v>334</v>
      </c>
      <c r="B942">
        <v>2005</v>
      </c>
      <c r="C942" t="s">
        <v>273</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cm="1">
        <f t="array" ref="W942">AND(ISNUMBER(LifeExpectancyData[[#This Row],[Adult Mortality]:[Schooling]]),ISNUMBER(LifeExpectancyData[[#This Row],[Life expectancy]]), LifeExpectancyData[[#This Row],[Year]]=2013)</f>
        <v>0</v>
      </c>
    </row>
    <row r="943" spans="1:23" x14ac:dyDescent="0.25">
      <c r="A943" t="s">
        <v>334</v>
      </c>
      <c r="B943">
        <v>2004</v>
      </c>
      <c r="C943" t="s">
        <v>273</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cm="1">
        <f t="array" ref="W943">AND(ISNUMBER(LifeExpectancyData[[#This Row],[Adult Mortality]:[Schooling]]),ISNUMBER(LifeExpectancyData[[#This Row],[Life expectancy]]), LifeExpectancyData[[#This Row],[Year]]=2013)</f>
        <v>0</v>
      </c>
    </row>
    <row r="944" spans="1:23" x14ac:dyDescent="0.25">
      <c r="A944" t="s">
        <v>334</v>
      </c>
      <c r="B944">
        <v>2003</v>
      </c>
      <c r="C944" t="s">
        <v>273</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cm="1">
        <f t="array" ref="W944">AND(ISNUMBER(LifeExpectancyData[[#This Row],[Adult Mortality]:[Schooling]]),ISNUMBER(LifeExpectancyData[[#This Row],[Life expectancy]]), LifeExpectancyData[[#This Row],[Year]]=2013)</f>
        <v>0</v>
      </c>
    </row>
    <row r="945" spans="1:23" x14ac:dyDescent="0.25">
      <c r="A945" t="s">
        <v>334</v>
      </c>
      <c r="B945">
        <v>2002</v>
      </c>
      <c r="C945" t="s">
        <v>273</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cm="1">
        <f t="array" ref="W945">AND(ISNUMBER(LifeExpectancyData[[#This Row],[Adult Mortality]:[Schooling]]),ISNUMBER(LifeExpectancyData[[#This Row],[Life expectancy]]), LifeExpectancyData[[#This Row],[Year]]=2013)</f>
        <v>0</v>
      </c>
    </row>
    <row r="946" spans="1:23" x14ac:dyDescent="0.25">
      <c r="A946" t="s">
        <v>334</v>
      </c>
      <c r="B946">
        <v>2001</v>
      </c>
      <c r="C946" t="s">
        <v>273</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cm="1">
        <f t="array" ref="W946">AND(ISNUMBER(LifeExpectancyData[[#This Row],[Adult Mortality]:[Schooling]]),ISNUMBER(LifeExpectancyData[[#This Row],[Life expectancy]]), LifeExpectancyData[[#This Row],[Year]]=2013)</f>
        <v>0</v>
      </c>
    </row>
    <row r="947" spans="1:23" x14ac:dyDescent="0.25">
      <c r="A947" t="s">
        <v>334</v>
      </c>
      <c r="B947">
        <v>2000</v>
      </c>
      <c r="C947" t="s">
        <v>273</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cm="1">
        <f t="array" ref="W947">AND(ISNUMBER(LifeExpectancyData[[#This Row],[Adult Mortality]:[Schooling]]),ISNUMBER(LifeExpectancyData[[#This Row],[Life expectancy]]), LifeExpectancyData[[#This Row],[Year]]=2013)</f>
        <v>0</v>
      </c>
    </row>
    <row r="948" spans="1:23" hidden="1" x14ac:dyDescent="0.25">
      <c r="A948" t="s">
        <v>335</v>
      </c>
      <c r="B948">
        <v>2015</v>
      </c>
      <c r="C948" t="s">
        <v>273</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cm="1">
        <f t="array" ref="W948">AND(ISNUMBER(LifeExpectancyData[[#This Row],[Adult Mortality]:[Schooling]]),ISNUMBER(LifeExpectancyData[[#This Row],[Life expectancy]]), LifeExpectancyData[[#This Row],[Year]]=2013)</f>
        <v>0</v>
      </c>
    </row>
    <row r="949" spans="1:23" x14ac:dyDescent="0.25">
      <c r="A949" t="s">
        <v>335</v>
      </c>
      <c r="B949">
        <v>2014</v>
      </c>
      <c r="C949" t="s">
        <v>273</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cm="1">
        <f t="array" ref="W949">AND(ISNUMBER(LifeExpectancyData[[#This Row],[Adult Mortality]:[Schooling]]),ISNUMBER(LifeExpectancyData[[#This Row],[Life expectancy]]), LifeExpectancyData[[#This Row],[Year]]=2013)</f>
        <v>0</v>
      </c>
    </row>
    <row r="950" spans="1:23" x14ac:dyDescent="0.25">
      <c r="A950" t="s">
        <v>335</v>
      </c>
      <c r="B950">
        <v>2013</v>
      </c>
      <c r="C950" t="s">
        <v>273</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cm="1">
        <f t="array" ref="W950">AND(ISNUMBER(LifeExpectancyData[[#This Row],[Adult Mortality]:[Schooling]]),ISNUMBER(LifeExpectancyData[[#This Row],[Life expectancy]]), LifeExpectancyData[[#This Row],[Year]]=2013)</f>
        <v>1</v>
      </c>
    </row>
    <row r="951" spans="1:23" x14ac:dyDescent="0.25">
      <c r="A951" t="s">
        <v>335</v>
      </c>
      <c r="B951">
        <v>2012</v>
      </c>
      <c r="C951" t="s">
        <v>273</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cm="1">
        <f t="array" ref="W951">AND(ISNUMBER(LifeExpectancyData[[#This Row],[Adult Mortality]:[Schooling]]),ISNUMBER(LifeExpectancyData[[#This Row],[Life expectancy]]), LifeExpectancyData[[#This Row],[Year]]=2013)</f>
        <v>0</v>
      </c>
    </row>
    <row r="952" spans="1:23" x14ac:dyDescent="0.25">
      <c r="A952" t="s">
        <v>335</v>
      </c>
      <c r="B952">
        <v>2011</v>
      </c>
      <c r="C952" t="s">
        <v>273</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cm="1">
        <f t="array" ref="W952">AND(ISNUMBER(LifeExpectancyData[[#This Row],[Adult Mortality]:[Schooling]]),ISNUMBER(LifeExpectancyData[[#This Row],[Life expectancy]]), LifeExpectancyData[[#This Row],[Year]]=2013)</f>
        <v>0</v>
      </c>
    </row>
    <row r="953" spans="1:23" x14ac:dyDescent="0.25">
      <c r="A953" t="s">
        <v>335</v>
      </c>
      <c r="B953">
        <v>2010</v>
      </c>
      <c r="C953" t="s">
        <v>273</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cm="1">
        <f t="array" ref="W953">AND(ISNUMBER(LifeExpectancyData[[#This Row],[Adult Mortality]:[Schooling]]),ISNUMBER(LifeExpectancyData[[#This Row],[Life expectancy]]), LifeExpectancyData[[#This Row],[Year]]=2013)</f>
        <v>0</v>
      </c>
    </row>
    <row r="954" spans="1:23" x14ac:dyDescent="0.25">
      <c r="A954" t="s">
        <v>335</v>
      </c>
      <c r="B954">
        <v>2009</v>
      </c>
      <c r="C954" t="s">
        <v>273</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cm="1">
        <f t="array" ref="W954">AND(ISNUMBER(LifeExpectancyData[[#This Row],[Adult Mortality]:[Schooling]]),ISNUMBER(LifeExpectancyData[[#This Row],[Life expectancy]]), LifeExpectancyData[[#This Row],[Year]]=2013)</f>
        <v>0</v>
      </c>
    </row>
    <row r="955" spans="1:23" x14ac:dyDescent="0.25">
      <c r="A955" t="s">
        <v>335</v>
      </c>
      <c r="B955">
        <v>2008</v>
      </c>
      <c r="C955" t="s">
        <v>273</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cm="1">
        <f t="array" ref="W955">AND(ISNUMBER(LifeExpectancyData[[#This Row],[Adult Mortality]:[Schooling]]),ISNUMBER(LifeExpectancyData[[#This Row],[Life expectancy]]), LifeExpectancyData[[#This Row],[Year]]=2013)</f>
        <v>0</v>
      </c>
    </row>
    <row r="956" spans="1:23" x14ac:dyDescent="0.25">
      <c r="A956" t="s">
        <v>335</v>
      </c>
      <c r="B956">
        <v>2007</v>
      </c>
      <c r="C956" t="s">
        <v>273</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cm="1">
        <f t="array" ref="W956">AND(ISNUMBER(LifeExpectancyData[[#This Row],[Adult Mortality]:[Schooling]]),ISNUMBER(LifeExpectancyData[[#This Row],[Life expectancy]]), LifeExpectancyData[[#This Row],[Year]]=2013)</f>
        <v>0</v>
      </c>
    </row>
    <row r="957" spans="1:23" x14ac:dyDescent="0.25">
      <c r="A957" t="s">
        <v>335</v>
      </c>
      <c r="B957">
        <v>2006</v>
      </c>
      <c r="C957" t="s">
        <v>273</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cm="1">
        <f t="array" ref="W957">AND(ISNUMBER(LifeExpectancyData[[#This Row],[Adult Mortality]:[Schooling]]),ISNUMBER(LifeExpectancyData[[#This Row],[Life expectancy]]), LifeExpectancyData[[#This Row],[Year]]=2013)</f>
        <v>0</v>
      </c>
    </row>
    <row r="958" spans="1:23" x14ac:dyDescent="0.25">
      <c r="A958" t="s">
        <v>335</v>
      </c>
      <c r="B958">
        <v>2005</v>
      </c>
      <c r="C958" t="s">
        <v>273</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cm="1">
        <f t="array" ref="W958">AND(ISNUMBER(LifeExpectancyData[[#This Row],[Adult Mortality]:[Schooling]]),ISNUMBER(LifeExpectancyData[[#This Row],[Life expectancy]]), LifeExpectancyData[[#This Row],[Year]]=2013)</f>
        <v>0</v>
      </c>
    </row>
    <row r="959" spans="1:23" hidden="1" x14ac:dyDescent="0.25">
      <c r="A959" t="s">
        <v>335</v>
      </c>
      <c r="B959">
        <v>2004</v>
      </c>
      <c r="C959" t="s">
        <v>273</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cm="1">
        <f t="array" ref="W959">AND(ISNUMBER(LifeExpectancyData[[#This Row],[Adult Mortality]:[Schooling]]),ISNUMBER(LifeExpectancyData[[#This Row],[Life expectancy]]), LifeExpectancyData[[#This Row],[Year]]=2013)</f>
        <v>0</v>
      </c>
    </row>
    <row r="960" spans="1:23" hidden="1" x14ac:dyDescent="0.25">
      <c r="A960" t="s">
        <v>335</v>
      </c>
      <c r="B960">
        <v>2003</v>
      </c>
      <c r="C960" t="s">
        <v>273</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cm="1">
        <f t="array" ref="W960">AND(ISNUMBER(LifeExpectancyData[[#This Row],[Adult Mortality]:[Schooling]]),ISNUMBER(LifeExpectancyData[[#This Row],[Life expectancy]]), LifeExpectancyData[[#This Row],[Year]]=2013)</f>
        <v>0</v>
      </c>
    </row>
    <row r="961" spans="1:23" hidden="1" x14ac:dyDescent="0.25">
      <c r="A961" t="s">
        <v>335</v>
      </c>
      <c r="B961">
        <v>2002</v>
      </c>
      <c r="C961" t="s">
        <v>273</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cm="1">
        <f t="array" ref="W961">AND(ISNUMBER(LifeExpectancyData[[#This Row],[Adult Mortality]:[Schooling]]),ISNUMBER(LifeExpectancyData[[#This Row],[Life expectancy]]), LifeExpectancyData[[#This Row],[Year]]=2013)</f>
        <v>0</v>
      </c>
    </row>
    <row r="962" spans="1:23" hidden="1" x14ac:dyDescent="0.25">
      <c r="A962" t="s">
        <v>335</v>
      </c>
      <c r="B962">
        <v>2001</v>
      </c>
      <c r="C962" t="s">
        <v>273</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cm="1">
        <f t="array" ref="W962">AND(ISNUMBER(LifeExpectancyData[[#This Row],[Adult Mortality]:[Schooling]]),ISNUMBER(LifeExpectancyData[[#This Row],[Life expectancy]]), LifeExpectancyData[[#This Row],[Year]]=2013)</f>
        <v>0</v>
      </c>
    </row>
    <row r="963" spans="1:23" hidden="1" x14ac:dyDescent="0.25">
      <c r="A963" t="s">
        <v>335</v>
      </c>
      <c r="B963">
        <v>2000</v>
      </c>
      <c r="C963" t="s">
        <v>273</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cm="1">
        <f t="array" ref="W963">AND(ISNUMBER(LifeExpectancyData[[#This Row],[Adult Mortality]:[Schooling]]),ISNUMBER(LifeExpectancyData[[#This Row],[Life expectancy]]), LifeExpectancyData[[#This Row],[Year]]=2013)</f>
        <v>0</v>
      </c>
    </row>
    <row r="964" spans="1:23" hidden="1" x14ac:dyDescent="0.25">
      <c r="A964" t="s">
        <v>336</v>
      </c>
      <c r="B964">
        <v>2015</v>
      </c>
      <c r="C964" t="s">
        <v>273</v>
      </c>
      <c r="D964">
        <v>61.1</v>
      </c>
      <c r="E964">
        <v>262</v>
      </c>
      <c r="F964">
        <v>3</v>
      </c>
      <c r="H964">
        <v>0</v>
      </c>
      <c r="I964">
        <v>97</v>
      </c>
      <c r="J964">
        <v>71</v>
      </c>
      <c r="K964">
        <v>27.3</v>
      </c>
      <c r="L964">
        <v>5</v>
      </c>
      <c r="M964">
        <v>96</v>
      </c>
      <c r="O964">
        <v>97</v>
      </c>
      <c r="P964">
        <v>1.7</v>
      </c>
      <c r="S964">
        <v>7.3</v>
      </c>
      <c r="T964">
        <v>7.2</v>
      </c>
      <c r="U964">
        <v>0.45</v>
      </c>
      <c r="V964">
        <v>8.9</v>
      </c>
      <c r="W964" t="b" cm="1">
        <f t="array" ref="W964">AND(ISNUMBER(LifeExpectancyData[[#This Row],[Adult Mortality]:[Schooling]]),ISNUMBER(LifeExpectancyData[[#This Row],[Life expectancy]]), LifeExpectancyData[[#This Row],[Year]]=2013)</f>
        <v>0</v>
      </c>
    </row>
    <row r="965" spans="1:23" hidden="1" x14ac:dyDescent="0.25">
      <c r="A965" t="s">
        <v>336</v>
      </c>
      <c r="B965">
        <v>2014</v>
      </c>
      <c r="C965" t="s">
        <v>273</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cm="1">
        <f t="array" ref="W965">AND(ISNUMBER(LifeExpectancyData[[#This Row],[Adult Mortality]:[Schooling]]),ISNUMBER(LifeExpectancyData[[#This Row],[Life expectancy]]), LifeExpectancyData[[#This Row],[Year]]=2013)</f>
        <v>0</v>
      </c>
    </row>
    <row r="966" spans="1:23" hidden="1" x14ac:dyDescent="0.25">
      <c r="A966" t="s">
        <v>336</v>
      </c>
      <c r="B966">
        <v>2013</v>
      </c>
      <c r="C966" t="s">
        <v>273</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cm="1">
        <f t="array" ref="W966">AND(ISNUMBER(LifeExpectancyData[[#This Row],[Adult Mortality]:[Schooling]]),ISNUMBER(LifeExpectancyData[[#This Row],[Life expectancy]]), LifeExpectancyData[[#This Row],[Year]]=2013)</f>
        <v>0</v>
      </c>
    </row>
    <row r="967" spans="1:23" hidden="1" x14ac:dyDescent="0.25">
      <c r="A967" t="s">
        <v>336</v>
      </c>
      <c r="B967">
        <v>2012</v>
      </c>
      <c r="C967" t="s">
        <v>273</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cm="1">
        <f t="array" ref="W967">AND(ISNUMBER(LifeExpectancyData[[#This Row],[Adult Mortality]:[Schooling]]),ISNUMBER(LifeExpectancyData[[#This Row],[Life expectancy]]), LifeExpectancyData[[#This Row],[Year]]=2013)</f>
        <v>0</v>
      </c>
    </row>
    <row r="968" spans="1:23" hidden="1" x14ac:dyDescent="0.25">
      <c r="A968" t="s">
        <v>336</v>
      </c>
      <c r="B968">
        <v>2011</v>
      </c>
      <c r="C968" t="s">
        <v>273</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cm="1">
        <f t="array" ref="W968">AND(ISNUMBER(LifeExpectancyData[[#This Row],[Adult Mortality]:[Schooling]]),ISNUMBER(LifeExpectancyData[[#This Row],[Life expectancy]]), LifeExpectancyData[[#This Row],[Year]]=2013)</f>
        <v>0</v>
      </c>
    </row>
    <row r="969" spans="1:23" hidden="1" x14ac:dyDescent="0.25">
      <c r="A969" t="s">
        <v>336</v>
      </c>
      <c r="B969">
        <v>2010</v>
      </c>
      <c r="C969" t="s">
        <v>273</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cm="1">
        <f t="array" ref="W969">AND(ISNUMBER(LifeExpectancyData[[#This Row],[Adult Mortality]:[Schooling]]),ISNUMBER(LifeExpectancyData[[#This Row],[Life expectancy]]), LifeExpectancyData[[#This Row],[Year]]=2013)</f>
        <v>0</v>
      </c>
    </row>
    <row r="970" spans="1:23" hidden="1" x14ac:dyDescent="0.25">
      <c r="A970" t="s">
        <v>336</v>
      </c>
      <c r="B970">
        <v>2009</v>
      </c>
      <c r="C970" t="s">
        <v>273</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cm="1">
        <f t="array" ref="W970">AND(ISNUMBER(LifeExpectancyData[[#This Row],[Adult Mortality]:[Schooling]]),ISNUMBER(LifeExpectancyData[[#This Row],[Life expectancy]]), LifeExpectancyData[[#This Row],[Year]]=2013)</f>
        <v>0</v>
      </c>
    </row>
    <row r="971" spans="1:23" hidden="1" x14ac:dyDescent="0.25">
      <c r="A971" t="s">
        <v>336</v>
      </c>
      <c r="B971">
        <v>2008</v>
      </c>
      <c r="C971" t="s">
        <v>273</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cm="1">
        <f t="array" ref="W971">AND(ISNUMBER(LifeExpectancyData[[#This Row],[Adult Mortality]:[Schooling]]),ISNUMBER(LifeExpectancyData[[#This Row],[Life expectancy]]), LifeExpectancyData[[#This Row],[Year]]=2013)</f>
        <v>0</v>
      </c>
    </row>
    <row r="972" spans="1:23" hidden="1" x14ac:dyDescent="0.25">
      <c r="A972" t="s">
        <v>336</v>
      </c>
      <c r="B972">
        <v>2007</v>
      </c>
      <c r="C972" t="s">
        <v>273</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cm="1">
        <f t="array" ref="W972">AND(ISNUMBER(LifeExpectancyData[[#This Row],[Adult Mortality]:[Schooling]]),ISNUMBER(LifeExpectancyData[[#This Row],[Life expectancy]]), LifeExpectancyData[[#This Row],[Year]]=2013)</f>
        <v>0</v>
      </c>
    </row>
    <row r="973" spans="1:23" hidden="1" x14ac:dyDescent="0.25">
      <c r="A973" t="s">
        <v>336</v>
      </c>
      <c r="B973">
        <v>2006</v>
      </c>
      <c r="C973" t="s">
        <v>273</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cm="1">
        <f t="array" ref="W973">AND(ISNUMBER(LifeExpectancyData[[#This Row],[Adult Mortality]:[Schooling]]),ISNUMBER(LifeExpectancyData[[#This Row],[Life expectancy]]), LifeExpectancyData[[#This Row],[Year]]=2013)</f>
        <v>0</v>
      </c>
    </row>
    <row r="974" spans="1:23" hidden="1" x14ac:dyDescent="0.25">
      <c r="A974" t="s">
        <v>336</v>
      </c>
      <c r="B974">
        <v>2005</v>
      </c>
      <c r="C974" t="s">
        <v>273</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cm="1">
        <f t="array" ref="W974">AND(ISNUMBER(LifeExpectancyData[[#This Row],[Adult Mortality]:[Schooling]]),ISNUMBER(LifeExpectancyData[[#This Row],[Life expectancy]]), LifeExpectancyData[[#This Row],[Year]]=2013)</f>
        <v>0</v>
      </c>
    </row>
    <row r="975" spans="1:23" hidden="1" x14ac:dyDescent="0.25">
      <c r="A975" t="s">
        <v>336</v>
      </c>
      <c r="B975">
        <v>2004</v>
      </c>
      <c r="C975" t="s">
        <v>273</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cm="1">
        <f t="array" ref="W975">AND(ISNUMBER(LifeExpectancyData[[#This Row],[Adult Mortality]:[Schooling]]),ISNUMBER(LifeExpectancyData[[#This Row],[Life expectancy]]), LifeExpectancyData[[#This Row],[Year]]=2013)</f>
        <v>0</v>
      </c>
    </row>
    <row r="976" spans="1:23" hidden="1" x14ac:dyDescent="0.25">
      <c r="A976" t="s">
        <v>336</v>
      </c>
      <c r="B976">
        <v>2003</v>
      </c>
      <c r="C976" t="s">
        <v>273</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cm="1">
        <f t="array" ref="W976">AND(ISNUMBER(LifeExpectancyData[[#This Row],[Adult Mortality]:[Schooling]]),ISNUMBER(LifeExpectancyData[[#This Row],[Life expectancy]]), LifeExpectancyData[[#This Row],[Year]]=2013)</f>
        <v>0</v>
      </c>
    </row>
    <row r="977" spans="1:23" hidden="1" x14ac:dyDescent="0.25">
      <c r="A977" t="s">
        <v>336</v>
      </c>
      <c r="B977">
        <v>2002</v>
      </c>
      <c r="C977" t="s">
        <v>273</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cm="1">
        <f t="array" ref="W977">AND(ISNUMBER(LifeExpectancyData[[#This Row],[Adult Mortality]:[Schooling]]),ISNUMBER(LifeExpectancyData[[#This Row],[Life expectancy]]), LifeExpectancyData[[#This Row],[Year]]=2013)</f>
        <v>0</v>
      </c>
    </row>
    <row r="978" spans="1:23" hidden="1" x14ac:dyDescent="0.25">
      <c r="A978" t="s">
        <v>336</v>
      </c>
      <c r="B978">
        <v>2001</v>
      </c>
      <c r="C978" t="s">
        <v>273</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cm="1">
        <f t="array" ref="W978">AND(ISNUMBER(LifeExpectancyData[[#This Row],[Adult Mortality]:[Schooling]]),ISNUMBER(LifeExpectancyData[[#This Row],[Life expectancy]]), LifeExpectancyData[[#This Row],[Year]]=2013)</f>
        <v>0</v>
      </c>
    </row>
    <row r="979" spans="1:23" hidden="1" x14ac:dyDescent="0.25">
      <c r="A979" t="s">
        <v>336</v>
      </c>
      <c r="B979">
        <v>2000</v>
      </c>
      <c r="C979" t="s">
        <v>273</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cm="1">
        <f t="array" ref="W979">AND(ISNUMBER(LifeExpectancyData[[#This Row],[Adult Mortality]:[Schooling]]),ISNUMBER(LifeExpectancyData[[#This Row],[Life expectancy]]), LifeExpectancyData[[#This Row],[Year]]=2013)</f>
        <v>0</v>
      </c>
    </row>
    <row r="980" spans="1:23" hidden="1" x14ac:dyDescent="0.25">
      <c r="A980" t="s">
        <v>337</v>
      </c>
      <c r="B980">
        <v>2015</v>
      </c>
      <c r="C980" t="s">
        <v>273</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cm="1">
        <f t="array" ref="W980">AND(ISNUMBER(LifeExpectancyData[[#This Row],[Adult Mortality]:[Schooling]]),ISNUMBER(LifeExpectancyData[[#This Row],[Life expectancy]]), LifeExpectancyData[[#This Row],[Year]]=2013)</f>
        <v>0</v>
      </c>
    </row>
    <row r="981" spans="1:23" x14ac:dyDescent="0.25">
      <c r="A981" t="s">
        <v>337</v>
      </c>
      <c r="B981">
        <v>2014</v>
      </c>
      <c r="C981" t="s">
        <v>273</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cm="1">
        <f t="array" ref="W981">AND(ISNUMBER(LifeExpectancyData[[#This Row],[Adult Mortality]:[Schooling]]),ISNUMBER(LifeExpectancyData[[#This Row],[Life expectancy]]), LifeExpectancyData[[#This Row],[Year]]=2013)</f>
        <v>0</v>
      </c>
    </row>
    <row r="982" spans="1:23" x14ac:dyDescent="0.25">
      <c r="A982" t="s">
        <v>337</v>
      </c>
      <c r="B982">
        <v>2013</v>
      </c>
      <c r="C982" t="s">
        <v>273</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cm="1">
        <f t="array" ref="W982">AND(ISNUMBER(LifeExpectancyData[[#This Row],[Adult Mortality]:[Schooling]]),ISNUMBER(LifeExpectancyData[[#This Row],[Life expectancy]]), LifeExpectancyData[[#This Row],[Year]]=2013)</f>
        <v>1</v>
      </c>
    </row>
    <row r="983" spans="1:23" x14ac:dyDescent="0.25">
      <c r="A983" t="s">
        <v>337</v>
      </c>
      <c r="B983">
        <v>2012</v>
      </c>
      <c r="C983" t="s">
        <v>273</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cm="1">
        <f t="array" ref="W983">AND(ISNUMBER(LifeExpectancyData[[#This Row],[Adult Mortality]:[Schooling]]),ISNUMBER(LifeExpectancyData[[#This Row],[Life expectancy]]), LifeExpectancyData[[#This Row],[Year]]=2013)</f>
        <v>0</v>
      </c>
    </row>
    <row r="984" spans="1:23" x14ac:dyDescent="0.25">
      <c r="A984" t="s">
        <v>337</v>
      </c>
      <c r="B984">
        <v>2011</v>
      </c>
      <c r="C984" t="s">
        <v>273</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cm="1">
        <f t="array" ref="W984">AND(ISNUMBER(LifeExpectancyData[[#This Row],[Adult Mortality]:[Schooling]]),ISNUMBER(LifeExpectancyData[[#This Row],[Life expectancy]]), LifeExpectancyData[[#This Row],[Year]]=2013)</f>
        <v>0</v>
      </c>
    </row>
    <row r="985" spans="1:23" x14ac:dyDescent="0.25">
      <c r="A985" t="s">
        <v>337</v>
      </c>
      <c r="B985">
        <v>2010</v>
      </c>
      <c r="C985" t="s">
        <v>273</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cm="1">
        <f t="array" ref="W985">AND(ISNUMBER(LifeExpectancyData[[#This Row],[Adult Mortality]:[Schooling]]),ISNUMBER(LifeExpectancyData[[#This Row],[Life expectancy]]), LifeExpectancyData[[#This Row],[Year]]=2013)</f>
        <v>0</v>
      </c>
    </row>
    <row r="986" spans="1:23" x14ac:dyDescent="0.25">
      <c r="A986" t="s">
        <v>337</v>
      </c>
      <c r="B986">
        <v>2009</v>
      </c>
      <c r="C986" t="s">
        <v>273</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cm="1">
        <f t="array" ref="W986">AND(ISNUMBER(LifeExpectancyData[[#This Row],[Adult Mortality]:[Schooling]]),ISNUMBER(LifeExpectancyData[[#This Row],[Life expectancy]]), LifeExpectancyData[[#This Row],[Year]]=2013)</f>
        <v>0</v>
      </c>
    </row>
    <row r="987" spans="1:23" x14ac:dyDescent="0.25">
      <c r="A987" t="s">
        <v>337</v>
      </c>
      <c r="B987">
        <v>2008</v>
      </c>
      <c r="C987" t="s">
        <v>273</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cm="1">
        <f t="array" ref="W987">AND(ISNUMBER(LifeExpectancyData[[#This Row],[Adult Mortality]:[Schooling]]),ISNUMBER(LifeExpectancyData[[#This Row],[Life expectancy]]), LifeExpectancyData[[#This Row],[Year]]=2013)</f>
        <v>0</v>
      </c>
    </row>
    <row r="988" spans="1:23" x14ac:dyDescent="0.25">
      <c r="A988" t="s">
        <v>337</v>
      </c>
      <c r="B988">
        <v>2007</v>
      </c>
      <c r="C988" t="s">
        <v>273</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cm="1">
        <f t="array" ref="W988">AND(ISNUMBER(LifeExpectancyData[[#This Row],[Adult Mortality]:[Schooling]]),ISNUMBER(LifeExpectancyData[[#This Row],[Life expectancy]]), LifeExpectancyData[[#This Row],[Year]]=2013)</f>
        <v>0</v>
      </c>
    </row>
    <row r="989" spans="1:23" x14ac:dyDescent="0.25">
      <c r="A989" t="s">
        <v>337</v>
      </c>
      <c r="B989">
        <v>2006</v>
      </c>
      <c r="C989" t="s">
        <v>273</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cm="1">
        <f t="array" ref="W989">AND(ISNUMBER(LifeExpectancyData[[#This Row],[Adult Mortality]:[Schooling]]),ISNUMBER(LifeExpectancyData[[#This Row],[Life expectancy]]), LifeExpectancyData[[#This Row],[Year]]=2013)</f>
        <v>0</v>
      </c>
    </row>
    <row r="990" spans="1:23" x14ac:dyDescent="0.25">
      <c r="A990" t="s">
        <v>337</v>
      </c>
      <c r="B990">
        <v>2005</v>
      </c>
      <c r="C990" t="s">
        <v>273</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cm="1">
        <f t="array" ref="W990">AND(ISNUMBER(LifeExpectancyData[[#This Row],[Adult Mortality]:[Schooling]]),ISNUMBER(LifeExpectancyData[[#This Row],[Life expectancy]]), LifeExpectancyData[[#This Row],[Year]]=2013)</f>
        <v>0</v>
      </c>
    </row>
    <row r="991" spans="1:23" x14ac:dyDescent="0.25">
      <c r="A991" t="s">
        <v>337</v>
      </c>
      <c r="B991">
        <v>2004</v>
      </c>
      <c r="C991" t="s">
        <v>273</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cm="1">
        <f t="array" ref="W991">AND(ISNUMBER(LifeExpectancyData[[#This Row],[Adult Mortality]:[Schooling]]),ISNUMBER(LifeExpectancyData[[#This Row],[Life expectancy]]), LifeExpectancyData[[#This Row],[Year]]=2013)</f>
        <v>0</v>
      </c>
    </row>
    <row r="992" spans="1:23" x14ac:dyDescent="0.25">
      <c r="A992" t="s">
        <v>337</v>
      </c>
      <c r="B992">
        <v>2003</v>
      </c>
      <c r="C992" t="s">
        <v>273</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cm="1">
        <f t="array" ref="W992">AND(ISNUMBER(LifeExpectancyData[[#This Row],[Adult Mortality]:[Schooling]]),ISNUMBER(LifeExpectancyData[[#This Row],[Life expectancy]]), LifeExpectancyData[[#This Row],[Year]]=2013)</f>
        <v>0</v>
      </c>
    </row>
    <row r="993" spans="1:23" x14ac:dyDescent="0.25">
      <c r="A993" t="s">
        <v>337</v>
      </c>
      <c r="B993">
        <v>2002</v>
      </c>
      <c r="C993" t="s">
        <v>273</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cm="1">
        <f t="array" ref="W993">AND(ISNUMBER(LifeExpectancyData[[#This Row],[Adult Mortality]:[Schooling]]),ISNUMBER(LifeExpectancyData[[#This Row],[Life expectancy]]), LifeExpectancyData[[#This Row],[Year]]=2013)</f>
        <v>0</v>
      </c>
    </row>
    <row r="994" spans="1:23" x14ac:dyDescent="0.25">
      <c r="A994" t="s">
        <v>337</v>
      </c>
      <c r="B994">
        <v>2001</v>
      </c>
      <c r="C994" t="s">
        <v>273</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cm="1">
        <f t="array" ref="W994">AND(ISNUMBER(LifeExpectancyData[[#This Row],[Adult Mortality]:[Schooling]]),ISNUMBER(LifeExpectancyData[[#This Row],[Life expectancy]]), LifeExpectancyData[[#This Row],[Year]]=2013)</f>
        <v>0</v>
      </c>
    </row>
    <row r="995" spans="1:23" x14ac:dyDescent="0.25">
      <c r="A995" t="s">
        <v>337</v>
      </c>
      <c r="B995">
        <v>2000</v>
      </c>
      <c r="C995" t="s">
        <v>273</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cm="1">
        <f t="array" ref="W995">AND(ISNUMBER(LifeExpectancyData[[#This Row],[Adult Mortality]:[Schooling]]),ISNUMBER(LifeExpectancyData[[#This Row],[Life expectancy]]), LifeExpectancyData[[#This Row],[Year]]=2013)</f>
        <v>0</v>
      </c>
    </row>
    <row r="996" spans="1:23" hidden="1" x14ac:dyDescent="0.25">
      <c r="A996" t="s">
        <v>338</v>
      </c>
      <c r="B996">
        <v>2015</v>
      </c>
      <c r="C996" t="s">
        <v>281</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cm="1">
        <f t="array" ref="W996">AND(ISNUMBER(LifeExpectancyData[[#This Row],[Adult Mortality]:[Schooling]]),ISNUMBER(LifeExpectancyData[[#This Row],[Life expectancy]]), LifeExpectancyData[[#This Row],[Year]]=2013)</f>
        <v>0</v>
      </c>
    </row>
    <row r="997" spans="1:23" x14ac:dyDescent="0.25">
      <c r="A997" t="s">
        <v>338</v>
      </c>
      <c r="B997">
        <v>2014</v>
      </c>
      <c r="C997" t="s">
        <v>281</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cm="1">
        <f t="array" ref="W997">AND(ISNUMBER(LifeExpectancyData[[#This Row],[Adult Mortality]:[Schooling]]),ISNUMBER(LifeExpectancyData[[#This Row],[Life expectancy]]), LifeExpectancyData[[#This Row],[Year]]=2013)</f>
        <v>0</v>
      </c>
    </row>
    <row r="998" spans="1:23" x14ac:dyDescent="0.25">
      <c r="A998" t="s">
        <v>338</v>
      </c>
      <c r="B998">
        <v>2013</v>
      </c>
      <c r="C998" t="s">
        <v>281</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cm="1">
        <f t="array" ref="W998">AND(ISNUMBER(LifeExpectancyData[[#This Row],[Adult Mortality]:[Schooling]]),ISNUMBER(LifeExpectancyData[[#This Row],[Life expectancy]]), LifeExpectancyData[[#This Row],[Year]]=2013)</f>
        <v>1</v>
      </c>
    </row>
    <row r="999" spans="1:23" x14ac:dyDescent="0.25">
      <c r="A999" t="s">
        <v>338</v>
      </c>
      <c r="B999">
        <v>2012</v>
      </c>
      <c r="C999" t="s">
        <v>281</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cm="1">
        <f t="array" ref="W999">AND(ISNUMBER(LifeExpectancyData[[#This Row],[Adult Mortality]:[Schooling]]),ISNUMBER(LifeExpectancyData[[#This Row],[Life expectancy]]), LifeExpectancyData[[#This Row],[Year]]=2013)</f>
        <v>0</v>
      </c>
    </row>
    <row r="1000" spans="1:23" x14ac:dyDescent="0.25">
      <c r="A1000" t="s">
        <v>338</v>
      </c>
      <c r="B1000">
        <v>2011</v>
      </c>
      <c r="C1000" t="s">
        <v>281</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cm="1">
        <f t="array" ref="W1000">AND(ISNUMBER(LifeExpectancyData[[#This Row],[Adult Mortality]:[Schooling]]),ISNUMBER(LifeExpectancyData[[#This Row],[Life expectancy]]), LifeExpectancyData[[#This Row],[Year]]=2013)</f>
        <v>0</v>
      </c>
    </row>
    <row r="1001" spans="1:23" x14ac:dyDescent="0.25">
      <c r="A1001" t="s">
        <v>338</v>
      </c>
      <c r="B1001">
        <v>2010</v>
      </c>
      <c r="C1001" t="s">
        <v>281</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cm="1">
        <f t="array" ref="W1001">AND(ISNUMBER(LifeExpectancyData[[#This Row],[Adult Mortality]:[Schooling]]),ISNUMBER(LifeExpectancyData[[#This Row],[Life expectancy]]), LifeExpectancyData[[#This Row],[Year]]=2013)</f>
        <v>0</v>
      </c>
    </row>
    <row r="1002" spans="1:23" x14ac:dyDescent="0.25">
      <c r="A1002" t="s">
        <v>338</v>
      </c>
      <c r="B1002">
        <v>2009</v>
      </c>
      <c r="C1002" t="s">
        <v>281</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cm="1">
        <f t="array" ref="W1002">AND(ISNUMBER(LifeExpectancyData[[#This Row],[Adult Mortality]:[Schooling]]),ISNUMBER(LifeExpectancyData[[#This Row],[Life expectancy]]), LifeExpectancyData[[#This Row],[Year]]=2013)</f>
        <v>0</v>
      </c>
    </row>
    <row r="1003" spans="1:23" x14ac:dyDescent="0.25">
      <c r="A1003" t="s">
        <v>338</v>
      </c>
      <c r="B1003">
        <v>2008</v>
      </c>
      <c r="C1003" t="s">
        <v>281</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cm="1">
        <f t="array" ref="W1003">AND(ISNUMBER(LifeExpectancyData[[#This Row],[Adult Mortality]:[Schooling]]),ISNUMBER(LifeExpectancyData[[#This Row],[Life expectancy]]), LifeExpectancyData[[#This Row],[Year]]=2013)</f>
        <v>0</v>
      </c>
    </row>
    <row r="1004" spans="1:23" x14ac:dyDescent="0.25">
      <c r="A1004" t="s">
        <v>338</v>
      </c>
      <c r="B1004">
        <v>2007</v>
      </c>
      <c r="C1004" t="s">
        <v>281</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cm="1">
        <f t="array" ref="W1004">AND(ISNUMBER(LifeExpectancyData[[#This Row],[Adult Mortality]:[Schooling]]),ISNUMBER(LifeExpectancyData[[#This Row],[Life expectancy]]), LifeExpectancyData[[#This Row],[Year]]=2013)</f>
        <v>0</v>
      </c>
    </row>
    <row r="1005" spans="1:23" x14ac:dyDescent="0.25">
      <c r="A1005" t="s">
        <v>338</v>
      </c>
      <c r="B1005">
        <v>2006</v>
      </c>
      <c r="C1005" t="s">
        <v>281</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cm="1">
        <f t="array" ref="W1005">AND(ISNUMBER(LifeExpectancyData[[#This Row],[Adult Mortality]:[Schooling]]),ISNUMBER(LifeExpectancyData[[#This Row],[Life expectancy]]), LifeExpectancyData[[#This Row],[Year]]=2013)</f>
        <v>0</v>
      </c>
    </row>
    <row r="1006" spans="1:23" x14ac:dyDescent="0.25">
      <c r="A1006" t="s">
        <v>338</v>
      </c>
      <c r="B1006">
        <v>2005</v>
      </c>
      <c r="C1006" t="s">
        <v>281</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cm="1">
        <f t="array" ref="W1006">AND(ISNUMBER(LifeExpectancyData[[#This Row],[Adult Mortality]:[Schooling]]),ISNUMBER(LifeExpectancyData[[#This Row],[Life expectancy]]), LifeExpectancyData[[#This Row],[Year]]=2013)</f>
        <v>0</v>
      </c>
    </row>
    <row r="1007" spans="1:23" x14ac:dyDescent="0.25">
      <c r="A1007" t="s">
        <v>338</v>
      </c>
      <c r="B1007">
        <v>2004</v>
      </c>
      <c r="C1007" t="s">
        <v>281</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cm="1">
        <f t="array" ref="W1007">AND(ISNUMBER(LifeExpectancyData[[#This Row],[Adult Mortality]:[Schooling]]),ISNUMBER(LifeExpectancyData[[#This Row],[Life expectancy]]), LifeExpectancyData[[#This Row],[Year]]=2013)</f>
        <v>0</v>
      </c>
    </row>
    <row r="1008" spans="1:23" x14ac:dyDescent="0.25">
      <c r="A1008" t="s">
        <v>338</v>
      </c>
      <c r="B1008">
        <v>2003</v>
      </c>
      <c r="C1008" t="s">
        <v>281</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cm="1">
        <f t="array" ref="W1008">AND(ISNUMBER(LifeExpectancyData[[#This Row],[Adult Mortality]:[Schooling]]),ISNUMBER(LifeExpectancyData[[#This Row],[Life expectancy]]), LifeExpectancyData[[#This Row],[Year]]=2013)</f>
        <v>0</v>
      </c>
    </row>
    <row r="1009" spans="1:23" x14ac:dyDescent="0.25">
      <c r="A1009" t="s">
        <v>338</v>
      </c>
      <c r="B1009">
        <v>2002</v>
      </c>
      <c r="C1009" t="s">
        <v>281</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cm="1">
        <f t="array" ref="W1009">AND(ISNUMBER(LifeExpectancyData[[#This Row],[Adult Mortality]:[Schooling]]),ISNUMBER(LifeExpectancyData[[#This Row],[Life expectancy]]), LifeExpectancyData[[#This Row],[Year]]=2013)</f>
        <v>0</v>
      </c>
    </row>
    <row r="1010" spans="1:23" x14ac:dyDescent="0.25">
      <c r="A1010" t="s">
        <v>338</v>
      </c>
      <c r="B1010">
        <v>2001</v>
      </c>
      <c r="C1010" t="s">
        <v>281</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cm="1">
        <f t="array" ref="W1010">AND(ISNUMBER(LifeExpectancyData[[#This Row],[Adult Mortality]:[Schooling]]),ISNUMBER(LifeExpectancyData[[#This Row],[Life expectancy]]), LifeExpectancyData[[#This Row],[Year]]=2013)</f>
        <v>0</v>
      </c>
    </row>
    <row r="1011" spans="1:23" x14ac:dyDescent="0.25">
      <c r="A1011" t="s">
        <v>338</v>
      </c>
      <c r="B1011">
        <v>2000</v>
      </c>
      <c r="C1011" t="s">
        <v>281</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cm="1">
        <f t="array" ref="W1011">AND(ISNUMBER(LifeExpectancyData[[#This Row],[Adult Mortality]:[Schooling]]),ISNUMBER(LifeExpectancyData[[#This Row],[Life expectancy]]), LifeExpectancyData[[#This Row],[Year]]=2013)</f>
        <v>0</v>
      </c>
    </row>
    <row r="1012" spans="1:23" hidden="1" x14ac:dyDescent="0.25">
      <c r="A1012" t="s">
        <v>339</v>
      </c>
      <c r="B1012">
        <v>2015</v>
      </c>
      <c r="C1012" t="s">
        <v>273</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cm="1">
        <f t="array" ref="W1012">AND(ISNUMBER(LifeExpectancyData[[#This Row],[Adult Mortality]:[Schooling]]),ISNUMBER(LifeExpectancyData[[#This Row],[Life expectancy]]), LifeExpectancyData[[#This Row],[Year]]=2013)</f>
        <v>0</v>
      </c>
    </row>
    <row r="1013" spans="1:23" x14ac:dyDescent="0.25">
      <c r="A1013" t="s">
        <v>339</v>
      </c>
      <c r="B1013">
        <v>2014</v>
      </c>
      <c r="C1013" t="s">
        <v>273</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cm="1">
        <f t="array" ref="W1013">AND(ISNUMBER(LifeExpectancyData[[#This Row],[Adult Mortality]:[Schooling]]),ISNUMBER(LifeExpectancyData[[#This Row],[Life expectancy]]), LifeExpectancyData[[#This Row],[Year]]=2013)</f>
        <v>0</v>
      </c>
    </row>
    <row r="1014" spans="1:23" x14ac:dyDescent="0.25">
      <c r="A1014" t="s">
        <v>339</v>
      </c>
      <c r="B1014">
        <v>2013</v>
      </c>
      <c r="C1014" t="s">
        <v>273</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cm="1">
        <f t="array" ref="W1014">AND(ISNUMBER(LifeExpectancyData[[#This Row],[Adult Mortality]:[Schooling]]),ISNUMBER(LifeExpectancyData[[#This Row],[Life expectancy]]), LifeExpectancyData[[#This Row],[Year]]=2013)</f>
        <v>1</v>
      </c>
    </row>
    <row r="1015" spans="1:23" x14ac:dyDescent="0.25">
      <c r="A1015" t="s">
        <v>339</v>
      </c>
      <c r="B1015">
        <v>2012</v>
      </c>
      <c r="C1015" t="s">
        <v>273</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cm="1">
        <f t="array" ref="W1015">AND(ISNUMBER(LifeExpectancyData[[#This Row],[Adult Mortality]:[Schooling]]),ISNUMBER(LifeExpectancyData[[#This Row],[Life expectancy]]), LifeExpectancyData[[#This Row],[Year]]=2013)</f>
        <v>0</v>
      </c>
    </row>
    <row r="1016" spans="1:23" x14ac:dyDescent="0.25">
      <c r="A1016" t="s">
        <v>339</v>
      </c>
      <c r="B1016">
        <v>2011</v>
      </c>
      <c r="C1016" t="s">
        <v>273</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cm="1">
        <f t="array" ref="W1016">AND(ISNUMBER(LifeExpectancyData[[#This Row],[Adult Mortality]:[Schooling]]),ISNUMBER(LifeExpectancyData[[#This Row],[Life expectancy]]), LifeExpectancyData[[#This Row],[Year]]=2013)</f>
        <v>0</v>
      </c>
    </row>
    <row r="1017" spans="1:23" x14ac:dyDescent="0.25">
      <c r="A1017" t="s">
        <v>339</v>
      </c>
      <c r="B1017">
        <v>2010</v>
      </c>
      <c r="C1017" t="s">
        <v>273</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cm="1">
        <f t="array" ref="W1017">AND(ISNUMBER(LifeExpectancyData[[#This Row],[Adult Mortality]:[Schooling]]),ISNUMBER(LifeExpectancyData[[#This Row],[Life expectancy]]), LifeExpectancyData[[#This Row],[Year]]=2013)</f>
        <v>0</v>
      </c>
    </row>
    <row r="1018" spans="1:23" x14ac:dyDescent="0.25">
      <c r="A1018" t="s">
        <v>339</v>
      </c>
      <c r="B1018">
        <v>2009</v>
      </c>
      <c r="C1018" t="s">
        <v>273</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cm="1">
        <f t="array" ref="W1018">AND(ISNUMBER(LifeExpectancyData[[#This Row],[Adult Mortality]:[Schooling]]),ISNUMBER(LifeExpectancyData[[#This Row],[Life expectancy]]), LifeExpectancyData[[#This Row],[Year]]=2013)</f>
        <v>0</v>
      </c>
    </row>
    <row r="1019" spans="1:23" x14ac:dyDescent="0.25">
      <c r="A1019" t="s">
        <v>339</v>
      </c>
      <c r="B1019">
        <v>2008</v>
      </c>
      <c r="C1019" t="s">
        <v>273</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cm="1">
        <f t="array" ref="W1019">AND(ISNUMBER(LifeExpectancyData[[#This Row],[Adult Mortality]:[Schooling]]),ISNUMBER(LifeExpectancyData[[#This Row],[Life expectancy]]), LifeExpectancyData[[#This Row],[Year]]=2013)</f>
        <v>0</v>
      </c>
    </row>
    <row r="1020" spans="1:23" x14ac:dyDescent="0.25">
      <c r="A1020" t="s">
        <v>339</v>
      </c>
      <c r="B1020">
        <v>2007</v>
      </c>
      <c r="C1020" t="s">
        <v>273</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cm="1">
        <f t="array" ref="W1020">AND(ISNUMBER(LifeExpectancyData[[#This Row],[Adult Mortality]:[Schooling]]),ISNUMBER(LifeExpectancyData[[#This Row],[Life expectancy]]), LifeExpectancyData[[#This Row],[Year]]=2013)</f>
        <v>0</v>
      </c>
    </row>
    <row r="1021" spans="1:23" x14ac:dyDescent="0.25">
      <c r="A1021" t="s">
        <v>339</v>
      </c>
      <c r="B1021">
        <v>2006</v>
      </c>
      <c r="C1021" t="s">
        <v>273</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cm="1">
        <f t="array" ref="W1021">AND(ISNUMBER(LifeExpectancyData[[#This Row],[Adult Mortality]:[Schooling]]),ISNUMBER(LifeExpectancyData[[#This Row],[Life expectancy]]), LifeExpectancyData[[#This Row],[Year]]=2013)</f>
        <v>0</v>
      </c>
    </row>
    <row r="1022" spans="1:23" x14ac:dyDescent="0.25">
      <c r="A1022" t="s">
        <v>339</v>
      </c>
      <c r="B1022">
        <v>2005</v>
      </c>
      <c r="C1022" t="s">
        <v>273</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cm="1">
        <f t="array" ref="W1022">AND(ISNUMBER(LifeExpectancyData[[#This Row],[Adult Mortality]:[Schooling]]),ISNUMBER(LifeExpectancyData[[#This Row],[Life expectancy]]), LifeExpectancyData[[#This Row],[Year]]=2013)</f>
        <v>0</v>
      </c>
    </row>
    <row r="1023" spans="1:23" x14ac:dyDescent="0.25">
      <c r="A1023" t="s">
        <v>339</v>
      </c>
      <c r="B1023">
        <v>2004</v>
      </c>
      <c r="C1023" t="s">
        <v>273</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cm="1">
        <f t="array" ref="W1023">AND(ISNUMBER(LifeExpectancyData[[#This Row],[Adult Mortality]:[Schooling]]),ISNUMBER(LifeExpectancyData[[#This Row],[Life expectancy]]), LifeExpectancyData[[#This Row],[Year]]=2013)</f>
        <v>0</v>
      </c>
    </row>
    <row r="1024" spans="1:23" x14ac:dyDescent="0.25">
      <c r="A1024" t="s">
        <v>339</v>
      </c>
      <c r="B1024">
        <v>2003</v>
      </c>
      <c r="C1024" t="s">
        <v>273</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cm="1">
        <f t="array" ref="W1024">AND(ISNUMBER(LifeExpectancyData[[#This Row],[Adult Mortality]:[Schooling]]),ISNUMBER(LifeExpectancyData[[#This Row],[Life expectancy]]), LifeExpectancyData[[#This Row],[Year]]=2013)</f>
        <v>0</v>
      </c>
    </row>
    <row r="1025" spans="1:23" x14ac:dyDescent="0.25">
      <c r="A1025" t="s">
        <v>339</v>
      </c>
      <c r="B1025">
        <v>2002</v>
      </c>
      <c r="C1025" t="s">
        <v>273</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cm="1">
        <f t="array" ref="W1025">AND(ISNUMBER(LifeExpectancyData[[#This Row],[Adult Mortality]:[Schooling]]),ISNUMBER(LifeExpectancyData[[#This Row],[Life expectancy]]), LifeExpectancyData[[#This Row],[Year]]=2013)</f>
        <v>0</v>
      </c>
    </row>
    <row r="1026" spans="1:23" hidden="1" x14ac:dyDescent="0.25">
      <c r="A1026" t="s">
        <v>339</v>
      </c>
      <c r="B1026">
        <v>2001</v>
      </c>
      <c r="C1026" t="s">
        <v>273</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cm="1">
        <f t="array" ref="W1026">AND(ISNUMBER(LifeExpectancyData[[#This Row],[Adult Mortality]:[Schooling]]),ISNUMBER(LifeExpectancyData[[#This Row],[Life expectancy]]), LifeExpectancyData[[#This Row],[Year]]=2013)</f>
        <v>0</v>
      </c>
    </row>
    <row r="1027" spans="1:23" hidden="1" x14ac:dyDescent="0.25">
      <c r="A1027" t="s">
        <v>339</v>
      </c>
      <c r="B1027">
        <v>2000</v>
      </c>
      <c r="C1027" t="s">
        <v>273</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cm="1">
        <f t="array" ref="W1027">AND(ISNUMBER(LifeExpectancyData[[#This Row],[Adult Mortality]:[Schooling]]),ISNUMBER(LifeExpectancyData[[#This Row],[Life expectancy]]), LifeExpectancyData[[#This Row],[Year]]=2013)</f>
        <v>0</v>
      </c>
    </row>
    <row r="1028" spans="1:23" hidden="1" x14ac:dyDescent="0.25">
      <c r="A1028" t="s">
        <v>340</v>
      </c>
      <c r="B1028">
        <v>2015</v>
      </c>
      <c r="C1028" t="s">
        <v>273</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cm="1">
        <f t="array" ref="W1028">AND(ISNUMBER(LifeExpectancyData[[#This Row],[Adult Mortality]:[Schooling]]),ISNUMBER(LifeExpectancyData[[#This Row],[Life expectancy]]), LifeExpectancyData[[#This Row],[Year]]=2013)</f>
        <v>0</v>
      </c>
    </row>
    <row r="1029" spans="1:23" x14ac:dyDescent="0.25">
      <c r="A1029" t="s">
        <v>340</v>
      </c>
      <c r="B1029">
        <v>2014</v>
      </c>
      <c r="C1029" t="s">
        <v>273</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cm="1">
        <f t="array" ref="W1029">AND(ISNUMBER(LifeExpectancyData[[#This Row],[Adult Mortality]:[Schooling]]),ISNUMBER(LifeExpectancyData[[#This Row],[Life expectancy]]), LifeExpectancyData[[#This Row],[Year]]=2013)</f>
        <v>0</v>
      </c>
    </row>
    <row r="1030" spans="1:23" x14ac:dyDescent="0.25">
      <c r="A1030" t="s">
        <v>340</v>
      </c>
      <c r="B1030">
        <v>2013</v>
      </c>
      <c r="C1030" t="s">
        <v>273</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cm="1">
        <f t="array" ref="W1030">AND(ISNUMBER(LifeExpectancyData[[#This Row],[Adult Mortality]:[Schooling]]),ISNUMBER(LifeExpectancyData[[#This Row],[Life expectancy]]), LifeExpectancyData[[#This Row],[Year]]=2013)</f>
        <v>1</v>
      </c>
    </row>
    <row r="1031" spans="1:23" x14ac:dyDescent="0.25">
      <c r="A1031" t="s">
        <v>340</v>
      </c>
      <c r="B1031">
        <v>2012</v>
      </c>
      <c r="C1031" t="s">
        <v>273</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cm="1">
        <f t="array" ref="W1031">AND(ISNUMBER(LifeExpectancyData[[#This Row],[Adult Mortality]:[Schooling]]),ISNUMBER(LifeExpectancyData[[#This Row],[Life expectancy]]), LifeExpectancyData[[#This Row],[Year]]=2013)</f>
        <v>0</v>
      </c>
    </row>
    <row r="1032" spans="1:23" x14ac:dyDescent="0.25">
      <c r="A1032" t="s">
        <v>340</v>
      </c>
      <c r="B1032">
        <v>2011</v>
      </c>
      <c r="C1032" t="s">
        <v>273</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cm="1">
        <f t="array" ref="W1032">AND(ISNUMBER(LifeExpectancyData[[#This Row],[Adult Mortality]:[Schooling]]),ISNUMBER(LifeExpectancyData[[#This Row],[Life expectancy]]), LifeExpectancyData[[#This Row],[Year]]=2013)</f>
        <v>0</v>
      </c>
    </row>
    <row r="1033" spans="1:23" x14ac:dyDescent="0.25">
      <c r="A1033" t="s">
        <v>340</v>
      </c>
      <c r="B1033">
        <v>2010</v>
      </c>
      <c r="C1033" t="s">
        <v>273</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cm="1">
        <f t="array" ref="W1033">AND(ISNUMBER(LifeExpectancyData[[#This Row],[Adult Mortality]:[Schooling]]),ISNUMBER(LifeExpectancyData[[#This Row],[Life expectancy]]), LifeExpectancyData[[#This Row],[Year]]=2013)</f>
        <v>0</v>
      </c>
    </row>
    <row r="1034" spans="1:23" x14ac:dyDescent="0.25">
      <c r="A1034" t="s">
        <v>340</v>
      </c>
      <c r="B1034">
        <v>2009</v>
      </c>
      <c r="C1034" t="s">
        <v>273</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cm="1">
        <f t="array" ref="W1034">AND(ISNUMBER(LifeExpectancyData[[#This Row],[Adult Mortality]:[Schooling]]),ISNUMBER(LifeExpectancyData[[#This Row],[Life expectancy]]), LifeExpectancyData[[#This Row],[Year]]=2013)</f>
        <v>0</v>
      </c>
    </row>
    <row r="1035" spans="1:23" x14ac:dyDescent="0.25">
      <c r="A1035" t="s">
        <v>340</v>
      </c>
      <c r="B1035">
        <v>2008</v>
      </c>
      <c r="C1035" t="s">
        <v>273</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cm="1">
        <f t="array" ref="W1035">AND(ISNUMBER(LifeExpectancyData[[#This Row],[Adult Mortality]:[Schooling]]),ISNUMBER(LifeExpectancyData[[#This Row],[Life expectancy]]), LifeExpectancyData[[#This Row],[Year]]=2013)</f>
        <v>0</v>
      </c>
    </row>
    <row r="1036" spans="1:23" x14ac:dyDescent="0.25">
      <c r="A1036" t="s">
        <v>340</v>
      </c>
      <c r="B1036">
        <v>2007</v>
      </c>
      <c r="C1036" t="s">
        <v>273</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cm="1">
        <f t="array" ref="W1036">AND(ISNUMBER(LifeExpectancyData[[#This Row],[Adult Mortality]:[Schooling]]),ISNUMBER(LifeExpectancyData[[#This Row],[Life expectancy]]), LifeExpectancyData[[#This Row],[Year]]=2013)</f>
        <v>0</v>
      </c>
    </row>
    <row r="1037" spans="1:23" x14ac:dyDescent="0.25">
      <c r="A1037" t="s">
        <v>340</v>
      </c>
      <c r="B1037">
        <v>2006</v>
      </c>
      <c r="C1037" t="s">
        <v>273</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cm="1">
        <f t="array" ref="W1037">AND(ISNUMBER(LifeExpectancyData[[#This Row],[Adult Mortality]:[Schooling]]),ISNUMBER(LifeExpectancyData[[#This Row],[Life expectancy]]), LifeExpectancyData[[#This Row],[Year]]=2013)</f>
        <v>0</v>
      </c>
    </row>
    <row r="1038" spans="1:23" x14ac:dyDescent="0.25">
      <c r="A1038" t="s">
        <v>340</v>
      </c>
      <c r="B1038">
        <v>2005</v>
      </c>
      <c r="C1038" t="s">
        <v>273</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cm="1">
        <f t="array" ref="W1038">AND(ISNUMBER(LifeExpectancyData[[#This Row],[Adult Mortality]:[Schooling]]),ISNUMBER(LifeExpectancyData[[#This Row],[Life expectancy]]), LifeExpectancyData[[#This Row],[Year]]=2013)</f>
        <v>0</v>
      </c>
    </row>
    <row r="1039" spans="1:23" x14ac:dyDescent="0.25">
      <c r="A1039" t="s">
        <v>340</v>
      </c>
      <c r="B1039">
        <v>2004</v>
      </c>
      <c r="C1039" t="s">
        <v>273</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cm="1">
        <f t="array" ref="W1039">AND(ISNUMBER(LifeExpectancyData[[#This Row],[Adult Mortality]:[Schooling]]),ISNUMBER(LifeExpectancyData[[#This Row],[Life expectancy]]), LifeExpectancyData[[#This Row],[Year]]=2013)</f>
        <v>0</v>
      </c>
    </row>
    <row r="1040" spans="1:23" x14ac:dyDescent="0.25">
      <c r="A1040" t="s">
        <v>340</v>
      </c>
      <c r="B1040">
        <v>2003</v>
      </c>
      <c r="C1040" t="s">
        <v>273</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cm="1">
        <f t="array" ref="W1040">AND(ISNUMBER(LifeExpectancyData[[#This Row],[Adult Mortality]:[Schooling]]),ISNUMBER(LifeExpectancyData[[#This Row],[Life expectancy]]), LifeExpectancyData[[#This Row],[Year]]=2013)</f>
        <v>0</v>
      </c>
    </row>
    <row r="1041" spans="1:23" x14ac:dyDescent="0.25">
      <c r="A1041" t="s">
        <v>340</v>
      </c>
      <c r="B1041">
        <v>2002</v>
      </c>
      <c r="C1041" t="s">
        <v>273</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cm="1">
        <f t="array" ref="W1041">AND(ISNUMBER(LifeExpectancyData[[#This Row],[Adult Mortality]:[Schooling]]),ISNUMBER(LifeExpectancyData[[#This Row],[Life expectancy]]), LifeExpectancyData[[#This Row],[Year]]=2013)</f>
        <v>0</v>
      </c>
    </row>
    <row r="1042" spans="1:23" x14ac:dyDescent="0.25">
      <c r="A1042" t="s">
        <v>340</v>
      </c>
      <c r="B1042">
        <v>2001</v>
      </c>
      <c r="C1042" t="s">
        <v>273</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cm="1">
        <f t="array" ref="W1042">AND(ISNUMBER(LifeExpectancyData[[#This Row],[Adult Mortality]:[Schooling]]),ISNUMBER(LifeExpectancyData[[#This Row],[Life expectancy]]), LifeExpectancyData[[#This Row],[Year]]=2013)</f>
        <v>0</v>
      </c>
    </row>
    <row r="1043" spans="1:23" x14ac:dyDescent="0.25">
      <c r="A1043" t="s">
        <v>340</v>
      </c>
      <c r="B1043">
        <v>2000</v>
      </c>
      <c r="C1043" t="s">
        <v>273</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cm="1">
        <f t="array" ref="W1043">AND(ISNUMBER(LifeExpectancyData[[#This Row],[Adult Mortality]:[Schooling]]),ISNUMBER(LifeExpectancyData[[#This Row],[Life expectancy]]), LifeExpectancyData[[#This Row],[Year]]=2013)</f>
        <v>0</v>
      </c>
    </row>
    <row r="1044" spans="1:23" hidden="1" x14ac:dyDescent="0.25">
      <c r="A1044" t="s">
        <v>341</v>
      </c>
      <c r="B1044">
        <v>2015</v>
      </c>
      <c r="C1044" t="s">
        <v>273</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cm="1">
        <f t="array" ref="W1044">AND(ISNUMBER(LifeExpectancyData[[#This Row],[Adult Mortality]:[Schooling]]),ISNUMBER(LifeExpectancyData[[#This Row],[Life expectancy]]), LifeExpectancyData[[#This Row],[Year]]=2013)</f>
        <v>0</v>
      </c>
    </row>
    <row r="1045" spans="1:23" hidden="1" x14ac:dyDescent="0.25">
      <c r="A1045" t="s">
        <v>341</v>
      </c>
      <c r="B1045">
        <v>2014</v>
      </c>
      <c r="C1045" t="s">
        <v>273</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cm="1">
        <f t="array" ref="W1045">AND(ISNUMBER(LifeExpectancyData[[#This Row],[Adult Mortality]:[Schooling]]),ISNUMBER(LifeExpectancyData[[#This Row],[Life expectancy]]), LifeExpectancyData[[#This Row],[Year]]=2013)</f>
        <v>0</v>
      </c>
    </row>
    <row r="1046" spans="1:23" hidden="1" x14ac:dyDescent="0.25">
      <c r="A1046" t="s">
        <v>341</v>
      </c>
      <c r="B1046">
        <v>2013</v>
      </c>
      <c r="C1046" t="s">
        <v>273</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cm="1">
        <f t="array" ref="W1046">AND(ISNUMBER(LifeExpectancyData[[#This Row],[Adult Mortality]:[Schooling]]),ISNUMBER(LifeExpectancyData[[#This Row],[Life expectancy]]), LifeExpectancyData[[#This Row],[Year]]=2013)</f>
        <v>0</v>
      </c>
    </row>
    <row r="1047" spans="1:23" hidden="1" x14ac:dyDescent="0.25">
      <c r="A1047" t="s">
        <v>341</v>
      </c>
      <c r="B1047">
        <v>2012</v>
      </c>
      <c r="C1047" t="s">
        <v>273</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cm="1">
        <f t="array" ref="W1047">AND(ISNUMBER(LifeExpectancyData[[#This Row],[Adult Mortality]:[Schooling]]),ISNUMBER(LifeExpectancyData[[#This Row],[Life expectancy]]), LifeExpectancyData[[#This Row],[Year]]=2013)</f>
        <v>0</v>
      </c>
    </row>
    <row r="1048" spans="1:23" hidden="1" x14ac:dyDescent="0.25">
      <c r="A1048" t="s">
        <v>341</v>
      </c>
      <c r="B1048">
        <v>2011</v>
      </c>
      <c r="C1048" t="s">
        <v>273</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cm="1">
        <f t="array" ref="W1048">AND(ISNUMBER(LifeExpectancyData[[#This Row],[Adult Mortality]:[Schooling]]),ISNUMBER(LifeExpectancyData[[#This Row],[Life expectancy]]), LifeExpectancyData[[#This Row],[Year]]=2013)</f>
        <v>0</v>
      </c>
    </row>
    <row r="1049" spans="1:23" hidden="1" x14ac:dyDescent="0.25">
      <c r="A1049" t="s">
        <v>341</v>
      </c>
      <c r="B1049">
        <v>2010</v>
      </c>
      <c r="C1049" t="s">
        <v>273</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cm="1">
        <f t="array" ref="W1049">AND(ISNUMBER(LifeExpectancyData[[#This Row],[Adult Mortality]:[Schooling]]),ISNUMBER(LifeExpectancyData[[#This Row],[Life expectancy]]), LifeExpectancyData[[#This Row],[Year]]=2013)</f>
        <v>0</v>
      </c>
    </row>
    <row r="1050" spans="1:23" hidden="1" x14ac:dyDescent="0.25">
      <c r="A1050" t="s">
        <v>341</v>
      </c>
      <c r="B1050">
        <v>2009</v>
      </c>
      <c r="C1050" t="s">
        <v>273</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cm="1">
        <f t="array" ref="W1050">AND(ISNUMBER(LifeExpectancyData[[#This Row],[Adult Mortality]:[Schooling]]),ISNUMBER(LifeExpectancyData[[#This Row],[Life expectancy]]), LifeExpectancyData[[#This Row],[Year]]=2013)</f>
        <v>0</v>
      </c>
    </row>
    <row r="1051" spans="1:23" hidden="1" x14ac:dyDescent="0.25">
      <c r="A1051" t="s">
        <v>341</v>
      </c>
      <c r="B1051">
        <v>2008</v>
      </c>
      <c r="C1051" t="s">
        <v>273</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cm="1">
        <f t="array" ref="W1051">AND(ISNUMBER(LifeExpectancyData[[#This Row],[Adult Mortality]:[Schooling]]),ISNUMBER(LifeExpectancyData[[#This Row],[Life expectancy]]), LifeExpectancyData[[#This Row],[Year]]=2013)</f>
        <v>0</v>
      </c>
    </row>
    <row r="1052" spans="1:23" hidden="1" x14ac:dyDescent="0.25">
      <c r="A1052" t="s">
        <v>341</v>
      </c>
      <c r="B1052">
        <v>2007</v>
      </c>
      <c r="C1052" t="s">
        <v>273</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cm="1">
        <f t="array" ref="W1052">AND(ISNUMBER(LifeExpectancyData[[#This Row],[Adult Mortality]:[Schooling]]),ISNUMBER(LifeExpectancyData[[#This Row],[Life expectancy]]), LifeExpectancyData[[#This Row],[Year]]=2013)</f>
        <v>0</v>
      </c>
    </row>
    <row r="1053" spans="1:23" hidden="1" x14ac:dyDescent="0.25">
      <c r="A1053" t="s">
        <v>341</v>
      </c>
      <c r="B1053">
        <v>2006</v>
      </c>
      <c r="C1053" t="s">
        <v>273</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cm="1">
        <f t="array" ref="W1053">AND(ISNUMBER(LifeExpectancyData[[#This Row],[Adult Mortality]:[Schooling]]),ISNUMBER(LifeExpectancyData[[#This Row],[Life expectancy]]), LifeExpectancyData[[#This Row],[Year]]=2013)</f>
        <v>0</v>
      </c>
    </row>
    <row r="1054" spans="1:23" hidden="1" x14ac:dyDescent="0.25">
      <c r="A1054" t="s">
        <v>341</v>
      </c>
      <c r="B1054">
        <v>2005</v>
      </c>
      <c r="C1054" t="s">
        <v>273</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cm="1">
        <f t="array" ref="W1054">AND(ISNUMBER(LifeExpectancyData[[#This Row],[Adult Mortality]:[Schooling]]),ISNUMBER(LifeExpectancyData[[#This Row],[Life expectancy]]), LifeExpectancyData[[#This Row],[Year]]=2013)</f>
        <v>0</v>
      </c>
    </row>
    <row r="1055" spans="1:23" hidden="1" x14ac:dyDescent="0.25">
      <c r="A1055" t="s">
        <v>341</v>
      </c>
      <c r="B1055">
        <v>2004</v>
      </c>
      <c r="C1055" t="s">
        <v>273</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cm="1">
        <f t="array" ref="W1055">AND(ISNUMBER(LifeExpectancyData[[#This Row],[Adult Mortality]:[Schooling]]),ISNUMBER(LifeExpectancyData[[#This Row],[Life expectancy]]), LifeExpectancyData[[#This Row],[Year]]=2013)</f>
        <v>0</v>
      </c>
    </row>
    <row r="1056" spans="1:23" hidden="1" x14ac:dyDescent="0.25">
      <c r="A1056" t="s">
        <v>341</v>
      </c>
      <c r="B1056">
        <v>2003</v>
      </c>
      <c r="C1056" t="s">
        <v>273</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cm="1">
        <f t="array" ref="W1056">AND(ISNUMBER(LifeExpectancyData[[#This Row],[Adult Mortality]:[Schooling]]),ISNUMBER(LifeExpectancyData[[#This Row],[Life expectancy]]), LifeExpectancyData[[#This Row],[Year]]=2013)</f>
        <v>0</v>
      </c>
    </row>
    <row r="1057" spans="1:23" hidden="1" x14ac:dyDescent="0.25">
      <c r="A1057" t="s">
        <v>341</v>
      </c>
      <c r="B1057">
        <v>2002</v>
      </c>
      <c r="C1057" t="s">
        <v>273</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cm="1">
        <f t="array" ref="W1057">AND(ISNUMBER(LifeExpectancyData[[#This Row],[Adult Mortality]:[Schooling]]),ISNUMBER(LifeExpectancyData[[#This Row],[Life expectancy]]), LifeExpectancyData[[#This Row],[Year]]=2013)</f>
        <v>0</v>
      </c>
    </row>
    <row r="1058" spans="1:23" hidden="1" x14ac:dyDescent="0.25">
      <c r="A1058" t="s">
        <v>341</v>
      </c>
      <c r="B1058">
        <v>2001</v>
      </c>
      <c r="C1058" t="s">
        <v>273</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cm="1">
        <f t="array" ref="W1058">AND(ISNUMBER(LifeExpectancyData[[#This Row],[Adult Mortality]:[Schooling]]),ISNUMBER(LifeExpectancyData[[#This Row],[Life expectancy]]), LifeExpectancyData[[#This Row],[Year]]=2013)</f>
        <v>0</v>
      </c>
    </row>
    <row r="1059" spans="1:23" hidden="1" x14ac:dyDescent="0.25">
      <c r="A1059" t="s">
        <v>341</v>
      </c>
      <c r="B1059">
        <v>2000</v>
      </c>
      <c r="C1059" t="s">
        <v>273</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cm="1">
        <f t="array" ref="W1059">AND(ISNUMBER(LifeExpectancyData[[#This Row],[Adult Mortality]:[Schooling]]),ISNUMBER(LifeExpectancyData[[#This Row],[Life expectancy]]), LifeExpectancyData[[#This Row],[Year]]=2013)</f>
        <v>0</v>
      </c>
    </row>
    <row r="1060" spans="1:23" hidden="1" x14ac:dyDescent="0.25">
      <c r="A1060" t="s">
        <v>342</v>
      </c>
      <c r="B1060">
        <v>2015</v>
      </c>
      <c r="C1060" t="s">
        <v>273</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cm="1">
        <f t="array" ref="W1060">AND(ISNUMBER(LifeExpectancyData[[#This Row],[Adult Mortality]:[Schooling]]),ISNUMBER(LifeExpectancyData[[#This Row],[Life expectancy]]), LifeExpectancyData[[#This Row],[Year]]=2013)</f>
        <v>0</v>
      </c>
    </row>
    <row r="1061" spans="1:23" x14ac:dyDescent="0.25">
      <c r="A1061" t="s">
        <v>342</v>
      </c>
      <c r="B1061">
        <v>2014</v>
      </c>
      <c r="C1061" t="s">
        <v>273</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cm="1">
        <f t="array" ref="W1061">AND(ISNUMBER(LifeExpectancyData[[#This Row],[Adult Mortality]:[Schooling]]),ISNUMBER(LifeExpectancyData[[#This Row],[Life expectancy]]), LifeExpectancyData[[#This Row],[Year]]=2013)</f>
        <v>0</v>
      </c>
    </row>
    <row r="1062" spans="1:23" x14ac:dyDescent="0.25">
      <c r="A1062" t="s">
        <v>342</v>
      </c>
      <c r="B1062">
        <v>2013</v>
      </c>
      <c r="C1062" t="s">
        <v>273</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cm="1">
        <f t="array" ref="W1062">AND(ISNUMBER(LifeExpectancyData[[#This Row],[Adult Mortality]:[Schooling]]),ISNUMBER(LifeExpectancyData[[#This Row],[Life expectancy]]), LifeExpectancyData[[#This Row],[Year]]=2013)</f>
        <v>1</v>
      </c>
    </row>
    <row r="1063" spans="1:23" x14ac:dyDescent="0.25">
      <c r="A1063" t="s">
        <v>342</v>
      </c>
      <c r="B1063">
        <v>2012</v>
      </c>
      <c r="C1063" t="s">
        <v>273</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cm="1">
        <f t="array" ref="W1063">AND(ISNUMBER(LifeExpectancyData[[#This Row],[Adult Mortality]:[Schooling]]),ISNUMBER(LifeExpectancyData[[#This Row],[Life expectancy]]), LifeExpectancyData[[#This Row],[Year]]=2013)</f>
        <v>0</v>
      </c>
    </row>
    <row r="1064" spans="1:23" x14ac:dyDescent="0.25">
      <c r="A1064" t="s">
        <v>342</v>
      </c>
      <c r="B1064">
        <v>2011</v>
      </c>
      <c r="C1064" t="s">
        <v>273</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cm="1">
        <f t="array" ref="W1064">AND(ISNUMBER(LifeExpectancyData[[#This Row],[Adult Mortality]:[Schooling]]),ISNUMBER(LifeExpectancyData[[#This Row],[Life expectancy]]), LifeExpectancyData[[#This Row],[Year]]=2013)</f>
        <v>0</v>
      </c>
    </row>
    <row r="1065" spans="1:23" x14ac:dyDescent="0.25">
      <c r="A1065" t="s">
        <v>342</v>
      </c>
      <c r="B1065">
        <v>2010</v>
      </c>
      <c r="C1065" t="s">
        <v>273</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cm="1">
        <f t="array" ref="W1065">AND(ISNUMBER(LifeExpectancyData[[#This Row],[Adult Mortality]:[Schooling]]),ISNUMBER(LifeExpectancyData[[#This Row],[Life expectancy]]), LifeExpectancyData[[#This Row],[Year]]=2013)</f>
        <v>0</v>
      </c>
    </row>
    <row r="1066" spans="1:23" x14ac:dyDescent="0.25">
      <c r="A1066" t="s">
        <v>342</v>
      </c>
      <c r="B1066">
        <v>2009</v>
      </c>
      <c r="C1066" t="s">
        <v>273</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cm="1">
        <f t="array" ref="W1066">AND(ISNUMBER(LifeExpectancyData[[#This Row],[Adult Mortality]:[Schooling]]),ISNUMBER(LifeExpectancyData[[#This Row],[Life expectancy]]), LifeExpectancyData[[#This Row],[Year]]=2013)</f>
        <v>0</v>
      </c>
    </row>
    <row r="1067" spans="1:23" x14ac:dyDescent="0.25">
      <c r="A1067" t="s">
        <v>342</v>
      </c>
      <c r="B1067">
        <v>2008</v>
      </c>
      <c r="C1067" t="s">
        <v>273</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cm="1">
        <f t="array" ref="W1067">AND(ISNUMBER(LifeExpectancyData[[#This Row],[Adult Mortality]:[Schooling]]),ISNUMBER(LifeExpectancyData[[#This Row],[Life expectancy]]), LifeExpectancyData[[#This Row],[Year]]=2013)</f>
        <v>0</v>
      </c>
    </row>
    <row r="1068" spans="1:23" x14ac:dyDescent="0.25">
      <c r="A1068" t="s">
        <v>342</v>
      </c>
      <c r="B1068">
        <v>2007</v>
      </c>
      <c r="C1068" t="s">
        <v>273</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cm="1">
        <f t="array" ref="W1068">AND(ISNUMBER(LifeExpectancyData[[#This Row],[Adult Mortality]:[Schooling]]),ISNUMBER(LifeExpectancyData[[#This Row],[Life expectancy]]), LifeExpectancyData[[#This Row],[Year]]=2013)</f>
        <v>0</v>
      </c>
    </row>
    <row r="1069" spans="1:23" x14ac:dyDescent="0.25">
      <c r="A1069" t="s">
        <v>342</v>
      </c>
      <c r="B1069">
        <v>2006</v>
      </c>
      <c r="C1069" t="s">
        <v>273</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cm="1">
        <f t="array" ref="W1069">AND(ISNUMBER(LifeExpectancyData[[#This Row],[Adult Mortality]:[Schooling]]),ISNUMBER(LifeExpectancyData[[#This Row],[Life expectancy]]), LifeExpectancyData[[#This Row],[Year]]=2013)</f>
        <v>0</v>
      </c>
    </row>
    <row r="1070" spans="1:23" x14ac:dyDescent="0.25">
      <c r="A1070" t="s">
        <v>342</v>
      </c>
      <c r="B1070">
        <v>2005</v>
      </c>
      <c r="C1070" t="s">
        <v>273</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cm="1">
        <f t="array" ref="W1070">AND(ISNUMBER(LifeExpectancyData[[#This Row],[Adult Mortality]:[Schooling]]),ISNUMBER(LifeExpectancyData[[#This Row],[Life expectancy]]), LifeExpectancyData[[#This Row],[Year]]=2013)</f>
        <v>0</v>
      </c>
    </row>
    <row r="1071" spans="1:23" hidden="1" x14ac:dyDescent="0.25">
      <c r="A1071" t="s">
        <v>342</v>
      </c>
      <c r="B1071">
        <v>2004</v>
      </c>
      <c r="C1071" t="s">
        <v>273</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cm="1">
        <f t="array" ref="W1071">AND(ISNUMBER(LifeExpectancyData[[#This Row],[Adult Mortality]:[Schooling]]),ISNUMBER(LifeExpectancyData[[#This Row],[Life expectancy]]), LifeExpectancyData[[#This Row],[Year]]=2013)</f>
        <v>0</v>
      </c>
    </row>
    <row r="1072" spans="1:23" hidden="1" x14ac:dyDescent="0.25">
      <c r="A1072" t="s">
        <v>342</v>
      </c>
      <c r="B1072">
        <v>2003</v>
      </c>
      <c r="C1072" t="s">
        <v>273</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cm="1">
        <f t="array" ref="W1072">AND(ISNUMBER(LifeExpectancyData[[#This Row],[Adult Mortality]:[Schooling]]),ISNUMBER(LifeExpectancyData[[#This Row],[Life expectancy]]), LifeExpectancyData[[#This Row],[Year]]=2013)</f>
        <v>0</v>
      </c>
    </row>
    <row r="1073" spans="1:23" hidden="1" x14ac:dyDescent="0.25">
      <c r="A1073" t="s">
        <v>342</v>
      </c>
      <c r="B1073">
        <v>2002</v>
      </c>
      <c r="C1073" t="s">
        <v>273</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cm="1">
        <f t="array" ref="W1073">AND(ISNUMBER(LifeExpectancyData[[#This Row],[Adult Mortality]:[Schooling]]),ISNUMBER(LifeExpectancyData[[#This Row],[Life expectancy]]), LifeExpectancyData[[#This Row],[Year]]=2013)</f>
        <v>0</v>
      </c>
    </row>
    <row r="1074" spans="1:23" hidden="1" x14ac:dyDescent="0.25">
      <c r="A1074" t="s">
        <v>342</v>
      </c>
      <c r="B1074">
        <v>2001</v>
      </c>
      <c r="C1074" t="s">
        <v>273</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cm="1">
        <f t="array" ref="W1074">AND(ISNUMBER(LifeExpectancyData[[#This Row],[Adult Mortality]:[Schooling]]),ISNUMBER(LifeExpectancyData[[#This Row],[Life expectancy]]), LifeExpectancyData[[#This Row],[Year]]=2013)</f>
        <v>0</v>
      </c>
    </row>
    <row r="1075" spans="1:23" hidden="1" x14ac:dyDescent="0.25">
      <c r="A1075" t="s">
        <v>342</v>
      </c>
      <c r="B1075">
        <v>2000</v>
      </c>
      <c r="C1075" t="s">
        <v>273</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cm="1">
        <f t="array" ref="W1075">AND(ISNUMBER(LifeExpectancyData[[#This Row],[Adult Mortality]:[Schooling]]),ISNUMBER(LifeExpectancyData[[#This Row],[Life expectancy]]), LifeExpectancyData[[#This Row],[Year]]=2013)</f>
        <v>0</v>
      </c>
    </row>
    <row r="1076" spans="1:23" hidden="1" x14ac:dyDescent="0.25">
      <c r="A1076" t="s">
        <v>343</v>
      </c>
      <c r="B1076">
        <v>2015</v>
      </c>
      <c r="C1076" t="s">
        <v>273</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cm="1">
        <f t="array" ref="W1076">AND(ISNUMBER(LifeExpectancyData[[#This Row],[Adult Mortality]:[Schooling]]),ISNUMBER(LifeExpectancyData[[#This Row],[Life expectancy]]), LifeExpectancyData[[#This Row],[Year]]=2013)</f>
        <v>0</v>
      </c>
    </row>
    <row r="1077" spans="1:23" x14ac:dyDescent="0.25">
      <c r="A1077" t="s">
        <v>343</v>
      </c>
      <c r="B1077">
        <v>2014</v>
      </c>
      <c r="C1077" t="s">
        <v>273</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cm="1">
        <f t="array" ref="W1077">AND(ISNUMBER(LifeExpectancyData[[#This Row],[Adult Mortality]:[Schooling]]),ISNUMBER(LifeExpectancyData[[#This Row],[Life expectancy]]), LifeExpectancyData[[#This Row],[Year]]=2013)</f>
        <v>0</v>
      </c>
    </row>
    <row r="1078" spans="1:23" x14ac:dyDescent="0.25">
      <c r="A1078" t="s">
        <v>343</v>
      </c>
      <c r="B1078">
        <v>2013</v>
      </c>
      <c r="C1078" t="s">
        <v>273</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cm="1">
        <f t="array" ref="W1078">AND(ISNUMBER(LifeExpectancyData[[#This Row],[Adult Mortality]:[Schooling]]),ISNUMBER(LifeExpectancyData[[#This Row],[Life expectancy]]), LifeExpectancyData[[#This Row],[Year]]=2013)</f>
        <v>1</v>
      </c>
    </row>
    <row r="1079" spans="1:23" x14ac:dyDescent="0.25">
      <c r="A1079" t="s">
        <v>343</v>
      </c>
      <c r="B1079">
        <v>2012</v>
      </c>
      <c r="C1079" t="s">
        <v>273</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cm="1">
        <f t="array" ref="W1079">AND(ISNUMBER(LifeExpectancyData[[#This Row],[Adult Mortality]:[Schooling]]),ISNUMBER(LifeExpectancyData[[#This Row],[Life expectancy]]), LifeExpectancyData[[#This Row],[Year]]=2013)</f>
        <v>0</v>
      </c>
    </row>
    <row r="1080" spans="1:23" x14ac:dyDescent="0.25">
      <c r="A1080" t="s">
        <v>343</v>
      </c>
      <c r="B1080">
        <v>2011</v>
      </c>
      <c r="C1080" t="s">
        <v>273</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cm="1">
        <f t="array" ref="W1080">AND(ISNUMBER(LifeExpectancyData[[#This Row],[Adult Mortality]:[Schooling]]),ISNUMBER(LifeExpectancyData[[#This Row],[Life expectancy]]), LifeExpectancyData[[#This Row],[Year]]=2013)</f>
        <v>0</v>
      </c>
    </row>
    <row r="1081" spans="1:23" x14ac:dyDescent="0.25">
      <c r="A1081" t="s">
        <v>343</v>
      </c>
      <c r="B1081">
        <v>2010</v>
      </c>
      <c r="C1081" t="s">
        <v>273</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cm="1">
        <f t="array" ref="W1081">AND(ISNUMBER(LifeExpectancyData[[#This Row],[Adult Mortality]:[Schooling]]),ISNUMBER(LifeExpectancyData[[#This Row],[Life expectancy]]), LifeExpectancyData[[#This Row],[Year]]=2013)</f>
        <v>0</v>
      </c>
    </row>
    <row r="1082" spans="1:23" x14ac:dyDescent="0.25">
      <c r="A1082" t="s">
        <v>343</v>
      </c>
      <c r="B1082">
        <v>2009</v>
      </c>
      <c r="C1082" t="s">
        <v>273</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cm="1">
        <f t="array" ref="W1082">AND(ISNUMBER(LifeExpectancyData[[#This Row],[Adult Mortality]:[Schooling]]),ISNUMBER(LifeExpectancyData[[#This Row],[Life expectancy]]), LifeExpectancyData[[#This Row],[Year]]=2013)</f>
        <v>0</v>
      </c>
    </row>
    <row r="1083" spans="1:23" x14ac:dyDescent="0.25">
      <c r="A1083" t="s">
        <v>343</v>
      </c>
      <c r="B1083">
        <v>2008</v>
      </c>
      <c r="C1083" t="s">
        <v>273</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cm="1">
        <f t="array" ref="W1083">AND(ISNUMBER(LifeExpectancyData[[#This Row],[Adult Mortality]:[Schooling]]),ISNUMBER(LifeExpectancyData[[#This Row],[Life expectancy]]), LifeExpectancyData[[#This Row],[Year]]=2013)</f>
        <v>0</v>
      </c>
    </row>
    <row r="1084" spans="1:23" x14ac:dyDescent="0.25">
      <c r="A1084" t="s">
        <v>343</v>
      </c>
      <c r="B1084">
        <v>2007</v>
      </c>
      <c r="C1084" t="s">
        <v>273</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cm="1">
        <f t="array" ref="W1084">AND(ISNUMBER(LifeExpectancyData[[#This Row],[Adult Mortality]:[Schooling]]),ISNUMBER(LifeExpectancyData[[#This Row],[Life expectancy]]), LifeExpectancyData[[#This Row],[Year]]=2013)</f>
        <v>0</v>
      </c>
    </row>
    <row r="1085" spans="1:23" hidden="1" x14ac:dyDescent="0.25">
      <c r="A1085" t="s">
        <v>343</v>
      </c>
      <c r="B1085">
        <v>2006</v>
      </c>
      <c r="C1085" t="s">
        <v>273</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cm="1">
        <f t="array" ref="W1085">AND(ISNUMBER(LifeExpectancyData[[#This Row],[Adult Mortality]:[Schooling]]),ISNUMBER(LifeExpectancyData[[#This Row],[Life expectancy]]), LifeExpectancyData[[#This Row],[Year]]=2013)</f>
        <v>0</v>
      </c>
    </row>
    <row r="1086" spans="1:23" hidden="1" x14ac:dyDescent="0.25">
      <c r="A1086" t="s">
        <v>343</v>
      </c>
      <c r="B1086">
        <v>2005</v>
      </c>
      <c r="C1086" t="s">
        <v>273</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cm="1">
        <f t="array" ref="W1086">AND(ISNUMBER(LifeExpectancyData[[#This Row],[Adult Mortality]:[Schooling]]),ISNUMBER(LifeExpectancyData[[#This Row],[Life expectancy]]), LifeExpectancyData[[#This Row],[Year]]=2013)</f>
        <v>0</v>
      </c>
    </row>
    <row r="1087" spans="1:23" hidden="1" x14ac:dyDescent="0.25">
      <c r="A1087" t="s">
        <v>343</v>
      </c>
      <c r="B1087">
        <v>2004</v>
      </c>
      <c r="C1087" t="s">
        <v>273</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cm="1">
        <f t="array" ref="W1087">AND(ISNUMBER(LifeExpectancyData[[#This Row],[Adult Mortality]:[Schooling]]),ISNUMBER(LifeExpectancyData[[#This Row],[Life expectancy]]), LifeExpectancyData[[#This Row],[Year]]=2013)</f>
        <v>0</v>
      </c>
    </row>
    <row r="1088" spans="1:23" hidden="1" x14ac:dyDescent="0.25">
      <c r="A1088" t="s">
        <v>343</v>
      </c>
      <c r="B1088">
        <v>2003</v>
      </c>
      <c r="C1088" t="s">
        <v>273</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cm="1">
        <f t="array" ref="W1088">AND(ISNUMBER(LifeExpectancyData[[#This Row],[Adult Mortality]:[Schooling]]),ISNUMBER(LifeExpectancyData[[#This Row],[Life expectancy]]), LifeExpectancyData[[#This Row],[Year]]=2013)</f>
        <v>0</v>
      </c>
    </row>
    <row r="1089" spans="1:23" hidden="1" x14ac:dyDescent="0.25">
      <c r="A1089" t="s">
        <v>343</v>
      </c>
      <c r="B1089">
        <v>2002</v>
      </c>
      <c r="C1089" t="s">
        <v>273</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cm="1">
        <f t="array" ref="W1089">AND(ISNUMBER(LifeExpectancyData[[#This Row],[Adult Mortality]:[Schooling]]),ISNUMBER(LifeExpectancyData[[#This Row],[Life expectancy]]), LifeExpectancyData[[#This Row],[Year]]=2013)</f>
        <v>0</v>
      </c>
    </row>
    <row r="1090" spans="1:23" hidden="1" x14ac:dyDescent="0.25">
      <c r="A1090" t="s">
        <v>343</v>
      </c>
      <c r="B1090">
        <v>2001</v>
      </c>
      <c r="C1090" t="s">
        <v>273</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cm="1">
        <f t="array" ref="W1090">AND(ISNUMBER(LifeExpectancyData[[#This Row],[Adult Mortality]:[Schooling]]),ISNUMBER(LifeExpectancyData[[#This Row],[Life expectancy]]), LifeExpectancyData[[#This Row],[Year]]=2013)</f>
        <v>0</v>
      </c>
    </row>
    <row r="1091" spans="1:23" hidden="1" x14ac:dyDescent="0.25">
      <c r="A1091" t="s">
        <v>343</v>
      </c>
      <c r="B1091">
        <v>2000</v>
      </c>
      <c r="C1091" t="s">
        <v>273</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cm="1">
        <f t="array" ref="W1091">AND(ISNUMBER(LifeExpectancyData[[#This Row],[Adult Mortality]:[Schooling]]),ISNUMBER(LifeExpectancyData[[#This Row],[Life expectancy]]), LifeExpectancyData[[#This Row],[Year]]=2013)</f>
        <v>0</v>
      </c>
    </row>
    <row r="1092" spans="1:23" hidden="1" x14ac:dyDescent="0.25">
      <c r="A1092" t="s">
        <v>344</v>
      </c>
      <c r="B1092">
        <v>2015</v>
      </c>
      <c r="C1092" t="s">
        <v>273</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cm="1">
        <f t="array" ref="W1092">AND(ISNUMBER(LifeExpectancyData[[#This Row],[Adult Mortality]:[Schooling]]),ISNUMBER(LifeExpectancyData[[#This Row],[Life expectancy]]), LifeExpectancyData[[#This Row],[Year]]=2013)</f>
        <v>0</v>
      </c>
    </row>
    <row r="1093" spans="1:23" x14ac:dyDescent="0.25">
      <c r="A1093" t="s">
        <v>344</v>
      </c>
      <c r="B1093">
        <v>2014</v>
      </c>
      <c r="C1093" t="s">
        <v>273</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cm="1">
        <f t="array" ref="W1093">AND(ISNUMBER(LifeExpectancyData[[#This Row],[Adult Mortality]:[Schooling]]),ISNUMBER(LifeExpectancyData[[#This Row],[Life expectancy]]), LifeExpectancyData[[#This Row],[Year]]=2013)</f>
        <v>0</v>
      </c>
    </row>
    <row r="1094" spans="1:23" x14ac:dyDescent="0.25">
      <c r="A1094" t="s">
        <v>344</v>
      </c>
      <c r="B1094">
        <v>2013</v>
      </c>
      <c r="C1094" t="s">
        <v>273</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cm="1">
        <f t="array" ref="W1094">AND(ISNUMBER(LifeExpectancyData[[#This Row],[Adult Mortality]:[Schooling]]),ISNUMBER(LifeExpectancyData[[#This Row],[Life expectancy]]), LifeExpectancyData[[#This Row],[Year]]=2013)</f>
        <v>1</v>
      </c>
    </row>
    <row r="1095" spans="1:23" x14ac:dyDescent="0.25">
      <c r="A1095" t="s">
        <v>344</v>
      </c>
      <c r="B1095">
        <v>2012</v>
      </c>
      <c r="C1095" t="s">
        <v>273</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cm="1">
        <f t="array" ref="W1095">AND(ISNUMBER(LifeExpectancyData[[#This Row],[Adult Mortality]:[Schooling]]),ISNUMBER(LifeExpectancyData[[#This Row],[Life expectancy]]), LifeExpectancyData[[#This Row],[Year]]=2013)</f>
        <v>0</v>
      </c>
    </row>
    <row r="1096" spans="1:23" x14ac:dyDescent="0.25">
      <c r="A1096" t="s">
        <v>344</v>
      </c>
      <c r="B1096">
        <v>2011</v>
      </c>
      <c r="C1096" t="s">
        <v>273</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cm="1">
        <f t="array" ref="W1096">AND(ISNUMBER(LifeExpectancyData[[#This Row],[Adult Mortality]:[Schooling]]),ISNUMBER(LifeExpectancyData[[#This Row],[Life expectancy]]), LifeExpectancyData[[#This Row],[Year]]=2013)</f>
        <v>0</v>
      </c>
    </row>
    <row r="1097" spans="1:23" x14ac:dyDescent="0.25">
      <c r="A1097" t="s">
        <v>344</v>
      </c>
      <c r="B1097">
        <v>2010</v>
      </c>
      <c r="C1097" t="s">
        <v>273</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cm="1">
        <f t="array" ref="W1097">AND(ISNUMBER(LifeExpectancyData[[#This Row],[Adult Mortality]:[Schooling]]),ISNUMBER(LifeExpectancyData[[#This Row],[Life expectancy]]), LifeExpectancyData[[#This Row],[Year]]=2013)</f>
        <v>0</v>
      </c>
    </row>
    <row r="1098" spans="1:23" x14ac:dyDescent="0.25">
      <c r="A1098" t="s">
        <v>344</v>
      </c>
      <c r="B1098">
        <v>2009</v>
      </c>
      <c r="C1098" t="s">
        <v>273</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cm="1">
        <f t="array" ref="W1098">AND(ISNUMBER(LifeExpectancyData[[#This Row],[Adult Mortality]:[Schooling]]),ISNUMBER(LifeExpectancyData[[#This Row],[Life expectancy]]), LifeExpectancyData[[#This Row],[Year]]=2013)</f>
        <v>0</v>
      </c>
    </row>
    <row r="1099" spans="1:23" hidden="1" x14ac:dyDescent="0.25">
      <c r="A1099" t="s">
        <v>344</v>
      </c>
      <c r="B1099">
        <v>2008</v>
      </c>
      <c r="C1099" t="s">
        <v>273</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cm="1">
        <f t="array" ref="W1099">AND(ISNUMBER(LifeExpectancyData[[#This Row],[Adult Mortality]:[Schooling]]),ISNUMBER(LifeExpectancyData[[#This Row],[Life expectancy]]), LifeExpectancyData[[#This Row],[Year]]=2013)</f>
        <v>0</v>
      </c>
    </row>
    <row r="1100" spans="1:23" hidden="1" x14ac:dyDescent="0.25">
      <c r="A1100" t="s">
        <v>344</v>
      </c>
      <c r="B1100">
        <v>2007</v>
      </c>
      <c r="C1100" t="s">
        <v>273</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cm="1">
        <f t="array" ref="W1100">AND(ISNUMBER(LifeExpectancyData[[#This Row],[Adult Mortality]:[Schooling]]),ISNUMBER(LifeExpectancyData[[#This Row],[Life expectancy]]), LifeExpectancyData[[#This Row],[Year]]=2013)</f>
        <v>0</v>
      </c>
    </row>
    <row r="1101" spans="1:23" hidden="1" x14ac:dyDescent="0.25">
      <c r="A1101" t="s">
        <v>344</v>
      </c>
      <c r="B1101">
        <v>2006</v>
      </c>
      <c r="C1101" t="s">
        <v>273</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cm="1">
        <f t="array" ref="W1101">AND(ISNUMBER(LifeExpectancyData[[#This Row],[Adult Mortality]:[Schooling]]),ISNUMBER(LifeExpectancyData[[#This Row],[Life expectancy]]), LifeExpectancyData[[#This Row],[Year]]=2013)</f>
        <v>0</v>
      </c>
    </row>
    <row r="1102" spans="1:23" hidden="1" x14ac:dyDescent="0.25">
      <c r="A1102" t="s">
        <v>344</v>
      </c>
      <c r="B1102">
        <v>2005</v>
      </c>
      <c r="C1102" t="s">
        <v>273</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cm="1">
        <f t="array" ref="W1102">AND(ISNUMBER(LifeExpectancyData[[#This Row],[Adult Mortality]:[Schooling]]),ISNUMBER(LifeExpectancyData[[#This Row],[Life expectancy]]), LifeExpectancyData[[#This Row],[Year]]=2013)</f>
        <v>0</v>
      </c>
    </row>
    <row r="1103" spans="1:23" hidden="1" x14ac:dyDescent="0.25">
      <c r="A1103" t="s">
        <v>344</v>
      </c>
      <c r="B1103">
        <v>2004</v>
      </c>
      <c r="C1103" t="s">
        <v>273</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cm="1">
        <f t="array" ref="W1103">AND(ISNUMBER(LifeExpectancyData[[#This Row],[Adult Mortality]:[Schooling]]),ISNUMBER(LifeExpectancyData[[#This Row],[Life expectancy]]), LifeExpectancyData[[#This Row],[Year]]=2013)</f>
        <v>0</v>
      </c>
    </row>
    <row r="1104" spans="1:23" hidden="1" x14ac:dyDescent="0.25">
      <c r="A1104" t="s">
        <v>344</v>
      </c>
      <c r="B1104">
        <v>2003</v>
      </c>
      <c r="C1104" t="s">
        <v>273</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cm="1">
        <f t="array" ref="W1104">AND(ISNUMBER(LifeExpectancyData[[#This Row],[Adult Mortality]:[Schooling]]),ISNUMBER(LifeExpectancyData[[#This Row],[Life expectancy]]), LifeExpectancyData[[#This Row],[Year]]=2013)</f>
        <v>0</v>
      </c>
    </row>
    <row r="1105" spans="1:23" hidden="1" x14ac:dyDescent="0.25">
      <c r="A1105" t="s">
        <v>344</v>
      </c>
      <c r="B1105">
        <v>2002</v>
      </c>
      <c r="C1105" t="s">
        <v>273</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cm="1">
        <f t="array" ref="W1105">AND(ISNUMBER(LifeExpectancyData[[#This Row],[Adult Mortality]:[Schooling]]),ISNUMBER(LifeExpectancyData[[#This Row],[Life expectancy]]), LifeExpectancyData[[#This Row],[Year]]=2013)</f>
        <v>0</v>
      </c>
    </row>
    <row r="1106" spans="1:23" hidden="1" x14ac:dyDescent="0.25">
      <c r="A1106" t="s">
        <v>344</v>
      </c>
      <c r="B1106">
        <v>2001</v>
      </c>
      <c r="C1106" t="s">
        <v>273</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cm="1">
        <f t="array" ref="W1106">AND(ISNUMBER(LifeExpectancyData[[#This Row],[Adult Mortality]:[Schooling]]),ISNUMBER(LifeExpectancyData[[#This Row],[Life expectancy]]), LifeExpectancyData[[#This Row],[Year]]=2013)</f>
        <v>0</v>
      </c>
    </row>
    <row r="1107" spans="1:23" hidden="1" x14ac:dyDescent="0.25">
      <c r="A1107" t="s">
        <v>344</v>
      </c>
      <c r="B1107">
        <v>2000</v>
      </c>
      <c r="C1107" t="s">
        <v>273</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cm="1">
        <f t="array" ref="W1107">AND(ISNUMBER(LifeExpectancyData[[#This Row],[Adult Mortality]:[Schooling]]),ISNUMBER(LifeExpectancyData[[#This Row],[Life expectancy]]), LifeExpectancyData[[#This Row],[Year]]=2013)</f>
        <v>0</v>
      </c>
    </row>
    <row r="1108" spans="1:23" hidden="1" x14ac:dyDescent="0.25">
      <c r="A1108" t="s">
        <v>345</v>
      </c>
      <c r="B1108">
        <v>2015</v>
      </c>
      <c r="C1108" t="s">
        <v>273</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cm="1">
        <f t="array" ref="W1108">AND(ISNUMBER(LifeExpectancyData[[#This Row],[Adult Mortality]:[Schooling]]),ISNUMBER(LifeExpectancyData[[#This Row],[Life expectancy]]), LifeExpectancyData[[#This Row],[Year]]=2013)</f>
        <v>0</v>
      </c>
    </row>
    <row r="1109" spans="1:23" x14ac:dyDescent="0.25">
      <c r="A1109" t="s">
        <v>345</v>
      </c>
      <c r="B1109">
        <v>2014</v>
      </c>
      <c r="C1109" t="s">
        <v>273</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cm="1">
        <f t="array" ref="W1109">AND(ISNUMBER(LifeExpectancyData[[#This Row],[Adult Mortality]:[Schooling]]),ISNUMBER(LifeExpectancyData[[#This Row],[Life expectancy]]), LifeExpectancyData[[#This Row],[Year]]=2013)</f>
        <v>0</v>
      </c>
    </row>
    <row r="1110" spans="1:23" x14ac:dyDescent="0.25">
      <c r="A1110" t="s">
        <v>345</v>
      </c>
      <c r="B1110">
        <v>2013</v>
      </c>
      <c r="C1110" t="s">
        <v>273</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cm="1">
        <f t="array" ref="W1110">AND(ISNUMBER(LifeExpectancyData[[#This Row],[Adult Mortality]:[Schooling]]),ISNUMBER(LifeExpectancyData[[#This Row],[Life expectancy]]), LifeExpectancyData[[#This Row],[Year]]=2013)</f>
        <v>1</v>
      </c>
    </row>
    <row r="1111" spans="1:23" x14ac:dyDescent="0.25">
      <c r="A1111" t="s">
        <v>345</v>
      </c>
      <c r="B1111">
        <v>2012</v>
      </c>
      <c r="C1111" t="s">
        <v>273</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cm="1">
        <f t="array" ref="W1111">AND(ISNUMBER(LifeExpectancyData[[#This Row],[Adult Mortality]:[Schooling]]),ISNUMBER(LifeExpectancyData[[#This Row],[Life expectancy]]), LifeExpectancyData[[#This Row],[Year]]=2013)</f>
        <v>0</v>
      </c>
    </row>
    <row r="1112" spans="1:23" x14ac:dyDescent="0.25">
      <c r="A1112" t="s">
        <v>345</v>
      </c>
      <c r="B1112">
        <v>2011</v>
      </c>
      <c r="C1112" t="s">
        <v>273</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cm="1">
        <f t="array" ref="W1112">AND(ISNUMBER(LifeExpectancyData[[#This Row],[Adult Mortality]:[Schooling]]),ISNUMBER(LifeExpectancyData[[#This Row],[Life expectancy]]), LifeExpectancyData[[#This Row],[Year]]=2013)</f>
        <v>0</v>
      </c>
    </row>
    <row r="1113" spans="1:23" x14ac:dyDescent="0.25">
      <c r="A1113" t="s">
        <v>345</v>
      </c>
      <c r="B1113">
        <v>2010</v>
      </c>
      <c r="C1113" t="s">
        <v>273</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cm="1">
        <f t="array" ref="W1113">AND(ISNUMBER(LifeExpectancyData[[#This Row],[Adult Mortality]:[Schooling]]),ISNUMBER(LifeExpectancyData[[#This Row],[Life expectancy]]), LifeExpectancyData[[#This Row],[Year]]=2013)</f>
        <v>0</v>
      </c>
    </row>
    <row r="1114" spans="1:23" x14ac:dyDescent="0.25">
      <c r="A1114" t="s">
        <v>345</v>
      </c>
      <c r="B1114">
        <v>2009</v>
      </c>
      <c r="C1114" t="s">
        <v>273</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cm="1">
        <f t="array" ref="W1114">AND(ISNUMBER(LifeExpectancyData[[#This Row],[Adult Mortality]:[Schooling]]),ISNUMBER(LifeExpectancyData[[#This Row],[Life expectancy]]), LifeExpectancyData[[#This Row],[Year]]=2013)</f>
        <v>0</v>
      </c>
    </row>
    <row r="1115" spans="1:23" x14ac:dyDescent="0.25">
      <c r="A1115" t="s">
        <v>345</v>
      </c>
      <c r="B1115">
        <v>2008</v>
      </c>
      <c r="C1115" t="s">
        <v>273</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cm="1">
        <f t="array" ref="W1115">AND(ISNUMBER(LifeExpectancyData[[#This Row],[Adult Mortality]:[Schooling]]),ISNUMBER(LifeExpectancyData[[#This Row],[Life expectancy]]), LifeExpectancyData[[#This Row],[Year]]=2013)</f>
        <v>0</v>
      </c>
    </row>
    <row r="1116" spans="1:23" x14ac:dyDescent="0.25">
      <c r="A1116" t="s">
        <v>345</v>
      </c>
      <c r="B1116">
        <v>2007</v>
      </c>
      <c r="C1116" t="s">
        <v>273</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cm="1">
        <f t="array" ref="W1116">AND(ISNUMBER(LifeExpectancyData[[#This Row],[Adult Mortality]:[Schooling]]),ISNUMBER(LifeExpectancyData[[#This Row],[Life expectancy]]), LifeExpectancyData[[#This Row],[Year]]=2013)</f>
        <v>0</v>
      </c>
    </row>
    <row r="1117" spans="1:23" x14ac:dyDescent="0.25">
      <c r="A1117" t="s">
        <v>345</v>
      </c>
      <c r="B1117">
        <v>2006</v>
      </c>
      <c r="C1117" t="s">
        <v>273</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cm="1">
        <f t="array" ref="W1117">AND(ISNUMBER(LifeExpectancyData[[#This Row],[Adult Mortality]:[Schooling]]),ISNUMBER(LifeExpectancyData[[#This Row],[Life expectancy]]), LifeExpectancyData[[#This Row],[Year]]=2013)</f>
        <v>0</v>
      </c>
    </row>
    <row r="1118" spans="1:23" x14ac:dyDescent="0.25">
      <c r="A1118" t="s">
        <v>345</v>
      </c>
      <c r="B1118">
        <v>2005</v>
      </c>
      <c r="C1118" t="s">
        <v>273</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cm="1">
        <f t="array" ref="W1118">AND(ISNUMBER(LifeExpectancyData[[#This Row],[Adult Mortality]:[Schooling]]),ISNUMBER(LifeExpectancyData[[#This Row],[Life expectancy]]), LifeExpectancyData[[#This Row],[Year]]=2013)</f>
        <v>0</v>
      </c>
    </row>
    <row r="1119" spans="1:23" x14ac:dyDescent="0.25">
      <c r="A1119" t="s">
        <v>345</v>
      </c>
      <c r="B1119">
        <v>2004</v>
      </c>
      <c r="C1119" t="s">
        <v>273</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cm="1">
        <f t="array" ref="W1119">AND(ISNUMBER(LifeExpectancyData[[#This Row],[Adult Mortality]:[Schooling]]),ISNUMBER(LifeExpectancyData[[#This Row],[Life expectancy]]), LifeExpectancyData[[#This Row],[Year]]=2013)</f>
        <v>0</v>
      </c>
    </row>
    <row r="1120" spans="1:23" x14ac:dyDescent="0.25">
      <c r="A1120" t="s">
        <v>345</v>
      </c>
      <c r="B1120">
        <v>2003</v>
      </c>
      <c r="C1120" t="s">
        <v>273</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cm="1">
        <f t="array" ref="W1120">AND(ISNUMBER(LifeExpectancyData[[#This Row],[Adult Mortality]:[Schooling]]),ISNUMBER(LifeExpectancyData[[#This Row],[Life expectancy]]), LifeExpectancyData[[#This Row],[Year]]=2013)</f>
        <v>0</v>
      </c>
    </row>
    <row r="1121" spans="1:23" x14ac:dyDescent="0.25">
      <c r="A1121" t="s">
        <v>345</v>
      </c>
      <c r="B1121">
        <v>2002</v>
      </c>
      <c r="C1121" t="s">
        <v>273</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cm="1">
        <f t="array" ref="W1121">AND(ISNUMBER(LifeExpectancyData[[#This Row],[Adult Mortality]:[Schooling]]),ISNUMBER(LifeExpectancyData[[#This Row],[Life expectancy]]), LifeExpectancyData[[#This Row],[Year]]=2013)</f>
        <v>0</v>
      </c>
    </row>
    <row r="1122" spans="1:23" x14ac:dyDescent="0.25">
      <c r="A1122" t="s">
        <v>345</v>
      </c>
      <c r="B1122">
        <v>2001</v>
      </c>
      <c r="C1122" t="s">
        <v>273</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cm="1">
        <f t="array" ref="W1122">AND(ISNUMBER(LifeExpectancyData[[#This Row],[Adult Mortality]:[Schooling]]),ISNUMBER(LifeExpectancyData[[#This Row],[Life expectancy]]), LifeExpectancyData[[#This Row],[Year]]=2013)</f>
        <v>0</v>
      </c>
    </row>
    <row r="1123" spans="1:23" hidden="1" x14ac:dyDescent="0.25">
      <c r="A1123" t="s">
        <v>345</v>
      </c>
      <c r="B1123">
        <v>2000</v>
      </c>
      <c r="C1123" t="s">
        <v>273</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cm="1">
        <f t="array" ref="W1123">AND(ISNUMBER(LifeExpectancyData[[#This Row],[Adult Mortality]:[Schooling]]),ISNUMBER(LifeExpectancyData[[#This Row],[Life expectancy]]), LifeExpectancyData[[#This Row],[Year]]=2013)</f>
        <v>0</v>
      </c>
    </row>
    <row r="1124" spans="1:23" hidden="1" x14ac:dyDescent="0.25">
      <c r="A1124" t="s">
        <v>346</v>
      </c>
      <c r="B1124">
        <v>2015</v>
      </c>
      <c r="C1124" t="s">
        <v>273</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cm="1">
        <f t="array" ref="W1124">AND(ISNUMBER(LifeExpectancyData[[#This Row],[Adult Mortality]:[Schooling]]),ISNUMBER(LifeExpectancyData[[#This Row],[Life expectancy]]), LifeExpectancyData[[#This Row],[Year]]=2013)</f>
        <v>0</v>
      </c>
    </row>
    <row r="1125" spans="1:23" x14ac:dyDescent="0.25">
      <c r="A1125" t="s">
        <v>346</v>
      </c>
      <c r="B1125">
        <v>2014</v>
      </c>
      <c r="C1125" t="s">
        <v>273</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cm="1">
        <f t="array" ref="W1125">AND(ISNUMBER(LifeExpectancyData[[#This Row],[Adult Mortality]:[Schooling]]),ISNUMBER(LifeExpectancyData[[#This Row],[Life expectancy]]), LifeExpectancyData[[#This Row],[Year]]=2013)</f>
        <v>0</v>
      </c>
    </row>
    <row r="1126" spans="1:23" x14ac:dyDescent="0.25">
      <c r="A1126" t="s">
        <v>346</v>
      </c>
      <c r="B1126">
        <v>2013</v>
      </c>
      <c r="C1126" t="s">
        <v>273</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cm="1">
        <f t="array" ref="W1126">AND(ISNUMBER(LifeExpectancyData[[#This Row],[Adult Mortality]:[Schooling]]),ISNUMBER(LifeExpectancyData[[#This Row],[Life expectancy]]), LifeExpectancyData[[#This Row],[Year]]=2013)</f>
        <v>1</v>
      </c>
    </row>
    <row r="1127" spans="1:23" hidden="1" x14ac:dyDescent="0.25">
      <c r="A1127" t="s">
        <v>346</v>
      </c>
      <c r="B1127">
        <v>2012</v>
      </c>
      <c r="C1127" t="s">
        <v>273</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cm="1">
        <f t="array" ref="W1127">AND(ISNUMBER(LifeExpectancyData[[#This Row],[Adult Mortality]:[Schooling]]),ISNUMBER(LifeExpectancyData[[#This Row],[Life expectancy]]), LifeExpectancyData[[#This Row],[Year]]=2013)</f>
        <v>0</v>
      </c>
    </row>
    <row r="1128" spans="1:23" hidden="1" x14ac:dyDescent="0.25">
      <c r="A1128" t="s">
        <v>346</v>
      </c>
      <c r="B1128">
        <v>2011</v>
      </c>
      <c r="C1128" t="s">
        <v>273</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cm="1">
        <f t="array" ref="W1128">AND(ISNUMBER(LifeExpectancyData[[#This Row],[Adult Mortality]:[Schooling]]),ISNUMBER(LifeExpectancyData[[#This Row],[Life expectancy]]), LifeExpectancyData[[#This Row],[Year]]=2013)</f>
        <v>0</v>
      </c>
    </row>
    <row r="1129" spans="1:23" hidden="1" x14ac:dyDescent="0.25">
      <c r="A1129" t="s">
        <v>346</v>
      </c>
      <c r="B1129">
        <v>2010</v>
      </c>
      <c r="C1129" t="s">
        <v>273</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cm="1">
        <f t="array" ref="W1129">AND(ISNUMBER(LifeExpectancyData[[#This Row],[Adult Mortality]:[Schooling]]),ISNUMBER(LifeExpectancyData[[#This Row],[Life expectancy]]), LifeExpectancyData[[#This Row],[Year]]=2013)</f>
        <v>0</v>
      </c>
    </row>
    <row r="1130" spans="1:23" hidden="1" x14ac:dyDescent="0.25">
      <c r="A1130" t="s">
        <v>346</v>
      </c>
      <c r="B1130">
        <v>2009</v>
      </c>
      <c r="C1130" t="s">
        <v>273</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cm="1">
        <f t="array" ref="W1130">AND(ISNUMBER(LifeExpectancyData[[#This Row],[Adult Mortality]:[Schooling]]),ISNUMBER(LifeExpectancyData[[#This Row],[Life expectancy]]), LifeExpectancyData[[#This Row],[Year]]=2013)</f>
        <v>0</v>
      </c>
    </row>
    <row r="1131" spans="1:23" hidden="1" x14ac:dyDescent="0.25">
      <c r="A1131" t="s">
        <v>346</v>
      </c>
      <c r="B1131">
        <v>2008</v>
      </c>
      <c r="C1131" t="s">
        <v>273</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cm="1">
        <f t="array" ref="W1131">AND(ISNUMBER(LifeExpectancyData[[#This Row],[Adult Mortality]:[Schooling]]),ISNUMBER(LifeExpectancyData[[#This Row],[Life expectancy]]), LifeExpectancyData[[#This Row],[Year]]=2013)</f>
        <v>0</v>
      </c>
    </row>
    <row r="1132" spans="1:23" hidden="1" x14ac:dyDescent="0.25">
      <c r="A1132" t="s">
        <v>346</v>
      </c>
      <c r="B1132">
        <v>2007</v>
      </c>
      <c r="C1132" t="s">
        <v>273</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cm="1">
        <f t="array" ref="W1132">AND(ISNUMBER(LifeExpectancyData[[#This Row],[Adult Mortality]:[Schooling]]),ISNUMBER(LifeExpectancyData[[#This Row],[Life expectancy]]), LifeExpectancyData[[#This Row],[Year]]=2013)</f>
        <v>0</v>
      </c>
    </row>
    <row r="1133" spans="1:23" hidden="1" x14ac:dyDescent="0.25">
      <c r="A1133" t="s">
        <v>346</v>
      </c>
      <c r="B1133">
        <v>2006</v>
      </c>
      <c r="C1133" t="s">
        <v>273</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cm="1">
        <f t="array" ref="W1133">AND(ISNUMBER(LifeExpectancyData[[#This Row],[Adult Mortality]:[Schooling]]),ISNUMBER(LifeExpectancyData[[#This Row],[Life expectancy]]), LifeExpectancyData[[#This Row],[Year]]=2013)</f>
        <v>0</v>
      </c>
    </row>
    <row r="1134" spans="1:23" hidden="1" x14ac:dyDescent="0.25">
      <c r="A1134" t="s">
        <v>346</v>
      </c>
      <c r="B1134">
        <v>2005</v>
      </c>
      <c r="C1134" t="s">
        <v>273</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cm="1">
        <f t="array" ref="W1134">AND(ISNUMBER(LifeExpectancyData[[#This Row],[Adult Mortality]:[Schooling]]),ISNUMBER(LifeExpectancyData[[#This Row],[Life expectancy]]), LifeExpectancyData[[#This Row],[Year]]=2013)</f>
        <v>0</v>
      </c>
    </row>
    <row r="1135" spans="1:23" hidden="1" x14ac:dyDescent="0.25">
      <c r="A1135" t="s">
        <v>346</v>
      </c>
      <c r="B1135">
        <v>2004</v>
      </c>
      <c r="C1135" t="s">
        <v>273</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cm="1">
        <f t="array" ref="W1135">AND(ISNUMBER(LifeExpectancyData[[#This Row],[Adult Mortality]:[Schooling]]),ISNUMBER(LifeExpectancyData[[#This Row],[Life expectancy]]), LifeExpectancyData[[#This Row],[Year]]=2013)</f>
        <v>0</v>
      </c>
    </row>
    <row r="1136" spans="1:23" hidden="1" x14ac:dyDescent="0.25">
      <c r="A1136" t="s">
        <v>346</v>
      </c>
      <c r="B1136">
        <v>2003</v>
      </c>
      <c r="C1136" t="s">
        <v>273</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cm="1">
        <f t="array" ref="W1136">AND(ISNUMBER(LifeExpectancyData[[#This Row],[Adult Mortality]:[Schooling]]),ISNUMBER(LifeExpectancyData[[#This Row],[Life expectancy]]), LifeExpectancyData[[#This Row],[Year]]=2013)</f>
        <v>0</v>
      </c>
    </row>
    <row r="1137" spans="1:23" hidden="1" x14ac:dyDescent="0.25">
      <c r="A1137" t="s">
        <v>346</v>
      </c>
      <c r="B1137">
        <v>2002</v>
      </c>
      <c r="C1137" t="s">
        <v>273</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cm="1">
        <f t="array" ref="W1137">AND(ISNUMBER(LifeExpectancyData[[#This Row],[Adult Mortality]:[Schooling]]),ISNUMBER(LifeExpectancyData[[#This Row],[Life expectancy]]), LifeExpectancyData[[#This Row],[Year]]=2013)</f>
        <v>0</v>
      </c>
    </row>
    <row r="1138" spans="1:23" hidden="1" x14ac:dyDescent="0.25">
      <c r="A1138" t="s">
        <v>346</v>
      </c>
      <c r="B1138">
        <v>2001</v>
      </c>
      <c r="C1138" t="s">
        <v>273</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cm="1">
        <f t="array" ref="W1138">AND(ISNUMBER(LifeExpectancyData[[#This Row],[Adult Mortality]:[Schooling]]),ISNUMBER(LifeExpectancyData[[#This Row],[Life expectancy]]), LifeExpectancyData[[#This Row],[Year]]=2013)</f>
        <v>0</v>
      </c>
    </row>
    <row r="1139" spans="1:23" hidden="1" x14ac:dyDescent="0.25">
      <c r="A1139" t="s">
        <v>346</v>
      </c>
      <c r="B1139">
        <v>2000</v>
      </c>
      <c r="C1139" t="s">
        <v>273</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cm="1">
        <f t="array" ref="W1139">AND(ISNUMBER(LifeExpectancyData[[#This Row],[Adult Mortality]:[Schooling]]),ISNUMBER(LifeExpectancyData[[#This Row],[Life expectancy]]), LifeExpectancyData[[#This Row],[Year]]=2013)</f>
        <v>0</v>
      </c>
    </row>
    <row r="1140" spans="1:23" hidden="1" x14ac:dyDescent="0.25">
      <c r="A1140" t="s">
        <v>347</v>
      </c>
      <c r="B1140">
        <v>2015</v>
      </c>
      <c r="C1140" t="s">
        <v>273</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cm="1">
        <f t="array" ref="W1140">AND(ISNUMBER(LifeExpectancyData[[#This Row],[Adult Mortality]:[Schooling]]),ISNUMBER(LifeExpectancyData[[#This Row],[Life expectancy]]), LifeExpectancyData[[#This Row],[Year]]=2013)</f>
        <v>0</v>
      </c>
    </row>
    <row r="1141" spans="1:23" x14ac:dyDescent="0.25">
      <c r="A1141" t="s">
        <v>347</v>
      </c>
      <c r="B1141">
        <v>2014</v>
      </c>
      <c r="C1141" t="s">
        <v>273</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cm="1">
        <f t="array" ref="W1141">AND(ISNUMBER(LifeExpectancyData[[#This Row],[Adult Mortality]:[Schooling]]),ISNUMBER(LifeExpectancyData[[#This Row],[Life expectancy]]), LifeExpectancyData[[#This Row],[Year]]=2013)</f>
        <v>0</v>
      </c>
    </row>
    <row r="1142" spans="1:23" x14ac:dyDescent="0.25">
      <c r="A1142" t="s">
        <v>347</v>
      </c>
      <c r="B1142">
        <v>2013</v>
      </c>
      <c r="C1142" t="s">
        <v>273</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cm="1">
        <f t="array" ref="W1142">AND(ISNUMBER(LifeExpectancyData[[#This Row],[Adult Mortality]:[Schooling]]),ISNUMBER(LifeExpectancyData[[#This Row],[Life expectancy]]), LifeExpectancyData[[#This Row],[Year]]=2013)</f>
        <v>1</v>
      </c>
    </row>
    <row r="1143" spans="1:23" x14ac:dyDescent="0.25">
      <c r="A1143" t="s">
        <v>347</v>
      </c>
      <c r="B1143">
        <v>2012</v>
      </c>
      <c r="C1143" t="s">
        <v>273</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cm="1">
        <f t="array" ref="W1143">AND(ISNUMBER(LifeExpectancyData[[#This Row],[Adult Mortality]:[Schooling]]),ISNUMBER(LifeExpectancyData[[#This Row],[Life expectancy]]), LifeExpectancyData[[#This Row],[Year]]=2013)</f>
        <v>0</v>
      </c>
    </row>
    <row r="1144" spans="1:23" x14ac:dyDescent="0.25">
      <c r="A1144" t="s">
        <v>347</v>
      </c>
      <c r="B1144">
        <v>2011</v>
      </c>
      <c r="C1144" t="s">
        <v>273</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cm="1">
        <f t="array" ref="W1144">AND(ISNUMBER(LifeExpectancyData[[#This Row],[Adult Mortality]:[Schooling]]),ISNUMBER(LifeExpectancyData[[#This Row],[Life expectancy]]), LifeExpectancyData[[#This Row],[Year]]=2013)</f>
        <v>0</v>
      </c>
    </row>
    <row r="1145" spans="1:23" x14ac:dyDescent="0.25">
      <c r="A1145" t="s">
        <v>347</v>
      </c>
      <c r="B1145">
        <v>2010</v>
      </c>
      <c r="C1145" t="s">
        <v>273</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cm="1">
        <f t="array" ref="W1145">AND(ISNUMBER(LifeExpectancyData[[#This Row],[Adult Mortality]:[Schooling]]),ISNUMBER(LifeExpectancyData[[#This Row],[Life expectancy]]), LifeExpectancyData[[#This Row],[Year]]=2013)</f>
        <v>0</v>
      </c>
    </row>
    <row r="1146" spans="1:23" x14ac:dyDescent="0.25">
      <c r="A1146" t="s">
        <v>347</v>
      </c>
      <c r="B1146">
        <v>2009</v>
      </c>
      <c r="C1146" t="s">
        <v>273</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cm="1">
        <f t="array" ref="W1146">AND(ISNUMBER(LifeExpectancyData[[#This Row],[Adult Mortality]:[Schooling]]),ISNUMBER(LifeExpectancyData[[#This Row],[Life expectancy]]), LifeExpectancyData[[#This Row],[Year]]=2013)</f>
        <v>0</v>
      </c>
    </row>
    <row r="1147" spans="1:23" x14ac:dyDescent="0.25">
      <c r="A1147" t="s">
        <v>347</v>
      </c>
      <c r="B1147">
        <v>2008</v>
      </c>
      <c r="C1147" t="s">
        <v>273</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cm="1">
        <f t="array" ref="W1147">AND(ISNUMBER(LifeExpectancyData[[#This Row],[Adult Mortality]:[Schooling]]),ISNUMBER(LifeExpectancyData[[#This Row],[Life expectancy]]), LifeExpectancyData[[#This Row],[Year]]=2013)</f>
        <v>0</v>
      </c>
    </row>
    <row r="1148" spans="1:23" x14ac:dyDescent="0.25">
      <c r="A1148" t="s">
        <v>347</v>
      </c>
      <c r="B1148">
        <v>2007</v>
      </c>
      <c r="C1148" t="s">
        <v>273</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cm="1">
        <f t="array" ref="W1148">AND(ISNUMBER(LifeExpectancyData[[#This Row],[Adult Mortality]:[Schooling]]),ISNUMBER(LifeExpectancyData[[#This Row],[Life expectancy]]), LifeExpectancyData[[#This Row],[Year]]=2013)</f>
        <v>0</v>
      </c>
    </row>
    <row r="1149" spans="1:23" x14ac:dyDescent="0.25">
      <c r="A1149" t="s">
        <v>347</v>
      </c>
      <c r="B1149">
        <v>2006</v>
      </c>
      <c r="C1149" t="s">
        <v>273</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cm="1">
        <f t="array" ref="W1149">AND(ISNUMBER(LifeExpectancyData[[#This Row],[Adult Mortality]:[Schooling]]),ISNUMBER(LifeExpectancyData[[#This Row],[Life expectancy]]), LifeExpectancyData[[#This Row],[Year]]=2013)</f>
        <v>0</v>
      </c>
    </row>
    <row r="1150" spans="1:23" x14ac:dyDescent="0.25">
      <c r="A1150" t="s">
        <v>347</v>
      </c>
      <c r="B1150">
        <v>2005</v>
      </c>
      <c r="C1150" t="s">
        <v>273</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cm="1">
        <f t="array" ref="W1150">AND(ISNUMBER(LifeExpectancyData[[#This Row],[Adult Mortality]:[Schooling]]),ISNUMBER(LifeExpectancyData[[#This Row],[Life expectancy]]), LifeExpectancyData[[#This Row],[Year]]=2013)</f>
        <v>0</v>
      </c>
    </row>
    <row r="1151" spans="1:23" x14ac:dyDescent="0.25">
      <c r="A1151" t="s">
        <v>347</v>
      </c>
      <c r="B1151">
        <v>2004</v>
      </c>
      <c r="C1151" t="s">
        <v>273</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cm="1">
        <f t="array" ref="W1151">AND(ISNUMBER(LifeExpectancyData[[#This Row],[Adult Mortality]:[Schooling]]),ISNUMBER(LifeExpectancyData[[#This Row],[Life expectancy]]), LifeExpectancyData[[#This Row],[Year]]=2013)</f>
        <v>0</v>
      </c>
    </row>
    <row r="1152" spans="1:23" x14ac:dyDescent="0.25">
      <c r="A1152" t="s">
        <v>347</v>
      </c>
      <c r="B1152">
        <v>2003</v>
      </c>
      <c r="C1152" t="s">
        <v>273</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cm="1">
        <f t="array" ref="W1152">AND(ISNUMBER(LifeExpectancyData[[#This Row],[Adult Mortality]:[Schooling]]),ISNUMBER(LifeExpectancyData[[#This Row],[Life expectancy]]), LifeExpectancyData[[#This Row],[Year]]=2013)</f>
        <v>0</v>
      </c>
    </row>
    <row r="1153" spans="1:23" x14ac:dyDescent="0.25">
      <c r="A1153" t="s">
        <v>347</v>
      </c>
      <c r="B1153">
        <v>2002</v>
      </c>
      <c r="C1153" t="s">
        <v>273</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cm="1">
        <f t="array" ref="W1153">AND(ISNUMBER(LifeExpectancyData[[#This Row],[Adult Mortality]:[Schooling]]),ISNUMBER(LifeExpectancyData[[#This Row],[Life expectancy]]), LifeExpectancyData[[#This Row],[Year]]=2013)</f>
        <v>0</v>
      </c>
    </row>
    <row r="1154" spans="1:23" x14ac:dyDescent="0.25">
      <c r="A1154" t="s">
        <v>347</v>
      </c>
      <c r="B1154">
        <v>2001</v>
      </c>
      <c r="C1154" t="s">
        <v>273</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cm="1">
        <f t="array" ref="W1154">AND(ISNUMBER(LifeExpectancyData[[#This Row],[Adult Mortality]:[Schooling]]),ISNUMBER(LifeExpectancyData[[#This Row],[Life expectancy]]), LifeExpectancyData[[#This Row],[Year]]=2013)</f>
        <v>0</v>
      </c>
    </row>
    <row r="1155" spans="1:23" x14ac:dyDescent="0.25">
      <c r="A1155" t="s">
        <v>347</v>
      </c>
      <c r="B1155">
        <v>2000</v>
      </c>
      <c r="C1155" t="s">
        <v>273</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cm="1">
        <f t="array" ref="W1155">AND(ISNUMBER(LifeExpectancyData[[#This Row],[Adult Mortality]:[Schooling]]),ISNUMBER(LifeExpectancyData[[#This Row],[Life expectancy]]), LifeExpectancyData[[#This Row],[Year]]=2013)</f>
        <v>0</v>
      </c>
    </row>
    <row r="1156" spans="1:23" hidden="1" x14ac:dyDescent="0.25">
      <c r="A1156" t="s">
        <v>348</v>
      </c>
      <c r="B1156">
        <v>2015</v>
      </c>
      <c r="C1156" t="s">
        <v>281</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cm="1">
        <f t="array" ref="W1156">AND(ISNUMBER(LifeExpectancyData[[#This Row],[Adult Mortality]:[Schooling]]),ISNUMBER(LifeExpectancyData[[#This Row],[Life expectancy]]), LifeExpectancyData[[#This Row],[Year]]=2013)</f>
        <v>0</v>
      </c>
    </row>
    <row r="1157" spans="1:23" hidden="1" x14ac:dyDescent="0.25">
      <c r="A1157" t="s">
        <v>348</v>
      </c>
      <c r="B1157">
        <v>2014</v>
      </c>
      <c r="C1157" t="s">
        <v>281</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cm="1">
        <f t="array" ref="W1157">AND(ISNUMBER(LifeExpectancyData[[#This Row],[Adult Mortality]:[Schooling]]),ISNUMBER(LifeExpectancyData[[#This Row],[Life expectancy]]), LifeExpectancyData[[#This Row],[Year]]=2013)</f>
        <v>0</v>
      </c>
    </row>
    <row r="1158" spans="1:23" hidden="1" x14ac:dyDescent="0.25">
      <c r="A1158" t="s">
        <v>348</v>
      </c>
      <c r="B1158">
        <v>2013</v>
      </c>
      <c r="C1158" t="s">
        <v>281</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cm="1">
        <f t="array" ref="W1158">AND(ISNUMBER(LifeExpectancyData[[#This Row],[Adult Mortality]:[Schooling]]),ISNUMBER(LifeExpectancyData[[#This Row],[Life expectancy]]), LifeExpectancyData[[#This Row],[Year]]=2013)</f>
        <v>0</v>
      </c>
    </row>
    <row r="1159" spans="1:23" hidden="1" x14ac:dyDescent="0.25">
      <c r="A1159" t="s">
        <v>348</v>
      </c>
      <c r="B1159">
        <v>2012</v>
      </c>
      <c r="C1159" t="s">
        <v>281</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cm="1">
        <f t="array" ref="W1159">AND(ISNUMBER(LifeExpectancyData[[#This Row],[Adult Mortality]:[Schooling]]),ISNUMBER(LifeExpectancyData[[#This Row],[Life expectancy]]), LifeExpectancyData[[#This Row],[Year]]=2013)</f>
        <v>0</v>
      </c>
    </row>
    <row r="1160" spans="1:23" hidden="1" x14ac:dyDescent="0.25">
      <c r="A1160" t="s">
        <v>348</v>
      </c>
      <c r="B1160">
        <v>2011</v>
      </c>
      <c r="C1160" t="s">
        <v>281</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cm="1">
        <f t="array" ref="W1160">AND(ISNUMBER(LifeExpectancyData[[#This Row],[Adult Mortality]:[Schooling]]),ISNUMBER(LifeExpectancyData[[#This Row],[Life expectancy]]), LifeExpectancyData[[#This Row],[Year]]=2013)</f>
        <v>0</v>
      </c>
    </row>
    <row r="1161" spans="1:23" hidden="1" x14ac:dyDescent="0.25">
      <c r="A1161" t="s">
        <v>348</v>
      </c>
      <c r="B1161">
        <v>2010</v>
      </c>
      <c r="C1161" t="s">
        <v>281</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cm="1">
        <f t="array" ref="W1161">AND(ISNUMBER(LifeExpectancyData[[#This Row],[Adult Mortality]:[Schooling]]),ISNUMBER(LifeExpectancyData[[#This Row],[Life expectancy]]), LifeExpectancyData[[#This Row],[Year]]=2013)</f>
        <v>0</v>
      </c>
    </row>
    <row r="1162" spans="1:23" hidden="1" x14ac:dyDescent="0.25">
      <c r="A1162" t="s">
        <v>348</v>
      </c>
      <c r="B1162">
        <v>2009</v>
      </c>
      <c r="C1162" t="s">
        <v>281</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cm="1">
        <f t="array" ref="W1162">AND(ISNUMBER(LifeExpectancyData[[#This Row],[Adult Mortality]:[Schooling]]),ISNUMBER(LifeExpectancyData[[#This Row],[Life expectancy]]), LifeExpectancyData[[#This Row],[Year]]=2013)</f>
        <v>0</v>
      </c>
    </row>
    <row r="1163" spans="1:23" hidden="1" x14ac:dyDescent="0.25">
      <c r="A1163" t="s">
        <v>348</v>
      </c>
      <c r="B1163">
        <v>2008</v>
      </c>
      <c r="C1163" t="s">
        <v>281</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cm="1">
        <f t="array" ref="W1163">AND(ISNUMBER(LifeExpectancyData[[#This Row],[Adult Mortality]:[Schooling]]),ISNUMBER(LifeExpectancyData[[#This Row],[Life expectancy]]), LifeExpectancyData[[#This Row],[Year]]=2013)</f>
        <v>0</v>
      </c>
    </row>
    <row r="1164" spans="1:23" hidden="1" x14ac:dyDescent="0.25">
      <c r="A1164" t="s">
        <v>348</v>
      </c>
      <c r="B1164">
        <v>2007</v>
      </c>
      <c r="C1164" t="s">
        <v>281</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cm="1">
        <f t="array" ref="W1164">AND(ISNUMBER(LifeExpectancyData[[#This Row],[Adult Mortality]:[Schooling]]),ISNUMBER(LifeExpectancyData[[#This Row],[Life expectancy]]), LifeExpectancyData[[#This Row],[Year]]=2013)</f>
        <v>0</v>
      </c>
    </row>
    <row r="1165" spans="1:23" hidden="1" x14ac:dyDescent="0.25">
      <c r="A1165" t="s">
        <v>348</v>
      </c>
      <c r="B1165">
        <v>2006</v>
      </c>
      <c r="C1165" t="s">
        <v>281</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cm="1">
        <f t="array" ref="W1165">AND(ISNUMBER(LifeExpectancyData[[#This Row],[Adult Mortality]:[Schooling]]),ISNUMBER(LifeExpectancyData[[#This Row],[Life expectancy]]), LifeExpectancyData[[#This Row],[Year]]=2013)</f>
        <v>0</v>
      </c>
    </row>
    <row r="1166" spans="1:23" hidden="1" x14ac:dyDescent="0.25">
      <c r="A1166" t="s">
        <v>348</v>
      </c>
      <c r="B1166">
        <v>2005</v>
      </c>
      <c r="C1166" t="s">
        <v>281</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cm="1">
        <f t="array" ref="W1166">AND(ISNUMBER(LifeExpectancyData[[#This Row],[Adult Mortality]:[Schooling]]),ISNUMBER(LifeExpectancyData[[#This Row],[Life expectancy]]), LifeExpectancyData[[#This Row],[Year]]=2013)</f>
        <v>0</v>
      </c>
    </row>
    <row r="1167" spans="1:23" hidden="1" x14ac:dyDescent="0.25">
      <c r="A1167" t="s">
        <v>348</v>
      </c>
      <c r="B1167">
        <v>2004</v>
      </c>
      <c r="C1167" t="s">
        <v>281</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cm="1">
        <f t="array" ref="W1167">AND(ISNUMBER(LifeExpectancyData[[#This Row],[Adult Mortality]:[Schooling]]),ISNUMBER(LifeExpectancyData[[#This Row],[Life expectancy]]), LifeExpectancyData[[#This Row],[Year]]=2013)</f>
        <v>0</v>
      </c>
    </row>
    <row r="1168" spans="1:23" hidden="1" x14ac:dyDescent="0.25">
      <c r="A1168" t="s">
        <v>348</v>
      </c>
      <c r="B1168">
        <v>2003</v>
      </c>
      <c r="C1168" t="s">
        <v>281</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cm="1">
        <f t="array" ref="W1168">AND(ISNUMBER(LifeExpectancyData[[#This Row],[Adult Mortality]:[Schooling]]),ISNUMBER(LifeExpectancyData[[#This Row],[Life expectancy]]), LifeExpectancyData[[#This Row],[Year]]=2013)</f>
        <v>0</v>
      </c>
    </row>
    <row r="1169" spans="1:23" hidden="1" x14ac:dyDescent="0.25">
      <c r="A1169" t="s">
        <v>348</v>
      </c>
      <c r="B1169">
        <v>2002</v>
      </c>
      <c r="C1169" t="s">
        <v>281</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cm="1">
        <f t="array" ref="W1169">AND(ISNUMBER(LifeExpectancyData[[#This Row],[Adult Mortality]:[Schooling]]),ISNUMBER(LifeExpectancyData[[#This Row],[Life expectancy]]), LifeExpectancyData[[#This Row],[Year]]=2013)</f>
        <v>0</v>
      </c>
    </row>
    <row r="1170" spans="1:23" hidden="1" x14ac:dyDescent="0.25">
      <c r="A1170" t="s">
        <v>348</v>
      </c>
      <c r="B1170">
        <v>2001</v>
      </c>
      <c r="C1170" t="s">
        <v>281</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cm="1">
        <f t="array" ref="W1170">AND(ISNUMBER(LifeExpectancyData[[#This Row],[Adult Mortality]:[Schooling]]),ISNUMBER(LifeExpectancyData[[#This Row],[Life expectancy]]), LifeExpectancyData[[#This Row],[Year]]=2013)</f>
        <v>0</v>
      </c>
    </row>
    <row r="1171" spans="1:23" hidden="1" x14ac:dyDescent="0.25">
      <c r="A1171" t="s">
        <v>348</v>
      </c>
      <c r="B1171">
        <v>2000</v>
      </c>
      <c r="C1171" t="s">
        <v>281</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cm="1">
        <f t="array" ref="W1171">AND(ISNUMBER(LifeExpectancyData[[#This Row],[Adult Mortality]:[Schooling]]),ISNUMBER(LifeExpectancyData[[#This Row],[Life expectancy]]), LifeExpectancyData[[#This Row],[Year]]=2013)</f>
        <v>0</v>
      </c>
    </row>
    <row r="1172" spans="1:23" hidden="1" x14ac:dyDescent="0.25">
      <c r="A1172" t="s">
        <v>349</v>
      </c>
      <c r="B1172">
        <v>2015</v>
      </c>
      <c r="C1172" t="s">
        <v>281</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cm="1">
        <f t="array" ref="W1172">AND(ISNUMBER(LifeExpectancyData[[#This Row],[Adult Mortality]:[Schooling]]),ISNUMBER(LifeExpectancyData[[#This Row],[Life expectancy]]), LifeExpectancyData[[#This Row],[Year]]=2013)</f>
        <v>0</v>
      </c>
    </row>
    <row r="1173" spans="1:23" hidden="1" x14ac:dyDescent="0.25">
      <c r="A1173" t="s">
        <v>349</v>
      </c>
      <c r="B1173">
        <v>2014</v>
      </c>
      <c r="C1173" t="s">
        <v>281</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cm="1">
        <f t="array" ref="W1173">AND(ISNUMBER(LifeExpectancyData[[#This Row],[Adult Mortality]:[Schooling]]),ISNUMBER(LifeExpectancyData[[#This Row],[Life expectancy]]), LifeExpectancyData[[#This Row],[Year]]=2013)</f>
        <v>0</v>
      </c>
    </row>
    <row r="1174" spans="1:23" hidden="1" x14ac:dyDescent="0.25">
      <c r="A1174" t="s">
        <v>349</v>
      </c>
      <c r="B1174">
        <v>2013</v>
      </c>
      <c r="C1174" t="s">
        <v>281</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cm="1">
        <f t="array" ref="W1174">AND(ISNUMBER(LifeExpectancyData[[#This Row],[Adult Mortality]:[Schooling]]),ISNUMBER(LifeExpectancyData[[#This Row],[Life expectancy]]), LifeExpectancyData[[#This Row],[Year]]=2013)</f>
        <v>0</v>
      </c>
    </row>
    <row r="1175" spans="1:23" hidden="1" x14ac:dyDescent="0.25">
      <c r="A1175" t="s">
        <v>349</v>
      </c>
      <c r="B1175">
        <v>2012</v>
      </c>
      <c r="C1175" t="s">
        <v>281</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cm="1">
        <f t="array" ref="W1175">AND(ISNUMBER(LifeExpectancyData[[#This Row],[Adult Mortality]:[Schooling]]),ISNUMBER(LifeExpectancyData[[#This Row],[Life expectancy]]), LifeExpectancyData[[#This Row],[Year]]=2013)</f>
        <v>0</v>
      </c>
    </row>
    <row r="1176" spans="1:23" hidden="1" x14ac:dyDescent="0.25">
      <c r="A1176" t="s">
        <v>349</v>
      </c>
      <c r="B1176">
        <v>2011</v>
      </c>
      <c r="C1176" t="s">
        <v>281</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cm="1">
        <f t="array" ref="W1176">AND(ISNUMBER(LifeExpectancyData[[#This Row],[Adult Mortality]:[Schooling]]),ISNUMBER(LifeExpectancyData[[#This Row],[Life expectancy]]), LifeExpectancyData[[#This Row],[Year]]=2013)</f>
        <v>0</v>
      </c>
    </row>
    <row r="1177" spans="1:23" hidden="1" x14ac:dyDescent="0.25">
      <c r="A1177" t="s">
        <v>349</v>
      </c>
      <c r="B1177">
        <v>2010</v>
      </c>
      <c r="C1177" t="s">
        <v>281</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cm="1">
        <f t="array" ref="W1177">AND(ISNUMBER(LifeExpectancyData[[#This Row],[Adult Mortality]:[Schooling]]),ISNUMBER(LifeExpectancyData[[#This Row],[Life expectancy]]), LifeExpectancyData[[#This Row],[Year]]=2013)</f>
        <v>0</v>
      </c>
    </row>
    <row r="1178" spans="1:23" hidden="1" x14ac:dyDescent="0.25">
      <c r="A1178" t="s">
        <v>349</v>
      </c>
      <c r="B1178">
        <v>2009</v>
      </c>
      <c r="C1178" t="s">
        <v>281</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cm="1">
        <f t="array" ref="W1178">AND(ISNUMBER(LifeExpectancyData[[#This Row],[Adult Mortality]:[Schooling]]),ISNUMBER(LifeExpectancyData[[#This Row],[Life expectancy]]), LifeExpectancyData[[#This Row],[Year]]=2013)</f>
        <v>0</v>
      </c>
    </row>
    <row r="1179" spans="1:23" hidden="1" x14ac:dyDescent="0.25">
      <c r="A1179" t="s">
        <v>349</v>
      </c>
      <c r="B1179">
        <v>2008</v>
      </c>
      <c r="C1179" t="s">
        <v>281</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cm="1">
        <f t="array" ref="W1179">AND(ISNUMBER(LifeExpectancyData[[#This Row],[Adult Mortality]:[Schooling]]),ISNUMBER(LifeExpectancyData[[#This Row],[Life expectancy]]), LifeExpectancyData[[#This Row],[Year]]=2013)</f>
        <v>0</v>
      </c>
    </row>
    <row r="1180" spans="1:23" hidden="1" x14ac:dyDescent="0.25">
      <c r="A1180" t="s">
        <v>349</v>
      </c>
      <c r="B1180">
        <v>2007</v>
      </c>
      <c r="C1180" t="s">
        <v>281</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cm="1">
        <f t="array" ref="W1180">AND(ISNUMBER(LifeExpectancyData[[#This Row],[Adult Mortality]:[Schooling]]),ISNUMBER(LifeExpectancyData[[#This Row],[Life expectancy]]), LifeExpectancyData[[#This Row],[Year]]=2013)</f>
        <v>0</v>
      </c>
    </row>
    <row r="1181" spans="1:23" hidden="1" x14ac:dyDescent="0.25">
      <c r="A1181" t="s">
        <v>349</v>
      </c>
      <c r="B1181">
        <v>2006</v>
      </c>
      <c r="C1181" t="s">
        <v>281</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cm="1">
        <f t="array" ref="W1181">AND(ISNUMBER(LifeExpectancyData[[#This Row],[Adult Mortality]:[Schooling]]),ISNUMBER(LifeExpectancyData[[#This Row],[Life expectancy]]), LifeExpectancyData[[#This Row],[Year]]=2013)</f>
        <v>0</v>
      </c>
    </row>
    <row r="1182" spans="1:23" hidden="1" x14ac:dyDescent="0.25">
      <c r="A1182" t="s">
        <v>349</v>
      </c>
      <c r="B1182">
        <v>2005</v>
      </c>
      <c r="C1182" t="s">
        <v>281</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cm="1">
        <f t="array" ref="W1182">AND(ISNUMBER(LifeExpectancyData[[#This Row],[Adult Mortality]:[Schooling]]),ISNUMBER(LifeExpectancyData[[#This Row],[Life expectancy]]), LifeExpectancyData[[#This Row],[Year]]=2013)</f>
        <v>0</v>
      </c>
    </row>
    <row r="1183" spans="1:23" hidden="1" x14ac:dyDescent="0.25">
      <c r="A1183" t="s">
        <v>349</v>
      </c>
      <c r="B1183">
        <v>2004</v>
      </c>
      <c r="C1183" t="s">
        <v>281</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cm="1">
        <f t="array" ref="W1183">AND(ISNUMBER(LifeExpectancyData[[#This Row],[Adult Mortality]:[Schooling]]),ISNUMBER(LifeExpectancyData[[#This Row],[Life expectancy]]), LifeExpectancyData[[#This Row],[Year]]=2013)</f>
        <v>0</v>
      </c>
    </row>
    <row r="1184" spans="1:23" hidden="1" x14ac:dyDescent="0.25">
      <c r="A1184" t="s">
        <v>349</v>
      </c>
      <c r="B1184">
        <v>2003</v>
      </c>
      <c r="C1184" t="s">
        <v>281</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cm="1">
        <f t="array" ref="W1184">AND(ISNUMBER(LifeExpectancyData[[#This Row],[Adult Mortality]:[Schooling]]),ISNUMBER(LifeExpectancyData[[#This Row],[Life expectancy]]), LifeExpectancyData[[#This Row],[Year]]=2013)</f>
        <v>0</v>
      </c>
    </row>
    <row r="1185" spans="1:23" hidden="1" x14ac:dyDescent="0.25">
      <c r="A1185" t="s">
        <v>349</v>
      </c>
      <c r="B1185">
        <v>2002</v>
      </c>
      <c r="C1185" t="s">
        <v>281</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cm="1">
        <f t="array" ref="W1185">AND(ISNUMBER(LifeExpectancyData[[#This Row],[Adult Mortality]:[Schooling]]),ISNUMBER(LifeExpectancyData[[#This Row],[Life expectancy]]), LifeExpectancyData[[#This Row],[Year]]=2013)</f>
        <v>0</v>
      </c>
    </row>
    <row r="1186" spans="1:23" hidden="1" x14ac:dyDescent="0.25">
      <c r="A1186" t="s">
        <v>349</v>
      </c>
      <c r="B1186">
        <v>2001</v>
      </c>
      <c r="C1186" t="s">
        <v>281</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cm="1">
        <f t="array" ref="W1186">AND(ISNUMBER(LifeExpectancyData[[#This Row],[Adult Mortality]:[Schooling]]),ISNUMBER(LifeExpectancyData[[#This Row],[Life expectancy]]), LifeExpectancyData[[#This Row],[Year]]=2013)</f>
        <v>0</v>
      </c>
    </row>
    <row r="1187" spans="1:23" hidden="1" x14ac:dyDescent="0.25">
      <c r="A1187" t="s">
        <v>349</v>
      </c>
      <c r="B1187">
        <v>2000</v>
      </c>
      <c r="C1187" t="s">
        <v>281</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cm="1">
        <f t="array" ref="W1187">AND(ISNUMBER(LifeExpectancyData[[#This Row],[Adult Mortality]:[Schooling]]),ISNUMBER(LifeExpectancyData[[#This Row],[Life expectancy]]), LifeExpectancyData[[#This Row],[Year]]=2013)</f>
        <v>0</v>
      </c>
    </row>
    <row r="1188" spans="1:23" hidden="1" x14ac:dyDescent="0.25">
      <c r="A1188" t="s">
        <v>350</v>
      </c>
      <c r="B1188">
        <v>2015</v>
      </c>
      <c r="C1188" t="s">
        <v>273</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cm="1">
        <f t="array" ref="W1188">AND(ISNUMBER(LifeExpectancyData[[#This Row],[Adult Mortality]:[Schooling]]),ISNUMBER(LifeExpectancyData[[#This Row],[Life expectancy]]), LifeExpectancyData[[#This Row],[Year]]=2013)</f>
        <v>0</v>
      </c>
    </row>
    <row r="1189" spans="1:23" x14ac:dyDescent="0.25">
      <c r="A1189" t="s">
        <v>350</v>
      </c>
      <c r="B1189">
        <v>2014</v>
      </c>
      <c r="C1189" t="s">
        <v>273</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cm="1">
        <f t="array" ref="W1189">AND(ISNUMBER(LifeExpectancyData[[#This Row],[Adult Mortality]:[Schooling]]),ISNUMBER(LifeExpectancyData[[#This Row],[Life expectancy]]), LifeExpectancyData[[#This Row],[Year]]=2013)</f>
        <v>0</v>
      </c>
    </row>
    <row r="1190" spans="1:23" x14ac:dyDescent="0.25">
      <c r="A1190" t="s">
        <v>350</v>
      </c>
      <c r="B1190">
        <v>2013</v>
      </c>
      <c r="C1190" t="s">
        <v>273</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cm="1">
        <f t="array" ref="W1190">AND(ISNUMBER(LifeExpectancyData[[#This Row],[Adult Mortality]:[Schooling]]),ISNUMBER(LifeExpectancyData[[#This Row],[Life expectancy]]), LifeExpectancyData[[#This Row],[Year]]=2013)</f>
        <v>1</v>
      </c>
    </row>
    <row r="1191" spans="1:23" x14ac:dyDescent="0.25">
      <c r="A1191" t="s">
        <v>350</v>
      </c>
      <c r="B1191">
        <v>2012</v>
      </c>
      <c r="C1191" t="s">
        <v>273</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cm="1">
        <f t="array" ref="W1191">AND(ISNUMBER(LifeExpectancyData[[#This Row],[Adult Mortality]:[Schooling]]),ISNUMBER(LifeExpectancyData[[#This Row],[Life expectancy]]), LifeExpectancyData[[#This Row],[Year]]=2013)</f>
        <v>0</v>
      </c>
    </row>
    <row r="1192" spans="1:23" x14ac:dyDescent="0.25">
      <c r="A1192" t="s">
        <v>350</v>
      </c>
      <c r="B1192">
        <v>2011</v>
      </c>
      <c r="C1192" t="s">
        <v>273</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cm="1">
        <f t="array" ref="W1192">AND(ISNUMBER(LifeExpectancyData[[#This Row],[Adult Mortality]:[Schooling]]),ISNUMBER(LifeExpectancyData[[#This Row],[Life expectancy]]), LifeExpectancyData[[#This Row],[Year]]=2013)</f>
        <v>0</v>
      </c>
    </row>
    <row r="1193" spans="1:23" x14ac:dyDescent="0.25">
      <c r="A1193" t="s">
        <v>350</v>
      </c>
      <c r="B1193">
        <v>2010</v>
      </c>
      <c r="C1193" t="s">
        <v>273</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cm="1">
        <f t="array" ref="W1193">AND(ISNUMBER(LifeExpectancyData[[#This Row],[Adult Mortality]:[Schooling]]),ISNUMBER(LifeExpectancyData[[#This Row],[Life expectancy]]), LifeExpectancyData[[#This Row],[Year]]=2013)</f>
        <v>0</v>
      </c>
    </row>
    <row r="1194" spans="1:23" x14ac:dyDescent="0.25">
      <c r="A1194" t="s">
        <v>350</v>
      </c>
      <c r="B1194">
        <v>2009</v>
      </c>
      <c r="C1194" t="s">
        <v>273</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cm="1">
        <f t="array" ref="W1194">AND(ISNUMBER(LifeExpectancyData[[#This Row],[Adult Mortality]:[Schooling]]),ISNUMBER(LifeExpectancyData[[#This Row],[Life expectancy]]), LifeExpectancyData[[#This Row],[Year]]=2013)</f>
        <v>0</v>
      </c>
    </row>
    <row r="1195" spans="1:23" x14ac:dyDescent="0.25">
      <c r="A1195" t="s">
        <v>350</v>
      </c>
      <c r="B1195">
        <v>2008</v>
      </c>
      <c r="C1195" t="s">
        <v>273</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cm="1">
        <f t="array" ref="W1195">AND(ISNUMBER(LifeExpectancyData[[#This Row],[Adult Mortality]:[Schooling]]),ISNUMBER(LifeExpectancyData[[#This Row],[Life expectancy]]), LifeExpectancyData[[#This Row],[Year]]=2013)</f>
        <v>0</v>
      </c>
    </row>
    <row r="1196" spans="1:23" x14ac:dyDescent="0.25">
      <c r="A1196" t="s">
        <v>350</v>
      </c>
      <c r="B1196">
        <v>2007</v>
      </c>
      <c r="C1196" t="s">
        <v>273</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cm="1">
        <f t="array" ref="W1196">AND(ISNUMBER(LifeExpectancyData[[#This Row],[Adult Mortality]:[Schooling]]),ISNUMBER(LifeExpectancyData[[#This Row],[Life expectancy]]), LifeExpectancyData[[#This Row],[Year]]=2013)</f>
        <v>0</v>
      </c>
    </row>
    <row r="1197" spans="1:23" x14ac:dyDescent="0.25">
      <c r="A1197" t="s">
        <v>350</v>
      </c>
      <c r="B1197">
        <v>2006</v>
      </c>
      <c r="C1197" t="s">
        <v>273</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cm="1">
        <f t="array" ref="W1197">AND(ISNUMBER(LifeExpectancyData[[#This Row],[Adult Mortality]:[Schooling]]),ISNUMBER(LifeExpectancyData[[#This Row],[Life expectancy]]), LifeExpectancyData[[#This Row],[Year]]=2013)</f>
        <v>0</v>
      </c>
    </row>
    <row r="1198" spans="1:23" x14ac:dyDescent="0.25">
      <c r="A1198" t="s">
        <v>350</v>
      </c>
      <c r="B1198">
        <v>2005</v>
      </c>
      <c r="C1198" t="s">
        <v>273</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cm="1">
        <f t="array" ref="W1198">AND(ISNUMBER(LifeExpectancyData[[#This Row],[Adult Mortality]:[Schooling]]),ISNUMBER(LifeExpectancyData[[#This Row],[Life expectancy]]), LifeExpectancyData[[#This Row],[Year]]=2013)</f>
        <v>0</v>
      </c>
    </row>
    <row r="1199" spans="1:23" x14ac:dyDescent="0.25">
      <c r="A1199" t="s">
        <v>350</v>
      </c>
      <c r="B1199">
        <v>2004</v>
      </c>
      <c r="C1199" t="s">
        <v>273</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cm="1">
        <f t="array" ref="W1199">AND(ISNUMBER(LifeExpectancyData[[#This Row],[Adult Mortality]:[Schooling]]),ISNUMBER(LifeExpectancyData[[#This Row],[Life expectancy]]), LifeExpectancyData[[#This Row],[Year]]=2013)</f>
        <v>0</v>
      </c>
    </row>
    <row r="1200" spans="1:23" hidden="1" x14ac:dyDescent="0.25">
      <c r="A1200" t="s">
        <v>350</v>
      </c>
      <c r="B1200">
        <v>2003</v>
      </c>
      <c r="C1200" t="s">
        <v>273</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cm="1">
        <f t="array" ref="W1200">AND(ISNUMBER(LifeExpectancyData[[#This Row],[Adult Mortality]:[Schooling]]),ISNUMBER(LifeExpectancyData[[#This Row],[Life expectancy]]), LifeExpectancyData[[#This Row],[Year]]=2013)</f>
        <v>0</v>
      </c>
    </row>
    <row r="1201" spans="1:23" hidden="1" x14ac:dyDescent="0.25">
      <c r="A1201" t="s">
        <v>350</v>
      </c>
      <c r="B1201">
        <v>2002</v>
      </c>
      <c r="C1201" t="s">
        <v>273</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cm="1">
        <f t="array" ref="W1201">AND(ISNUMBER(LifeExpectancyData[[#This Row],[Adult Mortality]:[Schooling]]),ISNUMBER(LifeExpectancyData[[#This Row],[Life expectancy]]), LifeExpectancyData[[#This Row],[Year]]=2013)</f>
        <v>0</v>
      </c>
    </row>
    <row r="1202" spans="1:23" hidden="1" x14ac:dyDescent="0.25">
      <c r="A1202" t="s">
        <v>350</v>
      </c>
      <c r="B1202">
        <v>2001</v>
      </c>
      <c r="C1202" t="s">
        <v>273</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cm="1">
        <f t="array" ref="W1202">AND(ISNUMBER(LifeExpectancyData[[#This Row],[Adult Mortality]:[Schooling]]),ISNUMBER(LifeExpectancyData[[#This Row],[Life expectancy]]), LifeExpectancyData[[#This Row],[Year]]=2013)</f>
        <v>0</v>
      </c>
    </row>
    <row r="1203" spans="1:23" hidden="1" x14ac:dyDescent="0.25">
      <c r="A1203" t="s">
        <v>350</v>
      </c>
      <c r="B1203">
        <v>2000</v>
      </c>
      <c r="C1203" t="s">
        <v>273</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cm="1">
        <f t="array" ref="W1203">AND(ISNUMBER(LifeExpectancyData[[#This Row],[Adult Mortality]:[Schooling]]),ISNUMBER(LifeExpectancyData[[#This Row],[Life expectancy]]), LifeExpectancyData[[#This Row],[Year]]=2013)</f>
        <v>0</v>
      </c>
    </row>
    <row r="1204" spans="1:23" hidden="1" x14ac:dyDescent="0.25">
      <c r="A1204" t="s">
        <v>351</v>
      </c>
      <c r="B1204">
        <v>2015</v>
      </c>
      <c r="C1204" t="s">
        <v>273</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cm="1">
        <f t="array" ref="W1204">AND(ISNUMBER(LifeExpectancyData[[#This Row],[Adult Mortality]:[Schooling]]),ISNUMBER(LifeExpectancyData[[#This Row],[Life expectancy]]), LifeExpectancyData[[#This Row],[Year]]=2013)</f>
        <v>0</v>
      </c>
    </row>
    <row r="1205" spans="1:23" x14ac:dyDescent="0.25">
      <c r="A1205" t="s">
        <v>351</v>
      </c>
      <c r="B1205">
        <v>2014</v>
      </c>
      <c r="C1205" t="s">
        <v>273</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cm="1">
        <f t="array" ref="W1205">AND(ISNUMBER(LifeExpectancyData[[#This Row],[Adult Mortality]:[Schooling]]),ISNUMBER(LifeExpectancyData[[#This Row],[Life expectancy]]), LifeExpectancyData[[#This Row],[Year]]=2013)</f>
        <v>0</v>
      </c>
    </row>
    <row r="1206" spans="1:23" x14ac:dyDescent="0.25">
      <c r="A1206" t="s">
        <v>351</v>
      </c>
      <c r="B1206">
        <v>2013</v>
      </c>
      <c r="C1206" t="s">
        <v>273</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cm="1">
        <f t="array" ref="W1206">AND(ISNUMBER(LifeExpectancyData[[#This Row],[Adult Mortality]:[Schooling]]),ISNUMBER(LifeExpectancyData[[#This Row],[Life expectancy]]), LifeExpectancyData[[#This Row],[Year]]=2013)</f>
        <v>1</v>
      </c>
    </row>
    <row r="1207" spans="1:23" x14ac:dyDescent="0.25">
      <c r="A1207" t="s">
        <v>351</v>
      </c>
      <c r="B1207">
        <v>2012</v>
      </c>
      <c r="C1207" t="s">
        <v>273</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cm="1">
        <f t="array" ref="W1207">AND(ISNUMBER(LifeExpectancyData[[#This Row],[Adult Mortality]:[Schooling]]),ISNUMBER(LifeExpectancyData[[#This Row],[Life expectancy]]), LifeExpectancyData[[#This Row],[Year]]=2013)</f>
        <v>0</v>
      </c>
    </row>
    <row r="1208" spans="1:23" x14ac:dyDescent="0.25">
      <c r="A1208" t="s">
        <v>351</v>
      </c>
      <c r="B1208">
        <v>2011</v>
      </c>
      <c r="C1208" t="s">
        <v>273</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cm="1">
        <f t="array" ref="W1208">AND(ISNUMBER(LifeExpectancyData[[#This Row],[Adult Mortality]:[Schooling]]),ISNUMBER(LifeExpectancyData[[#This Row],[Life expectancy]]), LifeExpectancyData[[#This Row],[Year]]=2013)</f>
        <v>0</v>
      </c>
    </row>
    <row r="1209" spans="1:23" x14ac:dyDescent="0.25">
      <c r="A1209" t="s">
        <v>351</v>
      </c>
      <c r="B1209">
        <v>2010</v>
      </c>
      <c r="C1209" t="s">
        <v>273</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cm="1">
        <f t="array" ref="W1209">AND(ISNUMBER(LifeExpectancyData[[#This Row],[Adult Mortality]:[Schooling]]),ISNUMBER(LifeExpectancyData[[#This Row],[Life expectancy]]), LifeExpectancyData[[#This Row],[Year]]=2013)</f>
        <v>0</v>
      </c>
    </row>
    <row r="1210" spans="1:23" x14ac:dyDescent="0.25">
      <c r="A1210" t="s">
        <v>351</v>
      </c>
      <c r="B1210">
        <v>2009</v>
      </c>
      <c r="C1210" t="s">
        <v>273</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cm="1">
        <f t="array" ref="W1210">AND(ISNUMBER(LifeExpectancyData[[#This Row],[Adult Mortality]:[Schooling]]),ISNUMBER(LifeExpectancyData[[#This Row],[Life expectancy]]), LifeExpectancyData[[#This Row],[Year]]=2013)</f>
        <v>0</v>
      </c>
    </row>
    <row r="1211" spans="1:23" x14ac:dyDescent="0.25">
      <c r="A1211" t="s">
        <v>351</v>
      </c>
      <c r="B1211">
        <v>2008</v>
      </c>
      <c r="C1211" t="s">
        <v>273</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cm="1">
        <f t="array" ref="W1211">AND(ISNUMBER(LifeExpectancyData[[#This Row],[Adult Mortality]:[Schooling]]),ISNUMBER(LifeExpectancyData[[#This Row],[Life expectancy]]), LifeExpectancyData[[#This Row],[Year]]=2013)</f>
        <v>0</v>
      </c>
    </row>
    <row r="1212" spans="1:23" x14ac:dyDescent="0.25">
      <c r="A1212" t="s">
        <v>351</v>
      </c>
      <c r="B1212">
        <v>2007</v>
      </c>
      <c r="C1212" t="s">
        <v>273</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cm="1">
        <f t="array" ref="W1212">AND(ISNUMBER(LifeExpectancyData[[#This Row],[Adult Mortality]:[Schooling]]),ISNUMBER(LifeExpectancyData[[#This Row],[Life expectancy]]), LifeExpectancyData[[#This Row],[Year]]=2013)</f>
        <v>0</v>
      </c>
    </row>
    <row r="1213" spans="1:23" x14ac:dyDescent="0.25">
      <c r="A1213" t="s">
        <v>351</v>
      </c>
      <c r="B1213">
        <v>2006</v>
      </c>
      <c r="C1213" t="s">
        <v>273</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cm="1">
        <f t="array" ref="W1213">AND(ISNUMBER(LifeExpectancyData[[#This Row],[Adult Mortality]:[Schooling]]),ISNUMBER(LifeExpectancyData[[#This Row],[Life expectancy]]), LifeExpectancyData[[#This Row],[Year]]=2013)</f>
        <v>0</v>
      </c>
    </row>
    <row r="1214" spans="1:23" x14ac:dyDescent="0.25">
      <c r="A1214" t="s">
        <v>351</v>
      </c>
      <c r="B1214">
        <v>2005</v>
      </c>
      <c r="C1214" t="s">
        <v>273</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cm="1">
        <f t="array" ref="W1214">AND(ISNUMBER(LifeExpectancyData[[#This Row],[Adult Mortality]:[Schooling]]),ISNUMBER(LifeExpectancyData[[#This Row],[Life expectancy]]), LifeExpectancyData[[#This Row],[Year]]=2013)</f>
        <v>0</v>
      </c>
    </row>
    <row r="1215" spans="1:23" x14ac:dyDescent="0.25">
      <c r="A1215" t="s">
        <v>351</v>
      </c>
      <c r="B1215">
        <v>2004</v>
      </c>
      <c r="C1215" t="s">
        <v>273</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cm="1">
        <f t="array" ref="W1215">AND(ISNUMBER(LifeExpectancyData[[#This Row],[Adult Mortality]:[Schooling]]),ISNUMBER(LifeExpectancyData[[#This Row],[Life expectancy]]), LifeExpectancyData[[#This Row],[Year]]=2013)</f>
        <v>0</v>
      </c>
    </row>
    <row r="1216" spans="1:23" x14ac:dyDescent="0.25">
      <c r="A1216" t="s">
        <v>351</v>
      </c>
      <c r="B1216">
        <v>2003</v>
      </c>
      <c r="C1216" t="s">
        <v>273</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cm="1">
        <f t="array" ref="W1216">AND(ISNUMBER(LifeExpectancyData[[#This Row],[Adult Mortality]:[Schooling]]),ISNUMBER(LifeExpectancyData[[#This Row],[Life expectancy]]), LifeExpectancyData[[#This Row],[Year]]=2013)</f>
        <v>0</v>
      </c>
    </row>
    <row r="1217" spans="1:23" x14ac:dyDescent="0.25">
      <c r="A1217" t="s">
        <v>351</v>
      </c>
      <c r="B1217">
        <v>2002</v>
      </c>
      <c r="C1217" t="s">
        <v>273</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cm="1">
        <f t="array" ref="W1217">AND(ISNUMBER(LifeExpectancyData[[#This Row],[Adult Mortality]:[Schooling]]),ISNUMBER(LifeExpectancyData[[#This Row],[Life expectancy]]), LifeExpectancyData[[#This Row],[Year]]=2013)</f>
        <v>0</v>
      </c>
    </row>
    <row r="1218" spans="1:23" x14ac:dyDescent="0.25">
      <c r="A1218" t="s">
        <v>351</v>
      </c>
      <c r="B1218">
        <v>2001</v>
      </c>
      <c r="C1218" t="s">
        <v>273</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cm="1">
        <f t="array" ref="W1218">AND(ISNUMBER(LifeExpectancyData[[#This Row],[Adult Mortality]:[Schooling]]),ISNUMBER(LifeExpectancyData[[#This Row],[Life expectancy]]), LifeExpectancyData[[#This Row],[Year]]=2013)</f>
        <v>0</v>
      </c>
    </row>
    <row r="1219" spans="1:23" x14ac:dyDescent="0.25">
      <c r="A1219" t="s">
        <v>351</v>
      </c>
      <c r="B1219">
        <v>2000</v>
      </c>
      <c r="C1219" t="s">
        <v>273</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cm="1">
        <f t="array" ref="W1219">AND(ISNUMBER(LifeExpectancyData[[#This Row],[Adult Mortality]:[Schooling]]),ISNUMBER(LifeExpectancyData[[#This Row],[Life expectancy]]), LifeExpectancyData[[#This Row],[Year]]=2013)</f>
        <v>0</v>
      </c>
    </row>
    <row r="1220" spans="1:23" hidden="1" x14ac:dyDescent="0.25">
      <c r="A1220" t="s">
        <v>352</v>
      </c>
      <c r="B1220">
        <v>2015</v>
      </c>
      <c r="C1220" t="s">
        <v>273</v>
      </c>
      <c r="D1220">
        <v>75.5</v>
      </c>
      <c r="E1220">
        <v>83</v>
      </c>
      <c r="F1220">
        <v>18</v>
      </c>
      <c r="H1220">
        <v>0</v>
      </c>
      <c r="I1220">
        <v>98</v>
      </c>
      <c r="J1220">
        <v>615</v>
      </c>
      <c r="K1220">
        <v>59.7</v>
      </c>
      <c r="L1220">
        <v>21</v>
      </c>
      <c r="M1220">
        <v>98</v>
      </c>
      <c r="O1220">
        <v>98</v>
      </c>
      <c r="P1220">
        <v>0.1</v>
      </c>
      <c r="S1220">
        <v>8.5</v>
      </c>
      <c r="T1220">
        <v>8.6</v>
      </c>
      <c r="U1220">
        <v>0.77400000000000002</v>
      </c>
      <c r="V1220">
        <v>14.8</v>
      </c>
      <c r="W1220" t="b" cm="1">
        <f t="array" ref="W1220">AND(ISNUMBER(LifeExpectancyData[[#This Row],[Adult Mortality]:[Schooling]]),ISNUMBER(LifeExpectancyData[[#This Row],[Life expectancy]]), LifeExpectancyData[[#This Row],[Year]]=2013)</f>
        <v>0</v>
      </c>
    </row>
    <row r="1221" spans="1:23" hidden="1" x14ac:dyDescent="0.25">
      <c r="A1221" t="s">
        <v>352</v>
      </c>
      <c r="B1221">
        <v>2014</v>
      </c>
      <c r="C1221" t="s">
        <v>273</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cm="1">
        <f t="array" ref="W1221">AND(ISNUMBER(LifeExpectancyData[[#This Row],[Adult Mortality]:[Schooling]]),ISNUMBER(LifeExpectancyData[[#This Row],[Life expectancy]]), LifeExpectancyData[[#This Row],[Year]]=2013)</f>
        <v>0</v>
      </c>
    </row>
    <row r="1222" spans="1:23" hidden="1" x14ac:dyDescent="0.25">
      <c r="A1222" t="s">
        <v>352</v>
      </c>
      <c r="B1222">
        <v>2013</v>
      </c>
      <c r="C1222" t="s">
        <v>273</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cm="1">
        <f t="array" ref="W1222">AND(ISNUMBER(LifeExpectancyData[[#This Row],[Adult Mortality]:[Schooling]]),ISNUMBER(LifeExpectancyData[[#This Row],[Life expectancy]]), LifeExpectancyData[[#This Row],[Year]]=2013)</f>
        <v>0</v>
      </c>
    </row>
    <row r="1223" spans="1:23" hidden="1" x14ac:dyDescent="0.25">
      <c r="A1223" t="s">
        <v>352</v>
      </c>
      <c r="B1223">
        <v>2012</v>
      </c>
      <c r="C1223" t="s">
        <v>273</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cm="1">
        <f t="array" ref="W1223">AND(ISNUMBER(LifeExpectancyData[[#This Row],[Adult Mortality]:[Schooling]]),ISNUMBER(LifeExpectancyData[[#This Row],[Life expectancy]]), LifeExpectancyData[[#This Row],[Year]]=2013)</f>
        <v>0</v>
      </c>
    </row>
    <row r="1224" spans="1:23" hidden="1" x14ac:dyDescent="0.25">
      <c r="A1224" t="s">
        <v>352</v>
      </c>
      <c r="B1224">
        <v>2011</v>
      </c>
      <c r="C1224" t="s">
        <v>273</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cm="1">
        <f t="array" ref="W1224">AND(ISNUMBER(LifeExpectancyData[[#This Row],[Adult Mortality]:[Schooling]]),ISNUMBER(LifeExpectancyData[[#This Row],[Life expectancy]]), LifeExpectancyData[[#This Row],[Year]]=2013)</f>
        <v>0</v>
      </c>
    </row>
    <row r="1225" spans="1:23" hidden="1" x14ac:dyDescent="0.25">
      <c r="A1225" t="s">
        <v>352</v>
      </c>
      <c r="B1225">
        <v>2010</v>
      </c>
      <c r="C1225" t="s">
        <v>273</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cm="1">
        <f t="array" ref="W1225">AND(ISNUMBER(LifeExpectancyData[[#This Row],[Adult Mortality]:[Schooling]]),ISNUMBER(LifeExpectancyData[[#This Row],[Life expectancy]]), LifeExpectancyData[[#This Row],[Year]]=2013)</f>
        <v>0</v>
      </c>
    </row>
    <row r="1226" spans="1:23" hidden="1" x14ac:dyDescent="0.25">
      <c r="A1226" t="s">
        <v>352</v>
      </c>
      <c r="B1226">
        <v>2009</v>
      </c>
      <c r="C1226" t="s">
        <v>273</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cm="1">
        <f t="array" ref="W1226">AND(ISNUMBER(LifeExpectancyData[[#This Row],[Adult Mortality]:[Schooling]]),ISNUMBER(LifeExpectancyData[[#This Row],[Life expectancy]]), LifeExpectancyData[[#This Row],[Year]]=2013)</f>
        <v>0</v>
      </c>
    </row>
    <row r="1227" spans="1:23" hidden="1" x14ac:dyDescent="0.25">
      <c r="A1227" t="s">
        <v>352</v>
      </c>
      <c r="B1227">
        <v>2008</v>
      </c>
      <c r="C1227" t="s">
        <v>273</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cm="1">
        <f t="array" ref="W1227">AND(ISNUMBER(LifeExpectancyData[[#This Row],[Adult Mortality]:[Schooling]]),ISNUMBER(LifeExpectancyData[[#This Row],[Life expectancy]]), LifeExpectancyData[[#This Row],[Year]]=2013)</f>
        <v>0</v>
      </c>
    </row>
    <row r="1228" spans="1:23" hidden="1" x14ac:dyDescent="0.25">
      <c r="A1228" t="s">
        <v>352</v>
      </c>
      <c r="B1228">
        <v>2007</v>
      </c>
      <c r="C1228" t="s">
        <v>273</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cm="1">
        <f t="array" ref="W1228">AND(ISNUMBER(LifeExpectancyData[[#This Row],[Adult Mortality]:[Schooling]]),ISNUMBER(LifeExpectancyData[[#This Row],[Life expectancy]]), LifeExpectancyData[[#This Row],[Year]]=2013)</f>
        <v>0</v>
      </c>
    </row>
    <row r="1229" spans="1:23" hidden="1" x14ac:dyDescent="0.25">
      <c r="A1229" t="s">
        <v>352</v>
      </c>
      <c r="B1229">
        <v>2006</v>
      </c>
      <c r="C1229" t="s">
        <v>273</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cm="1">
        <f t="array" ref="W1229">AND(ISNUMBER(LifeExpectancyData[[#This Row],[Adult Mortality]:[Schooling]]),ISNUMBER(LifeExpectancyData[[#This Row],[Life expectancy]]), LifeExpectancyData[[#This Row],[Year]]=2013)</f>
        <v>0</v>
      </c>
    </row>
    <row r="1230" spans="1:23" hidden="1" x14ac:dyDescent="0.25">
      <c r="A1230" t="s">
        <v>352</v>
      </c>
      <c r="B1230">
        <v>2005</v>
      </c>
      <c r="C1230" t="s">
        <v>273</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cm="1">
        <f t="array" ref="W1230">AND(ISNUMBER(LifeExpectancyData[[#This Row],[Adult Mortality]:[Schooling]]),ISNUMBER(LifeExpectancyData[[#This Row],[Life expectancy]]), LifeExpectancyData[[#This Row],[Year]]=2013)</f>
        <v>0</v>
      </c>
    </row>
    <row r="1231" spans="1:23" hidden="1" x14ac:dyDescent="0.25">
      <c r="A1231" t="s">
        <v>352</v>
      </c>
      <c r="B1231">
        <v>2004</v>
      </c>
      <c r="C1231" t="s">
        <v>273</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cm="1">
        <f t="array" ref="W1231">AND(ISNUMBER(LifeExpectancyData[[#This Row],[Adult Mortality]:[Schooling]]),ISNUMBER(LifeExpectancyData[[#This Row],[Life expectancy]]), LifeExpectancyData[[#This Row],[Year]]=2013)</f>
        <v>0</v>
      </c>
    </row>
    <row r="1232" spans="1:23" hidden="1" x14ac:dyDescent="0.25">
      <c r="A1232" t="s">
        <v>352</v>
      </c>
      <c r="B1232">
        <v>2003</v>
      </c>
      <c r="C1232" t="s">
        <v>273</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cm="1">
        <f t="array" ref="W1232">AND(ISNUMBER(LifeExpectancyData[[#This Row],[Adult Mortality]:[Schooling]]),ISNUMBER(LifeExpectancyData[[#This Row],[Life expectancy]]), LifeExpectancyData[[#This Row],[Year]]=2013)</f>
        <v>0</v>
      </c>
    </row>
    <row r="1233" spans="1:23" hidden="1" x14ac:dyDescent="0.25">
      <c r="A1233" t="s">
        <v>352</v>
      </c>
      <c r="B1233">
        <v>2002</v>
      </c>
      <c r="C1233" t="s">
        <v>273</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cm="1">
        <f t="array" ref="W1233">AND(ISNUMBER(LifeExpectancyData[[#This Row],[Adult Mortality]:[Schooling]]),ISNUMBER(LifeExpectancyData[[#This Row],[Life expectancy]]), LifeExpectancyData[[#This Row],[Year]]=2013)</f>
        <v>0</v>
      </c>
    </row>
    <row r="1234" spans="1:23" hidden="1" x14ac:dyDescent="0.25">
      <c r="A1234" t="s">
        <v>352</v>
      </c>
      <c r="B1234">
        <v>2001</v>
      </c>
      <c r="C1234" t="s">
        <v>273</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cm="1">
        <f t="array" ref="W1234">AND(ISNUMBER(LifeExpectancyData[[#This Row],[Adult Mortality]:[Schooling]]),ISNUMBER(LifeExpectancyData[[#This Row],[Life expectancy]]), LifeExpectancyData[[#This Row],[Year]]=2013)</f>
        <v>0</v>
      </c>
    </row>
    <row r="1235" spans="1:23" hidden="1" x14ac:dyDescent="0.25">
      <c r="A1235" t="s">
        <v>352</v>
      </c>
      <c r="B1235">
        <v>2000</v>
      </c>
      <c r="C1235" t="s">
        <v>273</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cm="1">
        <f t="array" ref="W1235">AND(ISNUMBER(LifeExpectancyData[[#This Row],[Adult Mortality]:[Schooling]]),ISNUMBER(LifeExpectancyData[[#This Row],[Life expectancy]]), LifeExpectancyData[[#This Row],[Year]]=2013)</f>
        <v>0</v>
      </c>
    </row>
    <row r="1236" spans="1:23" hidden="1" x14ac:dyDescent="0.25">
      <c r="A1236" t="s">
        <v>353</v>
      </c>
      <c r="B1236">
        <v>2015</v>
      </c>
      <c r="C1236" t="s">
        <v>273</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cm="1">
        <f t="array" ref="W1236">AND(ISNUMBER(LifeExpectancyData[[#This Row],[Adult Mortality]:[Schooling]]),ISNUMBER(LifeExpectancyData[[#This Row],[Life expectancy]]), LifeExpectancyData[[#This Row],[Year]]=2013)</f>
        <v>0</v>
      </c>
    </row>
    <row r="1237" spans="1:23" x14ac:dyDescent="0.25">
      <c r="A1237" t="s">
        <v>353</v>
      </c>
      <c r="B1237">
        <v>2014</v>
      </c>
      <c r="C1237" t="s">
        <v>273</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cm="1">
        <f t="array" ref="W1237">AND(ISNUMBER(LifeExpectancyData[[#This Row],[Adult Mortality]:[Schooling]]),ISNUMBER(LifeExpectancyData[[#This Row],[Life expectancy]]), LifeExpectancyData[[#This Row],[Year]]=2013)</f>
        <v>0</v>
      </c>
    </row>
    <row r="1238" spans="1:23" x14ac:dyDescent="0.25">
      <c r="A1238" t="s">
        <v>353</v>
      </c>
      <c r="B1238">
        <v>2013</v>
      </c>
      <c r="C1238" t="s">
        <v>273</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cm="1">
        <f t="array" ref="W1238">AND(ISNUMBER(LifeExpectancyData[[#This Row],[Adult Mortality]:[Schooling]]),ISNUMBER(LifeExpectancyData[[#This Row],[Life expectancy]]), LifeExpectancyData[[#This Row],[Year]]=2013)</f>
        <v>1</v>
      </c>
    </row>
    <row r="1239" spans="1:23" x14ac:dyDescent="0.25">
      <c r="A1239" t="s">
        <v>353</v>
      </c>
      <c r="B1239">
        <v>2012</v>
      </c>
      <c r="C1239" t="s">
        <v>273</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cm="1">
        <f t="array" ref="W1239">AND(ISNUMBER(LifeExpectancyData[[#This Row],[Adult Mortality]:[Schooling]]),ISNUMBER(LifeExpectancyData[[#This Row],[Life expectancy]]), LifeExpectancyData[[#This Row],[Year]]=2013)</f>
        <v>0</v>
      </c>
    </row>
    <row r="1240" spans="1:23" x14ac:dyDescent="0.25">
      <c r="A1240" t="s">
        <v>353</v>
      </c>
      <c r="B1240">
        <v>2011</v>
      </c>
      <c r="C1240" t="s">
        <v>273</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cm="1">
        <f t="array" ref="W1240">AND(ISNUMBER(LifeExpectancyData[[#This Row],[Adult Mortality]:[Schooling]]),ISNUMBER(LifeExpectancyData[[#This Row],[Life expectancy]]), LifeExpectancyData[[#This Row],[Year]]=2013)</f>
        <v>0</v>
      </c>
    </row>
    <row r="1241" spans="1:23" x14ac:dyDescent="0.25">
      <c r="A1241" t="s">
        <v>353</v>
      </c>
      <c r="B1241">
        <v>2010</v>
      </c>
      <c r="C1241" t="s">
        <v>273</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cm="1">
        <f t="array" ref="W1241">AND(ISNUMBER(LifeExpectancyData[[#This Row],[Adult Mortality]:[Schooling]]),ISNUMBER(LifeExpectancyData[[#This Row],[Life expectancy]]), LifeExpectancyData[[#This Row],[Year]]=2013)</f>
        <v>0</v>
      </c>
    </row>
    <row r="1242" spans="1:23" x14ac:dyDescent="0.25">
      <c r="A1242" t="s">
        <v>353</v>
      </c>
      <c r="B1242">
        <v>2009</v>
      </c>
      <c r="C1242" t="s">
        <v>273</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cm="1">
        <f t="array" ref="W1242">AND(ISNUMBER(LifeExpectancyData[[#This Row],[Adult Mortality]:[Schooling]]),ISNUMBER(LifeExpectancyData[[#This Row],[Life expectancy]]), LifeExpectancyData[[#This Row],[Year]]=2013)</f>
        <v>0</v>
      </c>
    </row>
    <row r="1243" spans="1:23" x14ac:dyDescent="0.25">
      <c r="A1243" t="s">
        <v>353</v>
      </c>
      <c r="B1243">
        <v>2008</v>
      </c>
      <c r="C1243" t="s">
        <v>273</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cm="1">
        <f t="array" ref="W1243">AND(ISNUMBER(LifeExpectancyData[[#This Row],[Adult Mortality]:[Schooling]]),ISNUMBER(LifeExpectancyData[[#This Row],[Life expectancy]]), LifeExpectancyData[[#This Row],[Year]]=2013)</f>
        <v>0</v>
      </c>
    </row>
    <row r="1244" spans="1:23" x14ac:dyDescent="0.25">
      <c r="A1244" t="s">
        <v>353</v>
      </c>
      <c r="B1244">
        <v>2007</v>
      </c>
      <c r="C1244" t="s">
        <v>273</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cm="1">
        <f t="array" ref="W1244">AND(ISNUMBER(LifeExpectancyData[[#This Row],[Adult Mortality]:[Schooling]]),ISNUMBER(LifeExpectancyData[[#This Row],[Life expectancy]]), LifeExpectancyData[[#This Row],[Year]]=2013)</f>
        <v>0</v>
      </c>
    </row>
    <row r="1245" spans="1:23" x14ac:dyDescent="0.25">
      <c r="A1245" t="s">
        <v>353</v>
      </c>
      <c r="B1245">
        <v>2006</v>
      </c>
      <c r="C1245" t="s">
        <v>273</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cm="1">
        <f t="array" ref="W1245">AND(ISNUMBER(LifeExpectancyData[[#This Row],[Adult Mortality]:[Schooling]]),ISNUMBER(LifeExpectancyData[[#This Row],[Life expectancy]]), LifeExpectancyData[[#This Row],[Year]]=2013)</f>
        <v>0</v>
      </c>
    </row>
    <row r="1246" spans="1:23" x14ac:dyDescent="0.25">
      <c r="A1246" t="s">
        <v>353</v>
      </c>
      <c r="B1246">
        <v>2005</v>
      </c>
      <c r="C1246" t="s">
        <v>273</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cm="1">
        <f t="array" ref="W1246">AND(ISNUMBER(LifeExpectancyData[[#This Row],[Adult Mortality]:[Schooling]]),ISNUMBER(LifeExpectancyData[[#This Row],[Life expectancy]]), LifeExpectancyData[[#This Row],[Year]]=2013)</f>
        <v>0</v>
      </c>
    </row>
    <row r="1247" spans="1:23" x14ac:dyDescent="0.25">
      <c r="A1247" t="s">
        <v>353</v>
      </c>
      <c r="B1247">
        <v>2004</v>
      </c>
      <c r="C1247" t="s">
        <v>273</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cm="1">
        <f t="array" ref="W1247">AND(ISNUMBER(LifeExpectancyData[[#This Row],[Adult Mortality]:[Schooling]]),ISNUMBER(LifeExpectancyData[[#This Row],[Life expectancy]]), LifeExpectancyData[[#This Row],[Year]]=2013)</f>
        <v>0</v>
      </c>
    </row>
    <row r="1248" spans="1:23" hidden="1" x14ac:dyDescent="0.25">
      <c r="A1248" t="s">
        <v>353</v>
      </c>
      <c r="B1248">
        <v>2003</v>
      </c>
      <c r="C1248" t="s">
        <v>273</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cm="1">
        <f t="array" ref="W1248">AND(ISNUMBER(LifeExpectancyData[[#This Row],[Adult Mortality]:[Schooling]]),ISNUMBER(LifeExpectancyData[[#This Row],[Life expectancy]]), LifeExpectancyData[[#This Row],[Year]]=2013)</f>
        <v>0</v>
      </c>
    </row>
    <row r="1249" spans="1:23" hidden="1" x14ac:dyDescent="0.25">
      <c r="A1249" t="s">
        <v>353</v>
      </c>
      <c r="B1249">
        <v>2002</v>
      </c>
      <c r="C1249" t="s">
        <v>273</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cm="1">
        <f t="array" ref="W1249">AND(ISNUMBER(LifeExpectancyData[[#This Row],[Adult Mortality]:[Schooling]]),ISNUMBER(LifeExpectancyData[[#This Row],[Life expectancy]]), LifeExpectancyData[[#This Row],[Year]]=2013)</f>
        <v>0</v>
      </c>
    </row>
    <row r="1250" spans="1:23" hidden="1" x14ac:dyDescent="0.25">
      <c r="A1250" t="s">
        <v>353</v>
      </c>
      <c r="B1250">
        <v>2001</v>
      </c>
      <c r="C1250" t="s">
        <v>273</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cm="1">
        <f t="array" ref="W1250">AND(ISNUMBER(LifeExpectancyData[[#This Row],[Adult Mortality]:[Schooling]]),ISNUMBER(LifeExpectancyData[[#This Row],[Life expectancy]]), LifeExpectancyData[[#This Row],[Year]]=2013)</f>
        <v>0</v>
      </c>
    </row>
    <row r="1251" spans="1:23" hidden="1" x14ac:dyDescent="0.25">
      <c r="A1251" t="s">
        <v>353</v>
      </c>
      <c r="B1251">
        <v>2000</v>
      </c>
      <c r="C1251" t="s">
        <v>273</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cm="1">
        <f t="array" ref="W1251">AND(ISNUMBER(LifeExpectancyData[[#This Row],[Adult Mortality]:[Schooling]]),ISNUMBER(LifeExpectancyData[[#This Row],[Life expectancy]]), LifeExpectancyData[[#This Row],[Year]]=2013)</f>
        <v>0</v>
      </c>
    </row>
    <row r="1252" spans="1:23" hidden="1" x14ac:dyDescent="0.25">
      <c r="A1252" t="s">
        <v>354</v>
      </c>
      <c r="B1252">
        <v>2015</v>
      </c>
      <c r="C1252" t="s">
        <v>281</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cm="1">
        <f t="array" ref="W1252">AND(ISNUMBER(LifeExpectancyData[[#This Row],[Adult Mortality]:[Schooling]]),ISNUMBER(LifeExpectancyData[[#This Row],[Life expectancy]]), LifeExpectancyData[[#This Row],[Year]]=2013)</f>
        <v>0</v>
      </c>
    </row>
    <row r="1253" spans="1:23" x14ac:dyDescent="0.25">
      <c r="A1253" t="s">
        <v>354</v>
      </c>
      <c r="B1253">
        <v>2014</v>
      </c>
      <c r="C1253" t="s">
        <v>281</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cm="1">
        <f t="array" ref="W1253">AND(ISNUMBER(LifeExpectancyData[[#This Row],[Adult Mortality]:[Schooling]]),ISNUMBER(LifeExpectancyData[[#This Row],[Life expectancy]]), LifeExpectancyData[[#This Row],[Year]]=2013)</f>
        <v>0</v>
      </c>
    </row>
    <row r="1254" spans="1:23" x14ac:dyDescent="0.25">
      <c r="A1254" t="s">
        <v>354</v>
      </c>
      <c r="B1254">
        <v>2013</v>
      </c>
      <c r="C1254" t="s">
        <v>281</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cm="1">
        <f t="array" ref="W1254">AND(ISNUMBER(LifeExpectancyData[[#This Row],[Adult Mortality]:[Schooling]]),ISNUMBER(LifeExpectancyData[[#This Row],[Life expectancy]]), LifeExpectancyData[[#This Row],[Year]]=2013)</f>
        <v>1</v>
      </c>
    </row>
    <row r="1255" spans="1:23" x14ac:dyDescent="0.25">
      <c r="A1255" t="s">
        <v>354</v>
      </c>
      <c r="B1255">
        <v>2012</v>
      </c>
      <c r="C1255" t="s">
        <v>281</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cm="1">
        <f t="array" ref="W1255">AND(ISNUMBER(LifeExpectancyData[[#This Row],[Adult Mortality]:[Schooling]]),ISNUMBER(LifeExpectancyData[[#This Row],[Life expectancy]]), LifeExpectancyData[[#This Row],[Year]]=2013)</f>
        <v>0</v>
      </c>
    </row>
    <row r="1256" spans="1:23" x14ac:dyDescent="0.25">
      <c r="A1256" t="s">
        <v>354</v>
      </c>
      <c r="B1256">
        <v>2011</v>
      </c>
      <c r="C1256" t="s">
        <v>281</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cm="1">
        <f t="array" ref="W1256">AND(ISNUMBER(LifeExpectancyData[[#This Row],[Adult Mortality]:[Schooling]]),ISNUMBER(LifeExpectancyData[[#This Row],[Life expectancy]]), LifeExpectancyData[[#This Row],[Year]]=2013)</f>
        <v>0</v>
      </c>
    </row>
    <row r="1257" spans="1:23" x14ac:dyDescent="0.25">
      <c r="A1257" t="s">
        <v>354</v>
      </c>
      <c r="B1257">
        <v>2010</v>
      </c>
      <c r="C1257" t="s">
        <v>281</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cm="1">
        <f t="array" ref="W1257">AND(ISNUMBER(LifeExpectancyData[[#This Row],[Adult Mortality]:[Schooling]]),ISNUMBER(LifeExpectancyData[[#This Row],[Life expectancy]]), LifeExpectancyData[[#This Row],[Year]]=2013)</f>
        <v>0</v>
      </c>
    </row>
    <row r="1258" spans="1:23" hidden="1" x14ac:dyDescent="0.25">
      <c r="A1258" t="s">
        <v>354</v>
      </c>
      <c r="B1258">
        <v>2009</v>
      </c>
      <c r="C1258" t="s">
        <v>281</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cm="1">
        <f t="array" ref="W1258">AND(ISNUMBER(LifeExpectancyData[[#This Row],[Adult Mortality]:[Schooling]]),ISNUMBER(LifeExpectancyData[[#This Row],[Life expectancy]]), LifeExpectancyData[[#This Row],[Year]]=2013)</f>
        <v>0</v>
      </c>
    </row>
    <row r="1259" spans="1:23" hidden="1" x14ac:dyDescent="0.25">
      <c r="A1259" t="s">
        <v>354</v>
      </c>
      <c r="B1259">
        <v>2008</v>
      </c>
      <c r="C1259" t="s">
        <v>281</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cm="1">
        <f t="array" ref="W1259">AND(ISNUMBER(LifeExpectancyData[[#This Row],[Adult Mortality]:[Schooling]]),ISNUMBER(LifeExpectancyData[[#This Row],[Life expectancy]]), LifeExpectancyData[[#This Row],[Year]]=2013)</f>
        <v>0</v>
      </c>
    </row>
    <row r="1260" spans="1:23" hidden="1" x14ac:dyDescent="0.25">
      <c r="A1260" t="s">
        <v>354</v>
      </c>
      <c r="B1260">
        <v>2007</v>
      </c>
      <c r="C1260" t="s">
        <v>281</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cm="1">
        <f t="array" ref="W1260">AND(ISNUMBER(LifeExpectancyData[[#This Row],[Adult Mortality]:[Schooling]]),ISNUMBER(LifeExpectancyData[[#This Row],[Life expectancy]]), LifeExpectancyData[[#This Row],[Year]]=2013)</f>
        <v>0</v>
      </c>
    </row>
    <row r="1261" spans="1:23" hidden="1" x14ac:dyDescent="0.25">
      <c r="A1261" t="s">
        <v>354</v>
      </c>
      <c r="B1261">
        <v>2006</v>
      </c>
      <c r="C1261" t="s">
        <v>281</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cm="1">
        <f t="array" ref="W1261">AND(ISNUMBER(LifeExpectancyData[[#This Row],[Adult Mortality]:[Schooling]]),ISNUMBER(LifeExpectancyData[[#This Row],[Life expectancy]]), LifeExpectancyData[[#This Row],[Year]]=2013)</f>
        <v>0</v>
      </c>
    </row>
    <row r="1262" spans="1:23" hidden="1" x14ac:dyDescent="0.25">
      <c r="A1262" t="s">
        <v>354</v>
      </c>
      <c r="B1262">
        <v>2005</v>
      </c>
      <c r="C1262" t="s">
        <v>281</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cm="1">
        <f t="array" ref="W1262">AND(ISNUMBER(LifeExpectancyData[[#This Row],[Adult Mortality]:[Schooling]]),ISNUMBER(LifeExpectancyData[[#This Row],[Life expectancy]]), LifeExpectancyData[[#This Row],[Year]]=2013)</f>
        <v>0</v>
      </c>
    </row>
    <row r="1263" spans="1:23" hidden="1" x14ac:dyDescent="0.25">
      <c r="A1263" t="s">
        <v>354</v>
      </c>
      <c r="B1263">
        <v>2004</v>
      </c>
      <c r="C1263" t="s">
        <v>281</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cm="1">
        <f t="array" ref="W1263">AND(ISNUMBER(LifeExpectancyData[[#This Row],[Adult Mortality]:[Schooling]]),ISNUMBER(LifeExpectancyData[[#This Row],[Life expectancy]]), LifeExpectancyData[[#This Row],[Year]]=2013)</f>
        <v>0</v>
      </c>
    </row>
    <row r="1264" spans="1:23" hidden="1" x14ac:dyDescent="0.25">
      <c r="A1264" t="s">
        <v>354</v>
      </c>
      <c r="B1264">
        <v>2003</v>
      </c>
      <c r="C1264" t="s">
        <v>281</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cm="1">
        <f t="array" ref="W1264">AND(ISNUMBER(LifeExpectancyData[[#This Row],[Adult Mortality]:[Schooling]]),ISNUMBER(LifeExpectancyData[[#This Row],[Life expectancy]]), LifeExpectancyData[[#This Row],[Year]]=2013)</f>
        <v>0</v>
      </c>
    </row>
    <row r="1265" spans="1:23" hidden="1" x14ac:dyDescent="0.25">
      <c r="A1265" t="s">
        <v>354</v>
      </c>
      <c r="B1265">
        <v>2002</v>
      </c>
      <c r="C1265" t="s">
        <v>281</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cm="1">
        <f t="array" ref="W1265">AND(ISNUMBER(LifeExpectancyData[[#This Row],[Adult Mortality]:[Schooling]]),ISNUMBER(LifeExpectancyData[[#This Row],[Life expectancy]]), LifeExpectancyData[[#This Row],[Year]]=2013)</f>
        <v>0</v>
      </c>
    </row>
    <row r="1266" spans="1:23" hidden="1" x14ac:dyDescent="0.25">
      <c r="A1266" t="s">
        <v>354</v>
      </c>
      <c r="B1266">
        <v>2001</v>
      </c>
      <c r="C1266" t="s">
        <v>281</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cm="1">
        <f t="array" ref="W1266">AND(ISNUMBER(LifeExpectancyData[[#This Row],[Adult Mortality]:[Schooling]]),ISNUMBER(LifeExpectancyData[[#This Row],[Life expectancy]]), LifeExpectancyData[[#This Row],[Year]]=2013)</f>
        <v>0</v>
      </c>
    </row>
    <row r="1267" spans="1:23" hidden="1" x14ac:dyDescent="0.25">
      <c r="A1267" t="s">
        <v>354</v>
      </c>
      <c r="B1267">
        <v>2000</v>
      </c>
      <c r="C1267" t="s">
        <v>281</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cm="1">
        <f t="array" ref="W1267">AND(ISNUMBER(LifeExpectancyData[[#This Row],[Adult Mortality]:[Schooling]]),ISNUMBER(LifeExpectancyData[[#This Row],[Life expectancy]]), LifeExpectancyData[[#This Row],[Year]]=2013)</f>
        <v>0</v>
      </c>
    </row>
    <row r="1268" spans="1:23" hidden="1" x14ac:dyDescent="0.25">
      <c r="A1268" t="s">
        <v>355</v>
      </c>
      <c r="B1268">
        <v>2015</v>
      </c>
      <c r="C1268" t="s">
        <v>273</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cm="1">
        <f t="array" ref="W1268">AND(ISNUMBER(LifeExpectancyData[[#This Row],[Adult Mortality]:[Schooling]]),ISNUMBER(LifeExpectancyData[[#This Row],[Life expectancy]]), LifeExpectancyData[[#This Row],[Year]]=2013)</f>
        <v>0</v>
      </c>
    </row>
    <row r="1269" spans="1:23" x14ac:dyDescent="0.25">
      <c r="A1269" t="s">
        <v>355</v>
      </c>
      <c r="B1269">
        <v>2014</v>
      </c>
      <c r="C1269" t="s">
        <v>273</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cm="1">
        <f t="array" ref="W1269">AND(ISNUMBER(LifeExpectancyData[[#This Row],[Adult Mortality]:[Schooling]]),ISNUMBER(LifeExpectancyData[[#This Row],[Life expectancy]]), LifeExpectancyData[[#This Row],[Year]]=2013)</f>
        <v>0</v>
      </c>
    </row>
    <row r="1270" spans="1:23" x14ac:dyDescent="0.25">
      <c r="A1270" t="s">
        <v>355</v>
      </c>
      <c r="B1270">
        <v>2013</v>
      </c>
      <c r="C1270" t="s">
        <v>273</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cm="1">
        <f t="array" ref="W1270">AND(ISNUMBER(LifeExpectancyData[[#This Row],[Adult Mortality]:[Schooling]]),ISNUMBER(LifeExpectancyData[[#This Row],[Life expectancy]]), LifeExpectancyData[[#This Row],[Year]]=2013)</f>
        <v>1</v>
      </c>
    </row>
    <row r="1271" spans="1:23" x14ac:dyDescent="0.25">
      <c r="A1271" t="s">
        <v>355</v>
      </c>
      <c r="B1271">
        <v>2012</v>
      </c>
      <c r="C1271" t="s">
        <v>273</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cm="1">
        <f t="array" ref="W1271">AND(ISNUMBER(LifeExpectancyData[[#This Row],[Adult Mortality]:[Schooling]]),ISNUMBER(LifeExpectancyData[[#This Row],[Life expectancy]]), LifeExpectancyData[[#This Row],[Year]]=2013)</f>
        <v>0</v>
      </c>
    </row>
    <row r="1272" spans="1:23" x14ac:dyDescent="0.25">
      <c r="A1272" t="s">
        <v>355</v>
      </c>
      <c r="B1272">
        <v>2011</v>
      </c>
      <c r="C1272" t="s">
        <v>273</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cm="1">
        <f t="array" ref="W1272">AND(ISNUMBER(LifeExpectancyData[[#This Row],[Adult Mortality]:[Schooling]]),ISNUMBER(LifeExpectancyData[[#This Row],[Life expectancy]]), LifeExpectancyData[[#This Row],[Year]]=2013)</f>
        <v>0</v>
      </c>
    </row>
    <row r="1273" spans="1:23" x14ac:dyDescent="0.25">
      <c r="A1273" t="s">
        <v>355</v>
      </c>
      <c r="B1273">
        <v>2010</v>
      </c>
      <c r="C1273" t="s">
        <v>273</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cm="1">
        <f t="array" ref="W1273">AND(ISNUMBER(LifeExpectancyData[[#This Row],[Adult Mortality]:[Schooling]]),ISNUMBER(LifeExpectancyData[[#This Row],[Life expectancy]]), LifeExpectancyData[[#This Row],[Year]]=2013)</f>
        <v>0</v>
      </c>
    </row>
    <row r="1274" spans="1:23" x14ac:dyDescent="0.25">
      <c r="A1274" t="s">
        <v>355</v>
      </c>
      <c r="B1274">
        <v>2009</v>
      </c>
      <c r="C1274" t="s">
        <v>273</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cm="1">
        <f t="array" ref="W1274">AND(ISNUMBER(LifeExpectancyData[[#This Row],[Adult Mortality]:[Schooling]]),ISNUMBER(LifeExpectancyData[[#This Row],[Life expectancy]]), LifeExpectancyData[[#This Row],[Year]]=2013)</f>
        <v>0</v>
      </c>
    </row>
    <row r="1275" spans="1:23" x14ac:dyDescent="0.25">
      <c r="A1275" t="s">
        <v>355</v>
      </c>
      <c r="B1275">
        <v>2008</v>
      </c>
      <c r="C1275" t="s">
        <v>273</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cm="1">
        <f t="array" ref="W1275">AND(ISNUMBER(LifeExpectancyData[[#This Row],[Adult Mortality]:[Schooling]]),ISNUMBER(LifeExpectancyData[[#This Row],[Life expectancy]]), LifeExpectancyData[[#This Row],[Year]]=2013)</f>
        <v>0</v>
      </c>
    </row>
    <row r="1276" spans="1:23" x14ac:dyDescent="0.25">
      <c r="A1276" t="s">
        <v>355</v>
      </c>
      <c r="B1276">
        <v>2007</v>
      </c>
      <c r="C1276" t="s">
        <v>273</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cm="1">
        <f t="array" ref="W1276">AND(ISNUMBER(LifeExpectancyData[[#This Row],[Adult Mortality]:[Schooling]]),ISNUMBER(LifeExpectancyData[[#This Row],[Life expectancy]]), LifeExpectancyData[[#This Row],[Year]]=2013)</f>
        <v>0</v>
      </c>
    </row>
    <row r="1277" spans="1:23" x14ac:dyDescent="0.25">
      <c r="A1277" t="s">
        <v>355</v>
      </c>
      <c r="B1277">
        <v>2006</v>
      </c>
      <c r="C1277" t="s">
        <v>273</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cm="1">
        <f t="array" ref="W1277">AND(ISNUMBER(LifeExpectancyData[[#This Row],[Adult Mortality]:[Schooling]]),ISNUMBER(LifeExpectancyData[[#This Row],[Life expectancy]]), LifeExpectancyData[[#This Row],[Year]]=2013)</f>
        <v>0</v>
      </c>
    </row>
    <row r="1278" spans="1:23" x14ac:dyDescent="0.25">
      <c r="A1278" t="s">
        <v>355</v>
      </c>
      <c r="B1278">
        <v>2005</v>
      </c>
      <c r="C1278" t="s">
        <v>273</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cm="1">
        <f t="array" ref="W1278">AND(ISNUMBER(LifeExpectancyData[[#This Row],[Adult Mortality]:[Schooling]]),ISNUMBER(LifeExpectancyData[[#This Row],[Life expectancy]]), LifeExpectancyData[[#This Row],[Year]]=2013)</f>
        <v>0</v>
      </c>
    </row>
    <row r="1279" spans="1:23" x14ac:dyDescent="0.25">
      <c r="A1279" t="s">
        <v>355</v>
      </c>
      <c r="B1279">
        <v>2004</v>
      </c>
      <c r="C1279" t="s">
        <v>273</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cm="1">
        <f t="array" ref="W1279">AND(ISNUMBER(LifeExpectancyData[[#This Row],[Adult Mortality]:[Schooling]]),ISNUMBER(LifeExpectancyData[[#This Row],[Life expectancy]]), LifeExpectancyData[[#This Row],[Year]]=2013)</f>
        <v>0</v>
      </c>
    </row>
    <row r="1280" spans="1:23" x14ac:dyDescent="0.25">
      <c r="A1280" t="s">
        <v>355</v>
      </c>
      <c r="B1280">
        <v>2003</v>
      </c>
      <c r="C1280" t="s">
        <v>273</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cm="1">
        <f t="array" ref="W1280">AND(ISNUMBER(LifeExpectancyData[[#This Row],[Adult Mortality]:[Schooling]]),ISNUMBER(LifeExpectancyData[[#This Row],[Life expectancy]]), LifeExpectancyData[[#This Row],[Year]]=2013)</f>
        <v>0</v>
      </c>
    </row>
    <row r="1281" spans="1:23" x14ac:dyDescent="0.25">
      <c r="A1281" t="s">
        <v>355</v>
      </c>
      <c r="B1281">
        <v>2002</v>
      </c>
      <c r="C1281" t="s">
        <v>273</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cm="1">
        <f t="array" ref="W1281">AND(ISNUMBER(LifeExpectancyData[[#This Row],[Adult Mortality]:[Schooling]]),ISNUMBER(LifeExpectancyData[[#This Row],[Life expectancy]]), LifeExpectancyData[[#This Row],[Year]]=2013)</f>
        <v>0</v>
      </c>
    </row>
    <row r="1282" spans="1:23" x14ac:dyDescent="0.25">
      <c r="A1282" t="s">
        <v>355</v>
      </c>
      <c r="B1282">
        <v>2001</v>
      </c>
      <c r="C1282" t="s">
        <v>273</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cm="1">
        <f t="array" ref="W1282">AND(ISNUMBER(LifeExpectancyData[[#This Row],[Adult Mortality]:[Schooling]]),ISNUMBER(LifeExpectancyData[[#This Row],[Life expectancy]]), LifeExpectancyData[[#This Row],[Year]]=2013)</f>
        <v>0</v>
      </c>
    </row>
    <row r="1283" spans="1:23" x14ac:dyDescent="0.25">
      <c r="A1283" t="s">
        <v>355</v>
      </c>
      <c r="B1283">
        <v>2000</v>
      </c>
      <c r="C1283" t="s">
        <v>273</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cm="1">
        <f t="array" ref="W1283">AND(ISNUMBER(LifeExpectancyData[[#This Row],[Adult Mortality]:[Schooling]]),ISNUMBER(LifeExpectancyData[[#This Row],[Life expectancy]]), LifeExpectancyData[[#This Row],[Year]]=2013)</f>
        <v>0</v>
      </c>
    </row>
    <row r="1284" spans="1:23" hidden="1" x14ac:dyDescent="0.25">
      <c r="A1284" t="s">
        <v>356</v>
      </c>
      <c r="B1284">
        <v>2015</v>
      </c>
      <c r="C1284" t="s">
        <v>281</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cm="1">
        <f t="array" ref="W1284">AND(ISNUMBER(LifeExpectancyData[[#This Row],[Adult Mortality]:[Schooling]]),ISNUMBER(LifeExpectancyData[[#This Row],[Life expectancy]]), LifeExpectancyData[[#This Row],[Year]]=2013)</f>
        <v>0</v>
      </c>
    </row>
    <row r="1285" spans="1:23" x14ac:dyDescent="0.25">
      <c r="A1285" t="s">
        <v>356</v>
      </c>
      <c r="B1285">
        <v>2014</v>
      </c>
      <c r="C1285" t="s">
        <v>281</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cm="1">
        <f t="array" ref="W1285">AND(ISNUMBER(LifeExpectancyData[[#This Row],[Adult Mortality]:[Schooling]]),ISNUMBER(LifeExpectancyData[[#This Row],[Life expectancy]]), LifeExpectancyData[[#This Row],[Year]]=2013)</f>
        <v>0</v>
      </c>
    </row>
    <row r="1286" spans="1:23" x14ac:dyDescent="0.25">
      <c r="A1286" t="s">
        <v>356</v>
      </c>
      <c r="B1286">
        <v>2013</v>
      </c>
      <c r="C1286" t="s">
        <v>281</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cm="1">
        <f t="array" ref="W1286">AND(ISNUMBER(LifeExpectancyData[[#This Row],[Adult Mortality]:[Schooling]]),ISNUMBER(LifeExpectancyData[[#This Row],[Life expectancy]]), LifeExpectancyData[[#This Row],[Year]]=2013)</f>
        <v>1</v>
      </c>
    </row>
    <row r="1287" spans="1:23" x14ac:dyDescent="0.25">
      <c r="A1287" t="s">
        <v>356</v>
      </c>
      <c r="B1287">
        <v>2012</v>
      </c>
      <c r="C1287" t="s">
        <v>281</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cm="1">
        <f t="array" ref="W1287">AND(ISNUMBER(LifeExpectancyData[[#This Row],[Adult Mortality]:[Schooling]]),ISNUMBER(LifeExpectancyData[[#This Row],[Life expectancy]]), LifeExpectancyData[[#This Row],[Year]]=2013)</f>
        <v>0</v>
      </c>
    </row>
    <row r="1288" spans="1:23" x14ac:dyDescent="0.25">
      <c r="A1288" t="s">
        <v>356</v>
      </c>
      <c r="B1288">
        <v>2011</v>
      </c>
      <c r="C1288" t="s">
        <v>281</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cm="1">
        <f t="array" ref="W1288">AND(ISNUMBER(LifeExpectancyData[[#This Row],[Adult Mortality]:[Schooling]]),ISNUMBER(LifeExpectancyData[[#This Row],[Life expectancy]]), LifeExpectancyData[[#This Row],[Year]]=2013)</f>
        <v>0</v>
      </c>
    </row>
    <row r="1289" spans="1:23" x14ac:dyDescent="0.25">
      <c r="A1289" t="s">
        <v>356</v>
      </c>
      <c r="B1289">
        <v>2010</v>
      </c>
      <c r="C1289" t="s">
        <v>281</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cm="1">
        <f t="array" ref="W1289">AND(ISNUMBER(LifeExpectancyData[[#This Row],[Adult Mortality]:[Schooling]]),ISNUMBER(LifeExpectancyData[[#This Row],[Life expectancy]]), LifeExpectancyData[[#This Row],[Year]]=2013)</f>
        <v>0</v>
      </c>
    </row>
    <row r="1290" spans="1:23" x14ac:dyDescent="0.25">
      <c r="A1290" t="s">
        <v>356</v>
      </c>
      <c r="B1290">
        <v>2009</v>
      </c>
      <c r="C1290" t="s">
        <v>281</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cm="1">
        <f t="array" ref="W1290">AND(ISNUMBER(LifeExpectancyData[[#This Row],[Adult Mortality]:[Schooling]]),ISNUMBER(LifeExpectancyData[[#This Row],[Life expectancy]]), LifeExpectancyData[[#This Row],[Year]]=2013)</f>
        <v>0</v>
      </c>
    </row>
    <row r="1291" spans="1:23" x14ac:dyDescent="0.25">
      <c r="A1291" t="s">
        <v>356</v>
      </c>
      <c r="B1291">
        <v>2008</v>
      </c>
      <c r="C1291" t="s">
        <v>281</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cm="1">
        <f t="array" ref="W1291">AND(ISNUMBER(LifeExpectancyData[[#This Row],[Adult Mortality]:[Schooling]]),ISNUMBER(LifeExpectancyData[[#This Row],[Life expectancy]]), LifeExpectancyData[[#This Row],[Year]]=2013)</f>
        <v>0</v>
      </c>
    </row>
    <row r="1292" spans="1:23" x14ac:dyDescent="0.25">
      <c r="A1292" t="s">
        <v>356</v>
      </c>
      <c r="B1292">
        <v>2007</v>
      </c>
      <c r="C1292" t="s">
        <v>281</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cm="1">
        <f t="array" ref="W1292">AND(ISNUMBER(LifeExpectancyData[[#This Row],[Adult Mortality]:[Schooling]]),ISNUMBER(LifeExpectancyData[[#This Row],[Life expectancy]]), LifeExpectancyData[[#This Row],[Year]]=2013)</f>
        <v>0</v>
      </c>
    </row>
    <row r="1293" spans="1:23" x14ac:dyDescent="0.25">
      <c r="A1293" t="s">
        <v>356</v>
      </c>
      <c r="B1293">
        <v>2006</v>
      </c>
      <c r="C1293" t="s">
        <v>281</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cm="1">
        <f t="array" ref="W1293">AND(ISNUMBER(LifeExpectancyData[[#This Row],[Adult Mortality]:[Schooling]]),ISNUMBER(LifeExpectancyData[[#This Row],[Life expectancy]]), LifeExpectancyData[[#This Row],[Year]]=2013)</f>
        <v>0</v>
      </c>
    </row>
    <row r="1294" spans="1:23" x14ac:dyDescent="0.25">
      <c r="A1294" t="s">
        <v>356</v>
      </c>
      <c r="B1294">
        <v>2005</v>
      </c>
      <c r="C1294" t="s">
        <v>281</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cm="1">
        <f t="array" ref="W1294">AND(ISNUMBER(LifeExpectancyData[[#This Row],[Adult Mortality]:[Schooling]]),ISNUMBER(LifeExpectancyData[[#This Row],[Life expectancy]]), LifeExpectancyData[[#This Row],[Year]]=2013)</f>
        <v>0</v>
      </c>
    </row>
    <row r="1295" spans="1:23" x14ac:dyDescent="0.25">
      <c r="A1295" t="s">
        <v>356</v>
      </c>
      <c r="B1295">
        <v>2004</v>
      </c>
      <c r="C1295" t="s">
        <v>281</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cm="1">
        <f t="array" ref="W1295">AND(ISNUMBER(LifeExpectancyData[[#This Row],[Adult Mortality]:[Schooling]]),ISNUMBER(LifeExpectancyData[[#This Row],[Life expectancy]]), LifeExpectancyData[[#This Row],[Year]]=2013)</f>
        <v>0</v>
      </c>
    </row>
    <row r="1296" spans="1:23" x14ac:dyDescent="0.25">
      <c r="A1296" t="s">
        <v>356</v>
      </c>
      <c r="B1296">
        <v>2003</v>
      </c>
      <c r="C1296" t="s">
        <v>281</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cm="1">
        <f t="array" ref="W1296">AND(ISNUMBER(LifeExpectancyData[[#This Row],[Adult Mortality]:[Schooling]]),ISNUMBER(LifeExpectancyData[[#This Row],[Life expectancy]]), LifeExpectancyData[[#This Row],[Year]]=2013)</f>
        <v>0</v>
      </c>
    </row>
    <row r="1297" spans="1:23" x14ac:dyDescent="0.25">
      <c r="A1297" t="s">
        <v>356</v>
      </c>
      <c r="B1297">
        <v>2002</v>
      </c>
      <c r="C1297" t="s">
        <v>281</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cm="1">
        <f t="array" ref="W1297">AND(ISNUMBER(LifeExpectancyData[[#This Row],[Adult Mortality]:[Schooling]]),ISNUMBER(LifeExpectancyData[[#This Row],[Life expectancy]]), LifeExpectancyData[[#This Row],[Year]]=2013)</f>
        <v>0</v>
      </c>
    </row>
    <row r="1298" spans="1:23" x14ac:dyDescent="0.25">
      <c r="A1298" t="s">
        <v>356</v>
      </c>
      <c r="B1298">
        <v>2001</v>
      </c>
      <c r="C1298" t="s">
        <v>281</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cm="1">
        <f t="array" ref="W1298">AND(ISNUMBER(LifeExpectancyData[[#This Row],[Adult Mortality]:[Schooling]]),ISNUMBER(LifeExpectancyData[[#This Row],[Life expectancy]]), LifeExpectancyData[[#This Row],[Year]]=2013)</f>
        <v>0</v>
      </c>
    </row>
    <row r="1299" spans="1:23" x14ac:dyDescent="0.25">
      <c r="A1299" t="s">
        <v>356</v>
      </c>
      <c r="B1299">
        <v>2000</v>
      </c>
      <c r="C1299" t="s">
        <v>281</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cm="1">
        <f t="array" ref="W1299">AND(ISNUMBER(LifeExpectancyData[[#This Row],[Adult Mortality]:[Schooling]]),ISNUMBER(LifeExpectancyData[[#This Row],[Life expectancy]]), LifeExpectancyData[[#This Row],[Year]]=2013)</f>
        <v>0</v>
      </c>
    </row>
    <row r="1300" spans="1:23" hidden="1" x14ac:dyDescent="0.25">
      <c r="A1300" t="s">
        <v>357</v>
      </c>
      <c r="B1300">
        <v>2015</v>
      </c>
      <c r="C1300" t="s">
        <v>273</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cm="1">
        <f t="array" ref="W1300">AND(ISNUMBER(LifeExpectancyData[[#This Row],[Adult Mortality]:[Schooling]]),ISNUMBER(LifeExpectancyData[[#This Row],[Life expectancy]]), LifeExpectancyData[[#This Row],[Year]]=2013)</f>
        <v>0</v>
      </c>
    </row>
    <row r="1301" spans="1:23" x14ac:dyDescent="0.25">
      <c r="A1301" t="s">
        <v>357</v>
      </c>
      <c r="B1301">
        <v>2014</v>
      </c>
      <c r="C1301" t="s">
        <v>273</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cm="1">
        <f t="array" ref="W1301">AND(ISNUMBER(LifeExpectancyData[[#This Row],[Adult Mortality]:[Schooling]]),ISNUMBER(LifeExpectancyData[[#This Row],[Life expectancy]]), LifeExpectancyData[[#This Row],[Year]]=2013)</f>
        <v>0</v>
      </c>
    </row>
    <row r="1302" spans="1:23" x14ac:dyDescent="0.25">
      <c r="A1302" t="s">
        <v>357</v>
      </c>
      <c r="B1302">
        <v>2013</v>
      </c>
      <c r="C1302" t="s">
        <v>273</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cm="1">
        <f t="array" ref="W1302">AND(ISNUMBER(LifeExpectancyData[[#This Row],[Adult Mortality]:[Schooling]]),ISNUMBER(LifeExpectancyData[[#This Row],[Life expectancy]]), LifeExpectancyData[[#This Row],[Year]]=2013)</f>
        <v>1</v>
      </c>
    </row>
    <row r="1303" spans="1:23" x14ac:dyDescent="0.25">
      <c r="A1303" t="s">
        <v>357</v>
      </c>
      <c r="B1303">
        <v>2012</v>
      </c>
      <c r="C1303" t="s">
        <v>273</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cm="1">
        <f t="array" ref="W1303">AND(ISNUMBER(LifeExpectancyData[[#This Row],[Adult Mortality]:[Schooling]]),ISNUMBER(LifeExpectancyData[[#This Row],[Life expectancy]]), LifeExpectancyData[[#This Row],[Year]]=2013)</f>
        <v>0</v>
      </c>
    </row>
    <row r="1304" spans="1:23" x14ac:dyDescent="0.25">
      <c r="A1304" t="s">
        <v>357</v>
      </c>
      <c r="B1304">
        <v>2011</v>
      </c>
      <c r="C1304" t="s">
        <v>273</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cm="1">
        <f t="array" ref="W1304">AND(ISNUMBER(LifeExpectancyData[[#This Row],[Adult Mortality]:[Schooling]]),ISNUMBER(LifeExpectancyData[[#This Row],[Life expectancy]]), LifeExpectancyData[[#This Row],[Year]]=2013)</f>
        <v>0</v>
      </c>
    </row>
    <row r="1305" spans="1:23" x14ac:dyDescent="0.25">
      <c r="A1305" t="s">
        <v>357</v>
      </c>
      <c r="B1305">
        <v>2010</v>
      </c>
      <c r="C1305" t="s">
        <v>273</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cm="1">
        <f t="array" ref="W1305">AND(ISNUMBER(LifeExpectancyData[[#This Row],[Adult Mortality]:[Schooling]]),ISNUMBER(LifeExpectancyData[[#This Row],[Life expectancy]]), LifeExpectancyData[[#This Row],[Year]]=2013)</f>
        <v>0</v>
      </c>
    </row>
    <row r="1306" spans="1:23" x14ac:dyDescent="0.25">
      <c r="A1306" t="s">
        <v>357</v>
      </c>
      <c r="B1306">
        <v>2009</v>
      </c>
      <c r="C1306" t="s">
        <v>273</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cm="1">
        <f t="array" ref="W1306">AND(ISNUMBER(LifeExpectancyData[[#This Row],[Adult Mortality]:[Schooling]]),ISNUMBER(LifeExpectancyData[[#This Row],[Life expectancy]]), LifeExpectancyData[[#This Row],[Year]]=2013)</f>
        <v>0</v>
      </c>
    </row>
    <row r="1307" spans="1:23" x14ac:dyDescent="0.25">
      <c r="A1307" t="s">
        <v>357</v>
      </c>
      <c r="B1307">
        <v>2008</v>
      </c>
      <c r="C1307" t="s">
        <v>273</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cm="1">
        <f t="array" ref="W1307">AND(ISNUMBER(LifeExpectancyData[[#This Row],[Adult Mortality]:[Schooling]]),ISNUMBER(LifeExpectancyData[[#This Row],[Life expectancy]]), LifeExpectancyData[[#This Row],[Year]]=2013)</f>
        <v>0</v>
      </c>
    </row>
    <row r="1308" spans="1:23" x14ac:dyDescent="0.25">
      <c r="A1308" t="s">
        <v>357</v>
      </c>
      <c r="B1308">
        <v>2007</v>
      </c>
      <c r="C1308" t="s">
        <v>273</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cm="1">
        <f t="array" ref="W1308">AND(ISNUMBER(LifeExpectancyData[[#This Row],[Adult Mortality]:[Schooling]]),ISNUMBER(LifeExpectancyData[[#This Row],[Life expectancy]]), LifeExpectancyData[[#This Row],[Year]]=2013)</f>
        <v>0</v>
      </c>
    </row>
    <row r="1309" spans="1:23" x14ac:dyDescent="0.25">
      <c r="A1309" t="s">
        <v>357</v>
      </c>
      <c r="B1309">
        <v>2006</v>
      </c>
      <c r="C1309" t="s">
        <v>273</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cm="1">
        <f t="array" ref="W1309">AND(ISNUMBER(LifeExpectancyData[[#This Row],[Adult Mortality]:[Schooling]]),ISNUMBER(LifeExpectancyData[[#This Row],[Life expectancy]]), LifeExpectancyData[[#This Row],[Year]]=2013)</f>
        <v>0</v>
      </c>
    </row>
    <row r="1310" spans="1:23" x14ac:dyDescent="0.25">
      <c r="A1310" t="s">
        <v>357</v>
      </c>
      <c r="B1310">
        <v>2005</v>
      </c>
      <c r="C1310" t="s">
        <v>273</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cm="1">
        <f t="array" ref="W1310">AND(ISNUMBER(LifeExpectancyData[[#This Row],[Adult Mortality]:[Schooling]]),ISNUMBER(LifeExpectancyData[[#This Row],[Life expectancy]]), LifeExpectancyData[[#This Row],[Year]]=2013)</f>
        <v>0</v>
      </c>
    </row>
    <row r="1311" spans="1:23" x14ac:dyDescent="0.25">
      <c r="A1311" t="s">
        <v>357</v>
      </c>
      <c r="B1311">
        <v>2004</v>
      </c>
      <c r="C1311" t="s">
        <v>273</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cm="1">
        <f t="array" ref="W1311">AND(ISNUMBER(LifeExpectancyData[[#This Row],[Adult Mortality]:[Schooling]]),ISNUMBER(LifeExpectancyData[[#This Row],[Life expectancy]]), LifeExpectancyData[[#This Row],[Year]]=2013)</f>
        <v>0</v>
      </c>
    </row>
    <row r="1312" spans="1:23" x14ac:dyDescent="0.25">
      <c r="A1312" t="s">
        <v>357</v>
      </c>
      <c r="B1312">
        <v>2003</v>
      </c>
      <c r="C1312" t="s">
        <v>273</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cm="1">
        <f t="array" ref="W1312">AND(ISNUMBER(LifeExpectancyData[[#This Row],[Adult Mortality]:[Schooling]]),ISNUMBER(LifeExpectancyData[[#This Row],[Life expectancy]]), LifeExpectancyData[[#This Row],[Year]]=2013)</f>
        <v>0</v>
      </c>
    </row>
    <row r="1313" spans="1:23" hidden="1" x14ac:dyDescent="0.25">
      <c r="A1313" t="s">
        <v>357</v>
      </c>
      <c r="B1313">
        <v>2002</v>
      </c>
      <c r="C1313" t="s">
        <v>273</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cm="1">
        <f t="array" ref="W1313">AND(ISNUMBER(LifeExpectancyData[[#This Row],[Adult Mortality]:[Schooling]]),ISNUMBER(LifeExpectancyData[[#This Row],[Life expectancy]]), LifeExpectancyData[[#This Row],[Year]]=2013)</f>
        <v>0</v>
      </c>
    </row>
    <row r="1314" spans="1:23" hidden="1" x14ac:dyDescent="0.25">
      <c r="A1314" t="s">
        <v>357</v>
      </c>
      <c r="B1314">
        <v>2001</v>
      </c>
      <c r="C1314" t="s">
        <v>273</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cm="1">
        <f t="array" ref="W1314">AND(ISNUMBER(LifeExpectancyData[[#This Row],[Adult Mortality]:[Schooling]]),ISNUMBER(LifeExpectancyData[[#This Row],[Life expectancy]]), LifeExpectancyData[[#This Row],[Year]]=2013)</f>
        <v>0</v>
      </c>
    </row>
    <row r="1315" spans="1:23" hidden="1" x14ac:dyDescent="0.25">
      <c r="A1315" t="s">
        <v>357</v>
      </c>
      <c r="B1315">
        <v>2000</v>
      </c>
      <c r="C1315" t="s">
        <v>273</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cm="1">
        <f t="array" ref="W1315">AND(ISNUMBER(LifeExpectancyData[[#This Row],[Adult Mortality]:[Schooling]]),ISNUMBER(LifeExpectancyData[[#This Row],[Life expectancy]]), LifeExpectancyData[[#This Row],[Year]]=2013)</f>
        <v>0</v>
      </c>
    </row>
    <row r="1316" spans="1:23" hidden="1" x14ac:dyDescent="0.25">
      <c r="A1316" t="s">
        <v>358</v>
      </c>
      <c r="B1316">
        <v>2015</v>
      </c>
      <c r="C1316" t="s">
        <v>281</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cm="1">
        <f t="array" ref="W1316">AND(ISNUMBER(LifeExpectancyData[[#This Row],[Adult Mortality]:[Schooling]]),ISNUMBER(LifeExpectancyData[[#This Row],[Life expectancy]]), LifeExpectancyData[[#This Row],[Year]]=2013)</f>
        <v>0</v>
      </c>
    </row>
    <row r="1317" spans="1:23" hidden="1" x14ac:dyDescent="0.25">
      <c r="A1317" t="s">
        <v>358</v>
      </c>
      <c r="B1317">
        <v>2014</v>
      </c>
      <c r="C1317" t="s">
        <v>281</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cm="1">
        <f t="array" ref="W1317">AND(ISNUMBER(LifeExpectancyData[[#This Row],[Adult Mortality]:[Schooling]]),ISNUMBER(LifeExpectancyData[[#This Row],[Life expectancy]]), LifeExpectancyData[[#This Row],[Year]]=2013)</f>
        <v>0</v>
      </c>
    </row>
    <row r="1318" spans="1:23" hidden="1" x14ac:dyDescent="0.25">
      <c r="A1318" t="s">
        <v>358</v>
      </c>
      <c r="B1318">
        <v>2013</v>
      </c>
      <c r="C1318" t="s">
        <v>281</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cm="1">
        <f t="array" ref="W1318">AND(ISNUMBER(LifeExpectancyData[[#This Row],[Adult Mortality]:[Schooling]]),ISNUMBER(LifeExpectancyData[[#This Row],[Life expectancy]]), LifeExpectancyData[[#This Row],[Year]]=2013)</f>
        <v>0</v>
      </c>
    </row>
    <row r="1319" spans="1:23" hidden="1" x14ac:dyDescent="0.25">
      <c r="A1319" t="s">
        <v>358</v>
      </c>
      <c r="B1319">
        <v>2012</v>
      </c>
      <c r="C1319" t="s">
        <v>281</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cm="1">
        <f t="array" ref="W1319">AND(ISNUMBER(LifeExpectancyData[[#This Row],[Adult Mortality]:[Schooling]]),ISNUMBER(LifeExpectancyData[[#This Row],[Life expectancy]]), LifeExpectancyData[[#This Row],[Year]]=2013)</f>
        <v>0</v>
      </c>
    </row>
    <row r="1320" spans="1:23" hidden="1" x14ac:dyDescent="0.25">
      <c r="A1320" t="s">
        <v>358</v>
      </c>
      <c r="B1320">
        <v>2011</v>
      </c>
      <c r="C1320" t="s">
        <v>281</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cm="1">
        <f t="array" ref="W1320">AND(ISNUMBER(LifeExpectancyData[[#This Row],[Adult Mortality]:[Schooling]]),ISNUMBER(LifeExpectancyData[[#This Row],[Life expectancy]]), LifeExpectancyData[[#This Row],[Year]]=2013)</f>
        <v>0</v>
      </c>
    </row>
    <row r="1321" spans="1:23" hidden="1" x14ac:dyDescent="0.25">
      <c r="A1321" t="s">
        <v>358</v>
      </c>
      <c r="B1321">
        <v>2010</v>
      </c>
      <c r="C1321" t="s">
        <v>281</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cm="1">
        <f t="array" ref="W1321">AND(ISNUMBER(LifeExpectancyData[[#This Row],[Adult Mortality]:[Schooling]]),ISNUMBER(LifeExpectancyData[[#This Row],[Life expectancy]]), LifeExpectancyData[[#This Row],[Year]]=2013)</f>
        <v>0</v>
      </c>
    </row>
    <row r="1322" spans="1:23" hidden="1" x14ac:dyDescent="0.25">
      <c r="A1322" t="s">
        <v>358</v>
      </c>
      <c r="B1322">
        <v>2009</v>
      </c>
      <c r="C1322" t="s">
        <v>281</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cm="1">
        <f t="array" ref="W1322">AND(ISNUMBER(LifeExpectancyData[[#This Row],[Adult Mortality]:[Schooling]]),ISNUMBER(LifeExpectancyData[[#This Row],[Life expectancy]]), LifeExpectancyData[[#This Row],[Year]]=2013)</f>
        <v>0</v>
      </c>
    </row>
    <row r="1323" spans="1:23" hidden="1" x14ac:dyDescent="0.25">
      <c r="A1323" t="s">
        <v>358</v>
      </c>
      <c r="B1323">
        <v>2008</v>
      </c>
      <c r="C1323" t="s">
        <v>281</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cm="1">
        <f t="array" ref="W1323">AND(ISNUMBER(LifeExpectancyData[[#This Row],[Adult Mortality]:[Schooling]]),ISNUMBER(LifeExpectancyData[[#This Row],[Life expectancy]]), LifeExpectancyData[[#This Row],[Year]]=2013)</f>
        <v>0</v>
      </c>
    </row>
    <row r="1324" spans="1:23" hidden="1" x14ac:dyDescent="0.25">
      <c r="A1324" t="s">
        <v>358</v>
      </c>
      <c r="B1324">
        <v>2007</v>
      </c>
      <c r="C1324" t="s">
        <v>281</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cm="1">
        <f t="array" ref="W1324">AND(ISNUMBER(LifeExpectancyData[[#This Row],[Adult Mortality]:[Schooling]]),ISNUMBER(LifeExpectancyData[[#This Row],[Life expectancy]]), LifeExpectancyData[[#This Row],[Year]]=2013)</f>
        <v>0</v>
      </c>
    </row>
    <row r="1325" spans="1:23" hidden="1" x14ac:dyDescent="0.25">
      <c r="A1325" t="s">
        <v>358</v>
      </c>
      <c r="B1325">
        <v>2006</v>
      </c>
      <c r="C1325" t="s">
        <v>281</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cm="1">
        <f t="array" ref="W1325">AND(ISNUMBER(LifeExpectancyData[[#This Row],[Adult Mortality]:[Schooling]]),ISNUMBER(LifeExpectancyData[[#This Row],[Life expectancy]]), LifeExpectancyData[[#This Row],[Year]]=2013)</f>
        <v>0</v>
      </c>
    </row>
    <row r="1326" spans="1:23" hidden="1" x14ac:dyDescent="0.25">
      <c r="A1326" t="s">
        <v>358</v>
      </c>
      <c r="B1326">
        <v>2005</v>
      </c>
      <c r="C1326" t="s">
        <v>281</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cm="1">
        <f t="array" ref="W1326">AND(ISNUMBER(LifeExpectancyData[[#This Row],[Adult Mortality]:[Schooling]]),ISNUMBER(LifeExpectancyData[[#This Row],[Life expectancy]]), LifeExpectancyData[[#This Row],[Year]]=2013)</f>
        <v>0</v>
      </c>
    </row>
    <row r="1327" spans="1:23" hidden="1" x14ac:dyDescent="0.25">
      <c r="A1327" t="s">
        <v>358</v>
      </c>
      <c r="B1327">
        <v>2004</v>
      </c>
      <c r="C1327" t="s">
        <v>281</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cm="1">
        <f t="array" ref="W1327">AND(ISNUMBER(LifeExpectancyData[[#This Row],[Adult Mortality]:[Schooling]]),ISNUMBER(LifeExpectancyData[[#This Row],[Life expectancy]]), LifeExpectancyData[[#This Row],[Year]]=2013)</f>
        <v>0</v>
      </c>
    </row>
    <row r="1328" spans="1:23" hidden="1" x14ac:dyDescent="0.25">
      <c r="A1328" t="s">
        <v>358</v>
      </c>
      <c r="B1328">
        <v>2003</v>
      </c>
      <c r="C1328" t="s">
        <v>281</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cm="1">
        <f t="array" ref="W1328">AND(ISNUMBER(LifeExpectancyData[[#This Row],[Adult Mortality]:[Schooling]]),ISNUMBER(LifeExpectancyData[[#This Row],[Life expectancy]]), LifeExpectancyData[[#This Row],[Year]]=2013)</f>
        <v>0</v>
      </c>
    </row>
    <row r="1329" spans="1:23" hidden="1" x14ac:dyDescent="0.25">
      <c r="A1329" t="s">
        <v>358</v>
      </c>
      <c r="B1329">
        <v>2002</v>
      </c>
      <c r="C1329" t="s">
        <v>281</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cm="1">
        <f t="array" ref="W1329">AND(ISNUMBER(LifeExpectancyData[[#This Row],[Adult Mortality]:[Schooling]]),ISNUMBER(LifeExpectancyData[[#This Row],[Life expectancy]]), LifeExpectancyData[[#This Row],[Year]]=2013)</f>
        <v>0</v>
      </c>
    </row>
    <row r="1330" spans="1:23" hidden="1" x14ac:dyDescent="0.25">
      <c r="A1330" t="s">
        <v>358</v>
      </c>
      <c r="B1330">
        <v>2001</v>
      </c>
      <c r="C1330" t="s">
        <v>281</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cm="1">
        <f t="array" ref="W1330">AND(ISNUMBER(LifeExpectancyData[[#This Row],[Adult Mortality]:[Schooling]]),ISNUMBER(LifeExpectancyData[[#This Row],[Life expectancy]]), LifeExpectancyData[[#This Row],[Year]]=2013)</f>
        <v>0</v>
      </c>
    </row>
    <row r="1331" spans="1:23" hidden="1" x14ac:dyDescent="0.25">
      <c r="A1331" t="s">
        <v>358</v>
      </c>
      <c r="B1331">
        <v>2000</v>
      </c>
      <c r="C1331" t="s">
        <v>281</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cm="1">
        <f t="array" ref="W1331">AND(ISNUMBER(LifeExpectancyData[[#This Row],[Adult Mortality]:[Schooling]]),ISNUMBER(LifeExpectancyData[[#This Row],[Life expectancy]]), LifeExpectancyData[[#This Row],[Year]]=2013)</f>
        <v>0</v>
      </c>
    </row>
    <row r="1332" spans="1:23" hidden="1" x14ac:dyDescent="0.25">
      <c r="A1332" t="s">
        <v>359</v>
      </c>
      <c r="B1332">
        <v>2015</v>
      </c>
      <c r="C1332" t="s">
        <v>273</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cm="1">
        <f t="array" ref="W1332">AND(ISNUMBER(LifeExpectancyData[[#This Row],[Adult Mortality]:[Schooling]]),ISNUMBER(LifeExpectancyData[[#This Row],[Life expectancy]]), LifeExpectancyData[[#This Row],[Year]]=2013)</f>
        <v>0</v>
      </c>
    </row>
    <row r="1333" spans="1:23" x14ac:dyDescent="0.25">
      <c r="A1333" t="s">
        <v>359</v>
      </c>
      <c r="B1333">
        <v>2014</v>
      </c>
      <c r="C1333" t="s">
        <v>273</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cm="1">
        <f t="array" ref="W1333">AND(ISNUMBER(LifeExpectancyData[[#This Row],[Adult Mortality]:[Schooling]]),ISNUMBER(LifeExpectancyData[[#This Row],[Life expectancy]]), LifeExpectancyData[[#This Row],[Year]]=2013)</f>
        <v>0</v>
      </c>
    </row>
    <row r="1334" spans="1:23" x14ac:dyDescent="0.25">
      <c r="A1334" t="s">
        <v>359</v>
      </c>
      <c r="B1334">
        <v>2013</v>
      </c>
      <c r="C1334" t="s">
        <v>273</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cm="1">
        <f t="array" ref="W1334">AND(ISNUMBER(LifeExpectancyData[[#This Row],[Adult Mortality]:[Schooling]]),ISNUMBER(LifeExpectancyData[[#This Row],[Life expectancy]]), LifeExpectancyData[[#This Row],[Year]]=2013)</f>
        <v>1</v>
      </c>
    </row>
    <row r="1335" spans="1:23" x14ac:dyDescent="0.25">
      <c r="A1335" t="s">
        <v>359</v>
      </c>
      <c r="B1335">
        <v>2012</v>
      </c>
      <c r="C1335" t="s">
        <v>273</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cm="1">
        <f t="array" ref="W1335">AND(ISNUMBER(LifeExpectancyData[[#This Row],[Adult Mortality]:[Schooling]]),ISNUMBER(LifeExpectancyData[[#This Row],[Life expectancy]]), LifeExpectancyData[[#This Row],[Year]]=2013)</f>
        <v>0</v>
      </c>
    </row>
    <row r="1336" spans="1:23" x14ac:dyDescent="0.25">
      <c r="A1336" t="s">
        <v>359</v>
      </c>
      <c r="B1336">
        <v>2011</v>
      </c>
      <c r="C1336" t="s">
        <v>273</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cm="1">
        <f t="array" ref="W1336">AND(ISNUMBER(LifeExpectancyData[[#This Row],[Adult Mortality]:[Schooling]]),ISNUMBER(LifeExpectancyData[[#This Row],[Life expectancy]]), LifeExpectancyData[[#This Row],[Year]]=2013)</f>
        <v>0</v>
      </c>
    </row>
    <row r="1337" spans="1:23" x14ac:dyDescent="0.25">
      <c r="A1337" t="s">
        <v>359</v>
      </c>
      <c r="B1337">
        <v>2010</v>
      </c>
      <c r="C1337" t="s">
        <v>273</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cm="1">
        <f t="array" ref="W1337">AND(ISNUMBER(LifeExpectancyData[[#This Row],[Adult Mortality]:[Schooling]]),ISNUMBER(LifeExpectancyData[[#This Row],[Life expectancy]]), LifeExpectancyData[[#This Row],[Year]]=2013)</f>
        <v>0</v>
      </c>
    </row>
    <row r="1338" spans="1:23" x14ac:dyDescent="0.25">
      <c r="A1338" t="s">
        <v>359</v>
      </c>
      <c r="B1338">
        <v>2009</v>
      </c>
      <c r="C1338" t="s">
        <v>273</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cm="1">
        <f t="array" ref="W1338">AND(ISNUMBER(LifeExpectancyData[[#This Row],[Adult Mortality]:[Schooling]]),ISNUMBER(LifeExpectancyData[[#This Row],[Life expectancy]]), LifeExpectancyData[[#This Row],[Year]]=2013)</f>
        <v>0</v>
      </c>
    </row>
    <row r="1339" spans="1:23" x14ac:dyDescent="0.25">
      <c r="A1339" t="s">
        <v>359</v>
      </c>
      <c r="B1339">
        <v>2008</v>
      </c>
      <c r="C1339" t="s">
        <v>273</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cm="1">
        <f t="array" ref="W1339">AND(ISNUMBER(LifeExpectancyData[[#This Row],[Adult Mortality]:[Schooling]]),ISNUMBER(LifeExpectancyData[[#This Row],[Life expectancy]]), LifeExpectancyData[[#This Row],[Year]]=2013)</f>
        <v>0</v>
      </c>
    </row>
    <row r="1340" spans="1:23" x14ac:dyDescent="0.25">
      <c r="A1340" t="s">
        <v>359</v>
      </c>
      <c r="B1340">
        <v>2007</v>
      </c>
      <c r="C1340" t="s">
        <v>273</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cm="1">
        <f t="array" ref="W1340">AND(ISNUMBER(LifeExpectancyData[[#This Row],[Adult Mortality]:[Schooling]]),ISNUMBER(LifeExpectancyData[[#This Row],[Life expectancy]]), LifeExpectancyData[[#This Row],[Year]]=2013)</f>
        <v>0</v>
      </c>
    </row>
    <row r="1341" spans="1:23" x14ac:dyDescent="0.25">
      <c r="A1341" t="s">
        <v>359</v>
      </c>
      <c r="B1341">
        <v>2006</v>
      </c>
      <c r="C1341" t="s">
        <v>273</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cm="1">
        <f t="array" ref="W1341">AND(ISNUMBER(LifeExpectancyData[[#This Row],[Adult Mortality]:[Schooling]]),ISNUMBER(LifeExpectancyData[[#This Row],[Life expectancy]]), LifeExpectancyData[[#This Row],[Year]]=2013)</f>
        <v>0</v>
      </c>
    </row>
    <row r="1342" spans="1:23" x14ac:dyDescent="0.25">
      <c r="A1342" t="s">
        <v>359</v>
      </c>
      <c r="B1342">
        <v>2005</v>
      </c>
      <c r="C1342" t="s">
        <v>273</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cm="1">
        <f t="array" ref="W1342">AND(ISNUMBER(LifeExpectancyData[[#This Row],[Adult Mortality]:[Schooling]]),ISNUMBER(LifeExpectancyData[[#This Row],[Life expectancy]]), LifeExpectancyData[[#This Row],[Year]]=2013)</f>
        <v>0</v>
      </c>
    </row>
    <row r="1343" spans="1:23" x14ac:dyDescent="0.25">
      <c r="A1343" t="s">
        <v>359</v>
      </c>
      <c r="B1343">
        <v>2004</v>
      </c>
      <c r="C1343" t="s">
        <v>273</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cm="1">
        <f t="array" ref="W1343">AND(ISNUMBER(LifeExpectancyData[[#This Row],[Adult Mortality]:[Schooling]]),ISNUMBER(LifeExpectancyData[[#This Row],[Life expectancy]]), LifeExpectancyData[[#This Row],[Year]]=2013)</f>
        <v>0</v>
      </c>
    </row>
    <row r="1344" spans="1:23" x14ac:dyDescent="0.25">
      <c r="A1344" t="s">
        <v>359</v>
      </c>
      <c r="B1344">
        <v>2003</v>
      </c>
      <c r="C1344" t="s">
        <v>273</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cm="1">
        <f t="array" ref="W1344">AND(ISNUMBER(LifeExpectancyData[[#This Row],[Adult Mortality]:[Schooling]]),ISNUMBER(LifeExpectancyData[[#This Row],[Life expectancy]]), LifeExpectancyData[[#This Row],[Year]]=2013)</f>
        <v>0</v>
      </c>
    </row>
    <row r="1345" spans="1:23" x14ac:dyDescent="0.25">
      <c r="A1345" t="s">
        <v>359</v>
      </c>
      <c r="B1345">
        <v>2002</v>
      </c>
      <c r="C1345" t="s">
        <v>273</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cm="1">
        <f t="array" ref="W1345">AND(ISNUMBER(LifeExpectancyData[[#This Row],[Adult Mortality]:[Schooling]]),ISNUMBER(LifeExpectancyData[[#This Row],[Life expectancy]]), LifeExpectancyData[[#This Row],[Year]]=2013)</f>
        <v>0</v>
      </c>
    </row>
    <row r="1346" spans="1:23" x14ac:dyDescent="0.25">
      <c r="A1346" t="s">
        <v>359</v>
      </c>
      <c r="B1346">
        <v>2001</v>
      </c>
      <c r="C1346" t="s">
        <v>273</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cm="1">
        <f t="array" ref="W1346">AND(ISNUMBER(LifeExpectancyData[[#This Row],[Adult Mortality]:[Schooling]]),ISNUMBER(LifeExpectancyData[[#This Row],[Life expectancy]]), LifeExpectancyData[[#This Row],[Year]]=2013)</f>
        <v>0</v>
      </c>
    </row>
    <row r="1347" spans="1:23" x14ac:dyDescent="0.25">
      <c r="A1347" t="s">
        <v>359</v>
      </c>
      <c r="B1347">
        <v>2000</v>
      </c>
      <c r="C1347" t="s">
        <v>273</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cm="1">
        <f t="array" ref="W1347">AND(ISNUMBER(LifeExpectancyData[[#This Row],[Adult Mortality]:[Schooling]]),ISNUMBER(LifeExpectancyData[[#This Row],[Life expectancy]]), LifeExpectancyData[[#This Row],[Year]]=2013)</f>
        <v>0</v>
      </c>
    </row>
    <row r="1348" spans="1:23" hidden="1" x14ac:dyDescent="0.25">
      <c r="A1348" t="s">
        <v>360</v>
      </c>
      <c r="B1348">
        <v>2015</v>
      </c>
      <c r="C1348" t="s">
        <v>273</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cm="1">
        <f t="array" ref="W1348">AND(ISNUMBER(LifeExpectancyData[[#This Row],[Adult Mortality]:[Schooling]]),ISNUMBER(LifeExpectancyData[[#This Row],[Life expectancy]]), LifeExpectancyData[[#This Row],[Year]]=2013)</f>
        <v>0</v>
      </c>
    </row>
    <row r="1349" spans="1:23" x14ac:dyDescent="0.25">
      <c r="A1349" t="s">
        <v>360</v>
      </c>
      <c r="B1349">
        <v>2014</v>
      </c>
      <c r="C1349" t="s">
        <v>273</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cm="1">
        <f t="array" ref="W1349">AND(ISNUMBER(LifeExpectancyData[[#This Row],[Adult Mortality]:[Schooling]]),ISNUMBER(LifeExpectancyData[[#This Row],[Life expectancy]]), LifeExpectancyData[[#This Row],[Year]]=2013)</f>
        <v>0</v>
      </c>
    </row>
    <row r="1350" spans="1:23" x14ac:dyDescent="0.25">
      <c r="A1350" t="s">
        <v>360</v>
      </c>
      <c r="B1350">
        <v>2013</v>
      </c>
      <c r="C1350" t="s">
        <v>273</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cm="1">
        <f t="array" ref="W1350">AND(ISNUMBER(LifeExpectancyData[[#This Row],[Adult Mortality]:[Schooling]]),ISNUMBER(LifeExpectancyData[[#This Row],[Life expectancy]]), LifeExpectancyData[[#This Row],[Year]]=2013)</f>
        <v>1</v>
      </c>
    </row>
    <row r="1351" spans="1:23" x14ac:dyDescent="0.25">
      <c r="A1351" t="s">
        <v>360</v>
      </c>
      <c r="B1351">
        <v>2012</v>
      </c>
      <c r="C1351" t="s">
        <v>273</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cm="1">
        <f t="array" ref="W1351">AND(ISNUMBER(LifeExpectancyData[[#This Row],[Adult Mortality]:[Schooling]]),ISNUMBER(LifeExpectancyData[[#This Row],[Life expectancy]]), LifeExpectancyData[[#This Row],[Year]]=2013)</f>
        <v>0</v>
      </c>
    </row>
    <row r="1352" spans="1:23" x14ac:dyDescent="0.25">
      <c r="A1352" t="s">
        <v>360</v>
      </c>
      <c r="B1352">
        <v>2011</v>
      </c>
      <c r="C1352" t="s">
        <v>273</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cm="1">
        <f t="array" ref="W1352">AND(ISNUMBER(LifeExpectancyData[[#This Row],[Adult Mortality]:[Schooling]]),ISNUMBER(LifeExpectancyData[[#This Row],[Life expectancy]]), LifeExpectancyData[[#This Row],[Year]]=2013)</f>
        <v>0</v>
      </c>
    </row>
    <row r="1353" spans="1:23" x14ac:dyDescent="0.25">
      <c r="A1353" t="s">
        <v>360</v>
      </c>
      <c r="B1353">
        <v>2010</v>
      </c>
      <c r="C1353" t="s">
        <v>273</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cm="1">
        <f t="array" ref="W1353">AND(ISNUMBER(LifeExpectancyData[[#This Row],[Adult Mortality]:[Schooling]]),ISNUMBER(LifeExpectancyData[[#This Row],[Life expectancy]]), LifeExpectancyData[[#This Row],[Year]]=2013)</f>
        <v>0</v>
      </c>
    </row>
    <row r="1354" spans="1:23" x14ac:dyDescent="0.25">
      <c r="A1354" t="s">
        <v>360</v>
      </c>
      <c r="B1354">
        <v>2009</v>
      </c>
      <c r="C1354" t="s">
        <v>273</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cm="1">
        <f t="array" ref="W1354">AND(ISNUMBER(LifeExpectancyData[[#This Row],[Adult Mortality]:[Schooling]]),ISNUMBER(LifeExpectancyData[[#This Row],[Life expectancy]]), LifeExpectancyData[[#This Row],[Year]]=2013)</f>
        <v>0</v>
      </c>
    </row>
    <row r="1355" spans="1:23" x14ac:dyDescent="0.25">
      <c r="A1355" t="s">
        <v>360</v>
      </c>
      <c r="B1355">
        <v>2008</v>
      </c>
      <c r="C1355" t="s">
        <v>273</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cm="1">
        <f t="array" ref="W1355">AND(ISNUMBER(LifeExpectancyData[[#This Row],[Adult Mortality]:[Schooling]]),ISNUMBER(LifeExpectancyData[[#This Row],[Life expectancy]]), LifeExpectancyData[[#This Row],[Year]]=2013)</f>
        <v>0</v>
      </c>
    </row>
    <row r="1356" spans="1:23" x14ac:dyDescent="0.25">
      <c r="A1356" t="s">
        <v>360</v>
      </c>
      <c r="B1356">
        <v>2007</v>
      </c>
      <c r="C1356" t="s">
        <v>273</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cm="1">
        <f t="array" ref="W1356">AND(ISNUMBER(LifeExpectancyData[[#This Row],[Adult Mortality]:[Schooling]]),ISNUMBER(LifeExpectancyData[[#This Row],[Life expectancy]]), LifeExpectancyData[[#This Row],[Year]]=2013)</f>
        <v>0</v>
      </c>
    </row>
    <row r="1357" spans="1:23" x14ac:dyDescent="0.25">
      <c r="A1357" t="s">
        <v>360</v>
      </c>
      <c r="B1357">
        <v>2006</v>
      </c>
      <c r="C1357" t="s">
        <v>273</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cm="1">
        <f t="array" ref="W1357">AND(ISNUMBER(LifeExpectancyData[[#This Row],[Adult Mortality]:[Schooling]]),ISNUMBER(LifeExpectancyData[[#This Row],[Life expectancy]]), LifeExpectancyData[[#This Row],[Year]]=2013)</f>
        <v>0</v>
      </c>
    </row>
    <row r="1358" spans="1:23" x14ac:dyDescent="0.25">
      <c r="A1358" t="s">
        <v>360</v>
      </c>
      <c r="B1358">
        <v>2005</v>
      </c>
      <c r="C1358" t="s">
        <v>273</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cm="1">
        <f t="array" ref="W1358">AND(ISNUMBER(LifeExpectancyData[[#This Row],[Adult Mortality]:[Schooling]]),ISNUMBER(LifeExpectancyData[[#This Row],[Life expectancy]]), LifeExpectancyData[[#This Row],[Year]]=2013)</f>
        <v>0</v>
      </c>
    </row>
    <row r="1359" spans="1:23" x14ac:dyDescent="0.25">
      <c r="A1359" t="s">
        <v>360</v>
      </c>
      <c r="B1359">
        <v>2004</v>
      </c>
      <c r="C1359" t="s">
        <v>273</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cm="1">
        <f t="array" ref="W1359">AND(ISNUMBER(LifeExpectancyData[[#This Row],[Adult Mortality]:[Schooling]]),ISNUMBER(LifeExpectancyData[[#This Row],[Life expectancy]]), LifeExpectancyData[[#This Row],[Year]]=2013)</f>
        <v>0</v>
      </c>
    </row>
    <row r="1360" spans="1:23" x14ac:dyDescent="0.25">
      <c r="A1360" t="s">
        <v>360</v>
      </c>
      <c r="B1360">
        <v>2003</v>
      </c>
      <c r="C1360" t="s">
        <v>273</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cm="1">
        <f t="array" ref="W1360">AND(ISNUMBER(LifeExpectancyData[[#This Row],[Adult Mortality]:[Schooling]]),ISNUMBER(LifeExpectancyData[[#This Row],[Life expectancy]]), LifeExpectancyData[[#This Row],[Year]]=2013)</f>
        <v>0</v>
      </c>
    </row>
    <row r="1361" spans="1:23" x14ac:dyDescent="0.25">
      <c r="A1361" t="s">
        <v>360</v>
      </c>
      <c r="B1361">
        <v>2002</v>
      </c>
      <c r="C1361" t="s">
        <v>273</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cm="1">
        <f t="array" ref="W1361">AND(ISNUMBER(LifeExpectancyData[[#This Row],[Adult Mortality]:[Schooling]]),ISNUMBER(LifeExpectancyData[[#This Row],[Life expectancy]]), LifeExpectancyData[[#This Row],[Year]]=2013)</f>
        <v>0</v>
      </c>
    </row>
    <row r="1362" spans="1:23" x14ac:dyDescent="0.25">
      <c r="A1362" t="s">
        <v>360</v>
      </c>
      <c r="B1362">
        <v>2001</v>
      </c>
      <c r="C1362" t="s">
        <v>273</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cm="1">
        <f t="array" ref="W1362">AND(ISNUMBER(LifeExpectancyData[[#This Row],[Adult Mortality]:[Schooling]]),ISNUMBER(LifeExpectancyData[[#This Row],[Life expectancy]]), LifeExpectancyData[[#This Row],[Year]]=2013)</f>
        <v>0</v>
      </c>
    </row>
    <row r="1363" spans="1:23" x14ac:dyDescent="0.25">
      <c r="A1363" t="s">
        <v>360</v>
      </c>
      <c r="B1363">
        <v>2000</v>
      </c>
      <c r="C1363" t="s">
        <v>273</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cm="1">
        <f t="array" ref="W1363">AND(ISNUMBER(LifeExpectancyData[[#This Row],[Adult Mortality]:[Schooling]]),ISNUMBER(LifeExpectancyData[[#This Row],[Life expectancy]]), LifeExpectancyData[[#This Row],[Year]]=2013)</f>
        <v>0</v>
      </c>
    </row>
    <row r="1364" spans="1:23" hidden="1" x14ac:dyDescent="0.25">
      <c r="A1364" t="s">
        <v>361</v>
      </c>
      <c r="B1364">
        <v>2015</v>
      </c>
      <c r="C1364" t="s">
        <v>273</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cm="1">
        <f t="array" ref="W1364">AND(ISNUMBER(LifeExpectancyData[[#This Row],[Adult Mortality]:[Schooling]]),ISNUMBER(LifeExpectancyData[[#This Row],[Life expectancy]]), LifeExpectancyData[[#This Row],[Year]]=2013)</f>
        <v>0</v>
      </c>
    </row>
    <row r="1365" spans="1:23" x14ac:dyDescent="0.25">
      <c r="A1365" t="s">
        <v>361</v>
      </c>
      <c r="B1365">
        <v>2014</v>
      </c>
      <c r="C1365" t="s">
        <v>273</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cm="1">
        <f t="array" ref="W1365">AND(ISNUMBER(LifeExpectancyData[[#This Row],[Adult Mortality]:[Schooling]]),ISNUMBER(LifeExpectancyData[[#This Row],[Life expectancy]]), LifeExpectancyData[[#This Row],[Year]]=2013)</f>
        <v>0</v>
      </c>
    </row>
    <row r="1366" spans="1:23" x14ac:dyDescent="0.25">
      <c r="A1366" t="s">
        <v>361</v>
      </c>
      <c r="B1366">
        <v>2013</v>
      </c>
      <c r="C1366" t="s">
        <v>273</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cm="1">
        <f t="array" ref="W1366">AND(ISNUMBER(LifeExpectancyData[[#This Row],[Adult Mortality]:[Schooling]]),ISNUMBER(LifeExpectancyData[[#This Row],[Life expectancy]]), LifeExpectancyData[[#This Row],[Year]]=2013)</f>
        <v>1</v>
      </c>
    </row>
    <row r="1367" spans="1:23" x14ac:dyDescent="0.25">
      <c r="A1367" t="s">
        <v>361</v>
      </c>
      <c r="B1367">
        <v>2012</v>
      </c>
      <c r="C1367" t="s">
        <v>273</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cm="1">
        <f t="array" ref="W1367">AND(ISNUMBER(LifeExpectancyData[[#This Row],[Adult Mortality]:[Schooling]]),ISNUMBER(LifeExpectancyData[[#This Row],[Life expectancy]]), LifeExpectancyData[[#This Row],[Year]]=2013)</f>
        <v>0</v>
      </c>
    </row>
    <row r="1368" spans="1:23" x14ac:dyDescent="0.25">
      <c r="A1368" t="s">
        <v>361</v>
      </c>
      <c r="B1368">
        <v>2011</v>
      </c>
      <c r="C1368" t="s">
        <v>273</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cm="1">
        <f t="array" ref="W1368">AND(ISNUMBER(LifeExpectancyData[[#This Row],[Adult Mortality]:[Schooling]]),ISNUMBER(LifeExpectancyData[[#This Row],[Life expectancy]]), LifeExpectancyData[[#This Row],[Year]]=2013)</f>
        <v>0</v>
      </c>
    </row>
    <row r="1369" spans="1:23" x14ac:dyDescent="0.25">
      <c r="A1369" t="s">
        <v>361</v>
      </c>
      <c r="B1369">
        <v>2010</v>
      </c>
      <c r="C1369" t="s">
        <v>273</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cm="1">
        <f t="array" ref="W1369">AND(ISNUMBER(LifeExpectancyData[[#This Row],[Adult Mortality]:[Schooling]]),ISNUMBER(LifeExpectancyData[[#This Row],[Life expectancy]]), LifeExpectancyData[[#This Row],[Year]]=2013)</f>
        <v>0</v>
      </c>
    </row>
    <row r="1370" spans="1:23" x14ac:dyDescent="0.25">
      <c r="A1370" t="s">
        <v>361</v>
      </c>
      <c r="B1370">
        <v>2009</v>
      </c>
      <c r="C1370" t="s">
        <v>273</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cm="1">
        <f t="array" ref="W1370">AND(ISNUMBER(LifeExpectancyData[[#This Row],[Adult Mortality]:[Schooling]]),ISNUMBER(LifeExpectancyData[[#This Row],[Life expectancy]]), LifeExpectancyData[[#This Row],[Year]]=2013)</f>
        <v>0</v>
      </c>
    </row>
    <row r="1371" spans="1:23" x14ac:dyDescent="0.25">
      <c r="A1371" t="s">
        <v>361</v>
      </c>
      <c r="B1371">
        <v>2008</v>
      </c>
      <c r="C1371" t="s">
        <v>273</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cm="1">
        <f t="array" ref="W1371">AND(ISNUMBER(LifeExpectancyData[[#This Row],[Adult Mortality]:[Schooling]]),ISNUMBER(LifeExpectancyData[[#This Row],[Life expectancy]]), LifeExpectancyData[[#This Row],[Year]]=2013)</f>
        <v>0</v>
      </c>
    </row>
    <row r="1372" spans="1:23" x14ac:dyDescent="0.25">
      <c r="A1372" t="s">
        <v>361</v>
      </c>
      <c r="B1372">
        <v>2007</v>
      </c>
      <c r="C1372" t="s">
        <v>273</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cm="1">
        <f t="array" ref="W1372">AND(ISNUMBER(LifeExpectancyData[[#This Row],[Adult Mortality]:[Schooling]]),ISNUMBER(LifeExpectancyData[[#This Row],[Life expectancy]]), LifeExpectancyData[[#This Row],[Year]]=2013)</f>
        <v>0</v>
      </c>
    </row>
    <row r="1373" spans="1:23" x14ac:dyDescent="0.25">
      <c r="A1373" t="s">
        <v>361</v>
      </c>
      <c r="B1373">
        <v>2006</v>
      </c>
      <c r="C1373" t="s">
        <v>273</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cm="1">
        <f t="array" ref="W1373">AND(ISNUMBER(LifeExpectancyData[[#This Row],[Adult Mortality]:[Schooling]]),ISNUMBER(LifeExpectancyData[[#This Row],[Life expectancy]]), LifeExpectancyData[[#This Row],[Year]]=2013)</f>
        <v>0</v>
      </c>
    </row>
    <row r="1374" spans="1:23" x14ac:dyDescent="0.25">
      <c r="A1374" t="s">
        <v>361</v>
      </c>
      <c r="B1374">
        <v>2005</v>
      </c>
      <c r="C1374" t="s">
        <v>273</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cm="1">
        <f t="array" ref="W1374">AND(ISNUMBER(LifeExpectancyData[[#This Row],[Adult Mortality]:[Schooling]]),ISNUMBER(LifeExpectancyData[[#This Row],[Life expectancy]]), LifeExpectancyData[[#This Row],[Year]]=2013)</f>
        <v>0</v>
      </c>
    </row>
    <row r="1375" spans="1:23" x14ac:dyDescent="0.25">
      <c r="A1375" t="s">
        <v>361</v>
      </c>
      <c r="B1375">
        <v>2004</v>
      </c>
      <c r="C1375" t="s">
        <v>273</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cm="1">
        <f t="array" ref="W1375">AND(ISNUMBER(LifeExpectancyData[[#This Row],[Adult Mortality]:[Schooling]]),ISNUMBER(LifeExpectancyData[[#This Row],[Life expectancy]]), LifeExpectancyData[[#This Row],[Year]]=2013)</f>
        <v>0</v>
      </c>
    </row>
    <row r="1376" spans="1:23" x14ac:dyDescent="0.25">
      <c r="A1376" t="s">
        <v>361</v>
      </c>
      <c r="B1376">
        <v>2003</v>
      </c>
      <c r="C1376" t="s">
        <v>273</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cm="1">
        <f t="array" ref="W1376">AND(ISNUMBER(LifeExpectancyData[[#This Row],[Adult Mortality]:[Schooling]]),ISNUMBER(LifeExpectancyData[[#This Row],[Life expectancy]]), LifeExpectancyData[[#This Row],[Year]]=2013)</f>
        <v>0</v>
      </c>
    </row>
    <row r="1377" spans="1:23" x14ac:dyDescent="0.25">
      <c r="A1377" t="s">
        <v>361</v>
      </c>
      <c r="B1377">
        <v>2002</v>
      </c>
      <c r="C1377" t="s">
        <v>273</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cm="1">
        <f t="array" ref="W1377">AND(ISNUMBER(LifeExpectancyData[[#This Row],[Adult Mortality]:[Schooling]]),ISNUMBER(LifeExpectancyData[[#This Row],[Life expectancy]]), LifeExpectancyData[[#This Row],[Year]]=2013)</f>
        <v>0</v>
      </c>
    </row>
    <row r="1378" spans="1:23" hidden="1" x14ac:dyDescent="0.25">
      <c r="A1378" t="s">
        <v>361</v>
      </c>
      <c r="B1378">
        <v>2001</v>
      </c>
      <c r="C1378" t="s">
        <v>273</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cm="1">
        <f t="array" ref="W1378">AND(ISNUMBER(LifeExpectancyData[[#This Row],[Adult Mortality]:[Schooling]]),ISNUMBER(LifeExpectancyData[[#This Row],[Life expectancy]]), LifeExpectancyData[[#This Row],[Year]]=2013)</f>
        <v>0</v>
      </c>
    </row>
    <row r="1379" spans="1:23" hidden="1" x14ac:dyDescent="0.25">
      <c r="A1379" t="s">
        <v>361</v>
      </c>
      <c r="B1379">
        <v>2000</v>
      </c>
      <c r="C1379" t="s">
        <v>273</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cm="1">
        <f t="array" ref="W1379">AND(ISNUMBER(LifeExpectancyData[[#This Row],[Adult Mortality]:[Schooling]]),ISNUMBER(LifeExpectancyData[[#This Row],[Life expectancy]]), LifeExpectancyData[[#This Row],[Year]]=2013)</f>
        <v>0</v>
      </c>
    </row>
    <row r="1380" spans="1:23" hidden="1" x14ac:dyDescent="0.25">
      <c r="A1380" t="s">
        <v>362</v>
      </c>
      <c r="B1380">
        <v>2015</v>
      </c>
      <c r="C1380" t="s">
        <v>273</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cm="1">
        <f t="array" ref="W1380">AND(ISNUMBER(LifeExpectancyData[[#This Row],[Adult Mortality]:[Schooling]]),ISNUMBER(LifeExpectancyData[[#This Row],[Life expectancy]]), LifeExpectancyData[[#This Row],[Year]]=2013)</f>
        <v>0</v>
      </c>
    </row>
    <row r="1381" spans="1:23" x14ac:dyDescent="0.25">
      <c r="A1381" t="s">
        <v>362</v>
      </c>
      <c r="B1381">
        <v>2014</v>
      </c>
      <c r="C1381" t="s">
        <v>273</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cm="1">
        <f t="array" ref="W1381">AND(ISNUMBER(LifeExpectancyData[[#This Row],[Adult Mortality]:[Schooling]]),ISNUMBER(LifeExpectancyData[[#This Row],[Life expectancy]]), LifeExpectancyData[[#This Row],[Year]]=2013)</f>
        <v>0</v>
      </c>
    </row>
    <row r="1382" spans="1:23" x14ac:dyDescent="0.25">
      <c r="A1382" t="s">
        <v>362</v>
      </c>
      <c r="B1382">
        <v>2013</v>
      </c>
      <c r="C1382" t="s">
        <v>273</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cm="1">
        <f t="array" ref="W1382">AND(ISNUMBER(LifeExpectancyData[[#This Row],[Adult Mortality]:[Schooling]]),ISNUMBER(LifeExpectancyData[[#This Row],[Life expectancy]]), LifeExpectancyData[[#This Row],[Year]]=2013)</f>
        <v>1</v>
      </c>
    </row>
    <row r="1383" spans="1:23" x14ac:dyDescent="0.25">
      <c r="A1383" t="s">
        <v>362</v>
      </c>
      <c r="B1383">
        <v>2012</v>
      </c>
      <c r="C1383" t="s">
        <v>273</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cm="1">
        <f t="array" ref="W1383">AND(ISNUMBER(LifeExpectancyData[[#This Row],[Adult Mortality]:[Schooling]]),ISNUMBER(LifeExpectancyData[[#This Row],[Life expectancy]]), LifeExpectancyData[[#This Row],[Year]]=2013)</f>
        <v>0</v>
      </c>
    </row>
    <row r="1384" spans="1:23" x14ac:dyDescent="0.25">
      <c r="A1384" t="s">
        <v>362</v>
      </c>
      <c r="B1384">
        <v>2011</v>
      </c>
      <c r="C1384" t="s">
        <v>273</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cm="1">
        <f t="array" ref="W1384">AND(ISNUMBER(LifeExpectancyData[[#This Row],[Adult Mortality]:[Schooling]]),ISNUMBER(LifeExpectancyData[[#This Row],[Life expectancy]]), LifeExpectancyData[[#This Row],[Year]]=2013)</f>
        <v>0</v>
      </c>
    </row>
    <row r="1385" spans="1:23" x14ac:dyDescent="0.25">
      <c r="A1385" t="s">
        <v>362</v>
      </c>
      <c r="B1385">
        <v>2010</v>
      </c>
      <c r="C1385" t="s">
        <v>273</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cm="1">
        <f t="array" ref="W1385">AND(ISNUMBER(LifeExpectancyData[[#This Row],[Adult Mortality]:[Schooling]]),ISNUMBER(LifeExpectancyData[[#This Row],[Life expectancy]]), LifeExpectancyData[[#This Row],[Year]]=2013)</f>
        <v>0</v>
      </c>
    </row>
    <row r="1386" spans="1:23" x14ac:dyDescent="0.25">
      <c r="A1386" t="s">
        <v>362</v>
      </c>
      <c r="B1386">
        <v>2009</v>
      </c>
      <c r="C1386" t="s">
        <v>273</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cm="1">
        <f t="array" ref="W1386">AND(ISNUMBER(LifeExpectancyData[[#This Row],[Adult Mortality]:[Schooling]]),ISNUMBER(LifeExpectancyData[[#This Row],[Life expectancy]]), LifeExpectancyData[[#This Row],[Year]]=2013)</f>
        <v>0</v>
      </c>
    </row>
    <row r="1387" spans="1:23" x14ac:dyDescent="0.25">
      <c r="A1387" t="s">
        <v>362</v>
      </c>
      <c r="B1387">
        <v>2008</v>
      </c>
      <c r="C1387" t="s">
        <v>273</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cm="1">
        <f t="array" ref="W1387">AND(ISNUMBER(LifeExpectancyData[[#This Row],[Adult Mortality]:[Schooling]]),ISNUMBER(LifeExpectancyData[[#This Row],[Life expectancy]]), LifeExpectancyData[[#This Row],[Year]]=2013)</f>
        <v>0</v>
      </c>
    </row>
    <row r="1388" spans="1:23" x14ac:dyDescent="0.25">
      <c r="A1388" t="s">
        <v>362</v>
      </c>
      <c r="B1388">
        <v>2007</v>
      </c>
      <c r="C1388" t="s">
        <v>273</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cm="1">
        <f t="array" ref="W1388">AND(ISNUMBER(LifeExpectancyData[[#This Row],[Adult Mortality]:[Schooling]]),ISNUMBER(LifeExpectancyData[[#This Row],[Life expectancy]]), LifeExpectancyData[[#This Row],[Year]]=2013)</f>
        <v>0</v>
      </c>
    </row>
    <row r="1389" spans="1:23" x14ac:dyDescent="0.25">
      <c r="A1389" t="s">
        <v>362</v>
      </c>
      <c r="B1389">
        <v>2006</v>
      </c>
      <c r="C1389" t="s">
        <v>273</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cm="1">
        <f t="array" ref="W1389">AND(ISNUMBER(LifeExpectancyData[[#This Row],[Adult Mortality]:[Schooling]]),ISNUMBER(LifeExpectancyData[[#This Row],[Life expectancy]]), LifeExpectancyData[[#This Row],[Year]]=2013)</f>
        <v>0</v>
      </c>
    </row>
    <row r="1390" spans="1:23" x14ac:dyDescent="0.25">
      <c r="A1390" t="s">
        <v>362</v>
      </c>
      <c r="B1390">
        <v>2005</v>
      </c>
      <c r="C1390" t="s">
        <v>273</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cm="1">
        <f t="array" ref="W1390">AND(ISNUMBER(LifeExpectancyData[[#This Row],[Adult Mortality]:[Schooling]]),ISNUMBER(LifeExpectancyData[[#This Row],[Life expectancy]]), LifeExpectancyData[[#This Row],[Year]]=2013)</f>
        <v>0</v>
      </c>
    </row>
    <row r="1391" spans="1:23" x14ac:dyDescent="0.25">
      <c r="A1391" t="s">
        <v>362</v>
      </c>
      <c r="B1391">
        <v>2004</v>
      </c>
      <c r="C1391" t="s">
        <v>273</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cm="1">
        <f t="array" ref="W1391">AND(ISNUMBER(LifeExpectancyData[[#This Row],[Adult Mortality]:[Schooling]]),ISNUMBER(LifeExpectancyData[[#This Row],[Life expectancy]]), LifeExpectancyData[[#This Row],[Year]]=2013)</f>
        <v>0</v>
      </c>
    </row>
    <row r="1392" spans="1:23" x14ac:dyDescent="0.25">
      <c r="A1392" t="s">
        <v>362</v>
      </c>
      <c r="B1392">
        <v>2003</v>
      </c>
      <c r="C1392" t="s">
        <v>273</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cm="1">
        <f t="array" ref="W1392">AND(ISNUMBER(LifeExpectancyData[[#This Row],[Adult Mortality]:[Schooling]]),ISNUMBER(LifeExpectancyData[[#This Row],[Life expectancy]]), LifeExpectancyData[[#This Row],[Year]]=2013)</f>
        <v>0</v>
      </c>
    </row>
    <row r="1393" spans="1:23" x14ac:dyDescent="0.25">
      <c r="A1393" t="s">
        <v>362</v>
      </c>
      <c r="B1393">
        <v>2002</v>
      </c>
      <c r="C1393" t="s">
        <v>273</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cm="1">
        <f t="array" ref="W1393">AND(ISNUMBER(LifeExpectancyData[[#This Row],[Adult Mortality]:[Schooling]]),ISNUMBER(LifeExpectancyData[[#This Row],[Life expectancy]]), LifeExpectancyData[[#This Row],[Year]]=2013)</f>
        <v>0</v>
      </c>
    </row>
    <row r="1394" spans="1:23" x14ac:dyDescent="0.25">
      <c r="A1394" t="s">
        <v>362</v>
      </c>
      <c r="B1394">
        <v>2001</v>
      </c>
      <c r="C1394" t="s">
        <v>273</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cm="1">
        <f t="array" ref="W1394">AND(ISNUMBER(LifeExpectancyData[[#This Row],[Adult Mortality]:[Schooling]]),ISNUMBER(LifeExpectancyData[[#This Row],[Life expectancy]]), LifeExpectancyData[[#This Row],[Year]]=2013)</f>
        <v>0</v>
      </c>
    </row>
    <row r="1395" spans="1:23" x14ac:dyDescent="0.25">
      <c r="A1395" t="s">
        <v>362</v>
      </c>
      <c r="B1395">
        <v>2000</v>
      </c>
      <c r="C1395" t="s">
        <v>273</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cm="1">
        <f t="array" ref="W1395">AND(ISNUMBER(LifeExpectancyData[[#This Row],[Adult Mortality]:[Schooling]]),ISNUMBER(LifeExpectancyData[[#This Row],[Life expectancy]]), LifeExpectancyData[[#This Row],[Year]]=2013)</f>
        <v>0</v>
      </c>
    </row>
    <row r="1396" spans="1:23" hidden="1" x14ac:dyDescent="0.25">
      <c r="A1396" t="s">
        <v>363</v>
      </c>
      <c r="B1396">
        <v>2015</v>
      </c>
      <c r="C1396" t="s">
        <v>273</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cm="1">
        <f t="array" ref="W1396">AND(ISNUMBER(LifeExpectancyData[[#This Row],[Adult Mortality]:[Schooling]]),ISNUMBER(LifeExpectancyData[[#This Row],[Life expectancy]]), LifeExpectancyData[[#This Row],[Year]]=2013)</f>
        <v>0</v>
      </c>
    </row>
    <row r="1397" spans="1:23" hidden="1" x14ac:dyDescent="0.25">
      <c r="A1397" t="s">
        <v>363</v>
      </c>
      <c r="B1397">
        <v>2014</v>
      </c>
      <c r="C1397" t="s">
        <v>273</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cm="1">
        <f t="array" ref="W1397">AND(ISNUMBER(LifeExpectancyData[[#This Row],[Adult Mortality]:[Schooling]]),ISNUMBER(LifeExpectancyData[[#This Row],[Life expectancy]]), LifeExpectancyData[[#This Row],[Year]]=2013)</f>
        <v>0</v>
      </c>
    </row>
    <row r="1398" spans="1:23" hidden="1" x14ac:dyDescent="0.25">
      <c r="A1398" t="s">
        <v>363</v>
      </c>
      <c r="B1398">
        <v>2013</v>
      </c>
      <c r="C1398" t="s">
        <v>273</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cm="1">
        <f t="array" ref="W1398">AND(ISNUMBER(LifeExpectancyData[[#This Row],[Adult Mortality]:[Schooling]]),ISNUMBER(LifeExpectancyData[[#This Row],[Life expectancy]]), LifeExpectancyData[[#This Row],[Year]]=2013)</f>
        <v>0</v>
      </c>
    </row>
    <row r="1399" spans="1:23" hidden="1" x14ac:dyDescent="0.25">
      <c r="A1399" t="s">
        <v>363</v>
      </c>
      <c r="B1399">
        <v>2012</v>
      </c>
      <c r="C1399" t="s">
        <v>273</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cm="1">
        <f t="array" ref="W1399">AND(ISNUMBER(LifeExpectancyData[[#This Row],[Adult Mortality]:[Schooling]]),ISNUMBER(LifeExpectancyData[[#This Row],[Life expectancy]]), LifeExpectancyData[[#This Row],[Year]]=2013)</f>
        <v>0</v>
      </c>
    </row>
    <row r="1400" spans="1:23" hidden="1" x14ac:dyDescent="0.25">
      <c r="A1400" t="s">
        <v>363</v>
      </c>
      <c r="B1400">
        <v>2011</v>
      </c>
      <c r="C1400" t="s">
        <v>273</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cm="1">
        <f t="array" ref="W1400">AND(ISNUMBER(LifeExpectancyData[[#This Row],[Adult Mortality]:[Schooling]]),ISNUMBER(LifeExpectancyData[[#This Row],[Life expectancy]]), LifeExpectancyData[[#This Row],[Year]]=2013)</f>
        <v>0</v>
      </c>
    </row>
    <row r="1401" spans="1:23" hidden="1" x14ac:dyDescent="0.25">
      <c r="A1401" t="s">
        <v>363</v>
      </c>
      <c r="B1401">
        <v>2010</v>
      </c>
      <c r="C1401" t="s">
        <v>273</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cm="1">
        <f t="array" ref="W1401">AND(ISNUMBER(LifeExpectancyData[[#This Row],[Adult Mortality]:[Schooling]]),ISNUMBER(LifeExpectancyData[[#This Row],[Life expectancy]]), LifeExpectancyData[[#This Row],[Year]]=2013)</f>
        <v>0</v>
      </c>
    </row>
    <row r="1402" spans="1:23" hidden="1" x14ac:dyDescent="0.25">
      <c r="A1402" t="s">
        <v>363</v>
      </c>
      <c r="B1402">
        <v>2009</v>
      </c>
      <c r="C1402" t="s">
        <v>273</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cm="1">
        <f t="array" ref="W1402">AND(ISNUMBER(LifeExpectancyData[[#This Row],[Adult Mortality]:[Schooling]]),ISNUMBER(LifeExpectancyData[[#This Row],[Life expectancy]]), LifeExpectancyData[[#This Row],[Year]]=2013)</f>
        <v>0</v>
      </c>
    </row>
    <row r="1403" spans="1:23" hidden="1" x14ac:dyDescent="0.25">
      <c r="A1403" t="s">
        <v>363</v>
      </c>
      <c r="B1403">
        <v>2008</v>
      </c>
      <c r="C1403" t="s">
        <v>273</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cm="1">
        <f t="array" ref="W1403">AND(ISNUMBER(LifeExpectancyData[[#This Row],[Adult Mortality]:[Schooling]]),ISNUMBER(LifeExpectancyData[[#This Row],[Life expectancy]]), LifeExpectancyData[[#This Row],[Year]]=2013)</f>
        <v>0</v>
      </c>
    </row>
    <row r="1404" spans="1:23" hidden="1" x14ac:dyDescent="0.25">
      <c r="A1404" t="s">
        <v>363</v>
      </c>
      <c r="B1404">
        <v>2007</v>
      </c>
      <c r="C1404" t="s">
        <v>273</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cm="1">
        <f t="array" ref="W1404">AND(ISNUMBER(LifeExpectancyData[[#This Row],[Adult Mortality]:[Schooling]]),ISNUMBER(LifeExpectancyData[[#This Row],[Life expectancy]]), LifeExpectancyData[[#This Row],[Year]]=2013)</f>
        <v>0</v>
      </c>
    </row>
    <row r="1405" spans="1:23" hidden="1" x14ac:dyDescent="0.25">
      <c r="A1405" t="s">
        <v>363</v>
      </c>
      <c r="B1405">
        <v>2006</v>
      </c>
      <c r="C1405" t="s">
        <v>273</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cm="1">
        <f t="array" ref="W1405">AND(ISNUMBER(LifeExpectancyData[[#This Row],[Adult Mortality]:[Schooling]]),ISNUMBER(LifeExpectancyData[[#This Row],[Life expectancy]]), LifeExpectancyData[[#This Row],[Year]]=2013)</f>
        <v>0</v>
      </c>
    </row>
    <row r="1406" spans="1:23" hidden="1" x14ac:dyDescent="0.25">
      <c r="A1406" t="s">
        <v>363</v>
      </c>
      <c r="B1406">
        <v>2005</v>
      </c>
      <c r="C1406" t="s">
        <v>273</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cm="1">
        <f t="array" ref="W1406">AND(ISNUMBER(LifeExpectancyData[[#This Row],[Adult Mortality]:[Schooling]]),ISNUMBER(LifeExpectancyData[[#This Row],[Life expectancy]]), LifeExpectancyData[[#This Row],[Year]]=2013)</f>
        <v>0</v>
      </c>
    </row>
    <row r="1407" spans="1:23" hidden="1" x14ac:dyDescent="0.25">
      <c r="A1407" t="s">
        <v>363</v>
      </c>
      <c r="B1407">
        <v>2004</v>
      </c>
      <c r="C1407" t="s">
        <v>273</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cm="1">
        <f t="array" ref="W1407">AND(ISNUMBER(LifeExpectancyData[[#This Row],[Adult Mortality]:[Schooling]]),ISNUMBER(LifeExpectancyData[[#This Row],[Life expectancy]]), LifeExpectancyData[[#This Row],[Year]]=2013)</f>
        <v>0</v>
      </c>
    </row>
    <row r="1408" spans="1:23" hidden="1" x14ac:dyDescent="0.25">
      <c r="A1408" t="s">
        <v>363</v>
      </c>
      <c r="B1408">
        <v>2003</v>
      </c>
      <c r="C1408" t="s">
        <v>273</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cm="1">
        <f t="array" ref="W1408">AND(ISNUMBER(LifeExpectancyData[[#This Row],[Adult Mortality]:[Schooling]]),ISNUMBER(LifeExpectancyData[[#This Row],[Life expectancy]]), LifeExpectancyData[[#This Row],[Year]]=2013)</f>
        <v>0</v>
      </c>
    </row>
    <row r="1409" spans="1:23" hidden="1" x14ac:dyDescent="0.25">
      <c r="A1409" t="s">
        <v>363</v>
      </c>
      <c r="B1409">
        <v>2002</v>
      </c>
      <c r="C1409" t="s">
        <v>273</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cm="1">
        <f t="array" ref="W1409">AND(ISNUMBER(LifeExpectancyData[[#This Row],[Adult Mortality]:[Schooling]]),ISNUMBER(LifeExpectancyData[[#This Row],[Life expectancy]]), LifeExpectancyData[[#This Row],[Year]]=2013)</f>
        <v>0</v>
      </c>
    </row>
    <row r="1410" spans="1:23" hidden="1" x14ac:dyDescent="0.25">
      <c r="A1410" t="s">
        <v>363</v>
      </c>
      <c r="B1410">
        <v>2001</v>
      </c>
      <c r="C1410" t="s">
        <v>273</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cm="1">
        <f t="array" ref="W1410">AND(ISNUMBER(LifeExpectancyData[[#This Row],[Adult Mortality]:[Schooling]]),ISNUMBER(LifeExpectancyData[[#This Row],[Life expectancy]]), LifeExpectancyData[[#This Row],[Year]]=2013)</f>
        <v>0</v>
      </c>
    </row>
    <row r="1411" spans="1:23" hidden="1" x14ac:dyDescent="0.25">
      <c r="A1411" t="s">
        <v>363</v>
      </c>
      <c r="B1411">
        <v>2000</v>
      </c>
      <c r="C1411" t="s">
        <v>273</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cm="1">
        <f t="array" ref="W1411">AND(ISNUMBER(LifeExpectancyData[[#This Row],[Adult Mortality]:[Schooling]]),ISNUMBER(LifeExpectancyData[[#This Row],[Life expectancy]]), LifeExpectancyData[[#This Row],[Year]]=2013)</f>
        <v>0</v>
      </c>
    </row>
    <row r="1412" spans="1:23" hidden="1" x14ac:dyDescent="0.25">
      <c r="A1412" t="s">
        <v>364</v>
      </c>
      <c r="B1412">
        <v>2015</v>
      </c>
      <c r="C1412" t="s">
        <v>273</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cm="1">
        <f t="array" ref="W1412">AND(ISNUMBER(LifeExpectancyData[[#This Row],[Adult Mortality]:[Schooling]]),ISNUMBER(LifeExpectancyData[[#This Row],[Life expectancy]]), LifeExpectancyData[[#This Row],[Year]]=2013)</f>
        <v>0</v>
      </c>
    </row>
    <row r="1413" spans="1:23" hidden="1" x14ac:dyDescent="0.25">
      <c r="A1413" t="s">
        <v>364</v>
      </c>
      <c r="B1413">
        <v>2014</v>
      </c>
      <c r="C1413" t="s">
        <v>273</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cm="1">
        <f t="array" ref="W1413">AND(ISNUMBER(LifeExpectancyData[[#This Row],[Adult Mortality]:[Schooling]]),ISNUMBER(LifeExpectancyData[[#This Row],[Life expectancy]]), LifeExpectancyData[[#This Row],[Year]]=2013)</f>
        <v>0</v>
      </c>
    </row>
    <row r="1414" spans="1:23" hidden="1" x14ac:dyDescent="0.25">
      <c r="A1414" t="s">
        <v>364</v>
      </c>
      <c r="B1414">
        <v>2013</v>
      </c>
      <c r="C1414" t="s">
        <v>273</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cm="1">
        <f t="array" ref="W1414">AND(ISNUMBER(LifeExpectancyData[[#This Row],[Adult Mortality]:[Schooling]]),ISNUMBER(LifeExpectancyData[[#This Row],[Life expectancy]]), LifeExpectancyData[[#This Row],[Year]]=2013)</f>
        <v>0</v>
      </c>
    </row>
    <row r="1415" spans="1:23" hidden="1" x14ac:dyDescent="0.25">
      <c r="A1415" t="s">
        <v>364</v>
      </c>
      <c r="B1415">
        <v>2012</v>
      </c>
      <c r="C1415" t="s">
        <v>273</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cm="1">
        <f t="array" ref="W1415">AND(ISNUMBER(LifeExpectancyData[[#This Row],[Adult Mortality]:[Schooling]]),ISNUMBER(LifeExpectancyData[[#This Row],[Life expectancy]]), LifeExpectancyData[[#This Row],[Year]]=2013)</f>
        <v>0</v>
      </c>
    </row>
    <row r="1416" spans="1:23" hidden="1" x14ac:dyDescent="0.25">
      <c r="A1416" t="s">
        <v>364</v>
      </c>
      <c r="B1416">
        <v>2011</v>
      </c>
      <c r="C1416" t="s">
        <v>273</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cm="1">
        <f t="array" ref="W1416">AND(ISNUMBER(LifeExpectancyData[[#This Row],[Adult Mortality]:[Schooling]]),ISNUMBER(LifeExpectancyData[[#This Row],[Life expectancy]]), LifeExpectancyData[[#This Row],[Year]]=2013)</f>
        <v>0</v>
      </c>
    </row>
    <row r="1417" spans="1:23" hidden="1" x14ac:dyDescent="0.25">
      <c r="A1417" t="s">
        <v>364</v>
      </c>
      <c r="B1417">
        <v>2010</v>
      </c>
      <c r="C1417" t="s">
        <v>273</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cm="1">
        <f t="array" ref="W1417">AND(ISNUMBER(LifeExpectancyData[[#This Row],[Adult Mortality]:[Schooling]]),ISNUMBER(LifeExpectancyData[[#This Row],[Life expectancy]]), LifeExpectancyData[[#This Row],[Year]]=2013)</f>
        <v>0</v>
      </c>
    </row>
    <row r="1418" spans="1:23" hidden="1" x14ac:dyDescent="0.25">
      <c r="A1418" t="s">
        <v>364</v>
      </c>
      <c r="B1418">
        <v>2009</v>
      </c>
      <c r="C1418" t="s">
        <v>273</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cm="1">
        <f t="array" ref="W1418">AND(ISNUMBER(LifeExpectancyData[[#This Row],[Adult Mortality]:[Schooling]]),ISNUMBER(LifeExpectancyData[[#This Row],[Life expectancy]]), LifeExpectancyData[[#This Row],[Year]]=2013)</f>
        <v>0</v>
      </c>
    </row>
    <row r="1419" spans="1:23" hidden="1" x14ac:dyDescent="0.25">
      <c r="A1419" t="s">
        <v>364</v>
      </c>
      <c r="B1419">
        <v>2008</v>
      </c>
      <c r="C1419" t="s">
        <v>273</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cm="1">
        <f t="array" ref="W1419">AND(ISNUMBER(LifeExpectancyData[[#This Row],[Adult Mortality]:[Schooling]]),ISNUMBER(LifeExpectancyData[[#This Row],[Life expectancy]]), LifeExpectancyData[[#This Row],[Year]]=2013)</f>
        <v>0</v>
      </c>
    </row>
    <row r="1420" spans="1:23" hidden="1" x14ac:dyDescent="0.25">
      <c r="A1420" t="s">
        <v>364</v>
      </c>
      <c r="B1420">
        <v>2007</v>
      </c>
      <c r="C1420" t="s">
        <v>273</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cm="1">
        <f t="array" ref="W1420">AND(ISNUMBER(LifeExpectancyData[[#This Row],[Adult Mortality]:[Schooling]]),ISNUMBER(LifeExpectancyData[[#This Row],[Life expectancy]]), LifeExpectancyData[[#This Row],[Year]]=2013)</f>
        <v>0</v>
      </c>
    </row>
    <row r="1421" spans="1:23" hidden="1" x14ac:dyDescent="0.25">
      <c r="A1421" t="s">
        <v>364</v>
      </c>
      <c r="B1421">
        <v>2006</v>
      </c>
      <c r="C1421" t="s">
        <v>273</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cm="1">
        <f t="array" ref="W1421">AND(ISNUMBER(LifeExpectancyData[[#This Row],[Adult Mortality]:[Schooling]]),ISNUMBER(LifeExpectancyData[[#This Row],[Life expectancy]]), LifeExpectancyData[[#This Row],[Year]]=2013)</f>
        <v>0</v>
      </c>
    </row>
    <row r="1422" spans="1:23" hidden="1" x14ac:dyDescent="0.25">
      <c r="A1422" t="s">
        <v>364</v>
      </c>
      <c r="B1422">
        <v>2005</v>
      </c>
      <c r="C1422" t="s">
        <v>273</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cm="1">
        <f t="array" ref="W1422">AND(ISNUMBER(LifeExpectancyData[[#This Row],[Adult Mortality]:[Schooling]]),ISNUMBER(LifeExpectancyData[[#This Row],[Life expectancy]]), LifeExpectancyData[[#This Row],[Year]]=2013)</f>
        <v>0</v>
      </c>
    </row>
    <row r="1423" spans="1:23" hidden="1" x14ac:dyDescent="0.25">
      <c r="A1423" t="s">
        <v>364</v>
      </c>
      <c r="B1423">
        <v>2004</v>
      </c>
      <c r="C1423" t="s">
        <v>273</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cm="1">
        <f t="array" ref="W1423">AND(ISNUMBER(LifeExpectancyData[[#This Row],[Adult Mortality]:[Schooling]]),ISNUMBER(LifeExpectancyData[[#This Row],[Life expectancy]]), LifeExpectancyData[[#This Row],[Year]]=2013)</f>
        <v>0</v>
      </c>
    </row>
    <row r="1424" spans="1:23" hidden="1" x14ac:dyDescent="0.25">
      <c r="A1424" t="s">
        <v>364</v>
      </c>
      <c r="B1424">
        <v>2003</v>
      </c>
      <c r="C1424" t="s">
        <v>273</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cm="1">
        <f t="array" ref="W1424">AND(ISNUMBER(LifeExpectancyData[[#This Row],[Adult Mortality]:[Schooling]]),ISNUMBER(LifeExpectancyData[[#This Row],[Life expectancy]]), LifeExpectancyData[[#This Row],[Year]]=2013)</f>
        <v>0</v>
      </c>
    </row>
    <row r="1425" spans="1:23" hidden="1" x14ac:dyDescent="0.25">
      <c r="A1425" t="s">
        <v>364</v>
      </c>
      <c r="B1425">
        <v>2002</v>
      </c>
      <c r="C1425" t="s">
        <v>273</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cm="1">
        <f t="array" ref="W1425">AND(ISNUMBER(LifeExpectancyData[[#This Row],[Adult Mortality]:[Schooling]]),ISNUMBER(LifeExpectancyData[[#This Row],[Life expectancy]]), LifeExpectancyData[[#This Row],[Year]]=2013)</f>
        <v>0</v>
      </c>
    </row>
    <row r="1426" spans="1:23" hidden="1" x14ac:dyDescent="0.25">
      <c r="A1426" t="s">
        <v>364</v>
      </c>
      <c r="B1426">
        <v>2001</v>
      </c>
      <c r="C1426" t="s">
        <v>273</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cm="1">
        <f t="array" ref="W1426">AND(ISNUMBER(LifeExpectancyData[[#This Row],[Adult Mortality]:[Schooling]]),ISNUMBER(LifeExpectancyData[[#This Row],[Life expectancy]]), LifeExpectancyData[[#This Row],[Year]]=2013)</f>
        <v>0</v>
      </c>
    </row>
    <row r="1427" spans="1:23" hidden="1" x14ac:dyDescent="0.25">
      <c r="A1427" t="s">
        <v>364</v>
      </c>
      <c r="B1427">
        <v>2000</v>
      </c>
      <c r="C1427" t="s">
        <v>273</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cm="1">
        <f t="array" ref="W1427">AND(ISNUMBER(LifeExpectancyData[[#This Row],[Adult Mortality]:[Schooling]]),ISNUMBER(LifeExpectancyData[[#This Row],[Life expectancy]]), LifeExpectancyData[[#This Row],[Year]]=2013)</f>
        <v>0</v>
      </c>
    </row>
    <row r="1428" spans="1:23" hidden="1" x14ac:dyDescent="0.25">
      <c r="A1428" t="s">
        <v>365</v>
      </c>
      <c r="B1428">
        <v>2015</v>
      </c>
      <c r="C1428" t="s">
        <v>273</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cm="1">
        <f t="array" ref="W1428">AND(ISNUMBER(LifeExpectancyData[[#This Row],[Adult Mortality]:[Schooling]]),ISNUMBER(LifeExpectancyData[[#This Row],[Life expectancy]]), LifeExpectancyData[[#This Row],[Year]]=2013)</f>
        <v>0</v>
      </c>
    </row>
    <row r="1429" spans="1:23" hidden="1" x14ac:dyDescent="0.25">
      <c r="A1429" t="s">
        <v>365</v>
      </c>
      <c r="B1429">
        <v>2014</v>
      </c>
      <c r="C1429" t="s">
        <v>273</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cm="1">
        <f t="array" ref="W1429">AND(ISNUMBER(LifeExpectancyData[[#This Row],[Adult Mortality]:[Schooling]]),ISNUMBER(LifeExpectancyData[[#This Row],[Life expectancy]]), LifeExpectancyData[[#This Row],[Year]]=2013)</f>
        <v>0</v>
      </c>
    </row>
    <row r="1430" spans="1:23" hidden="1" x14ac:dyDescent="0.25">
      <c r="A1430" t="s">
        <v>365</v>
      </c>
      <c r="B1430">
        <v>2013</v>
      </c>
      <c r="C1430" t="s">
        <v>273</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cm="1">
        <f t="array" ref="W1430">AND(ISNUMBER(LifeExpectancyData[[#This Row],[Adult Mortality]:[Schooling]]),ISNUMBER(LifeExpectancyData[[#This Row],[Life expectancy]]), LifeExpectancyData[[#This Row],[Year]]=2013)</f>
        <v>0</v>
      </c>
    </row>
    <row r="1431" spans="1:23" hidden="1" x14ac:dyDescent="0.25">
      <c r="A1431" t="s">
        <v>365</v>
      </c>
      <c r="B1431">
        <v>2012</v>
      </c>
      <c r="C1431" t="s">
        <v>273</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cm="1">
        <f t="array" ref="W1431">AND(ISNUMBER(LifeExpectancyData[[#This Row],[Adult Mortality]:[Schooling]]),ISNUMBER(LifeExpectancyData[[#This Row],[Life expectancy]]), LifeExpectancyData[[#This Row],[Year]]=2013)</f>
        <v>0</v>
      </c>
    </row>
    <row r="1432" spans="1:23" hidden="1" x14ac:dyDescent="0.25">
      <c r="A1432" t="s">
        <v>365</v>
      </c>
      <c r="B1432">
        <v>2011</v>
      </c>
      <c r="C1432" t="s">
        <v>273</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cm="1">
        <f t="array" ref="W1432">AND(ISNUMBER(LifeExpectancyData[[#This Row],[Adult Mortality]:[Schooling]]),ISNUMBER(LifeExpectancyData[[#This Row],[Life expectancy]]), LifeExpectancyData[[#This Row],[Year]]=2013)</f>
        <v>0</v>
      </c>
    </row>
    <row r="1433" spans="1:23" hidden="1" x14ac:dyDescent="0.25">
      <c r="A1433" t="s">
        <v>365</v>
      </c>
      <c r="B1433">
        <v>2010</v>
      </c>
      <c r="C1433" t="s">
        <v>273</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cm="1">
        <f t="array" ref="W1433">AND(ISNUMBER(LifeExpectancyData[[#This Row],[Adult Mortality]:[Schooling]]),ISNUMBER(LifeExpectancyData[[#This Row],[Life expectancy]]), LifeExpectancyData[[#This Row],[Year]]=2013)</f>
        <v>0</v>
      </c>
    </row>
    <row r="1434" spans="1:23" hidden="1" x14ac:dyDescent="0.25">
      <c r="A1434" t="s">
        <v>365</v>
      </c>
      <c r="B1434">
        <v>2009</v>
      </c>
      <c r="C1434" t="s">
        <v>273</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cm="1">
        <f t="array" ref="W1434">AND(ISNUMBER(LifeExpectancyData[[#This Row],[Adult Mortality]:[Schooling]]),ISNUMBER(LifeExpectancyData[[#This Row],[Life expectancy]]), LifeExpectancyData[[#This Row],[Year]]=2013)</f>
        <v>0</v>
      </c>
    </row>
    <row r="1435" spans="1:23" hidden="1" x14ac:dyDescent="0.25">
      <c r="A1435" t="s">
        <v>365</v>
      </c>
      <c r="B1435">
        <v>2008</v>
      </c>
      <c r="C1435" t="s">
        <v>273</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cm="1">
        <f t="array" ref="W1435">AND(ISNUMBER(LifeExpectancyData[[#This Row],[Adult Mortality]:[Schooling]]),ISNUMBER(LifeExpectancyData[[#This Row],[Life expectancy]]), LifeExpectancyData[[#This Row],[Year]]=2013)</f>
        <v>0</v>
      </c>
    </row>
    <row r="1436" spans="1:23" hidden="1" x14ac:dyDescent="0.25">
      <c r="A1436" t="s">
        <v>365</v>
      </c>
      <c r="B1436">
        <v>2007</v>
      </c>
      <c r="C1436" t="s">
        <v>273</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cm="1">
        <f t="array" ref="W1436">AND(ISNUMBER(LifeExpectancyData[[#This Row],[Adult Mortality]:[Schooling]]),ISNUMBER(LifeExpectancyData[[#This Row],[Life expectancy]]), LifeExpectancyData[[#This Row],[Year]]=2013)</f>
        <v>0</v>
      </c>
    </row>
    <row r="1437" spans="1:23" hidden="1" x14ac:dyDescent="0.25">
      <c r="A1437" t="s">
        <v>365</v>
      </c>
      <c r="B1437">
        <v>2006</v>
      </c>
      <c r="C1437" t="s">
        <v>273</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cm="1">
        <f t="array" ref="W1437">AND(ISNUMBER(LifeExpectancyData[[#This Row],[Adult Mortality]:[Schooling]]),ISNUMBER(LifeExpectancyData[[#This Row],[Life expectancy]]), LifeExpectancyData[[#This Row],[Year]]=2013)</f>
        <v>0</v>
      </c>
    </row>
    <row r="1438" spans="1:23" hidden="1" x14ac:dyDescent="0.25">
      <c r="A1438" t="s">
        <v>365</v>
      </c>
      <c r="B1438">
        <v>2005</v>
      </c>
      <c r="C1438" t="s">
        <v>273</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cm="1">
        <f t="array" ref="W1438">AND(ISNUMBER(LifeExpectancyData[[#This Row],[Adult Mortality]:[Schooling]]),ISNUMBER(LifeExpectancyData[[#This Row],[Life expectancy]]), LifeExpectancyData[[#This Row],[Year]]=2013)</f>
        <v>0</v>
      </c>
    </row>
    <row r="1439" spans="1:23" hidden="1" x14ac:dyDescent="0.25">
      <c r="A1439" t="s">
        <v>365</v>
      </c>
      <c r="B1439">
        <v>2004</v>
      </c>
      <c r="C1439" t="s">
        <v>273</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cm="1">
        <f t="array" ref="W1439">AND(ISNUMBER(LifeExpectancyData[[#This Row],[Adult Mortality]:[Schooling]]),ISNUMBER(LifeExpectancyData[[#This Row],[Life expectancy]]), LifeExpectancyData[[#This Row],[Year]]=2013)</f>
        <v>0</v>
      </c>
    </row>
    <row r="1440" spans="1:23" hidden="1" x14ac:dyDescent="0.25">
      <c r="A1440" t="s">
        <v>365</v>
      </c>
      <c r="B1440">
        <v>2003</v>
      </c>
      <c r="C1440" t="s">
        <v>273</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cm="1">
        <f t="array" ref="W1440">AND(ISNUMBER(LifeExpectancyData[[#This Row],[Adult Mortality]:[Schooling]]),ISNUMBER(LifeExpectancyData[[#This Row],[Life expectancy]]), LifeExpectancyData[[#This Row],[Year]]=2013)</f>
        <v>0</v>
      </c>
    </row>
    <row r="1441" spans="1:23" hidden="1" x14ac:dyDescent="0.25">
      <c r="A1441" t="s">
        <v>365</v>
      </c>
      <c r="B1441">
        <v>2002</v>
      </c>
      <c r="C1441" t="s">
        <v>273</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cm="1">
        <f t="array" ref="W1441">AND(ISNUMBER(LifeExpectancyData[[#This Row],[Adult Mortality]:[Schooling]]),ISNUMBER(LifeExpectancyData[[#This Row],[Life expectancy]]), LifeExpectancyData[[#This Row],[Year]]=2013)</f>
        <v>0</v>
      </c>
    </row>
    <row r="1442" spans="1:23" hidden="1" x14ac:dyDescent="0.25">
      <c r="A1442" t="s">
        <v>365</v>
      </c>
      <c r="B1442">
        <v>2001</v>
      </c>
      <c r="C1442" t="s">
        <v>273</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cm="1">
        <f t="array" ref="W1442">AND(ISNUMBER(LifeExpectancyData[[#This Row],[Adult Mortality]:[Schooling]]),ISNUMBER(LifeExpectancyData[[#This Row],[Life expectancy]]), LifeExpectancyData[[#This Row],[Year]]=2013)</f>
        <v>0</v>
      </c>
    </row>
    <row r="1443" spans="1:23" hidden="1" x14ac:dyDescent="0.25">
      <c r="A1443" t="s">
        <v>365</v>
      </c>
      <c r="B1443">
        <v>2000</v>
      </c>
      <c r="C1443" t="s">
        <v>273</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cm="1">
        <f t="array" ref="W1443">AND(ISNUMBER(LifeExpectancyData[[#This Row],[Adult Mortality]:[Schooling]]),ISNUMBER(LifeExpectancyData[[#This Row],[Life expectancy]]), LifeExpectancyData[[#This Row],[Year]]=2013)</f>
        <v>0</v>
      </c>
    </row>
    <row r="1444" spans="1:23" hidden="1" x14ac:dyDescent="0.25">
      <c r="A1444" t="s">
        <v>366</v>
      </c>
      <c r="B1444">
        <v>2015</v>
      </c>
      <c r="C1444" t="s">
        <v>281</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cm="1">
        <f t="array" ref="W1444">AND(ISNUMBER(LifeExpectancyData[[#This Row],[Adult Mortality]:[Schooling]]),ISNUMBER(LifeExpectancyData[[#This Row],[Life expectancy]]), LifeExpectancyData[[#This Row],[Year]]=2013)</f>
        <v>0</v>
      </c>
    </row>
    <row r="1445" spans="1:23" x14ac:dyDescent="0.25">
      <c r="A1445" t="s">
        <v>366</v>
      </c>
      <c r="B1445">
        <v>2014</v>
      </c>
      <c r="C1445" t="s">
        <v>281</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cm="1">
        <f t="array" ref="W1445">AND(ISNUMBER(LifeExpectancyData[[#This Row],[Adult Mortality]:[Schooling]]),ISNUMBER(LifeExpectancyData[[#This Row],[Life expectancy]]), LifeExpectancyData[[#This Row],[Year]]=2013)</f>
        <v>0</v>
      </c>
    </row>
    <row r="1446" spans="1:23" x14ac:dyDescent="0.25">
      <c r="A1446" t="s">
        <v>366</v>
      </c>
      <c r="B1446">
        <v>2013</v>
      </c>
      <c r="C1446" t="s">
        <v>281</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cm="1">
        <f t="array" ref="W1446">AND(ISNUMBER(LifeExpectancyData[[#This Row],[Adult Mortality]:[Schooling]]),ISNUMBER(LifeExpectancyData[[#This Row],[Life expectancy]]), LifeExpectancyData[[#This Row],[Year]]=2013)</f>
        <v>1</v>
      </c>
    </row>
    <row r="1447" spans="1:23" x14ac:dyDescent="0.25">
      <c r="A1447" t="s">
        <v>366</v>
      </c>
      <c r="B1447">
        <v>2012</v>
      </c>
      <c r="C1447" t="s">
        <v>281</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cm="1">
        <f t="array" ref="W1447">AND(ISNUMBER(LifeExpectancyData[[#This Row],[Adult Mortality]:[Schooling]]),ISNUMBER(LifeExpectancyData[[#This Row],[Life expectancy]]), LifeExpectancyData[[#This Row],[Year]]=2013)</f>
        <v>0</v>
      </c>
    </row>
    <row r="1448" spans="1:23" x14ac:dyDescent="0.25">
      <c r="A1448" t="s">
        <v>366</v>
      </c>
      <c r="B1448">
        <v>2011</v>
      </c>
      <c r="C1448" t="s">
        <v>281</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cm="1">
        <f t="array" ref="W1448">AND(ISNUMBER(LifeExpectancyData[[#This Row],[Adult Mortality]:[Schooling]]),ISNUMBER(LifeExpectancyData[[#This Row],[Life expectancy]]), LifeExpectancyData[[#This Row],[Year]]=2013)</f>
        <v>0</v>
      </c>
    </row>
    <row r="1449" spans="1:23" x14ac:dyDescent="0.25">
      <c r="A1449" t="s">
        <v>366</v>
      </c>
      <c r="B1449">
        <v>2010</v>
      </c>
      <c r="C1449" t="s">
        <v>281</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cm="1">
        <f t="array" ref="W1449">AND(ISNUMBER(LifeExpectancyData[[#This Row],[Adult Mortality]:[Schooling]]),ISNUMBER(LifeExpectancyData[[#This Row],[Life expectancy]]), LifeExpectancyData[[#This Row],[Year]]=2013)</f>
        <v>0</v>
      </c>
    </row>
    <row r="1450" spans="1:23" x14ac:dyDescent="0.25">
      <c r="A1450" t="s">
        <v>366</v>
      </c>
      <c r="B1450">
        <v>2009</v>
      </c>
      <c r="C1450" t="s">
        <v>281</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cm="1">
        <f t="array" ref="W1450">AND(ISNUMBER(LifeExpectancyData[[#This Row],[Adult Mortality]:[Schooling]]),ISNUMBER(LifeExpectancyData[[#This Row],[Life expectancy]]), LifeExpectancyData[[#This Row],[Year]]=2013)</f>
        <v>0</v>
      </c>
    </row>
    <row r="1451" spans="1:23" x14ac:dyDescent="0.25">
      <c r="A1451" t="s">
        <v>366</v>
      </c>
      <c r="B1451">
        <v>2008</v>
      </c>
      <c r="C1451" t="s">
        <v>281</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cm="1">
        <f t="array" ref="W1451">AND(ISNUMBER(LifeExpectancyData[[#This Row],[Adult Mortality]:[Schooling]]),ISNUMBER(LifeExpectancyData[[#This Row],[Life expectancy]]), LifeExpectancyData[[#This Row],[Year]]=2013)</f>
        <v>0</v>
      </c>
    </row>
    <row r="1452" spans="1:23" x14ac:dyDescent="0.25">
      <c r="A1452" t="s">
        <v>366</v>
      </c>
      <c r="B1452">
        <v>2007</v>
      </c>
      <c r="C1452" t="s">
        <v>281</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cm="1">
        <f t="array" ref="W1452">AND(ISNUMBER(LifeExpectancyData[[#This Row],[Adult Mortality]:[Schooling]]),ISNUMBER(LifeExpectancyData[[#This Row],[Life expectancy]]), LifeExpectancyData[[#This Row],[Year]]=2013)</f>
        <v>0</v>
      </c>
    </row>
    <row r="1453" spans="1:23" x14ac:dyDescent="0.25">
      <c r="A1453" t="s">
        <v>366</v>
      </c>
      <c r="B1453">
        <v>2006</v>
      </c>
      <c r="C1453" t="s">
        <v>281</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cm="1">
        <f t="array" ref="W1453">AND(ISNUMBER(LifeExpectancyData[[#This Row],[Adult Mortality]:[Schooling]]),ISNUMBER(LifeExpectancyData[[#This Row],[Life expectancy]]), LifeExpectancyData[[#This Row],[Year]]=2013)</f>
        <v>0</v>
      </c>
    </row>
    <row r="1454" spans="1:23" x14ac:dyDescent="0.25">
      <c r="A1454" t="s">
        <v>366</v>
      </c>
      <c r="B1454">
        <v>2005</v>
      </c>
      <c r="C1454" t="s">
        <v>281</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cm="1">
        <f t="array" ref="W1454">AND(ISNUMBER(LifeExpectancyData[[#This Row],[Adult Mortality]:[Schooling]]),ISNUMBER(LifeExpectancyData[[#This Row],[Life expectancy]]), LifeExpectancyData[[#This Row],[Year]]=2013)</f>
        <v>0</v>
      </c>
    </row>
    <row r="1455" spans="1:23" x14ac:dyDescent="0.25">
      <c r="A1455" t="s">
        <v>366</v>
      </c>
      <c r="B1455">
        <v>2004</v>
      </c>
      <c r="C1455" t="s">
        <v>281</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cm="1">
        <f t="array" ref="W1455">AND(ISNUMBER(LifeExpectancyData[[#This Row],[Adult Mortality]:[Schooling]]),ISNUMBER(LifeExpectancyData[[#This Row],[Life expectancy]]), LifeExpectancyData[[#This Row],[Year]]=2013)</f>
        <v>0</v>
      </c>
    </row>
    <row r="1456" spans="1:23" x14ac:dyDescent="0.25">
      <c r="A1456" t="s">
        <v>366</v>
      </c>
      <c r="B1456">
        <v>2003</v>
      </c>
      <c r="C1456" t="s">
        <v>281</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cm="1">
        <f t="array" ref="W1456">AND(ISNUMBER(LifeExpectancyData[[#This Row],[Adult Mortality]:[Schooling]]),ISNUMBER(LifeExpectancyData[[#This Row],[Life expectancy]]), LifeExpectancyData[[#This Row],[Year]]=2013)</f>
        <v>0</v>
      </c>
    </row>
    <row r="1457" spans="1:23" x14ac:dyDescent="0.25">
      <c r="A1457" t="s">
        <v>366</v>
      </c>
      <c r="B1457">
        <v>2002</v>
      </c>
      <c r="C1457" t="s">
        <v>281</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cm="1">
        <f t="array" ref="W1457">AND(ISNUMBER(LifeExpectancyData[[#This Row],[Adult Mortality]:[Schooling]]),ISNUMBER(LifeExpectancyData[[#This Row],[Life expectancy]]), LifeExpectancyData[[#This Row],[Year]]=2013)</f>
        <v>0</v>
      </c>
    </row>
    <row r="1458" spans="1:23" x14ac:dyDescent="0.25">
      <c r="A1458" t="s">
        <v>366</v>
      </c>
      <c r="B1458">
        <v>2001</v>
      </c>
      <c r="C1458" t="s">
        <v>281</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cm="1">
        <f t="array" ref="W1458">AND(ISNUMBER(LifeExpectancyData[[#This Row],[Adult Mortality]:[Schooling]]),ISNUMBER(LifeExpectancyData[[#This Row],[Life expectancy]]), LifeExpectancyData[[#This Row],[Year]]=2013)</f>
        <v>0</v>
      </c>
    </row>
    <row r="1459" spans="1:23" x14ac:dyDescent="0.25">
      <c r="A1459" t="s">
        <v>366</v>
      </c>
      <c r="B1459">
        <v>2000</v>
      </c>
      <c r="C1459" t="s">
        <v>281</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cm="1">
        <f t="array" ref="W1459">AND(ISNUMBER(LifeExpectancyData[[#This Row],[Adult Mortality]:[Schooling]]),ISNUMBER(LifeExpectancyData[[#This Row],[Life expectancy]]), LifeExpectancyData[[#This Row],[Year]]=2013)</f>
        <v>0</v>
      </c>
    </row>
    <row r="1460" spans="1:23" hidden="1" x14ac:dyDescent="0.25">
      <c r="A1460" t="s">
        <v>367</v>
      </c>
      <c r="B1460">
        <v>2015</v>
      </c>
      <c r="C1460" t="s">
        <v>273</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cm="1">
        <f t="array" ref="W1460">AND(ISNUMBER(LifeExpectancyData[[#This Row],[Adult Mortality]:[Schooling]]),ISNUMBER(LifeExpectancyData[[#This Row],[Life expectancy]]), LifeExpectancyData[[#This Row],[Year]]=2013)</f>
        <v>0</v>
      </c>
    </row>
    <row r="1461" spans="1:23" x14ac:dyDescent="0.25">
      <c r="A1461" t="s">
        <v>367</v>
      </c>
      <c r="B1461">
        <v>2014</v>
      </c>
      <c r="C1461" t="s">
        <v>273</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cm="1">
        <f t="array" ref="W1461">AND(ISNUMBER(LifeExpectancyData[[#This Row],[Adult Mortality]:[Schooling]]),ISNUMBER(LifeExpectancyData[[#This Row],[Life expectancy]]), LifeExpectancyData[[#This Row],[Year]]=2013)</f>
        <v>0</v>
      </c>
    </row>
    <row r="1462" spans="1:23" x14ac:dyDescent="0.25">
      <c r="A1462" t="s">
        <v>367</v>
      </c>
      <c r="B1462">
        <v>2013</v>
      </c>
      <c r="C1462" t="s">
        <v>273</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cm="1">
        <f t="array" ref="W1462">AND(ISNUMBER(LifeExpectancyData[[#This Row],[Adult Mortality]:[Schooling]]),ISNUMBER(LifeExpectancyData[[#This Row],[Life expectancy]]), LifeExpectancyData[[#This Row],[Year]]=2013)</f>
        <v>1</v>
      </c>
    </row>
    <row r="1463" spans="1:23" x14ac:dyDescent="0.25">
      <c r="A1463" t="s">
        <v>367</v>
      </c>
      <c r="B1463">
        <v>2012</v>
      </c>
      <c r="C1463" t="s">
        <v>273</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cm="1">
        <f t="array" ref="W1463">AND(ISNUMBER(LifeExpectancyData[[#This Row],[Adult Mortality]:[Schooling]]),ISNUMBER(LifeExpectancyData[[#This Row],[Life expectancy]]), LifeExpectancyData[[#This Row],[Year]]=2013)</f>
        <v>0</v>
      </c>
    </row>
    <row r="1464" spans="1:23" x14ac:dyDescent="0.25">
      <c r="A1464" t="s">
        <v>367</v>
      </c>
      <c r="B1464">
        <v>2011</v>
      </c>
      <c r="C1464" t="s">
        <v>273</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cm="1">
        <f t="array" ref="W1464">AND(ISNUMBER(LifeExpectancyData[[#This Row],[Adult Mortality]:[Schooling]]),ISNUMBER(LifeExpectancyData[[#This Row],[Life expectancy]]), LifeExpectancyData[[#This Row],[Year]]=2013)</f>
        <v>0</v>
      </c>
    </row>
    <row r="1465" spans="1:23" x14ac:dyDescent="0.25">
      <c r="A1465" t="s">
        <v>367</v>
      </c>
      <c r="B1465">
        <v>2010</v>
      </c>
      <c r="C1465" t="s">
        <v>273</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cm="1">
        <f t="array" ref="W1465">AND(ISNUMBER(LifeExpectancyData[[#This Row],[Adult Mortality]:[Schooling]]),ISNUMBER(LifeExpectancyData[[#This Row],[Life expectancy]]), LifeExpectancyData[[#This Row],[Year]]=2013)</f>
        <v>0</v>
      </c>
    </row>
    <row r="1466" spans="1:23" x14ac:dyDescent="0.25">
      <c r="A1466" t="s">
        <v>367</v>
      </c>
      <c r="B1466">
        <v>2009</v>
      </c>
      <c r="C1466" t="s">
        <v>273</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cm="1">
        <f t="array" ref="W1466">AND(ISNUMBER(LifeExpectancyData[[#This Row],[Adult Mortality]:[Schooling]]),ISNUMBER(LifeExpectancyData[[#This Row],[Life expectancy]]), LifeExpectancyData[[#This Row],[Year]]=2013)</f>
        <v>0</v>
      </c>
    </row>
    <row r="1467" spans="1:23" x14ac:dyDescent="0.25">
      <c r="A1467" t="s">
        <v>367</v>
      </c>
      <c r="B1467">
        <v>2008</v>
      </c>
      <c r="C1467" t="s">
        <v>273</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cm="1">
        <f t="array" ref="W1467">AND(ISNUMBER(LifeExpectancyData[[#This Row],[Adult Mortality]:[Schooling]]),ISNUMBER(LifeExpectancyData[[#This Row],[Life expectancy]]), LifeExpectancyData[[#This Row],[Year]]=2013)</f>
        <v>0</v>
      </c>
    </row>
    <row r="1468" spans="1:23" x14ac:dyDescent="0.25">
      <c r="A1468" t="s">
        <v>367</v>
      </c>
      <c r="B1468">
        <v>2007</v>
      </c>
      <c r="C1468" t="s">
        <v>273</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cm="1">
        <f t="array" ref="W1468">AND(ISNUMBER(LifeExpectancyData[[#This Row],[Adult Mortality]:[Schooling]]),ISNUMBER(LifeExpectancyData[[#This Row],[Life expectancy]]), LifeExpectancyData[[#This Row],[Year]]=2013)</f>
        <v>0</v>
      </c>
    </row>
    <row r="1469" spans="1:23" x14ac:dyDescent="0.25">
      <c r="A1469" t="s">
        <v>367</v>
      </c>
      <c r="B1469">
        <v>2006</v>
      </c>
      <c r="C1469" t="s">
        <v>273</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cm="1">
        <f t="array" ref="W1469">AND(ISNUMBER(LifeExpectancyData[[#This Row],[Adult Mortality]:[Schooling]]),ISNUMBER(LifeExpectancyData[[#This Row],[Life expectancy]]), LifeExpectancyData[[#This Row],[Year]]=2013)</f>
        <v>0</v>
      </c>
    </row>
    <row r="1470" spans="1:23" x14ac:dyDescent="0.25">
      <c r="A1470" t="s">
        <v>367</v>
      </c>
      <c r="B1470">
        <v>2005</v>
      </c>
      <c r="C1470" t="s">
        <v>273</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cm="1">
        <f t="array" ref="W1470">AND(ISNUMBER(LifeExpectancyData[[#This Row],[Adult Mortality]:[Schooling]]),ISNUMBER(LifeExpectancyData[[#This Row],[Life expectancy]]), LifeExpectancyData[[#This Row],[Year]]=2013)</f>
        <v>0</v>
      </c>
    </row>
    <row r="1471" spans="1:23" x14ac:dyDescent="0.25">
      <c r="A1471" t="s">
        <v>367</v>
      </c>
      <c r="B1471">
        <v>2004</v>
      </c>
      <c r="C1471" t="s">
        <v>273</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cm="1">
        <f t="array" ref="W1471">AND(ISNUMBER(LifeExpectancyData[[#This Row],[Adult Mortality]:[Schooling]]),ISNUMBER(LifeExpectancyData[[#This Row],[Life expectancy]]), LifeExpectancyData[[#This Row],[Year]]=2013)</f>
        <v>0</v>
      </c>
    </row>
    <row r="1472" spans="1:23" x14ac:dyDescent="0.25">
      <c r="A1472" t="s">
        <v>367</v>
      </c>
      <c r="B1472">
        <v>2003</v>
      </c>
      <c r="C1472" t="s">
        <v>273</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cm="1">
        <f t="array" ref="W1472">AND(ISNUMBER(LifeExpectancyData[[#This Row],[Adult Mortality]:[Schooling]]),ISNUMBER(LifeExpectancyData[[#This Row],[Life expectancy]]), LifeExpectancyData[[#This Row],[Year]]=2013)</f>
        <v>0</v>
      </c>
    </row>
    <row r="1473" spans="1:23" x14ac:dyDescent="0.25">
      <c r="A1473" t="s">
        <v>367</v>
      </c>
      <c r="B1473">
        <v>2002</v>
      </c>
      <c r="C1473" t="s">
        <v>273</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cm="1">
        <f t="array" ref="W1473">AND(ISNUMBER(LifeExpectancyData[[#This Row],[Adult Mortality]:[Schooling]]),ISNUMBER(LifeExpectancyData[[#This Row],[Life expectancy]]), LifeExpectancyData[[#This Row],[Year]]=2013)</f>
        <v>0</v>
      </c>
    </row>
    <row r="1474" spans="1:23" x14ac:dyDescent="0.25">
      <c r="A1474" t="s">
        <v>367</v>
      </c>
      <c r="B1474">
        <v>2001</v>
      </c>
      <c r="C1474" t="s">
        <v>273</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cm="1">
        <f t="array" ref="W1474">AND(ISNUMBER(LifeExpectancyData[[#This Row],[Adult Mortality]:[Schooling]]),ISNUMBER(LifeExpectancyData[[#This Row],[Life expectancy]]), LifeExpectancyData[[#This Row],[Year]]=2013)</f>
        <v>0</v>
      </c>
    </row>
    <row r="1475" spans="1:23" x14ac:dyDescent="0.25">
      <c r="A1475" t="s">
        <v>367</v>
      </c>
      <c r="B1475">
        <v>2000</v>
      </c>
      <c r="C1475" t="s">
        <v>273</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cm="1">
        <f t="array" ref="W1475">AND(ISNUMBER(LifeExpectancyData[[#This Row],[Adult Mortality]:[Schooling]]),ISNUMBER(LifeExpectancyData[[#This Row],[Life expectancy]]), LifeExpectancyData[[#This Row],[Year]]=2013)</f>
        <v>0</v>
      </c>
    </row>
    <row r="1476" spans="1:23" hidden="1" x14ac:dyDescent="0.25">
      <c r="A1476" t="s">
        <v>368</v>
      </c>
      <c r="B1476">
        <v>2015</v>
      </c>
      <c r="C1476" t="s">
        <v>273</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cm="1">
        <f t="array" ref="W1476">AND(ISNUMBER(LifeExpectancyData[[#This Row],[Adult Mortality]:[Schooling]]),ISNUMBER(LifeExpectancyData[[#This Row],[Life expectancy]]), LifeExpectancyData[[#This Row],[Year]]=2013)</f>
        <v>0</v>
      </c>
    </row>
    <row r="1477" spans="1:23" x14ac:dyDescent="0.25">
      <c r="A1477" t="s">
        <v>368</v>
      </c>
      <c r="B1477">
        <v>2014</v>
      </c>
      <c r="C1477" t="s">
        <v>273</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cm="1">
        <f t="array" ref="W1477">AND(ISNUMBER(LifeExpectancyData[[#This Row],[Adult Mortality]:[Schooling]]),ISNUMBER(LifeExpectancyData[[#This Row],[Life expectancy]]), LifeExpectancyData[[#This Row],[Year]]=2013)</f>
        <v>0</v>
      </c>
    </row>
    <row r="1478" spans="1:23" x14ac:dyDescent="0.25">
      <c r="A1478" t="s">
        <v>368</v>
      </c>
      <c r="B1478">
        <v>2013</v>
      </c>
      <c r="C1478" t="s">
        <v>273</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cm="1">
        <f t="array" ref="W1478">AND(ISNUMBER(LifeExpectancyData[[#This Row],[Adult Mortality]:[Schooling]]),ISNUMBER(LifeExpectancyData[[#This Row],[Life expectancy]]), LifeExpectancyData[[#This Row],[Year]]=2013)</f>
        <v>1</v>
      </c>
    </row>
    <row r="1479" spans="1:23" x14ac:dyDescent="0.25">
      <c r="A1479" t="s">
        <v>368</v>
      </c>
      <c r="B1479">
        <v>2012</v>
      </c>
      <c r="C1479" t="s">
        <v>273</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cm="1">
        <f t="array" ref="W1479">AND(ISNUMBER(LifeExpectancyData[[#This Row],[Adult Mortality]:[Schooling]]),ISNUMBER(LifeExpectancyData[[#This Row],[Life expectancy]]), LifeExpectancyData[[#This Row],[Year]]=2013)</f>
        <v>0</v>
      </c>
    </row>
    <row r="1480" spans="1:23" x14ac:dyDescent="0.25">
      <c r="A1480" t="s">
        <v>368</v>
      </c>
      <c r="B1480">
        <v>2011</v>
      </c>
      <c r="C1480" t="s">
        <v>273</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cm="1">
        <f t="array" ref="W1480">AND(ISNUMBER(LifeExpectancyData[[#This Row],[Adult Mortality]:[Schooling]]),ISNUMBER(LifeExpectancyData[[#This Row],[Life expectancy]]), LifeExpectancyData[[#This Row],[Year]]=2013)</f>
        <v>0</v>
      </c>
    </row>
    <row r="1481" spans="1:23" x14ac:dyDescent="0.25">
      <c r="A1481" t="s">
        <v>368</v>
      </c>
      <c r="B1481">
        <v>2010</v>
      </c>
      <c r="C1481" t="s">
        <v>273</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cm="1">
        <f t="array" ref="W1481">AND(ISNUMBER(LifeExpectancyData[[#This Row],[Adult Mortality]:[Schooling]]),ISNUMBER(LifeExpectancyData[[#This Row],[Life expectancy]]), LifeExpectancyData[[#This Row],[Year]]=2013)</f>
        <v>0</v>
      </c>
    </row>
    <row r="1482" spans="1:23" x14ac:dyDescent="0.25">
      <c r="A1482" t="s">
        <v>368</v>
      </c>
      <c r="B1482">
        <v>2009</v>
      </c>
      <c r="C1482" t="s">
        <v>273</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cm="1">
        <f t="array" ref="W1482">AND(ISNUMBER(LifeExpectancyData[[#This Row],[Adult Mortality]:[Schooling]]),ISNUMBER(LifeExpectancyData[[#This Row],[Life expectancy]]), LifeExpectancyData[[#This Row],[Year]]=2013)</f>
        <v>0</v>
      </c>
    </row>
    <row r="1483" spans="1:23" x14ac:dyDescent="0.25">
      <c r="A1483" t="s">
        <v>368</v>
      </c>
      <c r="B1483">
        <v>2008</v>
      </c>
      <c r="C1483" t="s">
        <v>273</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cm="1">
        <f t="array" ref="W1483">AND(ISNUMBER(LifeExpectancyData[[#This Row],[Adult Mortality]:[Schooling]]),ISNUMBER(LifeExpectancyData[[#This Row],[Life expectancy]]), LifeExpectancyData[[#This Row],[Year]]=2013)</f>
        <v>0</v>
      </c>
    </row>
    <row r="1484" spans="1:23" x14ac:dyDescent="0.25">
      <c r="A1484" t="s">
        <v>368</v>
      </c>
      <c r="B1484">
        <v>2007</v>
      </c>
      <c r="C1484" t="s">
        <v>273</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cm="1">
        <f t="array" ref="W1484">AND(ISNUMBER(LifeExpectancyData[[#This Row],[Adult Mortality]:[Schooling]]),ISNUMBER(LifeExpectancyData[[#This Row],[Life expectancy]]), LifeExpectancyData[[#This Row],[Year]]=2013)</f>
        <v>0</v>
      </c>
    </row>
    <row r="1485" spans="1:23" x14ac:dyDescent="0.25">
      <c r="A1485" t="s">
        <v>368</v>
      </c>
      <c r="B1485">
        <v>2006</v>
      </c>
      <c r="C1485" t="s">
        <v>273</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cm="1">
        <f t="array" ref="W1485">AND(ISNUMBER(LifeExpectancyData[[#This Row],[Adult Mortality]:[Schooling]]),ISNUMBER(LifeExpectancyData[[#This Row],[Life expectancy]]), LifeExpectancyData[[#This Row],[Year]]=2013)</f>
        <v>0</v>
      </c>
    </row>
    <row r="1486" spans="1:23" x14ac:dyDescent="0.25">
      <c r="A1486" t="s">
        <v>368</v>
      </c>
      <c r="B1486">
        <v>2005</v>
      </c>
      <c r="C1486" t="s">
        <v>273</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cm="1">
        <f t="array" ref="W1486">AND(ISNUMBER(LifeExpectancyData[[#This Row],[Adult Mortality]:[Schooling]]),ISNUMBER(LifeExpectancyData[[#This Row],[Life expectancy]]), LifeExpectancyData[[#This Row],[Year]]=2013)</f>
        <v>0</v>
      </c>
    </row>
    <row r="1487" spans="1:23" x14ac:dyDescent="0.25">
      <c r="A1487" t="s">
        <v>368</v>
      </c>
      <c r="B1487">
        <v>2004</v>
      </c>
      <c r="C1487" t="s">
        <v>273</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cm="1">
        <f t="array" ref="W1487">AND(ISNUMBER(LifeExpectancyData[[#This Row],[Adult Mortality]:[Schooling]]),ISNUMBER(LifeExpectancyData[[#This Row],[Life expectancy]]), LifeExpectancyData[[#This Row],[Year]]=2013)</f>
        <v>0</v>
      </c>
    </row>
    <row r="1488" spans="1:23" x14ac:dyDescent="0.25">
      <c r="A1488" t="s">
        <v>368</v>
      </c>
      <c r="B1488">
        <v>2003</v>
      </c>
      <c r="C1488" t="s">
        <v>273</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cm="1">
        <f t="array" ref="W1488">AND(ISNUMBER(LifeExpectancyData[[#This Row],[Adult Mortality]:[Schooling]]),ISNUMBER(LifeExpectancyData[[#This Row],[Life expectancy]]), LifeExpectancyData[[#This Row],[Year]]=2013)</f>
        <v>0</v>
      </c>
    </row>
    <row r="1489" spans="1:23" hidden="1" x14ac:dyDescent="0.25">
      <c r="A1489" t="s">
        <v>368</v>
      </c>
      <c r="B1489">
        <v>2002</v>
      </c>
      <c r="C1489" t="s">
        <v>273</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cm="1">
        <f t="array" ref="W1489">AND(ISNUMBER(LifeExpectancyData[[#This Row],[Adult Mortality]:[Schooling]]),ISNUMBER(LifeExpectancyData[[#This Row],[Life expectancy]]), LifeExpectancyData[[#This Row],[Year]]=2013)</f>
        <v>0</v>
      </c>
    </row>
    <row r="1490" spans="1:23" hidden="1" x14ac:dyDescent="0.25">
      <c r="A1490" t="s">
        <v>368</v>
      </c>
      <c r="B1490">
        <v>2001</v>
      </c>
      <c r="C1490" t="s">
        <v>273</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cm="1">
        <f t="array" ref="W1490">AND(ISNUMBER(LifeExpectancyData[[#This Row],[Adult Mortality]:[Schooling]]),ISNUMBER(LifeExpectancyData[[#This Row],[Life expectancy]]), LifeExpectancyData[[#This Row],[Year]]=2013)</f>
        <v>0</v>
      </c>
    </row>
    <row r="1491" spans="1:23" hidden="1" x14ac:dyDescent="0.25">
      <c r="A1491" t="s">
        <v>368</v>
      </c>
      <c r="B1491">
        <v>2000</v>
      </c>
      <c r="C1491" t="s">
        <v>273</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cm="1">
        <f t="array" ref="W1491">AND(ISNUMBER(LifeExpectancyData[[#This Row],[Adult Mortality]:[Schooling]]),ISNUMBER(LifeExpectancyData[[#This Row],[Life expectancy]]), LifeExpectancyData[[#This Row],[Year]]=2013)</f>
        <v>0</v>
      </c>
    </row>
    <row r="1492" spans="1:23" hidden="1" x14ac:dyDescent="0.25">
      <c r="A1492" t="s">
        <v>369</v>
      </c>
      <c r="B1492">
        <v>2015</v>
      </c>
      <c r="C1492" t="s">
        <v>273</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cm="1">
        <f t="array" ref="W1492">AND(ISNUMBER(LifeExpectancyData[[#This Row],[Adult Mortality]:[Schooling]]),ISNUMBER(LifeExpectancyData[[#This Row],[Life expectancy]]), LifeExpectancyData[[#This Row],[Year]]=2013)</f>
        <v>0</v>
      </c>
    </row>
    <row r="1493" spans="1:23" x14ac:dyDescent="0.25">
      <c r="A1493" t="s">
        <v>369</v>
      </c>
      <c r="B1493">
        <v>2014</v>
      </c>
      <c r="C1493" t="s">
        <v>273</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cm="1">
        <f t="array" ref="W1493">AND(ISNUMBER(LifeExpectancyData[[#This Row],[Adult Mortality]:[Schooling]]),ISNUMBER(LifeExpectancyData[[#This Row],[Life expectancy]]), LifeExpectancyData[[#This Row],[Year]]=2013)</f>
        <v>0</v>
      </c>
    </row>
    <row r="1494" spans="1:23" x14ac:dyDescent="0.25">
      <c r="A1494" t="s">
        <v>369</v>
      </c>
      <c r="B1494">
        <v>2013</v>
      </c>
      <c r="C1494" t="s">
        <v>273</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cm="1">
        <f t="array" ref="W1494">AND(ISNUMBER(LifeExpectancyData[[#This Row],[Adult Mortality]:[Schooling]]),ISNUMBER(LifeExpectancyData[[#This Row],[Life expectancy]]), LifeExpectancyData[[#This Row],[Year]]=2013)</f>
        <v>1</v>
      </c>
    </row>
    <row r="1495" spans="1:23" x14ac:dyDescent="0.25">
      <c r="A1495" t="s">
        <v>369</v>
      </c>
      <c r="B1495">
        <v>2012</v>
      </c>
      <c r="C1495" t="s">
        <v>273</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cm="1">
        <f t="array" ref="W1495">AND(ISNUMBER(LifeExpectancyData[[#This Row],[Adult Mortality]:[Schooling]]),ISNUMBER(LifeExpectancyData[[#This Row],[Life expectancy]]), LifeExpectancyData[[#This Row],[Year]]=2013)</f>
        <v>0</v>
      </c>
    </row>
    <row r="1496" spans="1:23" x14ac:dyDescent="0.25">
      <c r="A1496" t="s">
        <v>369</v>
      </c>
      <c r="B1496">
        <v>2011</v>
      </c>
      <c r="C1496" t="s">
        <v>273</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cm="1">
        <f t="array" ref="W1496">AND(ISNUMBER(LifeExpectancyData[[#This Row],[Adult Mortality]:[Schooling]]),ISNUMBER(LifeExpectancyData[[#This Row],[Life expectancy]]), LifeExpectancyData[[#This Row],[Year]]=2013)</f>
        <v>0</v>
      </c>
    </row>
    <row r="1497" spans="1:23" x14ac:dyDescent="0.25">
      <c r="A1497" t="s">
        <v>369</v>
      </c>
      <c r="B1497">
        <v>2010</v>
      </c>
      <c r="C1497" t="s">
        <v>273</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cm="1">
        <f t="array" ref="W1497">AND(ISNUMBER(LifeExpectancyData[[#This Row],[Adult Mortality]:[Schooling]]),ISNUMBER(LifeExpectancyData[[#This Row],[Life expectancy]]), LifeExpectancyData[[#This Row],[Year]]=2013)</f>
        <v>0</v>
      </c>
    </row>
    <row r="1498" spans="1:23" x14ac:dyDescent="0.25">
      <c r="A1498" t="s">
        <v>369</v>
      </c>
      <c r="B1498">
        <v>2009</v>
      </c>
      <c r="C1498" t="s">
        <v>273</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cm="1">
        <f t="array" ref="W1498">AND(ISNUMBER(LifeExpectancyData[[#This Row],[Adult Mortality]:[Schooling]]),ISNUMBER(LifeExpectancyData[[#This Row],[Life expectancy]]), LifeExpectancyData[[#This Row],[Year]]=2013)</f>
        <v>0</v>
      </c>
    </row>
    <row r="1499" spans="1:23" x14ac:dyDescent="0.25">
      <c r="A1499" t="s">
        <v>369</v>
      </c>
      <c r="B1499">
        <v>2008</v>
      </c>
      <c r="C1499" t="s">
        <v>273</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cm="1">
        <f t="array" ref="W1499">AND(ISNUMBER(LifeExpectancyData[[#This Row],[Adult Mortality]:[Schooling]]),ISNUMBER(LifeExpectancyData[[#This Row],[Life expectancy]]), LifeExpectancyData[[#This Row],[Year]]=2013)</f>
        <v>0</v>
      </c>
    </row>
    <row r="1500" spans="1:23" hidden="1" x14ac:dyDescent="0.25">
      <c r="A1500" t="s">
        <v>369</v>
      </c>
      <c r="B1500">
        <v>2007</v>
      </c>
      <c r="C1500" t="s">
        <v>273</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cm="1">
        <f t="array" ref="W1500">AND(ISNUMBER(LifeExpectancyData[[#This Row],[Adult Mortality]:[Schooling]]),ISNUMBER(LifeExpectancyData[[#This Row],[Life expectancy]]), LifeExpectancyData[[#This Row],[Year]]=2013)</f>
        <v>0</v>
      </c>
    </row>
    <row r="1501" spans="1:23" hidden="1" x14ac:dyDescent="0.25">
      <c r="A1501" t="s">
        <v>369</v>
      </c>
      <c r="B1501">
        <v>2006</v>
      </c>
      <c r="C1501" t="s">
        <v>273</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cm="1">
        <f t="array" ref="W1501">AND(ISNUMBER(LifeExpectancyData[[#This Row],[Adult Mortality]:[Schooling]]),ISNUMBER(LifeExpectancyData[[#This Row],[Life expectancy]]), LifeExpectancyData[[#This Row],[Year]]=2013)</f>
        <v>0</v>
      </c>
    </row>
    <row r="1502" spans="1:23" hidden="1" x14ac:dyDescent="0.25">
      <c r="A1502" t="s">
        <v>369</v>
      </c>
      <c r="B1502">
        <v>2005</v>
      </c>
      <c r="C1502" t="s">
        <v>273</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cm="1">
        <f t="array" ref="W1502">AND(ISNUMBER(LifeExpectancyData[[#This Row],[Adult Mortality]:[Schooling]]),ISNUMBER(LifeExpectancyData[[#This Row],[Life expectancy]]), LifeExpectancyData[[#This Row],[Year]]=2013)</f>
        <v>0</v>
      </c>
    </row>
    <row r="1503" spans="1:23" hidden="1" x14ac:dyDescent="0.25">
      <c r="A1503" t="s">
        <v>369</v>
      </c>
      <c r="B1503">
        <v>2004</v>
      </c>
      <c r="C1503" t="s">
        <v>273</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cm="1">
        <f t="array" ref="W1503">AND(ISNUMBER(LifeExpectancyData[[#This Row],[Adult Mortality]:[Schooling]]),ISNUMBER(LifeExpectancyData[[#This Row],[Life expectancy]]), LifeExpectancyData[[#This Row],[Year]]=2013)</f>
        <v>0</v>
      </c>
    </row>
    <row r="1504" spans="1:23" hidden="1" x14ac:dyDescent="0.25">
      <c r="A1504" t="s">
        <v>369</v>
      </c>
      <c r="B1504">
        <v>2003</v>
      </c>
      <c r="C1504" t="s">
        <v>273</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cm="1">
        <f t="array" ref="W1504">AND(ISNUMBER(LifeExpectancyData[[#This Row],[Adult Mortality]:[Schooling]]),ISNUMBER(LifeExpectancyData[[#This Row],[Life expectancy]]), LifeExpectancyData[[#This Row],[Year]]=2013)</f>
        <v>0</v>
      </c>
    </row>
    <row r="1505" spans="1:23" hidden="1" x14ac:dyDescent="0.25">
      <c r="A1505" t="s">
        <v>369</v>
      </c>
      <c r="B1505">
        <v>2002</v>
      </c>
      <c r="C1505" t="s">
        <v>273</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cm="1">
        <f t="array" ref="W1505">AND(ISNUMBER(LifeExpectancyData[[#This Row],[Adult Mortality]:[Schooling]]),ISNUMBER(LifeExpectancyData[[#This Row],[Life expectancy]]), LifeExpectancyData[[#This Row],[Year]]=2013)</f>
        <v>0</v>
      </c>
    </row>
    <row r="1506" spans="1:23" hidden="1" x14ac:dyDescent="0.25">
      <c r="A1506" t="s">
        <v>369</v>
      </c>
      <c r="B1506">
        <v>2001</v>
      </c>
      <c r="C1506" t="s">
        <v>273</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cm="1">
        <f t="array" ref="W1506">AND(ISNUMBER(LifeExpectancyData[[#This Row],[Adult Mortality]:[Schooling]]),ISNUMBER(LifeExpectancyData[[#This Row],[Life expectancy]]), LifeExpectancyData[[#This Row],[Year]]=2013)</f>
        <v>0</v>
      </c>
    </row>
    <row r="1507" spans="1:23" hidden="1" x14ac:dyDescent="0.25">
      <c r="A1507" t="s">
        <v>369</v>
      </c>
      <c r="B1507">
        <v>2000</v>
      </c>
      <c r="C1507" t="s">
        <v>273</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cm="1">
        <f t="array" ref="W1507">AND(ISNUMBER(LifeExpectancyData[[#This Row],[Adult Mortality]:[Schooling]]),ISNUMBER(LifeExpectancyData[[#This Row],[Life expectancy]]), LifeExpectancyData[[#This Row],[Year]]=2013)</f>
        <v>0</v>
      </c>
    </row>
    <row r="1508" spans="1:23" hidden="1" x14ac:dyDescent="0.25">
      <c r="A1508" t="s">
        <v>370</v>
      </c>
      <c r="B1508">
        <v>2015</v>
      </c>
      <c r="C1508" t="s">
        <v>273</v>
      </c>
      <c r="D1508">
        <v>72.7</v>
      </c>
      <c r="E1508">
        <v>138</v>
      </c>
      <c r="F1508">
        <v>1</v>
      </c>
      <c r="H1508">
        <v>0</v>
      </c>
      <c r="I1508">
        <v>97</v>
      </c>
      <c r="J1508">
        <v>82</v>
      </c>
      <c r="K1508">
        <v>64.8</v>
      </c>
      <c r="L1508">
        <v>2</v>
      </c>
      <c r="M1508">
        <v>97</v>
      </c>
      <c r="O1508">
        <v>97</v>
      </c>
      <c r="P1508">
        <v>0.1</v>
      </c>
      <c r="S1508">
        <v>5.8</v>
      </c>
      <c r="T1508">
        <v>5.5</v>
      </c>
      <c r="U1508">
        <v>0.71899999999999997</v>
      </c>
      <c r="V1508">
        <v>13.4</v>
      </c>
      <c r="W1508" t="b" cm="1">
        <f t="array" ref="W1508">AND(ISNUMBER(LifeExpectancyData[[#This Row],[Adult Mortality]:[Schooling]]),ISNUMBER(LifeExpectancyData[[#This Row],[Life expectancy]]), LifeExpectancyData[[#This Row],[Year]]=2013)</f>
        <v>0</v>
      </c>
    </row>
    <row r="1509" spans="1:23" hidden="1" x14ac:dyDescent="0.25">
      <c r="A1509" t="s">
        <v>370</v>
      </c>
      <c r="B1509">
        <v>2014</v>
      </c>
      <c r="C1509" t="s">
        <v>273</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cm="1">
        <f t="array" ref="W1509">AND(ISNUMBER(LifeExpectancyData[[#This Row],[Adult Mortality]:[Schooling]]),ISNUMBER(LifeExpectancyData[[#This Row],[Life expectancy]]), LifeExpectancyData[[#This Row],[Year]]=2013)</f>
        <v>0</v>
      </c>
    </row>
    <row r="1510" spans="1:23" hidden="1" x14ac:dyDescent="0.25">
      <c r="A1510" t="s">
        <v>370</v>
      </c>
      <c r="B1510">
        <v>2013</v>
      </c>
      <c r="C1510" t="s">
        <v>273</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cm="1">
        <f t="array" ref="W1510">AND(ISNUMBER(LifeExpectancyData[[#This Row],[Adult Mortality]:[Schooling]]),ISNUMBER(LifeExpectancyData[[#This Row],[Life expectancy]]), LifeExpectancyData[[#This Row],[Year]]=2013)</f>
        <v>0</v>
      </c>
    </row>
    <row r="1511" spans="1:23" hidden="1" x14ac:dyDescent="0.25">
      <c r="A1511" t="s">
        <v>370</v>
      </c>
      <c r="B1511">
        <v>2012</v>
      </c>
      <c r="C1511" t="s">
        <v>273</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cm="1">
        <f t="array" ref="W1511">AND(ISNUMBER(LifeExpectancyData[[#This Row],[Adult Mortality]:[Schooling]]),ISNUMBER(LifeExpectancyData[[#This Row],[Life expectancy]]), LifeExpectancyData[[#This Row],[Year]]=2013)</f>
        <v>0</v>
      </c>
    </row>
    <row r="1512" spans="1:23" hidden="1" x14ac:dyDescent="0.25">
      <c r="A1512" t="s">
        <v>370</v>
      </c>
      <c r="B1512">
        <v>2011</v>
      </c>
      <c r="C1512" t="s">
        <v>273</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cm="1">
        <f t="array" ref="W1512">AND(ISNUMBER(LifeExpectancyData[[#This Row],[Adult Mortality]:[Schooling]]),ISNUMBER(LifeExpectancyData[[#This Row],[Life expectancy]]), LifeExpectancyData[[#This Row],[Year]]=2013)</f>
        <v>0</v>
      </c>
    </row>
    <row r="1513" spans="1:23" hidden="1" x14ac:dyDescent="0.25">
      <c r="A1513" t="s">
        <v>370</v>
      </c>
      <c r="B1513">
        <v>2010</v>
      </c>
      <c r="C1513" t="s">
        <v>273</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cm="1">
        <f t="array" ref="W1513">AND(ISNUMBER(LifeExpectancyData[[#This Row],[Adult Mortality]:[Schooling]]),ISNUMBER(LifeExpectancyData[[#This Row],[Life expectancy]]), LifeExpectancyData[[#This Row],[Year]]=2013)</f>
        <v>0</v>
      </c>
    </row>
    <row r="1514" spans="1:23" hidden="1" x14ac:dyDescent="0.25">
      <c r="A1514" t="s">
        <v>370</v>
      </c>
      <c r="B1514">
        <v>2009</v>
      </c>
      <c r="C1514" t="s">
        <v>273</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cm="1">
        <f t="array" ref="W1514">AND(ISNUMBER(LifeExpectancyData[[#This Row],[Adult Mortality]:[Schooling]]),ISNUMBER(LifeExpectancyData[[#This Row],[Life expectancy]]), LifeExpectancyData[[#This Row],[Year]]=2013)</f>
        <v>0</v>
      </c>
    </row>
    <row r="1515" spans="1:23" hidden="1" x14ac:dyDescent="0.25">
      <c r="A1515" t="s">
        <v>370</v>
      </c>
      <c r="B1515">
        <v>2008</v>
      </c>
      <c r="C1515" t="s">
        <v>273</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cm="1">
        <f t="array" ref="W1515">AND(ISNUMBER(LifeExpectancyData[[#This Row],[Adult Mortality]:[Schooling]]),ISNUMBER(LifeExpectancyData[[#This Row],[Life expectancy]]), LifeExpectancyData[[#This Row],[Year]]=2013)</f>
        <v>0</v>
      </c>
    </row>
    <row r="1516" spans="1:23" hidden="1" x14ac:dyDescent="0.25">
      <c r="A1516" t="s">
        <v>370</v>
      </c>
      <c r="B1516">
        <v>2007</v>
      </c>
      <c r="C1516" t="s">
        <v>273</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cm="1">
        <f t="array" ref="W1516">AND(ISNUMBER(LifeExpectancyData[[#This Row],[Adult Mortality]:[Schooling]]),ISNUMBER(LifeExpectancyData[[#This Row],[Life expectancy]]), LifeExpectancyData[[#This Row],[Year]]=2013)</f>
        <v>0</v>
      </c>
    </row>
    <row r="1517" spans="1:23" hidden="1" x14ac:dyDescent="0.25">
      <c r="A1517" t="s">
        <v>370</v>
      </c>
      <c r="B1517">
        <v>2006</v>
      </c>
      <c r="C1517" t="s">
        <v>273</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cm="1">
        <f t="array" ref="W1517">AND(ISNUMBER(LifeExpectancyData[[#This Row],[Adult Mortality]:[Schooling]]),ISNUMBER(LifeExpectancyData[[#This Row],[Life expectancy]]), LifeExpectancyData[[#This Row],[Year]]=2013)</f>
        <v>0</v>
      </c>
    </row>
    <row r="1518" spans="1:23" hidden="1" x14ac:dyDescent="0.25">
      <c r="A1518" t="s">
        <v>370</v>
      </c>
      <c r="B1518">
        <v>2005</v>
      </c>
      <c r="C1518" t="s">
        <v>273</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cm="1">
        <f t="array" ref="W1518">AND(ISNUMBER(LifeExpectancyData[[#This Row],[Adult Mortality]:[Schooling]]),ISNUMBER(LifeExpectancyData[[#This Row],[Life expectancy]]), LifeExpectancyData[[#This Row],[Year]]=2013)</f>
        <v>0</v>
      </c>
    </row>
    <row r="1519" spans="1:23" hidden="1" x14ac:dyDescent="0.25">
      <c r="A1519" t="s">
        <v>370</v>
      </c>
      <c r="B1519">
        <v>2004</v>
      </c>
      <c r="C1519" t="s">
        <v>273</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cm="1">
        <f t="array" ref="W1519">AND(ISNUMBER(LifeExpectancyData[[#This Row],[Adult Mortality]:[Schooling]]),ISNUMBER(LifeExpectancyData[[#This Row],[Life expectancy]]), LifeExpectancyData[[#This Row],[Year]]=2013)</f>
        <v>0</v>
      </c>
    </row>
    <row r="1520" spans="1:23" hidden="1" x14ac:dyDescent="0.25">
      <c r="A1520" t="s">
        <v>370</v>
      </c>
      <c r="B1520">
        <v>2003</v>
      </c>
      <c r="C1520" t="s">
        <v>273</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cm="1">
        <f t="array" ref="W1520">AND(ISNUMBER(LifeExpectancyData[[#This Row],[Adult Mortality]:[Schooling]]),ISNUMBER(LifeExpectancyData[[#This Row],[Life expectancy]]), LifeExpectancyData[[#This Row],[Year]]=2013)</f>
        <v>0</v>
      </c>
    </row>
    <row r="1521" spans="1:23" hidden="1" x14ac:dyDescent="0.25">
      <c r="A1521" t="s">
        <v>370</v>
      </c>
      <c r="B1521">
        <v>2002</v>
      </c>
      <c r="C1521" t="s">
        <v>273</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cm="1">
        <f t="array" ref="W1521">AND(ISNUMBER(LifeExpectancyData[[#This Row],[Adult Mortality]:[Schooling]]),ISNUMBER(LifeExpectancyData[[#This Row],[Life expectancy]]), LifeExpectancyData[[#This Row],[Year]]=2013)</f>
        <v>0</v>
      </c>
    </row>
    <row r="1522" spans="1:23" hidden="1" x14ac:dyDescent="0.25">
      <c r="A1522" t="s">
        <v>370</v>
      </c>
      <c r="B1522">
        <v>2001</v>
      </c>
      <c r="C1522" t="s">
        <v>273</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cm="1">
        <f t="array" ref="W1522">AND(ISNUMBER(LifeExpectancyData[[#This Row],[Adult Mortality]:[Schooling]]),ISNUMBER(LifeExpectancyData[[#This Row],[Life expectancy]]), LifeExpectancyData[[#This Row],[Year]]=2013)</f>
        <v>0</v>
      </c>
    </row>
    <row r="1523" spans="1:23" hidden="1" x14ac:dyDescent="0.25">
      <c r="A1523" t="s">
        <v>370</v>
      </c>
      <c r="B1523">
        <v>2000</v>
      </c>
      <c r="C1523" t="s">
        <v>273</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cm="1">
        <f t="array" ref="W1523">AND(ISNUMBER(LifeExpectancyData[[#This Row],[Adult Mortality]:[Schooling]]),ISNUMBER(LifeExpectancyData[[#This Row],[Life expectancy]]), LifeExpectancyData[[#This Row],[Year]]=2013)</f>
        <v>0</v>
      </c>
    </row>
    <row r="1524" spans="1:23" hidden="1" x14ac:dyDescent="0.25">
      <c r="A1524" t="s">
        <v>371</v>
      </c>
      <c r="B1524">
        <v>2015</v>
      </c>
      <c r="C1524" t="s">
        <v>281</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cm="1">
        <f t="array" ref="W1524">AND(ISNUMBER(LifeExpectancyData[[#This Row],[Adult Mortality]:[Schooling]]),ISNUMBER(LifeExpectancyData[[#This Row],[Life expectancy]]), LifeExpectancyData[[#This Row],[Year]]=2013)</f>
        <v>0</v>
      </c>
    </row>
    <row r="1525" spans="1:23" x14ac:dyDescent="0.25">
      <c r="A1525" t="s">
        <v>371</v>
      </c>
      <c r="B1525">
        <v>2014</v>
      </c>
      <c r="C1525" t="s">
        <v>281</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cm="1">
        <f t="array" ref="W1525">AND(ISNUMBER(LifeExpectancyData[[#This Row],[Adult Mortality]:[Schooling]]),ISNUMBER(LifeExpectancyData[[#This Row],[Life expectancy]]), LifeExpectancyData[[#This Row],[Year]]=2013)</f>
        <v>0</v>
      </c>
    </row>
    <row r="1526" spans="1:23" x14ac:dyDescent="0.25">
      <c r="A1526" t="s">
        <v>371</v>
      </c>
      <c r="B1526">
        <v>2013</v>
      </c>
      <c r="C1526" t="s">
        <v>281</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cm="1">
        <f t="array" ref="W1526">AND(ISNUMBER(LifeExpectancyData[[#This Row],[Adult Mortality]:[Schooling]]),ISNUMBER(LifeExpectancyData[[#This Row],[Life expectancy]]), LifeExpectancyData[[#This Row],[Year]]=2013)</f>
        <v>1</v>
      </c>
    </row>
    <row r="1527" spans="1:23" x14ac:dyDescent="0.25">
      <c r="A1527" t="s">
        <v>371</v>
      </c>
      <c r="B1527">
        <v>2012</v>
      </c>
      <c r="C1527" t="s">
        <v>281</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cm="1">
        <f t="array" ref="W1527">AND(ISNUMBER(LifeExpectancyData[[#This Row],[Adult Mortality]:[Schooling]]),ISNUMBER(LifeExpectancyData[[#This Row],[Life expectancy]]), LifeExpectancyData[[#This Row],[Year]]=2013)</f>
        <v>0</v>
      </c>
    </row>
    <row r="1528" spans="1:23" x14ac:dyDescent="0.25">
      <c r="A1528" t="s">
        <v>371</v>
      </c>
      <c r="B1528">
        <v>2011</v>
      </c>
      <c r="C1528" t="s">
        <v>281</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cm="1">
        <f t="array" ref="W1528">AND(ISNUMBER(LifeExpectancyData[[#This Row],[Adult Mortality]:[Schooling]]),ISNUMBER(LifeExpectancyData[[#This Row],[Life expectancy]]), LifeExpectancyData[[#This Row],[Year]]=2013)</f>
        <v>0</v>
      </c>
    </row>
    <row r="1529" spans="1:23" x14ac:dyDescent="0.25">
      <c r="A1529" t="s">
        <v>371</v>
      </c>
      <c r="B1529">
        <v>2010</v>
      </c>
      <c r="C1529" t="s">
        <v>281</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cm="1">
        <f t="array" ref="W1529">AND(ISNUMBER(LifeExpectancyData[[#This Row],[Adult Mortality]:[Schooling]]),ISNUMBER(LifeExpectancyData[[#This Row],[Life expectancy]]), LifeExpectancyData[[#This Row],[Year]]=2013)</f>
        <v>0</v>
      </c>
    </row>
    <row r="1530" spans="1:23" x14ac:dyDescent="0.25">
      <c r="A1530" t="s">
        <v>371</v>
      </c>
      <c r="B1530">
        <v>2009</v>
      </c>
      <c r="C1530" t="s">
        <v>281</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cm="1">
        <f t="array" ref="W1530">AND(ISNUMBER(LifeExpectancyData[[#This Row],[Adult Mortality]:[Schooling]]),ISNUMBER(LifeExpectancyData[[#This Row],[Life expectancy]]), LifeExpectancyData[[#This Row],[Year]]=2013)</f>
        <v>0</v>
      </c>
    </row>
    <row r="1531" spans="1:23" x14ac:dyDescent="0.25">
      <c r="A1531" t="s">
        <v>371</v>
      </c>
      <c r="B1531">
        <v>2008</v>
      </c>
      <c r="C1531" t="s">
        <v>281</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cm="1">
        <f t="array" ref="W1531">AND(ISNUMBER(LifeExpectancyData[[#This Row],[Adult Mortality]:[Schooling]]),ISNUMBER(LifeExpectancyData[[#This Row],[Life expectancy]]), LifeExpectancyData[[#This Row],[Year]]=2013)</f>
        <v>0</v>
      </c>
    </row>
    <row r="1532" spans="1:23" x14ac:dyDescent="0.25">
      <c r="A1532" t="s">
        <v>371</v>
      </c>
      <c r="B1532">
        <v>2007</v>
      </c>
      <c r="C1532" t="s">
        <v>281</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cm="1">
        <f t="array" ref="W1532">AND(ISNUMBER(LifeExpectancyData[[#This Row],[Adult Mortality]:[Schooling]]),ISNUMBER(LifeExpectancyData[[#This Row],[Life expectancy]]), LifeExpectancyData[[#This Row],[Year]]=2013)</f>
        <v>0</v>
      </c>
    </row>
    <row r="1533" spans="1:23" x14ac:dyDescent="0.25">
      <c r="A1533" t="s">
        <v>371</v>
      </c>
      <c r="B1533">
        <v>2006</v>
      </c>
      <c r="C1533" t="s">
        <v>281</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cm="1">
        <f t="array" ref="W1533">AND(ISNUMBER(LifeExpectancyData[[#This Row],[Adult Mortality]:[Schooling]]),ISNUMBER(LifeExpectancyData[[#This Row],[Life expectancy]]), LifeExpectancyData[[#This Row],[Year]]=2013)</f>
        <v>0</v>
      </c>
    </row>
    <row r="1534" spans="1:23" x14ac:dyDescent="0.25">
      <c r="A1534" t="s">
        <v>371</v>
      </c>
      <c r="B1534">
        <v>2005</v>
      </c>
      <c r="C1534" t="s">
        <v>281</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cm="1">
        <f t="array" ref="W1534">AND(ISNUMBER(LifeExpectancyData[[#This Row],[Adult Mortality]:[Schooling]]),ISNUMBER(LifeExpectancyData[[#This Row],[Life expectancy]]), LifeExpectancyData[[#This Row],[Year]]=2013)</f>
        <v>0</v>
      </c>
    </row>
    <row r="1535" spans="1:23" x14ac:dyDescent="0.25">
      <c r="A1535" t="s">
        <v>371</v>
      </c>
      <c r="B1535">
        <v>2004</v>
      </c>
      <c r="C1535" t="s">
        <v>281</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cm="1">
        <f t="array" ref="W1535">AND(ISNUMBER(LifeExpectancyData[[#This Row],[Adult Mortality]:[Schooling]]),ISNUMBER(LifeExpectancyData[[#This Row],[Life expectancy]]), LifeExpectancyData[[#This Row],[Year]]=2013)</f>
        <v>0</v>
      </c>
    </row>
    <row r="1536" spans="1:23" x14ac:dyDescent="0.25">
      <c r="A1536" t="s">
        <v>371</v>
      </c>
      <c r="B1536">
        <v>2003</v>
      </c>
      <c r="C1536" t="s">
        <v>281</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cm="1">
        <f t="array" ref="W1536">AND(ISNUMBER(LifeExpectancyData[[#This Row],[Adult Mortality]:[Schooling]]),ISNUMBER(LifeExpectancyData[[#This Row],[Life expectancy]]), LifeExpectancyData[[#This Row],[Year]]=2013)</f>
        <v>0</v>
      </c>
    </row>
    <row r="1537" spans="1:23" x14ac:dyDescent="0.25">
      <c r="A1537" t="s">
        <v>371</v>
      </c>
      <c r="B1537">
        <v>2002</v>
      </c>
      <c r="C1537" t="s">
        <v>281</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cm="1">
        <f t="array" ref="W1537">AND(ISNUMBER(LifeExpectancyData[[#This Row],[Adult Mortality]:[Schooling]]),ISNUMBER(LifeExpectancyData[[#This Row],[Life expectancy]]), LifeExpectancyData[[#This Row],[Year]]=2013)</f>
        <v>0</v>
      </c>
    </row>
    <row r="1538" spans="1:23" x14ac:dyDescent="0.25">
      <c r="A1538" t="s">
        <v>371</v>
      </c>
      <c r="B1538">
        <v>2001</v>
      </c>
      <c r="C1538" t="s">
        <v>281</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cm="1">
        <f t="array" ref="W1538">AND(ISNUMBER(LifeExpectancyData[[#This Row],[Adult Mortality]:[Schooling]]),ISNUMBER(LifeExpectancyData[[#This Row],[Life expectancy]]), LifeExpectancyData[[#This Row],[Year]]=2013)</f>
        <v>0</v>
      </c>
    </row>
    <row r="1539" spans="1:23" x14ac:dyDescent="0.25">
      <c r="A1539" t="s">
        <v>371</v>
      </c>
      <c r="B1539">
        <v>2000</v>
      </c>
      <c r="C1539" t="s">
        <v>281</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cm="1">
        <f t="array" ref="W1539">AND(ISNUMBER(LifeExpectancyData[[#This Row],[Adult Mortality]:[Schooling]]),ISNUMBER(LifeExpectancyData[[#This Row],[Life expectancy]]), LifeExpectancyData[[#This Row],[Year]]=2013)</f>
        <v>0</v>
      </c>
    </row>
    <row r="1540" spans="1:23" hidden="1" x14ac:dyDescent="0.25">
      <c r="A1540" t="s">
        <v>372</v>
      </c>
      <c r="B1540">
        <v>2015</v>
      </c>
      <c r="C1540" t="s">
        <v>281</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cm="1">
        <f t="array" ref="W1540">AND(ISNUMBER(LifeExpectancyData[[#This Row],[Adult Mortality]:[Schooling]]),ISNUMBER(LifeExpectancyData[[#This Row],[Life expectancy]]), LifeExpectancyData[[#This Row],[Year]]=2013)</f>
        <v>0</v>
      </c>
    </row>
    <row r="1541" spans="1:23" x14ac:dyDescent="0.25">
      <c r="A1541" t="s">
        <v>372</v>
      </c>
      <c r="B1541">
        <v>2014</v>
      </c>
      <c r="C1541" t="s">
        <v>281</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cm="1">
        <f t="array" ref="W1541">AND(ISNUMBER(LifeExpectancyData[[#This Row],[Adult Mortality]:[Schooling]]),ISNUMBER(LifeExpectancyData[[#This Row],[Life expectancy]]), LifeExpectancyData[[#This Row],[Year]]=2013)</f>
        <v>0</v>
      </c>
    </row>
    <row r="1542" spans="1:23" x14ac:dyDescent="0.25">
      <c r="A1542" t="s">
        <v>372</v>
      </c>
      <c r="B1542">
        <v>2013</v>
      </c>
      <c r="C1542" t="s">
        <v>281</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cm="1">
        <f t="array" ref="W1542">AND(ISNUMBER(LifeExpectancyData[[#This Row],[Adult Mortality]:[Schooling]]),ISNUMBER(LifeExpectancyData[[#This Row],[Life expectancy]]), LifeExpectancyData[[#This Row],[Year]]=2013)</f>
        <v>1</v>
      </c>
    </row>
    <row r="1543" spans="1:23" x14ac:dyDescent="0.25">
      <c r="A1543" t="s">
        <v>372</v>
      </c>
      <c r="B1543">
        <v>2012</v>
      </c>
      <c r="C1543" t="s">
        <v>281</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cm="1">
        <f t="array" ref="W1543">AND(ISNUMBER(LifeExpectancyData[[#This Row],[Adult Mortality]:[Schooling]]),ISNUMBER(LifeExpectancyData[[#This Row],[Life expectancy]]), LifeExpectancyData[[#This Row],[Year]]=2013)</f>
        <v>0</v>
      </c>
    </row>
    <row r="1544" spans="1:23" x14ac:dyDescent="0.25">
      <c r="A1544" t="s">
        <v>372</v>
      </c>
      <c r="B1544">
        <v>2011</v>
      </c>
      <c r="C1544" t="s">
        <v>281</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cm="1">
        <f t="array" ref="W1544">AND(ISNUMBER(LifeExpectancyData[[#This Row],[Adult Mortality]:[Schooling]]),ISNUMBER(LifeExpectancyData[[#This Row],[Life expectancy]]), LifeExpectancyData[[#This Row],[Year]]=2013)</f>
        <v>0</v>
      </c>
    </row>
    <row r="1545" spans="1:23" x14ac:dyDescent="0.25">
      <c r="A1545" t="s">
        <v>372</v>
      </c>
      <c r="B1545">
        <v>2010</v>
      </c>
      <c r="C1545" t="s">
        <v>281</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cm="1">
        <f t="array" ref="W1545">AND(ISNUMBER(LifeExpectancyData[[#This Row],[Adult Mortality]:[Schooling]]),ISNUMBER(LifeExpectancyData[[#This Row],[Life expectancy]]), LifeExpectancyData[[#This Row],[Year]]=2013)</f>
        <v>0</v>
      </c>
    </row>
    <row r="1546" spans="1:23" x14ac:dyDescent="0.25">
      <c r="A1546" t="s">
        <v>372</v>
      </c>
      <c r="B1546">
        <v>2009</v>
      </c>
      <c r="C1546" t="s">
        <v>281</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cm="1">
        <f t="array" ref="W1546">AND(ISNUMBER(LifeExpectancyData[[#This Row],[Adult Mortality]:[Schooling]]),ISNUMBER(LifeExpectancyData[[#This Row],[Life expectancy]]), LifeExpectancyData[[#This Row],[Year]]=2013)</f>
        <v>0</v>
      </c>
    </row>
    <row r="1547" spans="1:23" x14ac:dyDescent="0.25">
      <c r="A1547" t="s">
        <v>372</v>
      </c>
      <c r="B1547">
        <v>2008</v>
      </c>
      <c r="C1547" t="s">
        <v>281</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cm="1">
        <f t="array" ref="W1547">AND(ISNUMBER(LifeExpectancyData[[#This Row],[Adult Mortality]:[Schooling]]),ISNUMBER(LifeExpectancyData[[#This Row],[Life expectancy]]), LifeExpectancyData[[#This Row],[Year]]=2013)</f>
        <v>0</v>
      </c>
    </row>
    <row r="1548" spans="1:23" x14ac:dyDescent="0.25">
      <c r="A1548" t="s">
        <v>372</v>
      </c>
      <c r="B1548">
        <v>2007</v>
      </c>
      <c r="C1548" t="s">
        <v>281</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cm="1">
        <f t="array" ref="W1548">AND(ISNUMBER(LifeExpectancyData[[#This Row],[Adult Mortality]:[Schooling]]),ISNUMBER(LifeExpectancyData[[#This Row],[Life expectancy]]), LifeExpectancyData[[#This Row],[Year]]=2013)</f>
        <v>0</v>
      </c>
    </row>
    <row r="1549" spans="1:23" x14ac:dyDescent="0.25">
      <c r="A1549" t="s">
        <v>372</v>
      </c>
      <c r="B1549">
        <v>2006</v>
      </c>
      <c r="C1549" t="s">
        <v>281</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cm="1">
        <f t="array" ref="W1549">AND(ISNUMBER(LifeExpectancyData[[#This Row],[Adult Mortality]:[Schooling]]),ISNUMBER(LifeExpectancyData[[#This Row],[Life expectancy]]), LifeExpectancyData[[#This Row],[Year]]=2013)</f>
        <v>0</v>
      </c>
    </row>
    <row r="1550" spans="1:23" x14ac:dyDescent="0.25">
      <c r="A1550" t="s">
        <v>372</v>
      </c>
      <c r="B1550">
        <v>2005</v>
      </c>
      <c r="C1550" t="s">
        <v>281</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cm="1">
        <f t="array" ref="W1550">AND(ISNUMBER(LifeExpectancyData[[#This Row],[Adult Mortality]:[Schooling]]),ISNUMBER(LifeExpectancyData[[#This Row],[Life expectancy]]), LifeExpectancyData[[#This Row],[Year]]=2013)</f>
        <v>0</v>
      </c>
    </row>
    <row r="1551" spans="1:23" x14ac:dyDescent="0.25">
      <c r="A1551" t="s">
        <v>372</v>
      </c>
      <c r="B1551">
        <v>2004</v>
      </c>
      <c r="C1551" t="s">
        <v>281</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cm="1">
        <f t="array" ref="W1551">AND(ISNUMBER(LifeExpectancyData[[#This Row],[Adult Mortality]:[Schooling]]),ISNUMBER(LifeExpectancyData[[#This Row],[Life expectancy]]), LifeExpectancyData[[#This Row],[Year]]=2013)</f>
        <v>0</v>
      </c>
    </row>
    <row r="1552" spans="1:23" x14ac:dyDescent="0.25">
      <c r="A1552" t="s">
        <v>372</v>
      </c>
      <c r="B1552">
        <v>2003</v>
      </c>
      <c r="C1552" t="s">
        <v>281</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cm="1">
        <f t="array" ref="W1552">AND(ISNUMBER(LifeExpectancyData[[#This Row],[Adult Mortality]:[Schooling]]),ISNUMBER(LifeExpectancyData[[#This Row],[Life expectancy]]), LifeExpectancyData[[#This Row],[Year]]=2013)</f>
        <v>0</v>
      </c>
    </row>
    <row r="1553" spans="1:23" x14ac:dyDescent="0.25">
      <c r="A1553" t="s">
        <v>372</v>
      </c>
      <c r="B1553">
        <v>2002</v>
      </c>
      <c r="C1553" t="s">
        <v>281</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cm="1">
        <f t="array" ref="W1553">AND(ISNUMBER(LifeExpectancyData[[#This Row],[Adult Mortality]:[Schooling]]),ISNUMBER(LifeExpectancyData[[#This Row],[Life expectancy]]), LifeExpectancyData[[#This Row],[Year]]=2013)</f>
        <v>0</v>
      </c>
    </row>
    <row r="1554" spans="1:23" x14ac:dyDescent="0.25">
      <c r="A1554" t="s">
        <v>372</v>
      </c>
      <c r="B1554">
        <v>2001</v>
      </c>
      <c r="C1554" t="s">
        <v>281</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cm="1">
        <f t="array" ref="W1554">AND(ISNUMBER(LifeExpectancyData[[#This Row],[Adult Mortality]:[Schooling]]),ISNUMBER(LifeExpectancyData[[#This Row],[Life expectancy]]), LifeExpectancyData[[#This Row],[Year]]=2013)</f>
        <v>0</v>
      </c>
    </row>
    <row r="1555" spans="1:23" x14ac:dyDescent="0.25">
      <c r="A1555" t="s">
        <v>372</v>
      </c>
      <c r="B1555">
        <v>2000</v>
      </c>
      <c r="C1555" t="s">
        <v>281</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cm="1">
        <f t="array" ref="W1555">AND(ISNUMBER(LifeExpectancyData[[#This Row],[Adult Mortality]:[Schooling]]),ISNUMBER(LifeExpectancyData[[#This Row],[Life expectancy]]), LifeExpectancyData[[#This Row],[Year]]=2013)</f>
        <v>0</v>
      </c>
    </row>
    <row r="1556" spans="1:23" hidden="1" x14ac:dyDescent="0.25">
      <c r="A1556" t="s">
        <v>373</v>
      </c>
      <c r="B1556">
        <v>2015</v>
      </c>
      <c r="C1556" t="s">
        <v>273</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cm="1">
        <f t="array" ref="W1556">AND(ISNUMBER(LifeExpectancyData[[#This Row],[Adult Mortality]:[Schooling]]),ISNUMBER(LifeExpectancyData[[#This Row],[Life expectancy]]), LifeExpectancyData[[#This Row],[Year]]=2013)</f>
        <v>0</v>
      </c>
    </row>
    <row r="1557" spans="1:23" x14ac:dyDescent="0.25">
      <c r="A1557" t="s">
        <v>373</v>
      </c>
      <c r="B1557">
        <v>2014</v>
      </c>
      <c r="C1557" t="s">
        <v>273</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cm="1">
        <f t="array" ref="W1557">AND(ISNUMBER(LifeExpectancyData[[#This Row],[Adult Mortality]:[Schooling]]),ISNUMBER(LifeExpectancyData[[#This Row],[Life expectancy]]), LifeExpectancyData[[#This Row],[Year]]=2013)</f>
        <v>0</v>
      </c>
    </row>
    <row r="1558" spans="1:23" x14ac:dyDescent="0.25">
      <c r="A1558" t="s">
        <v>373</v>
      </c>
      <c r="B1558">
        <v>2013</v>
      </c>
      <c r="C1558" t="s">
        <v>273</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cm="1">
        <f t="array" ref="W1558">AND(ISNUMBER(LifeExpectancyData[[#This Row],[Adult Mortality]:[Schooling]]),ISNUMBER(LifeExpectancyData[[#This Row],[Life expectancy]]), LifeExpectancyData[[#This Row],[Year]]=2013)</f>
        <v>1</v>
      </c>
    </row>
    <row r="1559" spans="1:23" x14ac:dyDescent="0.25">
      <c r="A1559" t="s">
        <v>373</v>
      </c>
      <c r="B1559">
        <v>2012</v>
      </c>
      <c r="C1559" t="s">
        <v>273</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cm="1">
        <f t="array" ref="W1559">AND(ISNUMBER(LifeExpectancyData[[#This Row],[Adult Mortality]:[Schooling]]),ISNUMBER(LifeExpectancyData[[#This Row],[Life expectancy]]), LifeExpectancyData[[#This Row],[Year]]=2013)</f>
        <v>0</v>
      </c>
    </row>
    <row r="1560" spans="1:23" x14ac:dyDescent="0.25">
      <c r="A1560" t="s">
        <v>373</v>
      </c>
      <c r="B1560">
        <v>2011</v>
      </c>
      <c r="C1560" t="s">
        <v>273</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cm="1">
        <f t="array" ref="W1560">AND(ISNUMBER(LifeExpectancyData[[#This Row],[Adult Mortality]:[Schooling]]),ISNUMBER(LifeExpectancyData[[#This Row],[Life expectancy]]), LifeExpectancyData[[#This Row],[Year]]=2013)</f>
        <v>0</v>
      </c>
    </row>
    <row r="1561" spans="1:23" x14ac:dyDescent="0.25">
      <c r="A1561" t="s">
        <v>373</v>
      </c>
      <c r="B1561">
        <v>2010</v>
      </c>
      <c r="C1561" t="s">
        <v>273</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cm="1">
        <f t="array" ref="W1561">AND(ISNUMBER(LifeExpectancyData[[#This Row],[Adult Mortality]:[Schooling]]),ISNUMBER(LifeExpectancyData[[#This Row],[Life expectancy]]), LifeExpectancyData[[#This Row],[Year]]=2013)</f>
        <v>0</v>
      </c>
    </row>
    <row r="1562" spans="1:23" x14ac:dyDescent="0.25">
      <c r="A1562" t="s">
        <v>373</v>
      </c>
      <c r="B1562">
        <v>2009</v>
      </c>
      <c r="C1562" t="s">
        <v>273</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cm="1">
        <f t="array" ref="W1562">AND(ISNUMBER(LifeExpectancyData[[#This Row],[Adult Mortality]:[Schooling]]),ISNUMBER(LifeExpectancyData[[#This Row],[Life expectancy]]), LifeExpectancyData[[#This Row],[Year]]=2013)</f>
        <v>0</v>
      </c>
    </row>
    <row r="1563" spans="1:23" x14ac:dyDescent="0.25">
      <c r="A1563" t="s">
        <v>373</v>
      </c>
      <c r="B1563">
        <v>2008</v>
      </c>
      <c r="C1563" t="s">
        <v>273</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cm="1">
        <f t="array" ref="W1563">AND(ISNUMBER(LifeExpectancyData[[#This Row],[Adult Mortality]:[Schooling]]),ISNUMBER(LifeExpectancyData[[#This Row],[Life expectancy]]), LifeExpectancyData[[#This Row],[Year]]=2013)</f>
        <v>0</v>
      </c>
    </row>
    <row r="1564" spans="1:23" x14ac:dyDescent="0.25">
      <c r="A1564" t="s">
        <v>373</v>
      </c>
      <c r="B1564">
        <v>2007</v>
      </c>
      <c r="C1564" t="s">
        <v>273</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cm="1">
        <f t="array" ref="W1564">AND(ISNUMBER(LifeExpectancyData[[#This Row],[Adult Mortality]:[Schooling]]),ISNUMBER(LifeExpectancyData[[#This Row],[Life expectancy]]), LifeExpectancyData[[#This Row],[Year]]=2013)</f>
        <v>0</v>
      </c>
    </row>
    <row r="1565" spans="1:23" x14ac:dyDescent="0.25">
      <c r="A1565" t="s">
        <v>373</v>
      </c>
      <c r="B1565">
        <v>2006</v>
      </c>
      <c r="C1565" t="s">
        <v>273</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cm="1">
        <f t="array" ref="W1565">AND(ISNUMBER(LifeExpectancyData[[#This Row],[Adult Mortality]:[Schooling]]),ISNUMBER(LifeExpectancyData[[#This Row],[Life expectancy]]), LifeExpectancyData[[#This Row],[Year]]=2013)</f>
        <v>0</v>
      </c>
    </row>
    <row r="1566" spans="1:23" x14ac:dyDescent="0.25">
      <c r="A1566" t="s">
        <v>373</v>
      </c>
      <c r="B1566">
        <v>2005</v>
      </c>
      <c r="C1566" t="s">
        <v>273</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cm="1">
        <f t="array" ref="W1566">AND(ISNUMBER(LifeExpectancyData[[#This Row],[Adult Mortality]:[Schooling]]),ISNUMBER(LifeExpectancyData[[#This Row],[Life expectancy]]), LifeExpectancyData[[#This Row],[Year]]=2013)</f>
        <v>0</v>
      </c>
    </row>
    <row r="1567" spans="1:23" x14ac:dyDescent="0.25">
      <c r="A1567" t="s">
        <v>373</v>
      </c>
      <c r="B1567">
        <v>2004</v>
      </c>
      <c r="C1567" t="s">
        <v>273</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cm="1">
        <f t="array" ref="W1567">AND(ISNUMBER(LifeExpectancyData[[#This Row],[Adult Mortality]:[Schooling]]),ISNUMBER(LifeExpectancyData[[#This Row],[Life expectancy]]), LifeExpectancyData[[#This Row],[Year]]=2013)</f>
        <v>0</v>
      </c>
    </row>
    <row r="1568" spans="1:23" x14ac:dyDescent="0.25">
      <c r="A1568" t="s">
        <v>373</v>
      </c>
      <c r="B1568">
        <v>2003</v>
      </c>
      <c r="C1568" t="s">
        <v>273</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cm="1">
        <f t="array" ref="W1568">AND(ISNUMBER(LifeExpectancyData[[#This Row],[Adult Mortality]:[Schooling]]),ISNUMBER(LifeExpectancyData[[#This Row],[Life expectancy]]), LifeExpectancyData[[#This Row],[Year]]=2013)</f>
        <v>0</v>
      </c>
    </row>
    <row r="1569" spans="1:23" x14ac:dyDescent="0.25">
      <c r="A1569" t="s">
        <v>373</v>
      </c>
      <c r="B1569">
        <v>2002</v>
      </c>
      <c r="C1569" t="s">
        <v>273</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cm="1">
        <f t="array" ref="W1569">AND(ISNUMBER(LifeExpectancyData[[#This Row],[Adult Mortality]:[Schooling]]),ISNUMBER(LifeExpectancyData[[#This Row],[Life expectancy]]), LifeExpectancyData[[#This Row],[Year]]=2013)</f>
        <v>0</v>
      </c>
    </row>
    <row r="1570" spans="1:23" hidden="1" x14ac:dyDescent="0.25">
      <c r="A1570" t="s">
        <v>373</v>
      </c>
      <c r="B1570">
        <v>2001</v>
      </c>
      <c r="C1570" t="s">
        <v>273</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cm="1">
        <f t="array" ref="W1570">AND(ISNUMBER(LifeExpectancyData[[#This Row],[Adult Mortality]:[Schooling]]),ISNUMBER(LifeExpectancyData[[#This Row],[Life expectancy]]), LifeExpectancyData[[#This Row],[Year]]=2013)</f>
        <v>0</v>
      </c>
    </row>
    <row r="1571" spans="1:23" hidden="1" x14ac:dyDescent="0.25">
      <c r="A1571" t="s">
        <v>373</v>
      </c>
      <c r="B1571">
        <v>2000</v>
      </c>
      <c r="C1571" t="s">
        <v>273</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cm="1">
        <f t="array" ref="W1571">AND(ISNUMBER(LifeExpectancyData[[#This Row],[Adult Mortality]:[Schooling]]),ISNUMBER(LifeExpectancyData[[#This Row],[Life expectancy]]), LifeExpectancyData[[#This Row],[Year]]=2013)</f>
        <v>0</v>
      </c>
    </row>
    <row r="1572" spans="1:23" hidden="1" x14ac:dyDescent="0.25">
      <c r="A1572" t="s">
        <v>374</v>
      </c>
      <c r="B1572">
        <v>2015</v>
      </c>
      <c r="C1572" t="s">
        <v>273</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cm="1">
        <f t="array" ref="W1572">AND(ISNUMBER(LifeExpectancyData[[#This Row],[Adult Mortality]:[Schooling]]),ISNUMBER(LifeExpectancyData[[#This Row],[Life expectancy]]), LifeExpectancyData[[#This Row],[Year]]=2013)</f>
        <v>0</v>
      </c>
    </row>
    <row r="1573" spans="1:23" x14ac:dyDescent="0.25">
      <c r="A1573" t="s">
        <v>374</v>
      </c>
      <c r="B1573">
        <v>2014</v>
      </c>
      <c r="C1573" t="s">
        <v>273</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cm="1">
        <f t="array" ref="W1573">AND(ISNUMBER(LifeExpectancyData[[#This Row],[Adult Mortality]:[Schooling]]),ISNUMBER(LifeExpectancyData[[#This Row],[Life expectancy]]), LifeExpectancyData[[#This Row],[Year]]=2013)</f>
        <v>0</v>
      </c>
    </row>
    <row r="1574" spans="1:23" x14ac:dyDescent="0.25">
      <c r="A1574" t="s">
        <v>374</v>
      </c>
      <c r="B1574">
        <v>2013</v>
      </c>
      <c r="C1574" t="s">
        <v>273</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cm="1">
        <f t="array" ref="W1574">AND(ISNUMBER(LifeExpectancyData[[#This Row],[Adult Mortality]:[Schooling]]),ISNUMBER(LifeExpectancyData[[#This Row],[Life expectancy]]), LifeExpectancyData[[#This Row],[Year]]=2013)</f>
        <v>1</v>
      </c>
    </row>
    <row r="1575" spans="1:23" x14ac:dyDescent="0.25">
      <c r="A1575" t="s">
        <v>374</v>
      </c>
      <c r="B1575">
        <v>2012</v>
      </c>
      <c r="C1575" t="s">
        <v>273</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cm="1">
        <f t="array" ref="W1575">AND(ISNUMBER(LifeExpectancyData[[#This Row],[Adult Mortality]:[Schooling]]),ISNUMBER(LifeExpectancyData[[#This Row],[Life expectancy]]), LifeExpectancyData[[#This Row],[Year]]=2013)</f>
        <v>0</v>
      </c>
    </row>
    <row r="1576" spans="1:23" x14ac:dyDescent="0.25">
      <c r="A1576" t="s">
        <v>374</v>
      </c>
      <c r="B1576">
        <v>2011</v>
      </c>
      <c r="C1576" t="s">
        <v>273</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cm="1">
        <f t="array" ref="W1576">AND(ISNUMBER(LifeExpectancyData[[#This Row],[Adult Mortality]:[Schooling]]),ISNUMBER(LifeExpectancyData[[#This Row],[Life expectancy]]), LifeExpectancyData[[#This Row],[Year]]=2013)</f>
        <v>0</v>
      </c>
    </row>
    <row r="1577" spans="1:23" x14ac:dyDescent="0.25">
      <c r="A1577" t="s">
        <v>374</v>
      </c>
      <c r="B1577">
        <v>2010</v>
      </c>
      <c r="C1577" t="s">
        <v>273</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cm="1">
        <f t="array" ref="W1577">AND(ISNUMBER(LifeExpectancyData[[#This Row],[Adult Mortality]:[Schooling]]),ISNUMBER(LifeExpectancyData[[#This Row],[Life expectancy]]), LifeExpectancyData[[#This Row],[Year]]=2013)</f>
        <v>0</v>
      </c>
    </row>
    <row r="1578" spans="1:23" x14ac:dyDescent="0.25">
      <c r="A1578" t="s">
        <v>374</v>
      </c>
      <c r="B1578">
        <v>2009</v>
      </c>
      <c r="C1578" t="s">
        <v>273</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cm="1">
        <f t="array" ref="W1578">AND(ISNUMBER(LifeExpectancyData[[#This Row],[Adult Mortality]:[Schooling]]),ISNUMBER(LifeExpectancyData[[#This Row],[Life expectancy]]), LifeExpectancyData[[#This Row],[Year]]=2013)</f>
        <v>0</v>
      </c>
    </row>
    <row r="1579" spans="1:23" x14ac:dyDescent="0.25">
      <c r="A1579" t="s">
        <v>374</v>
      </c>
      <c r="B1579">
        <v>2008</v>
      </c>
      <c r="C1579" t="s">
        <v>273</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cm="1">
        <f t="array" ref="W1579">AND(ISNUMBER(LifeExpectancyData[[#This Row],[Adult Mortality]:[Schooling]]),ISNUMBER(LifeExpectancyData[[#This Row],[Life expectancy]]), LifeExpectancyData[[#This Row],[Year]]=2013)</f>
        <v>0</v>
      </c>
    </row>
    <row r="1580" spans="1:23" x14ac:dyDescent="0.25">
      <c r="A1580" t="s">
        <v>374</v>
      </c>
      <c r="B1580">
        <v>2007</v>
      </c>
      <c r="C1580" t="s">
        <v>273</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cm="1">
        <f t="array" ref="W1580">AND(ISNUMBER(LifeExpectancyData[[#This Row],[Adult Mortality]:[Schooling]]),ISNUMBER(LifeExpectancyData[[#This Row],[Life expectancy]]), LifeExpectancyData[[#This Row],[Year]]=2013)</f>
        <v>0</v>
      </c>
    </row>
    <row r="1581" spans="1:23" x14ac:dyDescent="0.25">
      <c r="A1581" t="s">
        <v>374</v>
      </c>
      <c r="B1581">
        <v>2006</v>
      </c>
      <c r="C1581" t="s">
        <v>273</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cm="1">
        <f t="array" ref="W1581">AND(ISNUMBER(LifeExpectancyData[[#This Row],[Adult Mortality]:[Schooling]]),ISNUMBER(LifeExpectancyData[[#This Row],[Life expectancy]]), LifeExpectancyData[[#This Row],[Year]]=2013)</f>
        <v>0</v>
      </c>
    </row>
    <row r="1582" spans="1:23" x14ac:dyDescent="0.25">
      <c r="A1582" t="s">
        <v>374</v>
      </c>
      <c r="B1582">
        <v>2005</v>
      </c>
      <c r="C1582" t="s">
        <v>273</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cm="1">
        <f t="array" ref="W1582">AND(ISNUMBER(LifeExpectancyData[[#This Row],[Adult Mortality]:[Schooling]]),ISNUMBER(LifeExpectancyData[[#This Row],[Life expectancy]]), LifeExpectancyData[[#This Row],[Year]]=2013)</f>
        <v>0</v>
      </c>
    </row>
    <row r="1583" spans="1:23" x14ac:dyDescent="0.25">
      <c r="A1583" t="s">
        <v>374</v>
      </c>
      <c r="B1583">
        <v>2004</v>
      </c>
      <c r="C1583" t="s">
        <v>273</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cm="1">
        <f t="array" ref="W1583">AND(ISNUMBER(LifeExpectancyData[[#This Row],[Adult Mortality]:[Schooling]]),ISNUMBER(LifeExpectancyData[[#This Row],[Life expectancy]]), LifeExpectancyData[[#This Row],[Year]]=2013)</f>
        <v>0</v>
      </c>
    </row>
    <row r="1584" spans="1:23" x14ac:dyDescent="0.25">
      <c r="A1584" t="s">
        <v>374</v>
      </c>
      <c r="B1584">
        <v>2003</v>
      </c>
      <c r="C1584" t="s">
        <v>273</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cm="1">
        <f t="array" ref="W1584">AND(ISNUMBER(LifeExpectancyData[[#This Row],[Adult Mortality]:[Schooling]]),ISNUMBER(LifeExpectancyData[[#This Row],[Life expectancy]]), LifeExpectancyData[[#This Row],[Year]]=2013)</f>
        <v>0</v>
      </c>
    </row>
    <row r="1585" spans="1:23" x14ac:dyDescent="0.25">
      <c r="A1585" t="s">
        <v>374</v>
      </c>
      <c r="B1585">
        <v>2002</v>
      </c>
      <c r="C1585" t="s">
        <v>273</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cm="1">
        <f t="array" ref="W1585">AND(ISNUMBER(LifeExpectancyData[[#This Row],[Adult Mortality]:[Schooling]]),ISNUMBER(LifeExpectancyData[[#This Row],[Life expectancy]]), LifeExpectancyData[[#This Row],[Year]]=2013)</f>
        <v>0</v>
      </c>
    </row>
    <row r="1586" spans="1:23" hidden="1" x14ac:dyDescent="0.25">
      <c r="A1586" t="s">
        <v>374</v>
      </c>
      <c r="B1586">
        <v>2001</v>
      </c>
      <c r="C1586" t="s">
        <v>273</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cm="1">
        <f t="array" ref="W1586">AND(ISNUMBER(LifeExpectancyData[[#This Row],[Adult Mortality]:[Schooling]]),ISNUMBER(LifeExpectancyData[[#This Row],[Life expectancy]]), LifeExpectancyData[[#This Row],[Year]]=2013)</f>
        <v>0</v>
      </c>
    </row>
    <row r="1587" spans="1:23" hidden="1" x14ac:dyDescent="0.25">
      <c r="A1587" t="s">
        <v>374</v>
      </c>
      <c r="B1587">
        <v>2000</v>
      </c>
      <c r="C1587" t="s">
        <v>273</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cm="1">
        <f t="array" ref="W1587">AND(ISNUMBER(LifeExpectancyData[[#This Row],[Adult Mortality]:[Schooling]]),ISNUMBER(LifeExpectancyData[[#This Row],[Life expectancy]]), LifeExpectancyData[[#This Row],[Year]]=2013)</f>
        <v>0</v>
      </c>
    </row>
    <row r="1588" spans="1:23" hidden="1" x14ac:dyDescent="0.25">
      <c r="A1588" t="s">
        <v>375</v>
      </c>
      <c r="B1588">
        <v>2015</v>
      </c>
      <c r="C1588" t="s">
        <v>273</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cm="1">
        <f t="array" ref="W1588">AND(ISNUMBER(LifeExpectancyData[[#This Row],[Adult Mortality]:[Schooling]]),ISNUMBER(LifeExpectancyData[[#This Row],[Life expectancy]]), LifeExpectancyData[[#This Row],[Year]]=2013)</f>
        <v>0</v>
      </c>
    </row>
    <row r="1589" spans="1:23" x14ac:dyDescent="0.25">
      <c r="A1589" t="s">
        <v>375</v>
      </c>
      <c r="B1589">
        <v>2014</v>
      </c>
      <c r="C1589" t="s">
        <v>273</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cm="1">
        <f t="array" ref="W1589">AND(ISNUMBER(LifeExpectancyData[[#This Row],[Adult Mortality]:[Schooling]]),ISNUMBER(LifeExpectancyData[[#This Row],[Life expectancy]]), LifeExpectancyData[[#This Row],[Year]]=2013)</f>
        <v>0</v>
      </c>
    </row>
    <row r="1590" spans="1:23" x14ac:dyDescent="0.25">
      <c r="A1590" t="s">
        <v>375</v>
      </c>
      <c r="B1590">
        <v>2013</v>
      </c>
      <c r="C1590" t="s">
        <v>273</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cm="1">
        <f t="array" ref="W1590">AND(ISNUMBER(LifeExpectancyData[[#This Row],[Adult Mortality]:[Schooling]]),ISNUMBER(LifeExpectancyData[[#This Row],[Life expectancy]]), LifeExpectancyData[[#This Row],[Year]]=2013)</f>
        <v>1</v>
      </c>
    </row>
    <row r="1591" spans="1:23" x14ac:dyDescent="0.25">
      <c r="A1591" t="s">
        <v>375</v>
      </c>
      <c r="B1591">
        <v>2012</v>
      </c>
      <c r="C1591" t="s">
        <v>273</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cm="1">
        <f t="array" ref="W1591">AND(ISNUMBER(LifeExpectancyData[[#This Row],[Adult Mortality]:[Schooling]]),ISNUMBER(LifeExpectancyData[[#This Row],[Life expectancy]]), LifeExpectancyData[[#This Row],[Year]]=2013)</f>
        <v>0</v>
      </c>
    </row>
    <row r="1592" spans="1:23" x14ac:dyDescent="0.25">
      <c r="A1592" t="s">
        <v>375</v>
      </c>
      <c r="B1592">
        <v>2011</v>
      </c>
      <c r="C1592" t="s">
        <v>273</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cm="1">
        <f t="array" ref="W1592">AND(ISNUMBER(LifeExpectancyData[[#This Row],[Adult Mortality]:[Schooling]]),ISNUMBER(LifeExpectancyData[[#This Row],[Life expectancy]]), LifeExpectancyData[[#This Row],[Year]]=2013)</f>
        <v>0</v>
      </c>
    </row>
    <row r="1593" spans="1:23" x14ac:dyDescent="0.25">
      <c r="A1593" t="s">
        <v>375</v>
      </c>
      <c r="B1593">
        <v>2010</v>
      </c>
      <c r="C1593" t="s">
        <v>273</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cm="1">
        <f t="array" ref="W1593">AND(ISNUMBER(LifeExpectancyData[[#This Row],[Adult Mortality]:[Schooling]]),ISNUMBER(LifeExpectancyData[[#This Row],[Life expectancy]]), LifeExpectancyData[[#This Row],[Year]]=2013)</f>
        <v>0</v>
      </c>
    </row>
    <row r="1594" spans="1:23" x14ac:dyDescent="0.25">
      <c r="A1594" t="s">
        <v>375</v>
      </c>
      <c r="B1594">
        <v>2009</v>
      </c>
      <c r="C1594" t="s">
        <v>273</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cm="1">
        <f t="array" ref="W1594">AND(ISNUMBER(LifeExpectancyData[[#This Row],[Adult Mortality]:[Schooling]]),ISNUMBER(LifeExpectancyData[[#This Row],[Life expectancy]]), LifeExpectancyData[[#This Row],[Year]]=2013)</f>
        <v>0</v>
      </c>
    </row>
    <row r="1595" spans="1:23" x14ac:dyDescent="0.25">
      <c r="A1595" t="s">
        <v>375</v>
      </c>
      <c r="B1595">
        <v>2008</v>
      </c>
      <c r="C1595" t="s">
        <v>273</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cm="1">
        <f t="array" ref="W1595">AND(ISNUMBER(LifeExpectancyData[[#This Row],[Adult Mortality]:[Schooling]]),ISNUMBER(LifeExpectancyData[[#This Row],[Life expectancy]]), LifeExpectancyData[[#This Row],[Year]]=2013)</f>
        <v>0</v>
      </c>
    </row>
    <row r="1596" spans="1:23" x14ac:dyDescent="0.25">
      <c r="A1596" t="s">
        <v>375</v>
      </c>
      <c r="B1596">
        <v>2007</v>
      </c>
      <c r="C1596" t="s">
        <v>273</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cm="1">
        <f t="array" ref="W1596">AND(ISNUMBER(LifeExpectancyData[[#This Row],[Adult Mortality]:[Schooling]]),ISNUMBER(LifeExpectancyData[[#This Row],[Life expectancy]]), LifeExpectancyData[[#This Row],[Year]]=2013)</f>
        <v>0</v>
      </c>
    </row>
    <row r="1597" spans="1:23" x14ac:dyDescent="0.25">
      <c r="A1597" t="s">
        <v>375</v>
      </c>
      <c r="B1597">
        <v>2006</v>
      </c>
      <c r="C1597" t="s">
        <v>273</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cm="1">
        <f t="array" ref="W1597">AND(ISNUMBER(LifeExpectancyData[[#This Row],[Adult Mortality]:[Schooling]]),ISNUMBER(LifeExpectancyData[[#This Row],[Life expectancy]]), LifeExpectancyData[[#This Row],[Year]]=2013)</f>
        <v>0</v>
      </c>
    </row>
    <row r="1598" spans="1:23" x14ac:dyDescent="0.25">
      <c r="A1598" t="s">
        <v>375</v>
      </c>
      <c r="B1598">
        <v>2005</v>
      </c>
      <c r="C1598" t="s">
        <v>273</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cm="1">
        <f t="array" ref="W1598">AND(ISNUMBER(LifeExpectancyData[[#This Row],[Adult Mortality]:[Schooling]]),ISNUMBER(LifeExpectancyData[[#This Row],[Life expectancy]]), LifeExpectancyData[[#This Row],[Year]]=2013)</f>
        <v>0</v>
      </c>
    </row>
    <row r="1599" spans="1:23" x14ac:dyDescent="0.25">
      <c r="A1599" t="s">
        <v>375</v>
      </c>
      <c r="B1599">
        <v>2004</v>
      </c>
      <c r="C1599" t="s">
        <v>273</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cm="1">
        <f t="array" ref="W1599">AND(ISNUMBER(LifeExpectancyData[[#This Row],[Adult Mortality]:[Schooling]]),ISNUMBER(LifeExpectancyData[[#This Row],[Life expectancy]]), LifeExpectancyData[[#This Row],[Year]]=2013)</f>
        <v>0</v>
      </c>
    </row>
    <row r="1600" spans="1:23" x14ac:dyDescent="0.25">
      <c r="A1600" t="s">
        <v>375</v>
      </c>
      <c r="B1600">
        <v>2003</v>
      </c>
      <c r="C1600" t="s">
        <v>273</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cm="1">
        <f t="array" ref="W1600">AND(ISNUMBER(LifeExpectancyData[[#This Row],[Adult Mortality]:[Schooling]]),ISNUMBER(LifeExpectancyData[[#This Row],[Life expectancy]]), LifeExpectancyData[[#This Row],[Year]]=2013)</f>
        <v>0</v>
      </c>
    </row>
    <row r="1601" spans="1:23" x14ac:dyDescent="0.25">
      <c r="A1601" t="s">
        <v>375</v>
      </c>
      <c r="B1601">
        <v>2002</v>
      </c>
      <c r="C1601" t="s">
        <v>273</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cm="1">
        <f t="array" ref="W1601">AND(ISNUMBER(LifeExpectancyData[[#This Row],[Adult Mortality]:[Schooling]]),ISNUMBER(LifeExpectancyData[[#This Row],[Life expectancy]]), LifeExpectancyData[[#This Row],[Year]]=2013)</f>
        <v>0</v>
      </c>
    </row>
    <row r="1602" spans="1:23" x14ac:dyDescent="0.25">
      <c r="A1602" t="s">
        <v>375</v>
      </c>
      <c r="B1602">
        <v>2001</v>
      </c>
      <c r="C1602" t="s">
        <v>273</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cm="1">
        <f t="array" ref="W1602">AND(ISNUMBER(LifeExpectancyData[[#This Row],[Adult Mortality]:[Schooling]]),ISNUMBER(LifeExpectancyData[[#This Row],[Life expectancy]]), LifeExpectancyData[[#This Row],[Year]]=2013)</f>
        <v>0</v>
      </c>
    </row>
    <row r="1603" spans="1:23" x14ac:dyDescent="0.25">
      <c r="A1603" t="s">
        <v>375</v>
      </c>
      <c r="B1603">
        <v>2000</v>
      </c>
      <c r="C1603" t="s">
        <v>273</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cm="1">
        <f t="array" ref="W1603">AND(ISNUMBER(LifeExpectancyData[[#This Row],[Adult Mortality]:[Schooling]]),ISNUMBER(LifeExpectancyData[[#This Row],[Life expectancy]]), LifeExpectancyData[[#This Row],[Year]]=2013)</f>
        <v>0</v>
      </c>
    </row>
    <row r="1604" spans="1:23" hidden="1" x14ac:dyDescent="0.25">
      <c r="A1604" t="s">
        <v>376</v>
      </c>
      <c r="B1604">
        <v>2015</v>
      </c>
      <c r="C1604" t="s">
        <v>273</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cm="1">
        <f t="array" ref="W1604">AND(ISNUMBER(LifeExpectancyData[[#This Row],[Adult Mortality]:[Schooling]]),ISNUMBER(LifeExpectancyData[[#This Row],[Life expectancy]]), LifeExpectancyData[[#This Row],[Year]]=2013)</f>
        <v>0</v>
      </c>
    </row>
    <row r="1605" spans="1:23" x14ac:dyDescent="0.25">
      <c r="A1605" t="s">
        <v>376</v>
      </c>
      <c r="B1605">
        <v>2014</v>
      </c>
      <c r="C1605" t="s">
        <v>273</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cm="1">
        <f t="array" ref="W1605">AND(ISNUMBER(LifeExpectancyData[[#This Row],[Adult Mortality]:[Schooling]]),ISNUMBER(LifeExpectancyData[[#This Row],[Life expectancy]]), LifeExpectancyData[[#This Row],[Year]]=2013)</f>
        <v>0</v>
      </c>
    </row>
    <row r="1606" spans="1:23" x14ac:dyDescent="0.25">
      <c r="A1606" t="s">
        <v>376</v>
      </c>
      <c r="B1606">
        <v>2013</v>
      </c>
      <c r="C1606" t="s">
        <v>273</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cm="1">
        <f t="array" ref="W1606">AND(ISNUMBER(LifeExpectancyData[[#This Row],[Adult Mortality]:[Schooling]]),ISNUMBER(LifeExpectancyData[[#This Row],[Life expectancy]]), LifeExpectancyData[[#This Row],[Year]]=2013)</f>
        <v>1</v>
      </c>
    </row>
    <row r="1607" spans="1:23" x14ac:dyDescent="0.25">
      <c r="A1607" t="s">
        <v>376</v>
      </c>
      <c r="B1607">
        <v>2012</v>
      </c>
      <c r="C1607" t="s">
        <v>273</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cm="1">
        <f t="array" ref="W1607">AND(ISNUMBER(LifeExpectancyData[[#This Row],[Adult Mortality]:[Schooling]]),ISNUMBER(LifeExpectancyData[[#This Row],[Life expectancy]]), LifeExpectancyData[[#This Row],[Year]]=2013)</f>
        <v>0</v>
      </c>
    </row>
    <row r="1608" spans="1:23" x14ac:dyDescent="0.25">
      <c r="A1608" t="s">
        <v>376</v>
      </c>
      <c r="B1608">
        <v>2011</v>
      </c>
      <c r="C1608" t="s">
        <v>273</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cm="1">
        <f t="array" ref="W1608">AND(ISNUMBER(LifeExpectancyData[[#This Row],[Adult Mortality]:[Schooling]]),ISNUMBER(LifeExpectancyData[[#This Row],[Life expectancy]]), LifeExpectancyData[[#This Row],[Year]]=2013)</f>
        <v>0</v>
      </c>
    </row>
    <row r="1609" spans="1:23" x14ac:dyDescent="0.25">
      <c r="A1609" t="s">
        <v>376</v>
      </c>
      <c r="B1609">
        <v>2010</v>
      </c>
      <c r="C1609" t="s">
        <v>273</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cm="1">
        <f t="array" ref="W1609">AND(ISNUMBER(LifeExpectancyData[[#This Row],[Adult Mortality]:[Schooling]]),ISNUMBER(LifeExpectancyData[[#This Row],[Life expectancy]]), LifeExpectancyData[[#This Row],[Year]]=2013)</f>
        <v>0</v>
      </c>
    </row>
    <row r="1610" spans="1:23" x14ac:dyDescent="0.25">
      <c r="A1610" t="s">
        <v>376</v>
      </c>
      <c r="B1610">
        <v>2009</v>
      </c>
      <c r="C1610" t="s">
        <v>273</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cm="1">
        <f t="array" ref="W1610">AND(ISNUMBER(LifeExpectancyData[[#This Row],[Adult Mortality]:[Schooling]]),ISNUMBER(LifeExpectancyData[[#This Row],[Life expectancy]]), LifeExpectancyData[[#This Row],[Year]]=2013)</f>
        <v>0</v>
      </c>
    </row>
    <row r="1611" spans="1:23" x14ac:dyDescent="0.25">
      <c r="A1611" t="s">
        <v>376</v>
      </c>
      <c r="B1611">
        <v>2008</v>
      </c>
      <c r="C1611" t="s">
        <v>273</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cm="1">
        <f t="array" ref="W1611">AND(ISNUMBER(LifeExpectancyData[[#This Row],[Adult Mortality]:[Schooling]]),ISNUMBER(LifeExpectancyData[[#This Row],[Life expectancy]]), LifeExpectancyData[[#This Row],[Year]]=2013)</f>
        <v>0</v>
      </c>
    </row>
    <row r="1612" spans="1:23" x14ac:dyDescent="0.25">
      <c r="A1612" t="s">
        <v>376</v>
      </c>
      <c r="B1612">
        <v>2007</v>
      </c>
      <c r="C1612" t="s">
        <v>273</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cm="1">
        <f t="array" ref="W1612">AND(ISNUMBER(LifeExpectancyData[[#This Row],[Adult Mortality]:[Schooling]]),ISNUMBER(LifeExpectancyData[[#This Row],[Life expectancy]]), LifeExpectancyData[[#This Row],[Year]]=2013)</f>
        <v>0</v>
      </c>
    </row>
    <row r="1613" spans="1:23" x14ac:dyDescent="0.25">
      <c r="A1613" t="s">
        <v>376</v>
      </c>
      <c r="B1613">
        <v>2006</v>
      </c>
      <c r="C1613" t="s">
        <v>273</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cm="1">
        <f t="array" ref="W1613">AND(ISNUMBER(LifeExpectancyData[[#This Row],[Adult Mortality]:[Schooling]]),ISNUMBER(LifeExpectancyData[[#This Row],[Life expectancy]]), LifeExpectancyData[[#This Row],[Year]]=2013)</f>
        <v>0</v>
      </c>
    </row>
    <row r="1614" spans="1:23" x14ac:dyDescent="0.25">
      <c r="A1614" t="s">
        <v>376</v>
      </c>
      <c r="B1614">
        <v>2005</v>
      </c>
      <c r="C1614" t="s">
        <v>273</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cm="1">
        <f t="array" ref="W1614">AND(ISNUMBER(LifeExpectancyData[[#This Row],[Adult Mortality]:[Schooling]]),ISNUMBER(LifeExpectancyData[[#This Row],[Life expectancy]]), LifeExpectancyData[[#This Row],[Year]]=2013)</f>
        <v>0</v>
      </c>
    </row>
    <row r="1615" spans="1:23" x14ac:dyDescent="0.25">
      <c r="A1615" t="s">
        <v>376</v>
      </c>
      <c r="B1615">
        <v>2004</v>
      </c>
      <c r="C1615" t="s">
        <v>273</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cm="1">
        <f t="array" ref="W1615">AND(ISNUMBER(LifeExpectancyData[[#This Row],[Adult Mortality]:[Schooling]]),ISNUMBER(LifeExpectancyData[[#This Row],[Life expectancy]]), LifeExpectancyData[[#This Row],[Year]]=2013)</f>
        <v>0</v>
      </c>
    </row>
    <row r="1616" spans="1:23" x14ac:dyDescent="0.25">
      <c r="A1616" t="s">
        <v>376</v>
      </c>
      <c r="B1616">
        <v>2003</v>
      </c>
      <c r="C1616" t="s">
        <v>273</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cm="1">
        <f t="array" ref="W1616">AND(ISNUMBER(LifeExpectancyData[[#This Row],[Adult Mortality]:[Schooling]]),ISNUMBER(LifeExpectancyData[[#This Row],[Life expectancy]]), LifeExpectancyData[[#This Row],[Year]]=2013)</f>
        <v>0</v>
      </c>
    </row>
    <row r="1617" spans="1:23" x14ac:dyDescent="0.25">
      <c r="A1617" t="s">
        <v>376</v>
      </c>
      <c r="B1617">
        <v>2002</v>
      </c>
      <c r="C1617" t="s">
        <v>273</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cm="1">
        <f t="array" ref="W1617">AND(ISNUMBER(LifeExpectancyData[[#This Row],[Adult Mortality]:[Schooling]]),ISNUMBER(LifeExpectancyData[[#This Row],[Life expectancy]]), LifeExpectancyData[[#This Row],[Year]]=2013)</f>
        <v>0</v>
      </c>
    </row>
    <row r="1618" spans="1:23" x14ac:dyDescent="0.25">
      <c r="A1618" t="s">
        <v>376</v>
      </c>
      <c r="B1618">
        <v>2001</v>
      </c>
      <c r="C1618" t="s">
        <v>273</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cm="1">
        <f t="array" ref="W1618">AND(ISNUMBER(LifeExpectancyData[[#This Row],[Adult Mortality]:[Schooling]]),ISNUMBER(LifeExpectancyData[[#This Row],[Life expectancy]]), LifeExpectancyData[[#This Row],[Year]]=2013)</f>
        <v>0</v>
      </c>
    </row>
    <row r="1619" spans="1:23" x14ac:dyDescent="0.25">
      <c r="A1619" t="s">
        <v>376</v>
      </c>
      <c r="B1619">
        <v>2000</v>
      </c>
      <c r="C1619" t="s">
        <v>273</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cm="1">
        <f t="array" ref="W1619">AND(ISNUMBER(LifeExpectancyData[[#This Row],[Adult Mortality]:[Schooling]]),ISNUMBER(LifeExpectancyData[[#This Row],[Life expectancy]]), LifeExpectancyData[[#This Row],[Year]]=2013)</f>
        <v>0</v>
      </c>
    </row>
    <row r="1620" spans="1:23" hidden="1" x14ac:dyDescent="0.25">
      <c r="A1620" t="s">
        <v>377</v>
      </c>
      <c r="B1620">
        <v>2015</v>
      </c>
      <c r="C1620" t="s">
        <v>273</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cm="1">
        <f t="array" ref="W1620">AND(ISNUMBER(LifeExpectancyData[[#This Row],[Adult Mortality]:[Schooling]]),ISNUMBER(LifeExpectancyData[[#This Row],[Life expectancy]]), LifeExpectancyData[[#This Row],[Year]]=2013)</f>
        <v>0</v>
      </c>
    </row>
    <row r="1621" spans="1:23" x14ac:dyDescent="0.25">
      <c r="A1621" t="s">
        <v>377</v>
      </c>
      <c r="B1621">
        <v>2014</v>
      </c>
      <c r="C1621" t="s">
        <v>273</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cm="1">
        <f t="array" ref="W1621">AND(ISNUMBER(LifeExpectancyData[[#This Row],[Adult Mortality]:[Schooling]]),ISNUMBER(LifeExpectancyData[[#This Row],[Life expectancy]]), LifeExpectancyData[[#This Row],[Year]]=2013)</f>
        <v>0</v>
      </c>
    </row>
    <row r="1622" spans="1:23" x14ac:dyDescent="0.25">
      <c r="A1622" t="s">
        <v>377</v>
      </c>
      <c r="B1622">
        <v>2013</v>
      </c>
      <c r="C1622" t="s">
        <v>273</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cm="1">
        <f t="array" ref="W1622">AND(ISNUMBER(LifeExpectancyData[[#This Row],[Adult Mortality]:[Schooling]]),ISNUMBER(LifeExpectancyData[[#This Row],[Life expectancy]]), LifeExpectancyData[[#This Row],[Year]]=2013)</f>
        <v>1</v>
      </c>
    </row>
    <row r="1623" spans="1:23" x14ac:dyDescent="0.25">
      <c r="A1623" t="s">
        <v>377</v>
      </c>
      <c r="B1623">
        <v>2012</v>
      </c>
      <c r="C1623" t="s">
        <v>273</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cm="1">
        <f t="array" ref="W1623">AND(ISNUMBER(LifeExpectancyData[[#This Row],[Adult Mortality]:[Schooling]]),ISNUMBER(LifeExpectancyData[[#This Row],[Life expectancy]]), LifeExpectancyData[[#This Row],[Year]]=2013)</f>
        <v>0</v>
      </c>
    </row>
    <row r="1624" spans="1:23" x14ac:dyDescent="0.25">
      <c r="A1624" t="s">
        <v>377</v>
      </c>
      <c r="B1624">
        <v>2011</v>
      </c>
      <c r="C1624" t="s">
        <v>273</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cm="1">
        <f t="array" ref="W1624">AND(ISNUMBER(LifeExpectancyData[[#This Row],[Adult Mortality]:[Schooling]]),ISNUMBER(LifeExpectancyData[[#This Row],[Life expectancy]]), LifeExpectancyData[[#This Row],[Year]]=2013)</f>
        <v>0</v>
      </c>
    </row>
    <row r="1625" spans="1:23" x14ac:dyDescent="0.25">
      <c r="A1625" t="s">
        <v>377</v>
      </c>
      <c r="B1625">
        <v>2010</v>
      </c>
      <c r="C1625" t="s">
        <v>273</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cm="1">
        <f t="array" ref="W1625">AND(ISNUMBER(LifeExpectancyData[[#This Row],[Adult Mortality]:[Schooling]]),ISNUMBER(LifeExpectancyData[[#This Row],[Life expectancy]]), LifeExpectancyData[[#This Row],[Year]]=2013)</f>
        <v>0</v>
      </c>
    </row>
    <row r="1626" spans="1:23" x14ac:dyDescent="0.25">
      <c r="A1626" t="s">
        <v>377</v>
      </c>
      <c r="B1626">
        <v>2009</v>
      </c>
      <c r="C1626" t="s">
        <v>273</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cm="1">
        <f t="array" ref="W1626">AND(ISNUMBER(LifeExpectancyData[[#This Row],[Adult Mortality]:[Schooling]]),ISNUMBER(LifeExpectancyData[[#This Row],[Life expectancy]]), LifeExpectancyData[[#This Row],[Year]]=2013)</f>
        <v>0</v>
      </c>
    </row>
    <row r="1627" spans="1:23" x14ac:dyDescent="0.25">
      <c r="A1627" t="s">
        <v>377</v>
      </c>
      <c r="B1627">
        <v>2008</v>
      </c>
      <c r="C1627" t="s">
        <v>273</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cm="1">
        <f t="array" ref="W1627">AND(ISNUMBER(LifeExpectancyData[[#This Row],[Adult Mortality]:[Schooling]]),ISNUMBER(LifeExpectancyData[[#This Row],[Life expectancy]]), LifeExpectancyData[[#This Row],[Year]]=2013)</f>
        <v>0</v>
      </c>
    </row>
    <row r="1628" spans="1:23" x14ac:dyDescent="0.25">
      <c r="A1628" t="s">
        <v>377</v>
      </c>
      <c r="B1628">
        <v>2007</v>
      </c>
      <c r="C1628" t="s">
        <v>273</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cm="1">
        <f t="array" ref="W1628">AND(ISNUMBER(LifeExpectancyData[[#This Row],[Adult Mortality]:[Schooling]]),ISNUMBER(LifeExpectancyData[[#This Row],[Life expectancy]]), LifeExpectancyData[[#This Row],[Year]]=2013)</f>
        <v>0</v>
      </c>
    </row>
    <row r="1629" spans="1:23" x14ac:dyDescent="0.25">
      <c r="A1629" t="s">
        <v>377</v>
      </c>
      <c r="B1629">
        <v>2006</v>
      </c>
      <c r="C1629" t="s">
        <v>273</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cm="1">
        <f t="array" ref="W1629">AND(ISNUMBER(LifeExpectancyData[[#This Row],[Adult Mortality]:[Schooling]]),ISNUMBER(LifeExpectancyData[[#This Row],[Life expectancy]]), LifeExpectancyData[[#This Row],[Year]]=2013)</f>
        <v>0</v>
      </c>
    </row>
    <row r="1630" spans="1:23" x14ac:dyDescent="0.25">
      <c r="A1630" t="s">
        <v>377</v>
      </c>
      <c r="B1630">
        <v>2005</v>
      </c>
      <c r="C1630" t="s">
        <v>273</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cm="1">
        <f t="array" ref="W1630">AND(ISNUMBER(LifeExpectancyData[[#This Row],[Adult Mortality]:[Schooling]]),ISNUMBER(LifeExpectancyData[[#This Row],[Life expectancy]]), LifeExpectancyData[[#This Row],[Year]]=2013)</f>
        <v>0</v>
      </c>
    </row>
    <row r="1631" spans="1:23" x14ac:dyDescent="0.25">
      <c r="A1631" t="s">
        <v>377</v>
      </c>
      <c r="B1631">
        <v>2004</v>
      </c>
      <c r="C1631" t="s">
        <v>273</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cm="1">
        <f t="array" ref="W1631">AND(ISNUMBER(LifeExpectancyData[[#This Row],[Adult Mortality]:[Schooling]]),ISNUMBER(LifeExpectancyData[[#This Row],[Life expectancy]]), LifeExpectancyData[[#This Row],[Year]]=2013)</f>
        <v>0</v>
      </c>
    </row>
    <row r="1632" spans="1:23" x14ac:dyDescent="0.25">
      <c r="A1632" t="s">
        <v>377</v>
      </c>
      <c r="B1632">
        <v>2003</v>
      </c>
      <c r="C1632" t="s">
        <v>273</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cm="1">
        <f t="array" ref="W1632">AND(ISNUMBER(LifeExpectancyData[[#This Row],[Adult Mortality]:[Schooling]]),ISNUMBER(LifeExpectancyData[[#This Row],[Life expectancy]]), LifeExpectancyData[[#This Row],[Year]]=2013)</f>
        <v>0</v>
      </c>
    </row>
    <row r="1633" spans="1:23" hidden="1" x14ac:dyDescent="0.25">
      <c r="A1633" t="s">
        <v>377</v>
      </c>
      <c r="B1633">
        <v>2002</v>
      </c>
      <c r="C1633" t="s">
        <v>273</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cm="1">
        <f t="array" ref="W1633">AND(ISNUMBER(LifeExpectancyData[[#This Row],[Adult Mortality]:[Schooling]]),ISNUMBER(LifeExpectancyData[[#This Row],[Life expectancy]]), LifeExpectancyData[[#This Row],[Year]]=2013)</f>
        <v>0</v>
      </c>
    </row>
    <row r="1634" spans="1:23" hidden="1" x14ac:dyDescent="0.25">
      <c r="A1634" t="s">
        <v>377</v>
      </c>
      <c r="B1634">
        <v>2001</v>
      </c>
      <c r="C1634" t="s">
        <v>273</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cm="1">
        <f t="array" ref="W1634">AND(ISNUMBER(LifeExpectancyData[[#This Row],[Adult Mortality]:[Schooling]]),ISNUMBER(LifeExpectancyData[[#This Row],[Life expectancy]]), LifeExpectancyData[[#This Row],[Year]]=2013)</f>
        <v>0</v>
      </c>
    </row>
    <row r="1635" spans="1:23" hidden="1" x14ac:dyDescent="0.25">
      <c r="A1635" t="s">
        <v>377</v>
      </c>
      <c r="B1635">
        <v>2000</v>
      </c>
      <c r="C1635" t="s">
        <v>273</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cm="1">
        <f t="array" ref="W1635">AND(ISNUMBER(LifeExpectancyData[[#This Row],[Adult Mortality]:[Schooling]]),ISNUMBER(LifeExpectancyData[[#This Row],[Life expectancy]]), LifeExpectancyData[[#This Row],[Year]]=2013)</f>
        <v>0</v>
      </c>
    </row>
    <row r="1636" spans="1:23" hidden="1" x14ac:dyDescent="0.25">
      <c r="A1636" t="s">
        <v>378</v>
      </c>
      <c r="B1636">
        <v>2015</v>
      </c>
      <c r="C1636" t="s">
        <v>281</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cm="1">
        <f t="array" ref="W1636">AND(ISNUMBER(LifeExpectancyData[[#This Row],[Adult Mortality]:[Schooling]]),ISNUMBER(LifeExpectancyData[[#This Row],[Life expectancy]]), LifeExpectancyData[[#This Row],[Year]]=2013)</f>
        <v>0</v>
      </c>
    </row>
    <row r="1637" spans="1:23" x14ac:dyDescent="0.25">
      <c r="A1637" t="s">
        <v>378</v>
      </c>
      <c r="B1637">
        <v>2014</v>
      </c>
      <c r="C1637" t="s">
        <v>281</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cm="1">
        <f t="array" ref="W1637">AND(ISNUMBER(LifeExpectancyData[[#This Row],[Adult Mortality]:[Schooling]]),ISNUMBER(LifeExpectancyData[[#This Row],[Life expectancy]]), LifeExpectancyData[[#This Row],[Year]]=2013)</f>
        <v>0</v>
      </c>
    </row>
    <row r="1638" spans="1:23" x14ac:dyDescent="0.25">
      <c r="A1638" t="s">
        <v>378</v>
      </c>
      <c r="B1638">
        <v>2013</v>
      </c>
      <c r="C1638" t="s">
        <v>281</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cm="1">
        <f t="array" ref="W1638">AND(ISNUMBER(LifeExpectancyData[[#This Row],[Adult Mortality]:[Schooling]]),ISNUMBER(LifeExpectancyData[[#This Row],[Life expectancy]]), LifeExpectancyData[[#This Row],[Year]]=2013)</f>
        <v>1</v>
      </c>
    </row>
    <row r="1639" spans="1:23" x14ac:dyDescent="0.25">
      <c r="A1639" t="s">
        <v>378</v>
      </c>
      <c r="B1639">
        <v>2012</v>
      </c>
      <c r="C1639" t="s">
        <v>281</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cm="1">
        <f t="array" ref="W1639">AND(ISNUMBER(LifeExpectancyData[[#This Row],[Adult Mortality]:[Schooling]]),ISNUMBER(LifeExpectancyData[[#This Row],[Life expectancy]]), LifeExpectancyData[[#This Row],[Year]]=2013)</f>
        <v>0</v>
      </c>
    </row>
    <row r="1640" spans="1:23" x14ac:dyDescent="0.25">
      <c r="A1640" t="s">
        <v>378</v>
      </c>
      <c r="B1640">
        <v>2011</v>
      </c>
      <c r="C1640" t="s">
        <v>281</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cm="1">
        <f t="array" ref="W1640">AND(ISNUMBER(LifeExpectancyData[[#This Row],[Adult Mortality]:[Schooling]]),ISNUMBER(LifeExpectancyData[[#This Row],[Life expectancy]]), LifeExpectancyData[[#This Row],[Year]]=2013)</f>
        <v>0</v>
      </c>
    </row>
    <row r="1641" spans="1:23" x14ac:dyDescent="0.25">
      <c r="A1641" t="s">
        <v>378</v>
      </c>
      <c r="B1641">
        <v>2010</v>
      </c>
      <c r="C1641" t="s">
        <v>281</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cm="1">
        <f t="array" ref="W1641">AND(ISNUMBER(LifeExpectancyData[[#This Row],[Adult Mortality]:[Schooling]]),ISNUMBER(LifeExpectancyData[[#This Row],[Life expectancy]]), LifeExpectancyData[[#This Row],[Year]]=2013)</f>
        <v>0</v>
      </c>
    </row>
    <row r="1642" spans="1:23" x14ac:dyDescent="0.25">
      <c r="A1642" t="s">
        <v>378</v>
      </c>
      <c r="B1642">
        <v>2009</v>
      </c>
      <c r="C1642" t="s">
        <v>281</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cm="1">
        <f t="array" ref="W1642">AND(ISNUMBER(LifeExpectancyData[[#This Row],[Adult Mortality]:[Schooling]]),ISNUMBER(LifeExpectancyData[[#This Row],[Life expectancy]]), LifeExpectancyData[[#This Row],[Year]]=2013)</f>
        <v>0</v>
      </c>
    </row>
    <row r="1643" spans="1:23" x14ac:dyDescent="0.25">
      <c r="A1643" t="s">
        <v>378</v>
      </c>
      <c r="B1643">
        <v>2008</v>
      </c>
      <c r="C1643" t="s">
        <v>281</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cm="1">
        <f t="array" ref="W1643">AND(ISNUMBER(LifeExpectancyData[[#This Row],[Adult Mortality]:[Schooling]]),ISNUMBER(LifeExpectancyData[[#This Row],[Life expectancy]]), LifeExpectancyData[[#This Row],[Year]]=2013)</f>
        <v>0</v>
      </c>
    </row>
    <row r="1644" spans="1:23" x14ac:dyDescent="0.25">
      <c r="A1644" t="s">
        <v>378</v>
      </c>
      <c r="B1644">
        <v>2007</v>
      </c>
      <c r="C1644" t="s">
        <v>281</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cm="1">
        <f t="array" ref="W1644">AND(ISNUMBER(LifeExpectancyData[[#This Row],[Adult Mortality]:[Schooling]]),ISNUMBER(LifeExpectancyData[[#This Row],[Life expectancy]]), LifeExpectancyData[[#This Row],[Year]]=2013)</f>
        <v>0</v>
      </c>
    </row>
    <row r="1645" spans="1:23" x14ac:dyDescent="0.25">
      <c r="A1645" t="s">
        <v>378</v>
      </c>
      <c r="B1645">
        <v>2006</v>
      </c>
      <c r="C1645" t="s">
        <v>281</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cm="1">
        <f t="array" ref="W1645">AND(ISNUMBER(LifeExpectancyData[[#This Row],[Adult Mortality]:[Schooling]]),ISNUMBER(LifeExpectancyData[[#This Row],[Life expectancy]]), LifeExpectancyData[[#This Row],[Year]]=2013)</f>
        <v>0</v>
      </c>
    </row>
    <row r="1646" spans="1:23" x14ac:dyDescent="0.25">
      <c r="A1646" t="s">
        <v>378</v>
      </c>
      <c r="B1646">
        <v>2005</v>
      </c>
      <c r="C1646" t="s">
        <v>281</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cm="1">
        <f t="array" ref="W1646">AND(ISNUMBER(LifeExpectancyData[[#This Row],[Adult Mortality]:[Schooling]]),ISNUMBER(LifeExpectancyData[[#This Row],[Life expectancy]]), LifeExpectancyData[[#This Row],[Year]]=2013)</f>
        <v>0</v>
      </c>
    </row>
    <row r="1647" spans="1:23" x14ac:dyDescent="0.25">
      <c r="A1647" t="s">
        <v>378</v>
      </c>
      <c r="B1647">
        <v>2004</v>
      </c>
      <c r="C1647" t="s">
        <v>281</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cm="1">
        <f t="array" ref="W1647">AND(ISNUMBER(LifeExpectancyData[[#This Row],[Adult Mortality]:[Schooling]]),ISNUMBER(LifeExpectancyData[[#This Row],[Life expectancy]]), LifeExpectancyData[[#This Row],[Year]]=2013)</f>
        <v>0</v>
      </c>
    </row>
    <row r="1648" spans="1:23" x14ac:dyDescent="0.25">
      <c r="A1648" t="s">
        <v>378</v>
      </c>
      <c r="B1648">
        <v>2003</v>
      </c>
      <c r="C1648" t="s">
        <v>281</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cm="1">
        <f t="array" ref="W1648">AND(ISNUMBER(LifeExpectancyData[[#This Row],[Adult Mortality]:[Schooling]]),ISNUMBER(LifeExpectancyData[[#This Row],[Life expectancy]]), LifeExpectancyData[[#This Row],[Year]]=2013)</f>
        <v>0</v>
      </c>
    </row>
    <row r="1649" spans="1:23" hidden="1" x14ac:dyDescent="0.25">
      <c r="A1649" t="s">
        <v>378</v>
      </c>
      <c r="B1649">
        <v>2002</v>
      </c>
      <c r="C1649" t="s">
        <v>281</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cm="1">
        <f t="array" ref="W1649">AND(ISNUMBER(LifeExpectancyData[[#This Row],[Adult Mortality]:[Schooling]]),ISNUMBER(LifeExpectancyData[[#This Row],[Life expectancy]]), LifeExpectancyData[[#This Row],[Year]]=2013)</f>
        <v>0</v>
      </c>
    </row>
    <row r="1650" spans="1:23" hidden="1" x14ac:dyDescent="0.25">
      <c r="A1650" t="s">
        <v>378</v>
      </c>
      <c r="B1650">
        <v>2001</v>
      </c>
      <c r="C1650" t="s">
        <v>281</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cm="1">
        <f t="array" ref="W1650">AND(ISNUMBER(LifeExpectancyData[[#This Row],[Adult Mortality]:[Schooling]]),ISNUMBER(LifeExpectancyData[[#This Row],[Life expectancy]]), LifeExpectancyData[[#This Row],[Year]]=2013)</f>
        <v>0</v>
      </c>
    </row>
    <row r="1651" spans="1:23" hidden="1" x14ac:dyDescent="0.25">
      <c r="A1651" t="s">
        <v>378</v>
      </c>
      <c r="B1651">
        <v>2000</v>
      </c>
      <c r="C1651" t="s">
        <v>281</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cm="1">
        <f t="array" ref="W1651">AND(ISNUMBER(LifeExpectancyData[[#This Row],[Adult Mortality]:[Schooling]]),ISNUMBER(LifeExpectancyData[[#This Row],[Life expectancy]]), LifeExpectancyData[[#This Row],[Year]]=2013)</f>
        <v>0</v>
      </c>
    </row>
    <row r="1652" spans="1:23" hidden="1" x14ac:dyDescent="0.25">
      <c r="A1652" t="s">
        <v>379</v>
      </c>
      <c r="B1652">
        <v>2013</v>
      </c>
      <c r="C1652" t="s">
        <v>273</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cm="1">
        <f t="array" ref="W1652">AND(ISNUMBER(LifeExpectancyData[[#This Row],[Adult Mortality]:[Schooling]]),ISNUMBER(LifeExpectancyData[[#This Row],[Life expectancy]]), LifeExpectancyData[[#This Row],[Year]]=2013)</f>
        <v>0</v>
      </c>
    </row>
    <row r="1653" spans="1:23" hidden="1" x14ac:dyDescent="0.25">
      <c r="A1653" t="s">
        <v>380</v>
      </c>
      <c r="B1653">
        <v>2015</v>
      </c>
      <c r="C1653" t="s">
        <v>273</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cm="1">
        <f t="array" ref="W1653">AND(ISNUMBER(LifeExpectancyData[[#This Row],[Adult Mortality]:[Schooling]]),ISNUMBER(LifeExpectancyData[[#This Row],[Life expectancy]]), LifeExpectancyData[[#This Row],[Year]]=2013)</f>
        <v>0</v>
      </c>
    </row>
    <row r="1654" spans="1:23" x14ac:dyDescent="0.25">
      <c r="A1654" t="s">
        <v>380</v>
      </c>
      <c r="B1654">
        <v>2014</v>
      </c>
      <c r="C1654" t="s">
        <v>273</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cm="1">
        <f t="array" ref="W1654">AND(ISNUMBER(LifeExpectancyData[[#This Row],[Adult Mortality]:[Schooling]]),ISNUMBER(LifeExpectancyData[[#This Row],[Life expectancy]]), LifeExpectancyData[[#This Row],[Year]]=2013)</f>
        <v>0</v>
      </c>
    </row>
    <row r="1655" spans="1:23" x14ac:dyDescent="0.25">
      <c r="A1655" t="s">
        <v>380</v>
      </c>
      <c r="B1655">
        <v>2013</v>
      </c>
      <c r="C1655" t="s">
        <v>273</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cm="1">
        <f t="array" ref="W1655">AND(ISNUMBER(LifeExpectancyData[[#This Row],[Adult Mortality]:[Schooling]]),ISNUMBER(LifeExpectancyData[[#This Row],[Life expectancy]]), LifeExpectancyData[[#This Row],[Year]]=2013)</f>
        <v>1</v>
      </c>
    </row>
    <row r="1656" spans="1:23" x14ac:dyDescent="0.25">
      <c r="A1656" t="s">
        <v>380</v>
      </c>
      <c r="B1656">
        <v>2012</v>
      </c>
      <c r="C1656" t="s">
        <v>273</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cm="1">
        <f t="array" ref="W1656">AND(ISNUMBER(LifeExpectancyData[[#This Row],[Adult Mortality]:[Schooling]]),ISNUMBER(LifeExpectancyData[[#This Row],[Life expectancy]]), LifeExpectancyData[[#This Row],[Year]]=2013)</f>
        <v>0</v>
      </c>
    </row>
    <row r="1657" spans="1:23" x14ac:dyDescent="0.25">
      <c r="A1657" t="s">
        <v>380</v>
      </c>
      <c r="B1657">
        <v>2011</v>
      </c>
      <c r="C1657" t="s">
        <v>273</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cm="1">
        <f t="array" ref="W1657">AND(ISNUMBER(LifeExpectancyData[[#This Row],[Adult Mortality]:[Schooling]]),ISNUMBER(LifeExpectancyData[[#This Row],[Life expectancy]]), LifeExpectancyData[[#This Row],[Year]]=2013)</f>
        <v>0</v>
      </c>
    </row>
    <row r="1658" spans="1:23" x14ac:dyDescent="0.25">
      <c r="A1658" t="s">
        <v>380</v>
      </c>
      <c r="B1658">
        <v>2010</v>
      </c>
      <c r="C1658" t="s">
        <v>273</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cm="1">
        <f t="array" ref="W1658">AND(ISNUMBER(LifeExpectancyData[[#This Row],[Adult Mortality]:[Schooling]]),ISNUMBER(LifeExpectancyData[[#This Row],[Life expectancy]]), LifeExpectancyData[[#This Row],[Year]]=2013)</f>
        <v>0</v>
      </c>
    </row>
    <row r="1659" spans="1:23" x14ac:dyDescent="0.25">
      <c r="A1659" t="s">
        <v>380</v>
      </c>
      <c r="B1659">
        <v>2009</v>
      </c>
      <c r="C1659" t="s">
        <v>273</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cm="1">
        <f t="array" ref="W1659">AND(ISNUMBER(LifeExpectancyData[[#This Row],[Adult Mortality]:[Schooling]]),ISNUMBER(LifeExpectancyData[[#This Row],[Life expectancy]]), LifeExpectancyData[[#This Row],[Year]]=2013)</f>
        <v>0</v>
      </c>
    </row>
    <row r="1660" spans="1:23" x14ac:dyDescent="0.25">
      <c r="A1660" t="s">
        <v>380</v>
      </c>
      <c r="B1660">
        <v>2008</v>
      </c>
      <c r="C1660" t="s">
        <v>273</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cm="1">
        <f t="array" ref="W1660">AND(ISNUMBER(LifeExpectancyData[[#This Row],[Adult Mortality]:[Schooling]]),ISNUMBER(LifeExpectancyData[[#This Row],[Life expectancy]]), LifeExpectancyData[[#This Row],[Year]]=2013)</f>
        <v>0</v>
      </c>
    </row>
    <row r="1661" spans="1:23" x14ac:dyDescent="0.25">
      <c r="A1661" t="s">
        <v>380</v>
      </c>
      <c r="B1661">
        <v>2007</v>
      </c>
      <c r="C1661" t="s">
        <v>273</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cm="1">
        <f t="array" ref="W1661">AND(ISNUMBER(LifeExpectancyData[[#This Row],[Adult Mortality]:[Schooling]]),ISNUMBER(LifeExpectancyData[[#This Row],[Life expectancy]]), LifeExpectancyData[[#This Row],[Year]]=2013)</f>
        <v>0</v>
      </c>
    </row>
    <row r="1662" spans="1:23" x14ac:dyDescent="0.25">
      <c r="A1662" t="s">
        <v>380</v>
      </c>
      <c r="B1662">
        <v>2006</v>
      </c>
      <c r="C1662" t="s">
        <v>273</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cm="1">
        <f t="array" ref="W1662">AND(ISNUMBER(LifeExpectancyData[[#This Row],[Adult Mortality]:[Schooling]]),ISNUMBER(LifeExpectancyData[[#This Row],[Life expectancy]]), LifeExpectancyData[[#This Row],[Year]]=2013)</f>
        <v>0</v>
      </c>
    </row>
    <row r="1663" spans="1:23" x14ac:dyDescent="0.25">
      <c r="A1663" t="s">
        <v>380</v>
      </c>
      <c r="B1663">
        <v>2005</v>
      </c>
      <c r="C1663" t="s">
        <v>273</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cm="1">
        <f t="array" ref="W1663">AND(ISNUMBER(LifeExpectancyData[[#This Row],[Adult Mortality]:[Schooling]]),ISNUMBER(LifeExpectancyData[[#This Row],[Life expectancy]]), LifeExpectancyData[[#This Row],[Year]]=2013)</f>
        <v>0</v>
      </c>
    </row>
    <row r="1664" spans="1:23" hidden="1" x14ac:dyDescent="0.25">
      <c r="A1664" t="s">
        <v>380</v>
      </c>
      <c r="B1664">
        <v>2004</v>
      </c>
      <c r="C1664" t="s">
        <v>273</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cm="1">
        <f t="array" ref="W1664">AND(ISNUMBER(LifeExpectancyData[[#This Row],[Adult Mortality]:[Schooling]]),ISNUMBER(LifeExpectancyData[[#This Row],[Life expectancy]]), LifeExpectancyData[[#This Row],[Year]]=2013)</f>
        <v>0</v>
      </c>
    </row>
    <row r="1665" spans="1:23" hidden="1" x14ac:dyDescent="0.25">
      <c r="A1665" t="s">
        <v>380</v>
      </c>
      <c r="B1665">
        <v>2003</v>
      </c>
      <c r="C1665" t="s">
        <v>273</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cm="1">
        <f t="array" ref="W1665">AND(ISNUMBER(LifeExpectancyData[[#This Row],[Adult Mortality]:[Schooling]]),ISNUMBER(LifeExpectancyData[[#This Row],[Life expectancy]]), LifeExpectancyData[[#This Row],[Year]]=2013)</f>
        <v>0</v>
      </c>
    </row>
    <row r="1666" spans="1:23" hidden="1" x14ac:dyDescent="0.25">
      <c r="A1666" t="s">
        <v>380</v>
      </c>
      <c r="B1666">
        <v>2002</v>
      </c>
      <c r="C1666" t="s">
        <v>273</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cm="1">
        <f t="array" ref="W1666">AND(ISNUMBER(LifeExpectancyData[[#This Row],[Adult Mortality]:[Schooling]]),ISNUMBER(LifeExpectancyData[[#This Row],[Life expectancy]]), LifeExpectancyData[[#This Row],[Year]]=2013)</f>
        <v>0</v>
      </c>
    </row>
    <row r="1667" spans="1:23" hidden="1" x14ac:dyDescent="0.25">
      <c r="A1667" t="s">
        <v>380</v>
      </c>
      <c r="B1667">
        <v>2001</v>
      </c>
      <c r="C1667" t="s">
        <v>273</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cm="1">
        <f t="array" ref="W1667">AND(ISNUMBER(LifeExpectancyData[[#This Row],[Adult Mortality]:[Schooling]]),ISNUMBER(LifeExpectancyData[[#This Row],[Life expectancy]]), LifeExpectancyData[[#This Row],[Year]]=2013)</f>
        <v>0</v>
      </c>
    </row>
    <row r="1668" spans="1:23" hidden="1" x14ac:dyDescent="0.25">
      <c r="A1668" t="s">
        <v>380</v>
      </c>
      <c r="B1668">
        <v>2000</v>
      </c>
      <c r="C1668" t="s">
        <v>273</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cm="1">
        <f t="array" ref="W1668">AND(ISNUMBER(LifeExpectancyData[[#This Row],[Adult Mortality]:[Schooling]]),ISNUMBER(LifeExpectancyData[[#This Row],[Life expectancy]]), LifeExpectancyData[[#This Row],[Year]]=2013)</f>
        <v>0</v>
      </c>
    </row>
    <row r="1669" spans="1:23" hidden="1" x14ac:dyDescent="0.25">
      <c r="A1669" t="s">
        <v>381</v>
      </c>
      <c r="B1669">
        <v>2015</v>
      </c>
      <c r="C1669" t="s">
        <v>273</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cm="1">
        <f t="array" ref="W1669">AND(ISNUMBER(LifeExpectancyData[[#This Row],[Adult Mortality]:[Schooling]]),ISNUMBER(LifeExpectancyData[[#This Row],[Life expectancy]]), LifeExpectancyData[[#This Row],[Year]]=2013)</f>
        <v>0</v>
      </c>
    </row>
    <row r="1670" spans="1:23" x14ac:dyDescent="0.25">
      <c r="A1670" t="s">
        <v>381</v>
      </c>
      <c r="B1670">
        <v>2014</v>
      </c>
      <c r="C1670" t="s">
        <v>273</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cm="1">
        <f t="array" ref="W1670">AND(ISNUMBER(LifeExpectancyData[[#This Row],[Adult Mortality]:[Schooling]]),ISNUMBER(LifeExpectancyData[[#This Row],[Life expectancy]]), LifeExpectancyData[[#This Row],[Year]]=2013)</f>
        <v>0</v>
      </c>
    </row>
    <row r="1671" spans="1:23" x14ac:dyDescent="0.25">
      <c r="A1671" t="s">
        <v>381</v>
      </c>
      <c r="B1671">
        <v>2013</v>
      </c>
      <c r="C1671" t="s">
        <v>273</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cm="1">
        <f t="array" ref="W1671">AND(ISNUMBER(LifeExpectancyData[[#This Row],[Adult Mortality]:[Schooling]]),ISNUMBER(LifeExpectancyData[[#This Row],[Life expectancy]]), LifeExpectancyData[[#This Row],[Year]]=2013)</f>
        <v>1</v>
      </c>
    </row>
    <row r="1672" spans="1:23" x14ac:dyDescent="0.25">
      <c r="A1672" t="s">
        <v>381</v>
      </c>
      <c r="B1672">
        <v>2012</v>
      </c>
      <c r="C1672" t="s">
        <v>273</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cm="1">
        <f t="array" ref="W1672">AND(ISNUMBER(LifeExpectancyData[[#This Row],[Adult Mortality]:[Schooling]]),ISNUMBER(LifeExpectancyData[[#This Row],[Life expectancy]]), LifeExpectancyData[[#This Row],[Year]]=2013)</f>
        <v>0</v>
      </c>
    </row>
    <row r="1673" spans="1:23" x14ac:dyDescent="0.25">
      <c r="A1673" t="s">
        <v>381</v>
      </c>
      <c r="B1673">
        <v>2011</v>
      </c>
      <c r="C1673" t="s">
        <v>273</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cm="1">
        <f t="array" ref="W1673">AND(ISNUMBER(LifeExpectancyData[[#This Row],[Adult Mortality]:[Schooling]]),ISNUMBER(LifeExpectancyData[[#This Row],[Life expectancy]]), LifeExpectancyData[[#This Row],[Year]]=2013)</f>
        <v>0</v>
      </c>
    </row>
    <row r="1674" spans="1:23" x14ac:dyDescent="0.25">
      <c r="A1674" t="s">
        <v>381</v>
      </c>
      <c r="B1674">
        <v>2010</v>
      </c>
      <c r="C1674" t="s">
        <v>273</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cm="1">
        <f t="array" ref="W1674">AND(ISNUMBER(LifeExpectancyData[[#This Row],[Adult Mortality]:[Schooling]]),ISNUMBER(LifeExpectancyData[[#This Row],[Life expectancy]]), LifeExpectancyData[[#This Row],[Year]]=2013)</f>
        <v>0</v>
      </c>
    </row>
    <row r="1675" spans="1:23" x14ac:dyDescent="0.25">
      <c r="A1675" t="s">
        <v>381</v>
      </c>
      <c r="B1675">
        <v>2009</v>
      </c>
      <c r="C1675" t="s">
        <v>273</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cm="1">
        <f t="array" ref="W1675">AND(ISNUMBER(LifeExpectancyData[[#This Row],[Adult Mortality]:[Schooling]]),ISNUMBER(LifeExpectancyData[[#This Row],[Life expectancy]]), LifeExpectancyData[[#This Row],[Year]]=2013)</f>
        <v>0</v>
      </c>
    </row>
    <row r="1676" spans="1:23" x14ac:dyDescent="0.25">
      <c r="A1676" t="s">
        <v>381</v>
      </c>
      <c r="B1676">
        <v>2008</v>
      </c>
      <c r="C1676" t="s">
        <v>273</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cm="1">
        <f t="array" ref="W1676">AND(ISNUMBER(LifeExpectancyData[[#This Row],[Adult Mortality]:[Schooling]]),ISNUMBER(LifeExpectancyData[[#This Row],[Life expectancy]]), LifeExpectancyData[[#This Row],[Year]]=2013)</f>
        <v>0</v>
      </c>
    </row>
    <row r="1677" spans="1:23" x14ac:dyDescent="0.25">
      <c r="A1677" t="s">
        <v>381</v>
      </c>
      <c r="B1677">
        <v>2007</v>
      </c>
      <c r="C1677" t="s">
        <v>273</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cm="1">
        <f t="array" ref="W1677">AND(ISNUMBER(LifeExpectancyData[[#This Row],[Adult Mortality]:[Schooling]]),ISNUMBER(LifeExpectancyData[[#This Row],[Life expectancy]]), LifeExpectancyData[[#This Row],[Year]]=2013)</f>
        <v>0</v>
      </c>
    </row>
    <row r="1678" spans="1:23" x14ac:dyDescent="0.25">
      <c r="A1678" t="s">
        <v>381</v>
      </c>
      <c r="B1678">
        <v>2006</v>
      </c>
      <c r="C1678" t="s">
        <v>273</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cm="1">
        <f t="array" ref="W1678">AND(ISNUMBER(LifeExpectancyData[[#This Row],[Adult Mortality]:[Schooling]]),ISNUMBER(LifeExpectancyData[[#This Row],[Life expectancy]]), LifeExpectancyData[[#This Row],[Year]]=2013)</f>
        <v>0</v>
      </c>
    </row>
    <row r="1679" spans="1:23" x14ac:dyDescent="0.25">
      <c r="A1679" t="s">
        <v>381</v>
      </c>
      <c r="B1679">
        <v>2005</v>
      </c>
      <c r="C1679" t="s">
        <v>273</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cm="1">
        <f t="array" ref="W1679">AND(ISNUMBER(LifeExpectancyData[[#This Row],[Adult Mortality]:[Schooling]]),ISNUMBER(LifeExpectancyData[[#This Row],[Life expectancy]]), LifeExpectancyData[[#This Row],[Year]]=2013)</f>
        <v>0</v>
      </c>
    </row>
    <row r="1680" spans="1:23" x14ac:dyDescent="0.25">
      <c r="A1680" t="s">
        <v>381</v>
      </c>
      <c r="B1680">
        <v>2004</v>
      </c>
      <c r="C1680" t="s">
        <v>273</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cm="1">
        <f t="array" ref="W1680">AND(ISNUMBER(LifeExpectancyData[[#This Row],[Adult Mortality]:[Schooling]]),ISNUMBER(LifeExpectancyData[[#This Row],[Life expectancy]]), LifeExpectancyData[[#This Row],[Year]]=2013)</f>
        <v>0</v>
      </c>
    </row>
    <row r="1681" spans="1:23" x14ac:dyDescent="0.25">
      <c r="A1681" t="s">
        <v>381</v>
      </c>
      <c r="B1681">
        <v>2003</v>
      </c>
      <c r="C1681" t="s">
        <v>273</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cm="1">
        <f t="array" ref="W1681">AND(ISNUMBER(LifeExpectancyData[[#This Row],[Adult Mortality]:[Schooling]]),ISNUMBER(LifeExpectancyData[[#This Row],[Life expectancy]]), LifeExpectancyData[[#This Row],[Year]]=2013)</f>
        <v>0</v>
      </c>
    </row>
    <row r="1682" spans="1:23" x14ac:dyDescent="0.25">
      <c r="A1682" t="s">
        <v>381</v>
      </c>
      <c r="B1682">
        <v>2002</v>
      </c>
      <c r="C1682" t="s">
        <v>273</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cm="1">
        <f t="array" ref="W1682">AND(ISNUMBER(LifeExpectancyData[[#This Row],[Adult Mortality]:[Schooling]]),ISNUMBER(LifeExpectancyData[[#This Row],[Life expectancy]]), LifeExpectancyData[[#This Row],[Year]]=2013)</f>
        <v>0</v>
      </c>
    </row>
    <row r="1683" spans="1:23" x14ac:dyDescent="0.25">
      <c r="A1683" t="s">
        <v>381</v>
      </c>
      <c r="B1683">
        <v>2001</v>
      </c>
      <c r="C1683" t="s">
        <v>273</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cm="1">
        <f t="array" ref="W1683">AND(ISNUMBER(LifeExpectancyData[[#This Row],[Adult Mortality]:[Schooling]]),ISNUMBER(LifeExpectancyData[[#This Row],[Life expectancy]]), LifeExpectancyData[[#This Row],[Year]]=2013)</f>
        <v>0</v>
      </c>
    </row>
    <row r="1684" spans="1:23" x14ac:dyDescent="0.25">
      <c r="A1684" t="s">
        <v>381</v>
      </c>
      <c r="B1684">
        <v>2000</v>
      </c>
      <c r="C1684" t="s">
        <v>273</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cm="1">
        <f t="array" ref="W1684">AND(ISNUMBER(LifeExpectancyData[[#This Row],[Adult Mortality]:[Schooling]]),ISNUMBER(LifeExpectancyData[[#This Row],[Life expectancy]]), LifeExpectancyData[[#This Row],[Year]]=2013)</f>
        <v>0</v>
      </c>
    </row>
    <row r="1685" spans="1:23" hidden="1" x14ac:dyDescent="0.25">
      <c r="A1685" t="s">
        <v>382</v>
      </c>
      <c r="B1685">
        <v>2015</v>
      </c>
      <c r="C1685" t="s">
        <v>273</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cm="1">
        <f t="array" ref="W1685">AND(ISNUMBER(LifeExpectancyData[[#This Row],[Adult Mortality]:[Schooling]]),ISNUMBER(LifeExpectancyData[[#This Row],[Life expectancy]]), LifeExpectancyData[[#This Row],[Year]]=2013)</f>
        <v>0</v>
      </c>
    </row>
    <row r="1686" spans="1:23" x14ac:dyDescent="0.25">
      <c r="A1686" t="s">
        <v>382</v>
      </c>
      <c r="B1686">
        <v>2014</v>
      </c>
      <c r="C1686" t="s">
        <v>273</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cm="1">
        <f t="array" ref="W1686">AND(ISNUMBER(LifeExpectancyData[[#This Row],[Adult Mortality]:[Schooling]]),ISNUMBER(LifeExpectancyData[[#This Row],[Life expectancy]]), LifeExpectancyData[[#This Row],[Year]]=2013)</f>
        <v>0</v>
      </c>
    </row>
    <row r="1687" spans="1:23" x14ac:dyDescent="0.25">
      <c r="A1687" t="s">
        <v>382</v>
      </c>
      <c r="B1687">
        <v>2013</v>
      </c>
      <c r="C1687" t="s">
        <v>273</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cm="1">
        <f t="array" ref="W1687">AND(ISNUMBER(LifeExpectancyData[[#This Row],[Adult Mortality]:[Schooling]]),ISNUMBER(LifeExpectancyData[[#This Row],[Life expectancy]]), LifeExpectancyData[[#This Row],[Year]]=2013)</f>
        <v>1</v>
      </c>
    </row>
    <row r="1688" spans="1:23" x14ac:dyDescent="0.25">
      <c r="A1688" t="s">
        <v>382</v>
      </c>
      <c r="B1688">
        <v>2012</v>
      </c>
      <c r="C1688" t="s">
        <v>273</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cm="1">
        <f t="array" ref="W1688">AND(ISNUMBER(LifeExpectancyData[[#This Row],[Adult Mortality]:[Schooling]]),ISNUMBER(LifeExpectancyData[[#This Row],[Life expectancy]]), LifeExpectancyData[[#This Row],[Year]]=2013)</f>
        <v>0</v>
      </c>
    </row>
    <row r="1689" spans="1:23" x14ac:dyDescent="0.25">
      <c r="A1689" t="s">
        <v>382</v>
      </c>
      <c r="B1689">
        <v>2011</v>
      </c>
      <c r="C1689" t="s">
        <v>273</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cm="1">
        <f t="array" ref="W1689">AND(ISNUMBER(LifeExpectancyData[[#This Row],[Adult Mortality]:[Schooling]]),ISNUMBER(LifeExpectancyData[[#This Row],[Life expectancy]]), LifeExpectancyData[[#This Row],[Year]]=2013)</f>
        <v>0</v>
      </c>
    </row>
    <row r="1690" spans="1:23" x14ac:dyDescent="0.25">
      <c r="A1690" t="s">
        <v>382</v>
      </c>
      <c r="B1690">
        <v>2010</v>
      </c>
      <c r="C1690" t="s">
        <v>273</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cm="1">
        <f t="array" ref="W1690">AND(ISNUMBER(LifeExpectancyData[[#This Row],[Adult Mortality]:[Schooling]]),ISNUMBER(LifeExpectancyData[[#This Row],[Life expectancy]]), LifeExpectancyData[[#This Row],[Year]]=2013)</f>
        <v>0</v>
      </c>
    </row>
    <row r="1691" spans="1:23" x14ac:dyDescent="0.25">
      <c r="A1691" t="s">
        <v>382</v>
      </c>
      <c r="B1691">
        <v>2009</v>
      </c>
      <c r="C1691" t="s">
        <v>273</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cm="1">
        <f t="array" ref="W1691">AND(ISNUMBER(LifeExpectancyData[[#This Row],[Adult Mortality]:[Schooling]]),ISNUMBER(LifeExpectancyData[[#This Row],[Life expectancy]]), LifeExpectancyData[[#This Row],[Year]]=2013)</f>
        <v>0</v>
      </c>
    </row>
    <row r="1692" spans="1:23" x14ac:dyDescent="0.25">
      <c r="A1692" t="s">
        <v>382</v>
      </c>
      <c r="B1692">
        <v>2008</v>
      </c>
      <c r="C1692" t="s">
        <v>273</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cm="1">
        <f t="array" ref="W1692">AND(ISNUMBER(LifeExpectancyData[[#This Row],[Adult Mortality]:[Schooling]]),ISNUMBER(LifeExpectancyData[[#This Row],[Life expectancy]]), LifeExpectancyData[[#This Row],[Year]]=2013)</f>
        <v>0</v>
      </c>
    </row>
    <row r="1693" spans="1:23" x14ac:dyDescent="0.25">
      <c r="A1693" t="s">
        <v>382</v>
      </c>
      <c r="B1693">
        <v>2007</v>
      </c>
      <c r="C1693" t="s">
        <v>273</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cm="1">
        <f t="array" ref="W1693">AND(ISNUMBER(LifeExpectancyData[[#This Row],[Adult Mortality]:[Schooling]]),ISNUMBER(LifeExpectancyData[[#This Row],[Life expectancy]]), LifeExpectancyData[[#This Row],[Year]]=2013)</f>
        <v>0</v>
      </c>
    </row>
    <row r="1694" spans="1:23" x14ac:dyDescent="0.25">
      <c r="A1694" t="s">
        <v>382</v>
      </c>
      <c r="B1694">
        <v>2006</v>
      </c>
      <c r="C1694" t="s">
        <v>273</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cm="1">
        <f t="array" ref="W1694">AND(ISNUMBER(LifeExpectancyData[[#This Row],[Adult Mortality]:[Schooling]]),ISNUMBER(LifeExpectancyData[[#This Row],[Life expectancy]]), LifeExpectancyData[[#This Row],[Year]]=2013)</f>
        <v>0</v>
      </c>
    </row>
    <row r="1695" spans="1:23" x14ac:dyDescent="0.25">
      <c r="A1695" t="s">
        <v>382</v>
      </c>
      <c r="B1695">
        <v>2005</v>
      </c>
      <c r="C1695" t="s">
        <v>273</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cm="1">
        <f t="array" ref="W1695">AND(ISNUMBER(LifeExpectancyData[[#This Row],[Adult Mortality]:[Schooling]]),ISNUMBER(LifeExpectancyData[[#This Row],[Life expectancy]]), LifeExpectancyData[[#This Row],[Year]]=2013)</f>
        <v>0</v>
      </c>
    </row>
    <row r="1696" spans="1:23" x14ac:dyDescent="0.25">
      <c r="A1696" t="s">
        <v>382</v>
      </c>
      <c r="B1696">
        <v>2004</v>
      </c>
      <c r="C1696" t="s">
        <v>273</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cm="1">
        <f t="array" ref="W1696">AND(ISNUMBER(LifeExpectancyData[[#This Row],[Adult Mortality]:[Schooling]]),ISNUMBER(LifeExpectancyData[[#This Row],[Life expectancy]]), LifeExpectancyData[[#This Row],[Year]]=2013)</f>
        <v>0</v>
      </c>
    </row>
    <row r="1697" spans="1:23" x14ac:dyDescent="0.25">
      <c r="A1697" t="s">
        <v>382</v>
      </c>
      <c r="B1697">
        <v>2003</v>
      </c>
      <c r="C1697" t="s">
        <v>273</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cm="1">
        <f t="array" ref="W1697">AND(ISNUMBER(LifeExpectancyData[[#This Row],[Adult Mortality]:[Schooling]]),ISNUMBER(LifeExpectancyData[[#This Row],[Life expectancy]]), LifeExpectancyData[[#This Row],[Year]]=2013)</f>
        <v>0</v>
      </c>
    </row>
    <row r="1698" spans="1:23" x14ac:dyDescent="0.25">
      <c r="A1698" t="s">
        <v>382</v>
      </c>
      <c r="B1698">
        <v>2002</v>
      </c>
      <c r="C1698" t="s">
        <v>273</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cm="1">
        <f t="array" ref="W1698">AND(ISNUMBER(LifeExpectancyData[[#This Row],[Adult Mortality]:[Schooling]]),ISNUMBER(LifeExpectancyData[[#This Row],[Life expectancy]]), LifeExpectancyData[[#This Row],[Year]]=2013)</f>
        <v>0</v>
      </c>
    </row>
    <row r="1699" spans="1:23" x14ac:dyDescent="0.25">
      <c r="A1699" t="s">
        <v>382</v>
      </c>
      <c r="B1699">
        <v>2001</v>
      </c>
      <c r="C1699" t="s">
        <v>273</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cm="1">
        <f t="array" ref="W1699">AND(ISNUMBER(LifeExpectancyData[[#This Row],[Adult Mortality]:[Schooling]]),ISNUMBER(LifeExpectancyData[[#This Row],[Life expectancy]]), LifeExpectancyData[[#This Row],[Year]]=2013)</f>
        <v>0</v>
      </c>
    </row>
    <row r="1700" spans="1:23" x14ac:dyDescent="0.25">
      <c r="A1700" t="s">
        <v>382</v>
      </c>
      <c r="B1700">
        <v>2000</v>
      </c>
      <c r="C1700" t="s">
        <v>273</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cm="1">
        <f t="array" ref="W1700">AND(ISNUMBER(LifeExpectancyData[[#This Row],[Adult Mortality]:[Schooling]]),ISNUMBER(LifeExpectancyData[[#This Row],[Life expectancy]]), LifeExpectancyData[[#This Row],[Year]]=2013)</f>
        <v>0</v>
      </c>
    </row>
    <row r="1701" spans="1:23" hidden="1" x14ac:dyDescent="0.25">
      <c r="A1701" t="s">
        <v>383</v>
      </c>
      <c r="B1701">
        <v>2015</v>
      </c>
      <c r="C1701" t="s">
        <v>273</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cm="1">
        <f t="array" ref="W1701">AND(ISNUMBER(LifeExpectancyData[[#This Row],[Adult Mortality]:[Schooling]]),ISNUMBER(LifeExpectancyData[[#This Row],[Life expectancy]]), LifeExpectancyData[[#This Row],[Year]]=2013)</f>
        <v>0</v>
      </c>
    </row>
    <row r="1702" spans="1:23" hidden="1" x14ac:dyDescent="0.25">
      <c r="A1702" t="s">
        <v>383</v>
      </c>
      <c r="B1702">
        <v>2014</v>
      </c>
      <c r="C1702" t="s">
        <v>273</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cm="1">
        <f t="array" ref="W1702">AND(ISNUMBER(LifeExpectancyData[[#This Row],[Adult Mortality]:[Schooling]]),ISNUMBER(LifeExpectancyData[[#This Row],[Life expectancy]]), LifeExpectancyData[[#This Row],[Year]]=2013)</f>
        <v>0</v>
      </c>
    </row>
    <row r="1703" spans="1:23" hidden="1" x14ac:dyDescent="0.25">
      <c r="A1703" t="s">
        <v>383</v>
      </c>
      <c r="B1703">
        <v>2013</v>
      </c>
      <c r="C1703" t="s">
        <v>273</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cm="1">
        <f t="array" ref="W1703">AND(ISNUMBER(LifeExpectancyData[[#This Row],[Adult Mortality]:[Schooling]]),ISNUMBER(LifeExpectancyData[[#This Row],[Life expectancy]]), LifeExpectancyData[[#This Row],[Year]]=2013)</f>
        <v>0</v>
      </c>
    </row>
    <row r="1704" spans="1:23" hidden="1" x14ac:dyDescent="0.25">
      <c r="A1704" t="s">
        <v>383</v>
      </c>
      <c r="B1704">
        <v>2012</v>
      </c>
      <c r="C1704" t="s">
        <v>273</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cm="1">
        <f t="array" ref="W1704">AND(ISNUMBER(LifeExpectancyData[[#This Row],[Adult Mortality]:[Schooling]]),ISNUMBER(LifeExpectancyData[[#This Row],[Life expectancy]]), LifeExpectancyData[[#This Row],[Year]]=2013)</f>
        <v>0</v>
      </c>
    </row>
    <row r="1705" spans="1:23" hidden="1" x14ac:dyDescent="0.25">
      <c r="A1705" t="s">
        <v>383</v>
      </c>
      <c r="B1705">
        <v>2011</v>
      </c>
      <c r="C1705" t="s">
        <v>273</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cm="1">
        <f t="array" ref="W1705">AND(ISNUMBER(LifeExpectancyData[[#This Row],[Adult Mortality]:[Schooling]]),ISNUMBER(LifeExpectancyData[[#This Row],[Life expectancy]]), LifeExpectancyData[[#This Row],[Year]]=2013)</f>
        <v>0</v>
      </c>
    </row>
    <row r="1706" spans="1:23" hidden="1" x14ac:dyDescent="0.25">
      <c r="A1706" t="s">
        <v>383</v>
      </c>
      <c r="B1706">
        <v>2010</v>
      </c>
      <c r="C1706" t="s">
        <v>273</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cm="1">
        <f t="array" ref="W1706">AND(ISNUMBER(LifeExpectancyData[[#This Row],[Adult Mortality]:[Schooling]]),ISNUMBER(LifeExpectancyData[[#This Row],[Life expectancy]]), LifeExpectancyData[[#This Row],[Year]]=2013)</f>
        <v>0</v>
      </c>
    </row>
    <row r="1707" spans="1:23" hidden="1" x14ac:dyDescent="0.25">
      <c r="A1707" t="s">
        <v>383</v>
      </c>
      <c r="B1707">
        <v>2009</v>
      </c>
      <c r="C1707" t="s">
        <v>273</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cm="1">
        <f t="array" ref="W1707">AND(ISNUMBER(LifeExpectancyData[[#This Row],[Adult Mortality]:[Schooling]]),ISNUMBER(LifeExpectancyData[[#This Row],[Life expectancy]]), LifeExpectancyData[[#This Row],[Year]]=2013)</f>
        <v>0</v>
      </c>
    </row>
    <row r="1708" spans="1:23" hidden="1" x14ac:dyDescent="0.25">
      <c r="A1708" t="s">
        <v>383</v>
      </c>
      <c r="B1708">
        <v>2008</v>
      </c>
      <c r="C1708" t="s">
        <v>273</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cm="1">
        <f t="array" ref="W1708">AND(ISNUMBER(LifeExpectancyData[[#This Row],[Adult Mortality]:[Schooling]]),ISNUMBER(LifeExpectancyData[[#This Row],[Life expectancy]]), LifeExpectancyData[[#This Row],[Year]]=2013)</f>
        <v>0</v>
      </c>
    </row>
    <row r="1709" spans="1:23" hidden="1" x14ac:dyDescent="0.25">
      <c r="A1709" t="s">
        <v>383</v>
      </c>
      <c r="B1709">
        <v>2007</v>
      </c>
      <c r="C1709" t="s">
        <v>273</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cm="1">
        <f t="array" ref="W1709">AND(ISNUMBER(LifeExpectancyData[[#This Row],[Adult Mortality]:[Schooling]]),ISNUMBER(LifeExpectancyData[[#This Row],[Life expectancy]]), LifeExpectancyData[[#This Row],[Year]]=2013)</f>
        <v>0</v>
      </c>
    </row>
    <row r="1710" spans="1:23" hidden="1" x14ac:dyDescent="0.25">
      <c r="A1710" t="s">
        <v>383</v>
      </c>
      <c r="B1710">
        <v>2006</v>
      </c>
      <c r="C1710" t="s">
        <v>273</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cm="1">
        <f t="array" ref="W1710">AND(ISNUMBER(LifeExpectancyData[[#This Row],[Adult Mortality]:[Schooling]]),ISNUMBER(LifeExpectancyData[[#This Row],[Life expectancy]]), LifeExpectancyData[[#This Row],[Year]]=2013)</f>
        <v>0</v>
      </c>
    </row>
    <row r="1711" spans="1:23" hidden="1" x14ac:dyDescent="0.25">
      <c r="A1711" t="s">
        <v>383</v>
      </c>
      <c r="B1711">
        <v>2005</v>
      </c>
      <c r="C1711" t="s">
        <v>273</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cm="1">
        <f t="array" ref="W1711">AND(ISNUMBER(LifeExpectancyData[[#This Row],[Adult Mortality]:[Schooling]]),ISNUMBER(LifeExpectancyData[[#This Row],[Life expectancy]]), LifeExpectancyData[[#This Row],[Year]]=2013)</f>
        <v>0</v>
      </c>
    </row>
    <row r="1712" spans="1:23" hidden="1" x14ac:dyDescent="0.25">
      <c r="A1712" t="s">
        <v>383</v>
      </c>
      <c r="B1712">
        <v>2004</v>
      </c>
      <c r="C1712" t="s">
        <v>273</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cm="1">
        <f t="array" ref="W1712">AND(ISNUMBER(LifeExpectancyData[[#This Row],[Adult Mortality]:[Schooling]]),ISNUMBER(LifeExpectancyData[[#This Row],[Life expectancy]]), LifeExpectancyData[[#This Row],[Year]]=2013)</f>
        <v>0</v>
      </c>
    </row>
    <row r="1713" spans="1:23" hidden="1" x14ac:dyDescent="0.25">
      <c r="A1713" t="s">
        <v>383</v>
      </c>
      <c r="B1713">
        <v>2003</v>
      </c>
      <c r="C1713" t="s">
        <v>273</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cm="1">
        <f t="array" ref="W1713">AND(ISNUMBER(LifeExpectancyData[[#This Row],[Adult Mortality]:[Schooling]]),ISNUMBER(LifeExpectancyData[[#This Row],[Life expectancy]]), LifeExpectancyData[[#This Row],[Year]]=2013)</f>
        <v>0</v>
      </c>
    </row>
    <row r="1714" spans="1:23" hidden="1" x14ac:dyDescent="0.25">
      <c r="A1714" t="s">
        <v>383</v>
      </c>
      <c r="B1714">
        <v>2002</v>
      </c>
      <c r="C1714" t="s">
        <v>273</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cm="1">
        <f t="array" ref="W1714">AND(ISNUMBER(LifeExpectancyData[[#This Row],[Adult Mortality]:[Schooling]]),ISNUMBER(LifeExpectancyData[[#This Row],[Life expectancy]]), LifeExpectancyData[[#This Row],[Year]]=2013)</f>
        <v>0</v>
      </c>
    </row>
    <row r="1715" spans="1:23" hidden="1" x14ac:dyDescent="0.25">
      <c r="A1715" t="s">
        <v>383</v>
      </c>
      <c r="B1715">
        <v>2001</v>
      </c>
      <c r="C1715" t="s">
        <v>273</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cm="1">
        <f t="array" ref="W1715">AND(ISNUMBER(LifeExpectancyData[[#This Row],[Adult Mortality]:[Schooling]]),ISNUMBER(LifeExpectancyData[[#This Row],[Life expectancy]]), LifeExpectancyData[[#This Row],[Year]]=2013)</f>
        <v>0</v>
      </c>
    </row>
    <row r="1716" spans="1:23" hidden="1" x14ac:dyDescent="0.25">
      <c r="A1716" t="s">
        <v>383</v>
      </c>
      <c r="B1716">
        <v>2000</v>
      </c>
      <c r="C1716" t="s">
        <v>273</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cm="1">
        <f t="array" ref="W1716">AND(ISNUMBER(LifeExpectancyData[[#This Row],[Adult Mortality]:[Schooling]]),ISNUMBER(LifeExpectancyData[[#This Row],[Life expectancy]]), LifeExpectancyData[[#This Row],[Year]]=2013)</f>
        <v>0</v>
      </c>
    </row>
    <row r="1717" spans="1:23" hidden="1" x14ac:dyDescent="0.25">
      <c r="A1717" t="s">
        <v>384</v>
      </c>
      <c r="B1717">
        <v>2013</v>
      </c>
      <c r="C1717" t="s">
        <v>273</v>
      </c>
      <c r="F1717">
        <v>0</v>
      </c>
      <c r="G1717">
        <v>0.01</v>
      </c>
      <c r="H1717">
        <v>0</v>
      </c>
      <c r="I1717">
        <v>99</v>
      </c>
      <c r="J1717">
        <v>0</v>
      </c>
      <c r="L1717">
        <v>0</v>
      </c>
      <c r="M1717">
        <v>99</v>
      </c>
      <c r="N1717">
        <v>4.3</v>
      </c>
      <c r="O1717">
        <v>99</v>
      </c>
      <c r="P1717">
        <v>0.1</v>
      </c>
      <c r="W1717" t="b" cm="1">
        <f t="array" ref="W1717">AND(ISNUMBER(LifeExpectancyData[[#This Row],[Adult Mortality]:[Schooling]]),ISNUMBER(LifeExpectancyData[[#This Row],[Life expectancy]]), LifeExpectancyData[[#This Row],[Year]]=2013)</f>
        <v>0</v>
      </c>
    </row>
    <row r="1718" spans="1:23" hidden="1" x14ac:dyDescent="0.25">
      <c r="A1718" t="s">
        <v>385</v>
      </c>
      <c r="B1718">
        <v>2015</v>
      </c>
      <c r="C1718" t="s">
        <v>273</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cm="1">
        <f t="array" ref="W1718">AND(ISNUMBER(LifeExpectancyData[[#This Row],[Adult Mortality]:[Schooling]]),ISNUMBER(LifeExpectancyData[[#This Row],[Life expectancy]]), LifeExpectancyData[[#This Row],[Year]]=2013)</f>
        <v>0</v>
      </c>
    </row>
    <row r="1719" spans="1:23" x14ac:dyDescent="0.25">
      <c r="A1719" t="s">
        <v>385</v>
      </c>
      <c r="B1719">
        <v>2014</v>
      </c>
      <c r="C1719" t="s">
        <v>273</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cm="1">
        <f t="array" ref="W1719">AND(ISNUMBER(LifeExpectancyData[[#This Row],[Adult Mortality]:[Schooling]]),ISNUMBER(LifeExpectancyData[[#This Row],[Life expectancy]]), LifeExpectancyData[[#This Row],[Year]]=2013)</f>
        <v>0</v>
      </c>
    </row>
    <row r="1720" spans="1:23" x14ac:dyDescent="0.25">
      <c r="A1720" t="s">
        <v>385</v>
      </c>
      <c r="B1720">
        <v>2013</v>
      </c>
      <c r="C1720" t="s">
        <v>273</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cm="1">
        <f t="array" ref="W1720">AND(ISNUMBER(LifeExpectancyData[[#This Row],[Adult Mortality]:[Schooling]]),ISNUMBER(LifeExpectancyData[[#This Row],[Life expectancy]]), LifeExpectancyData[[#This Row],[Year]]=2013)</f>
        <v>1</v>
      </c>
    </row>
    <row r="1721" spans="1:23" x14ac:dyDescent="0.25">
      <c r="A1721" t="s">
        <v>385</v>
      </c>
      <c r="B1721">
        <v>2012</v>
      </c>
      <c r="C1721" t="s">
        <v>273</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cm="1">
        <f t="array" ref="W1721">AND(ISNUMBER(LifeExpectancyData[[#This Row],[Adult Mortality]:[Schooling]]),ISNUMBER(LifeExpectancyData[[#This Row],[Life expectancy]]), LifeExpectancyData[[#This Row],[Year]]=2013)</f>
        <v>0</v>
      </c>
    </row>
    <row r="1722" spans="1:23" x14ac:dyDescent="0.25">
      <c r="A1722" t="s">
        <v>385</v>
      </c>
      <c r="B1722">
        <v>2011</v>
      </c>
      <c r="C1722" t="s">
        <v>273</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cm="1">
        <f t="array" ref="W1722">AND(ISNUMBER(LifeExpectancyData[[#This Row],[Adult Mortality]:[Schooling]]),ISNUMBER(LifeExpectancyData[[#This Row],[Life expectancy]]), LifeExpectancyData[[#This Row],[Year]]=2013)</f>
        <v>0</v>
      </c>
    </row>
    <row r="1723" spans="1:23" x14ac:dyDescent="0.25">
      <c r="A1723" t="s">
        <v>385</v>
      </c>
      <c r="B1723">
        <v>2010</v>
      </c>
      <c r="C1723" t="s">
        <v>273</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cm="1">
        <f t="array" ref="W1723">AND(ISNUMBER(LifeExpectancyData[[#This Row],[Adult Mortality]:[Schooling]]),ISNUMBER(LifeExpectancyData[[#This Row],[Life expectancy]]), LifeExpectancyData[[#This Row],[Year]]=2013)</f>
        <v>0</v>
      </c>
    </row>
    <row r="1724" spans="1:23" x14ac:dyDescent="0.25">
      <c r="A1724" t="s">
        <v>385</v>
      </c>
      <c r="B1724">
        <v>2009</v>
      </c>
      <c r="C1724" t="s">
        <v>273</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cm="1">
        <f t="array" ref="W1724">AND(ISNUMBER(LifeExpectancyData[[#This Row],[Adult Mortality]:[Schooling]]),ISNUMBER(LifeExpectancyData[[#This Row],[Life expectancy]]), LifeExpectancyData[[#This Row],[Year]]=2013)</f>
        <v>0</v>
      </c>
    </row>
    <row r="1725" spans="1:23" x14ac:dyDescent="0.25">
      <c r="A1725" t="s">
        <v>385</v>
      </c>
      <c r="B1725">
        <v>2008</v>
      </c>
      <c r="C1725" t="s">
        <v>273</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cm="1">
        <f t="array" ref="W1725">AND(ISNUMBER(LifeExpectancyData[[#This Row],[Adult Mortality]:[Schooling]]),ISNUMBER(LifeExpectancyData[[#This Row],[Life expectancy]]), LifeExpectancyData[[#This Row],[Year]]=2013)</f>
        <v>0</v>
      </c>
    </row>
    <row r="1726" spans="1:23" x14ac:dyDescent="0.25">
      <c r="A1726" t="s">
        <v>385</v>
      </c>
      <c r="B1726">
        <v>2007</v>
      </c>
      <c r="C1726" t="s">
        <v>273</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cm="1">
        <f t="array" ref="W1726">AND(ISNUMBER(LifeExpectancyData[[#This Row],[Adult Mortality]:[Schooling]]),ISNUMBER(LifeExpectancyData[[#This Row],[Life expectancy]]), LifeExpectancyData[[#This Row],[Year]]=2013)</f>
        <v>0</v>
      </c>
    </row>
    <row r="1727" spans="1:23" x14ac:dyDescent="0.25">
      <c r="A1727" t="s">
        <v>385</v>
      </c>
      <c r="B1727">
        <v>2006</v>
      </c>
      <c r="C1727" t="s">
        <v>273</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cm="1">
        <f t="array" ref="W1727">AND(ISNUMBER(LifeExpectancyData[[#This Row],[Adult Mortality]:[Schooling]]),ISNUMBER(LifeExpectancyData[[#This Row],[Life expectancy]]), LifeExpectancyData[[#This Row],[Year]]=2013)</f>
        <v>0</v>
      </c>
    </row>
    <row r="1728" spans="1:23" x14ac:dyDescent="0.25">
      <c r="A1728" t="s">
        <v>385</v>
      </c>
      <c r="B1728">
        <v>2005</v>
      </c>
      <c r="C1728" t="s">
        <v>273</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cm="1">
        <f t="array" ref="W1728">AND(ISNUMBER(LifeExpectancyData[[#This Row],[Adult Mortality]:[Schooling]]),ISNUMBER(LifeExpectancyData[[#This Row],[Life expectancy]]), LifeExpectancyData[[#This Row],[Year]]=2013)</f>
        <v>0</v>
      </c>
    </row>
    <row r="1729" spans="1:23" x14ac:dyDescent="0.25">
      <c r="A1729" t="s">
        <v>385</v>
      </c>
      <c r="B1729">
        <v>2004</v>
      </c>
      <c r="C1729" t="s">
        <v>273</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cm="1">
        <f t="array" ref="W1729">AND(ISNUMBER(LifeExpectancyData[[#This Row],[Adult Mortality]:[Schooling]]),ISNUMBER(LifeExpectancyData[[#This Row],[Life expectancy]]), LifeExpectancyData[[#This Row],[Year]]=2013)</f>
        <v>0</v>
      </c>
    </row>
    <row r="1730" spans="1:23" x14ac:dyDescent="0.25">
      <c r="A1730" t="s">
        <v>385</v>
      </c>
      <c r="B1730">
        <v>2003</v>
      </c>
      <c r="C1730" t="s">
        <v>273</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cm="1">
        <f t="array" ref="W1730">AND(ISNUMBER(LifeExpectancyData[[#This Row],[Adult Mortality]:[Schooling]]),ISNUMBER(LifeExpectancyData[[#This Row],[Life expectancy]]), LifeExpectancyData[[#This Row],[Year]]=2013)</f>
        <v>0</v>
      </c>
    </row>
    <row r="1731" spans="1:23" x14ac:dyDescent="0.25">
      <c r="A1731" t="s">
        <v>385</v>
      </c>
      <c r="B1731">
        <v>2002</v>
      </c>
      <c r="C1731" t="s">
        <v>273</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cm="1">
        <f t="array" ref="W1731">AND(ISNUMBER(LifeExpectancyData[[#This Row],[Adult Mortality]:[Schooling]]),ISNUMBER(LifeExpectancyData[[#This Row],[Life expectancy]]), LifeExpectancyData[[#This Row],[Year]]=2013)</f>
        <v>0</v>
      </c>
    </row>
    <row r="1732" spans="1:23" x14ac:dyDescent="0.25">
      <c r="A1732" t="s">
        <v>385</v>
      </c>
      <c r="B1732">
        <v>2001</v>
      </c>
      <c r="C1732" t="s">
        <v>273</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cm="1">
        <f t="array" ref="W1732">AND(ISNUMBER(LifeExpectancyData[[#This Row],[Adult Mortality]:[Schooling]]),ISNUMBER(LifeExpectancyData[[#This Row],[Life expectancy]]), LifeExpectancyData[[#This Row],[Year]]=2013)</f>
        <v>0</v>
      </c>
    </row>
    <row r="1733" spans="1:23" x14ac:dyDescent="0.25">
      <c r="A1733" t="s">
        <v>385</v>
      </c>
      <c r="B1733">
        <v>2000</v>
      </c>
      <c r="C1733" t="s">
        <v>273</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cm="1">
        <f t="array" ref="W1733">AND(ISNUMBER(LifeExpectancyData[[#This Row],[Adult Mortality]:[Schooling]]),ISNUMBER(LifeExpectancyData[[#This Row],[Life expectancy]]), LifeExpectancyData[[#This Row],[Year]]=2013)</f>
        <v>0</v>
      </c>
    </row>
    <row r="1734" spans="1:23" hidden="1" x14ac:dyDescent="0.25">
      <c r="A1734" t="s">
        <v>386</v>
      </c>
      <c r="B1734">
        <v>2015</v>
      </c>
      <c r="C1734" t="s">
        <v>273</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cm="1">
        <f t="array" ref="W1734">AND(ISNUMBER(LifeExpectancyData[[#This Row],[Adult Mortality]:[Schooling]]),ISNUMBER(LifeExpectancyData[[#This Row],[Life expectancy]]), LifeExpectancyData[[#This Row],[Year]]=2013)</f>
        <v>0</v>
      </c>
    </row>
    <row r="1735" spans="1:23" x14ac:dyDescent="0.25">
      <c r="A1735" t="s">
        <v>386</v>
      </c>
      <c r="B1735">
        <v>2014</v>
      </c>
      <c r="C1735" t="s">
        <v>273</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cm="1">
        <f t="array" ref="W1735">AND(ISNUMBER(LifeExpectancyData[[#This Row],[Adult Mortality]:[Schooling]]),ISNUMBER(LifeExpectancyData[[#This Row],[Life expectancy]]), LifeExpectancyData[[#This Row],[Year]]=2013)</f>
        <v>0</v>
      </c>
    </row>
    <row r="1736" spans="1:23" x14ac:dyDescent="0.25">
      <c r="A1736" t="s">
        <v>386</v>
      </c>
      <c r="B1736">
        <v>2013</v>
      </c>
      <c r="C1736" t="s">
        <v>273</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cm="1">
        <f t="array" ref="W1736">AND(ISNUMBER(LifeExpectancyData[[#This Row],[Adult Mortality]:[Schooling]]),ISNUMBER(LifeExpectancyData[[#This Row],[Life expectancy]]), LifeExpectancyData[[#This Row],[Year]]=2013)</f>
        <v>1</v>
      </c>
    </row>
    <row r="1737" spans="1:23" x14ac:dyDescent="0.25">
      <c r="A1737" t="s">
        <v>386</v>
      </c>
      <c r="B1737">
        <v>2012</v>
      </c>
      <c r="C1737" t="s">
        <v>273</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cm="1">
        <f t="array" ref="W1737">AND(ISNUMBER(LifeExpectancyData[[#This Row],[Adult Mortality]:[Schooling]]),ISNUMBER(LifeExpectancyData[[#This Row],[Life expectancy]]), LifeExpectancyData[[#This Row],[Year]]=2013)</f>
        <v>0</v>
      </c>
    </row>
    <row r="1738" spans="1:23" x14ac:dyDescent="0.25">
      <c r="A1738" t="s">
        <v>386</v>
      </c>
      <c r="B1738">
        <v>2011</v>
      </c>
      <c r="C1738" t="s">
        <v>273</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cm="1">
        <f t="array" ref="W1738">AND(ISNUMBER(LifeExpectancyData[[#This Row],[Adult Mortality]:[Schooling]]),ISNUMBER(LifeExpectancyData[[#This Row],[Life expectancy]]), LifeExpectancyData[[#This Row],[Year]]=2013)</f>
        <v>0</v>
      </c>
    </row>
    <row r="1739" spans="1:23" x14ac:dyDescent="0.25">
      <c r="A1739" t="s">
        <v>386</v>
      </c>
      <c r="B1739">
        <v>2010</v>
      </c>
      <c r="C1739" t="s">
        <v>273</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cm="1">
        <f t="array" ref="W1739">AND(ISNUMBER(LifeExpectancyData[[#This Row],[Adult Mortality]:[Schooling]]),ISNUMBER(LifeExpectancyData[[#This Row],[Life expectancy]]), LifeExpectancyData[[#This Row],[Year]]=2013)</f>
        <v>0</v>
      </c>
    </row>
    <row r="1740" spans="1:23" x14ac:dyDescent="0.25">
      <c r="A1740" t="s">
        <v>386</v>
      </c>
      <c r="B1740">
        <v>2009</v>
      </c>
      <c r="C1740" t="s">
        <v>273</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cm="1">
        <f t="array" ref="W1740">AND(ISNUMBER(LifeExpectancyData[[#This Row],[Adult Mortality]:[Schooling]]),ISNUMBER(LifeExpectancyData[[#This Row],[Life expectancy]]), LifeExpectancyData[[#This Row],[Year]]=2013)</f>
        <v>0</v>
      </c>
    </row>
    <row r="1741" spans="1:23" x14ac:dyDescent="0.25">
      <c r="A1741" t="s">
        <v>386</v>
      </c>
      <c r="B1741">
        <v>2008</v>
      </c>
      <c r="C1741" t="s">
        <v>273</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cm="1">
        <f t="array" ref="W1741">AND(ISNUMBER(LifeExpectancyData[[#This Row],[Adult Mortality]:[Schooling]]),ISNUMBER(LifeExpectancyData[[#This Row],[Life expectancy]]), LifeExpectancyData[[#This Row],[Year]]=2013)</f>
        <v>0</v>
      </c>
    </row>
    <row r="1742" spans="1:23" x14ac:dyDescent="0.25">
      <c r="A1742" t="s">
        <v>386</v>
      </c>
      <c r="B1742">
        <v>2007</v>
      </c>
      <c r="C1742" t="s">
        <v>273</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cm="1">
        <f t="array" ref="W1742">AND(ISNUMBER(LifeExpectancyData[[#This Row],[Adult Mortality]:[Schooling]]),ISNUMBER(LifeExpectancyData[[#This Row],[Life expectancy]]), LifeExpectancyData[[#This Row],[Year]]=2013)</f>
        <v>0</v>
      </c>
    </row>
    <row r="1743" spans="1:23" x14ac:dyDescent="0.25">
      <c r="A1743" t="s">
        <v>386</v>
      </c>
      <c r="B1743">
        <v>2006</v>
      </c>
      <c r="C1743" t="s">
        <v>273</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cm="1">
        <f t="array" ref="W1743">AND(ISNUMBER(LifeExpectancyData[[#This Row],[Adult Mortality]:[Schooling]]),ISNUMBER(LifeExpectancyData[[#This Row],[Life expectancy]]), LifeExpectancyData[[#This Row],[Year]]=2013)</f>
        <v>0</v>
      </c>
    </row>
    <row r="1744" spans="1:23" hidden="1" x14ac:dyDescent="0.25">
      <c r="A1744" t="s">
        <v>386</v>
      </c>
      <c r="B1744">
        <v>2005</v>
      </c>
      <c r="C1744" t="s">
        <v>273</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cm="1">
        <f t="array" ref="W1744">AND(ISNUMBER(LifeExpectancyData[[#This Row],[Adult Mortality]:[Schooling]]),ISNUMBER(LifeExpectancyData[[#This Row],[Life expectancy]]), LifeExpectancyData[[#This Row],[Year]]=2013)</f>
        <v>0</v>
      </c>
    </row>
    <row r="1745" spans="1:23" hidden="1" x14ac:dyDescent="0.25">
      <c r="A1745" t="s">
        <v>386</v>
      </c>
      <c r="B1745">
        <v>2004</v>
      </c>
      <c r="C1745" t="s">
        <v>273</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cm="1">
        <f t="array" ref="W1745">AND(ISNUMBER(LifeExpectancyData[[#This Row],[Adult Mortality]:[Schooling]]),ISNUMBER(LifeExpectancyData[[#This Row],[Life expectancy]]), LifeExpectancyData[[#This Row],[Year]]=2013)</f>
        <v>0</v>
      </c>
    </row>
    <row r="1746" spans="1:23" hidden="1" x14ac:dyDescent="0.25">
      <c r="A1746" t="s">
        <v>386</v>
      </c>
      <c r="B1746">
        <v>2003</v>
      </c>
      <c r="C1746" t="s">
        <v>273</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cm="1">
        <f t="array" ref="W1746">AND(ISNUMBER(LifeExpectancyData[[#This Row],[Adult Mortality]:[Schooling]]),ISNUMBER(LifeExpectancyData[[#This Row],[Life expectancy]]), LifeExpectancyData[[#This Row],[Year]]=2013)</f>
        <v>0</v>
      </c>
    </row>
    <row r="1747" spans="1:23" hidden="1" x14ac:dyDescent="0.25">
      <c r="A1747" t="s">
        <v>386</v>
      </c>
      <c r="B1747">
        <v>2002</v>
      </c>
      <c r="C1747" t="s">
        <v>273</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cm="1">
        <f t="array" ref="W1747">AND(ISNUMBER(LifeExpectancyData[[#This Row],[Adult Mortality]:[Schooling]]),ISNUMBER(LifeExpectancyData[[#This Row],[Life expectancy]]), LifeExpectancyData[[#This Row],[Year]]=2013)</f>
        <v>0</v>
      </c>
    </row>
    <row r="1748" spans="1:23" hidden="1" x14ac:dyDescent="0.25">
      <c r="A1748" t="s">
        <v>386</v>
      </c>
      <c r="B1748">
        <v>2001</v>
      </c>
      <c r="C1748" t="s">
        <v>273</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cm="1">
        <f t="array" ref="W1748">AND(ISNUMBER(LifeExpectancyData[[#This Row],[Adult Mortality]:[Schooling]]),ISNUMBER(LifeExpectancyData[[#This Row],[Life expectancy]]), LifeExpectancyData[[#This Row],[Year]]=2013)</f>
        <v>0</v>
      </c>
    </row>
    <row r="1749" spans="1:23" hidden="1" x14ac:dyDescent="0.25">
      <c r="A1749" t="s">
        <v>386</v>
      </c>
      <c r="B1749">
        <v>2000</v>
      </c>
      <c r="C1749" t="s">
        <v>273</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cm="1">
        <f t="array" ref="W1749">AND(ISNUMBER(LifeExpectancyData[[#This Row],[Adult Mortality]:[Schooling]]),ISNUMBER(LifeExpectancyData[[#This Row],[Life expectancy]]), LifeExpectancyData[[#This Row],[Year]]=2013)</f>
        <v>0</v>
      </c>
    </row>
    <row r="1750" spans="1:23" hidden="1" x14ac:dyDescent="0.25">
      <c r="A1750" t="s">
        <v>387</v>
      </c>
      <c r="B1750">
        <v>2015</v>
      </c>
      <c r="C1750" t="s">
        <v>273</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cm="1">
        <f t="array" ref="W1750">AND(ISNUMBER(LifeExpectancyData[[#This Row],[Adult Mortality]:[Schooling]]),ISNUMBER(LifeExpectancyData[[#This Row],[Life expectancy]]), LifeExpectancyData[[#This Row],[Year]]=2013)</f>
        <v>0</v>
      </c>
    </row>
    <row r="1751" spans="1:23" x14ac:dyDescent="0.25">
      <c r="A1751" t="s">
        <v>387</v>
      </c>
      <c r="B1751">
        <v>2014</v>
      </c>
      <c r="C1751" t="s">
        <v>273</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cm="1">
        <f t="array" ref="W1751">AND(ISNUMBER(LifeExpectancyData[[#This Row],[Adult Mortality]:[Schooling]]),ISNUMBER(LifeExpectancyData[[#This Row],[Life expectancy]]), LifeExpectancyData[[#This Row],[Year]]=2013)</f>
        <v>0</v>
      </c>
    </row>
    <row r="1752" spans="1:23" x14ac:dyDescent="0.25">
      <c r="A1752" t="s">
        <v>387</v>
      </c>
      <c r="B1752">
        <v>2013</v>
      </c>
      <c r="C1752" t="s">
        <v>273</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cm="1">
        <f t="array" ref="W1752">AND(ISNUMBER(LifeExpectancyData[[#This Row],[Adult Mortality]:[Schooling]]),ISNUMBER(LifeExpectancyData[[#This Row],[Life expectancy]]), LifeExpectancyData[[#This Row],[Year]]=2013)</f>
        <v>1</v>
      </c>
    </row>
    <row r="1753" spans="1:23" x14ac:dyDescent="0.25">
      <c r="A1753" t="s">
        <v>387</v>
      </c>
      <c r="B1753">
        <v>2012</v>
      </c>
      <c r="C1753" t="s">
        <v>273</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cm="1">
        <f t="array" ref="W1753">AND(ISNUMBER(LifeExpectancyData[[#This Row],[Adult Mortality]:[Schooling]]),ISNUMBER(LifeExpectancyData[[#This Row],[Life expectancy]]), LifeExpectancyData[[#This Row],[Year]]=2013)</f>
        <v>0</v>
      </c>
    </row>
    <row r="1754" spans="1:23" x14ac:dyDescent="0.25">
      <c r="A1754" t="s">
        <v>387</v>
      </c>
      <c r="B1754">
        <v>2011</v>
      </c>
      <c r="C1754" t="s">
        <v>273</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cm="1">
        <f t="array" ref="W1754">AND(ISNUMBER(LifeExpectancyData[[#This Row],[Adult Mortality]:[Schooling]]),ISNUMBER(LifeExpectancyData[[#This Row],[Life expectancy]]), LifeExpectancyData[[#This Row],[Year]]=2013)</f>
        <v>0</v>
      </c>
    </row>
    <row r="1755" spans="1:23" x14ac:dyDescent="0.25">
      <c r="A1755" t="s">
        <v>387</v>
      </c>
      <c r="B1755">
        <v>2010</v>
      </c>
      <c r="C1755" t="s">
        <v>273</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cm="1">
        <f t="array" ref="W1755">AND(ISNUMBER(LifeExpectancyData[[#This Row],[Adult Mortality]:[Schooling]]),ISNUMBER(LifeExpectancyData[[#This Row],[Life expectancy]]), LifeExpectancyData[[#This Row],[Year]]=2013)</f>
        <v>0</v>
      </c>
    </row>
    <row r="1756" spans="1:23" x14ac:dyDescent="0.25">
      <c r="A1756" t="s">
        <v>387</v>
      </c>
      <c r="B1756">
        <v>2009</v>
      </c>
      <c r="C1756" t="s">
        <v>273</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cm="1">
        <f t="array" ref="W1756">AND(ISNUMBER(LifeExpectancyData[[#This Row],[Adult Mortality]:[Schooling]]),ISNUMBER(LifeExpectancyData[[#This Row],[Life expectancy]]), LifeExpectancyData[[#This Row],[Year]]=2013)</f>
        <v>0</v>
      </c>
    </row>
    <row r="1757" spans="1:23" x14ac:dyDescent="0.25">
      <c r="A1757" t="s">
        <v>387</v>
      </c>
      <c r="B1757">
        <v>2008</v>
      </c>
      <c r="C1757" t="s">
        <v>273</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cm="1">
        <f t="array" ref="W1757">AND(ISNUMBER(LifeExpectancyData[[#This Row],[Adult Mortality]:[Schooling]]),ISNUMBER(LifeExpectancyData[[#This Row],[Life expectancy]]), LifeExpectancyData[[#This Row],[Year]]=2013)</f>
        <v>0</v>
      </c>
    </row>
    <row r="1758" spans="1:23" x14ac:dyDescent="0.25">
      <c r="A1758" t="s">
        <v>387</v>
      </c>
      <c r="B1758">
        <v>2007</v>
      </c>
      <c r="C1758" t="s">
        <v>273</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cm="1">
        <f t="array" ref="W1758">AND(ISNUMBER(LifeExpectancyData[[#This Row],[Adult Mortality]:[Schooling]]),ISNUMBER(LifeExpectancyData[[#This Row],[Life expectancy]]), LifeExpectancyData[[#This Row],[Year]]=2013)</f>
        <v>0</v>
      </c>
    </row>
    <row r="1759" spans="1:23" x14ac:dyDescent="0.25">
      <c r="A1759" t="s">
        <v>387</v>
      </c>
      <c r="B1759">
        <v>2006</v>
      </c>
      <c r="C1759" t="s">
        <v>273</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cm="1">
        <f t="array" ref="W1759">AND(ISNUMBER(LifeExpectancyData[[#This Row],[Adult Mortality]:[Schooling]]),ISNUMBER(LifeExpectancyData[[#This Row],[Life expectancy]]), LifeExpectancyData[[#This Row],[Year]]=2013)</f>
        <v>0</v>
      </c>
    </row>
    <row r="1760" spans="1:23" x14ac:dyDescent="0.25">
      <c r="A1760" t="s">
        <v>387</v>
      </c>
      <c r="B1760">
        <v>2005</v>
      </c>
      <c r="C1760" t="s">
        <v>273</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cm="1">
        <f t="array" ref="W1760">AND(ISNUMBER(LifeExpectancyData[[#This Row],[Adult Mortality]:[Schooling]]),ISNUMBER(LifeExpectancyData[[#This Row],[Life expectancy]]), LifeExpectancyData[[#This Row],[Year]]=2013)</f>
        <v>0</v>
      </c>
    </row>
    <row r="1761" spans="1:23" x14ac:dyDescent="0.25">
      <c r="A1761" t="s">
        <v>387</v>
      </c>
      <c r="B1761">
        <v>2004</v>
      </c>
      <c r="C1761" t="s">
        <v>273</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cm="1">
        <f t="array" ref="W1761">AND(ISNUMBER(LifeExpectancyData[[#This Row],[Adult Mortality]:[Schooling]]),ISNUMBER(LifeExpectancyData[[#This Row],[Life expectancy]]), LifeExpectancyData[[#This Row],[Year]]=2013)</f>
        <v>0</v>
      </c>
    </row>
    <row r="1762" spans="1:23" x14ac:dyDescent="0.25">
      <c r="A1762" t="s">
        <v>387</v>
      </c>
      <c r="B1762">
        <v>2003</v>
      </c>
      <c r="C1762" t="s">
        <v>273</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cm="1">
        <f t="array" ref="W1762">AND(ISNUMBER(LifeExpectancyData[[#This Row],[Adult Mortality]:[Schooling]]),ISNUMBER(LifeExpectancyData[[#This Row],[Life expectancy]]), LifeExpectancyData[[#This Row],[Year]]=2013)</f>
        <v>0</v>
      </c>
    </row>
    <row r="1763" spans="1:23" x14ac:dyDescent="0.25">
      <c r="A1763" t="s">
        <v>387</v>
      </c>
      <c r="B1763">
        <v>2002</v>
      </c>
      <c r="C1763" t="s">
        <v>273</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cm="1">
        <f t="array" ref="W1763">AND(ISNUMBER(LifeExpectancyData[[#This Row],[Adult Mortality]:[Schooling]]),ISNUMBER(LifeExpectancyData[[#This Row],[Life expectancy]]), LifeExpectancyData[[#This Row],[Year]]=2013)</f>
        <v>0</v>
      </c>
    </row>
    <row r="1764" spans="1:23" x14ac:dyDescent="0.25">
      <c r="A1764" t="s">
        <v>387</v>
      </c>
      <c r="B1764">
        <v>2001</v>
      </c>
      <c r="C1764" t="s">
        <v>273</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cm="1">
        <f t="array" ref="W1764">AND(ISNUMBER(LifeExpectancyData[[#This Row],[Adult Mortality]:[Schooling]]),ISNUMBER(LifeExpectancyData[[#This Row],[Life expectancy]]), LifeExpectancyData[[#This Row],[Year]]=2013)</f>
        <v>0</v>
      </c>
    </row>
    <row r="1765" spans="1:23" x14ac:dyDescent="0.25">
      <c r="A1765" t="s">
        <v>387</v>
      </c>
      <c r="B1765">
        <v>2000</v>
      </c>
      <c r="C1765" t="s">
        <v>273</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cm="1">
        <f t="array" ref="W1765">AND(ISNUMBER(LifeExpectancyData[[#This Row],[Adult Mortality]:[Schooling]]),ISNUMBER(LifeExpectancyData[[#This Row],[Life expectancy]]), LifeExpectancyData[[#This Row],[Year]]=2013)</f>
        <v>0</v>
      </c>
    </row>
    <row r="1766" spans="1:23" hidden="1" x14ac:dyDescent="0.25">
      <c r="A1766" t="s">
        <v>388</v>
      </c>
      <c r="B1766">
        <v>2015</v>
      </c>
      <c r="C1766" t="s">
        <v>273</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cm="1">
        <f t="array" ref="W1766">AND(ISNUMBER(LifeExpectancyData[[#This Row],[Adult Mortality]:[Schooling]]),ISNUMBER(LifeExpectancyData[[#This Row],[Life expectancy]]), LifeExpectancyData[[#This Row],[Year]]=2013)</f>
        <v>0</v>
      </c>
    </row>
    <row r="1767" spans="1:23" x14ac:dyDescent="0.25">
      <c r="A1767" t="s">
        <v>388</v>
      </c>
      <c r="B1767">
        <v>2014</v>
      </c>
      <c r="C1767" t="s">
        <v>273</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cm="1">
        <f t="array" ref="W1767">AND(ISNUMBER(LifeExpectancyData[[#This Row],[Adult Mortality]:[Schooling]]),ISNUMBER(LifeExpectancyData[[#This Row],[Life expectancy]]), LifeExpectancyData[[#This Row],[Year]]=2013)</f>
        <v>0</v>
      </c>
    </row>
    <row r="1768" spans="1:23" x14ac:dyDescent="0.25">
      <c r="A1768" t="s">
        <v>388</v>
      </c>
      <c r="B1768">
        <v>2013</v>
      </c>
      <c r="C1768" t="s">
        <v>273</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cm="1">
        <f t="array" ref="W1768">AND(ISNUMBER(LifeExpectancyData[[#This Row],[Adult Mortality]:[Schooling]]),ISNUMBER(LifeExpectancyData[[#This Row],[Life expectancy]]), LifeExpectancyData[[#This Row],[Year]]=2013)</f>
        <v>1</v>
      </c>
    </row>
    <row r="1769" spans="1:23" x14ac:dyDescent="0.25">
      <c r="A1769" t="s">
        <v>388</v>
      </c>
      <c r="B1769">
        <v>2012</v>
      </c>
      <c r="C1769" t="s">
        <v>273</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cm="1">
        <f t="array" ref="W1769">AND(ISNUMBER(LifeExpectancyData[[#This Row],[Adult Mortality]:[Schooling]]),ISNUMBER(LifeExpectancyData[[#This Row],[Life expectancy]]), LifeExpectancyData[[#This Row],[Year]]=2013)</f>
        <v>0</v>
      </c>
    </row>
    <row r="1770" spans="1:23" x14ac:dyDescent="0.25">
      <c r="A1770" t="s">
        <v>388</v>
      </c>
      <c r="B1770">
        <v>2011</v>
      </c>
      <c r="C1770" t="s">
        <v>273</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cm="1">
        <f t="array" ref="W1770">AND(ISNUMBER(LifeExpectancyData[[#This Row],[Adult Mortality]:[Schooling]]),ISNUMBER(LifeExpectancyData[[#This Row],[Life expectancy]]), LifeExpectancyData[[#This Row],[Year]]=2013)</f>
        <v>0</v>
      </c>
    </row>
    <row r="1771" spans="1:23" x14ac:dyDescent="0.25">
      <c r="A1771" t="s">
        <v>388</v>
      </c>
      <c r="B1771">
        <v>2010</v>
      </c>
      <c r="C1771" t="s">
        <v>273</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cm="1">
        <f t="array" ref="W1771">AND(ISNUMBER(LifeExpectancyData[[#This Row],[Adult Mortality]:[Schooling]]),ISNUMBER(LifeExpectancyData[[#This Row],[Life expectancy]]), LifeExpectancyData[[#This Row],[Year]]=2013)</f>
        <v>0</v>
      </c>
    </row>
    <row r="1772" spans="1:23" x14ac:dyDescent="0.25">
      <c r="A1772" t="s">
        <v>388</v>
      </c>
      <c r="B1772">
        <v>2009</v>
      </c>
      <c r="C1772" t="s">
        <v>273</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cm="1">
        <f t="array" ref="W1772">AND(ISNUMBER(LifeExpectancyData[[#This Row],[Adult Mortality]:[Schooling]]),ISNUMBER(LifeExpectancyData[[#This Row],[Life expectancy]]), LifeExpectancyData[[#This Row],[Year]]=2013)</f>
        <v>0</v>
      </c>
    </row>
    <row r="1773" spans="1:23" x14ac:dyDescent="0.25">
      <c r="A1773" t="s">
        <v>388</v>
      </c>
      <c r="B1773">
        <v>2008</v>
      </c>
      <c r="C1773" t="s">
        <v>273</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cm="1">
        <f t="array" ref="W1773">AND(ISNUMBER(LifeExpectancyData[[#This Row],[Adult Mortality]:[Schooling]]),ISNUMBER(LifeExpectancyData[[#This Row],[Life expectancy]]), LifeExpectancyData[[#This Row],[Year]]=2013)</f>
        <v>0</v>
      </c>
    </row>
    <row r="1774" spans="1:23" x14ac:dyDescent="0.25">
      <c r="A1774" t="s">
        <v>388</v>
      </c>
      <c r="B1774">
        <v>2007</v>
      </c>
      <c r="C1774" t="s">
        <v>273</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cm="1">
        <f t="array" ref="W1774">AND(ISNUMBER(LifeExpectancyData[[#This Row],[Adult Mortality]:[Schooling]]),ISNUMBER(LifeExpectancyData[[#This Row],[Life expectancy]]), LifeExpectancyData[[#This Row],[Year]]=2013)</f>
        <v>0</v>
      </c>
    </row>
    <row r="1775" spans="1:23" x14ac:dyDescent="0.25">
      <c r="A1775" t="s">
        <v>388</v>
      </c>
      <c r="B1775">
        <v>2006</v>
      </c>
      <c r="C1775" t="s">
        <v>273</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cm="1">
        <f t="array" ref="W1775">AND(ISNUMBER(LifeExpectancyData[[#This Row],[Adult Mortality]:[Schooling]]),ISNUMBER(LifeExpectancyData[[#This Row],[Life expectancy]]), LifeExpectancyData[[#This Row],[Year]]=2013)</f>
        <v>0</v>
      </c>
    </row>
    <row r="1776" spans="1:23" x14ac:dyDescent="0.25">
      <c r="A1776" t="s">
        <v>388</v>
      </c>
      <c r="B1776">
        <v>2005</v>
      </c>
      <c r="C1776" t="s">
        <v>273</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cm="1">
        <f t="array" ref="W1776">AND(ISNUMBER(LifeExpectancyData[[#This Row],[Adult Mortality]:[Schooling]]),ISNUMBER(LifeExpectancyData[[#This Row],[Life expectancy]]), LifeExpectancyData[[#This Row],[Year]]=2013)</f>
        <v>0</v>
      </c>
    </row>
    <row r="1777" spans="1:23" x14ac:dyDescent="0.25">
      <c r="A1777" t="s">
        <v>388</v>
      </c>
      <c r="B1777">
        <v>2004</v>
      </c>
      <c r="C1777" t="s">
        <v>273</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cm="1">
        <f t="array" ref="W1777">AND(ISNUMBER(LifeExpectancyData[[#This Row],[Adult Mortality]:[Schooling]]),ISNUMBER(LifeExpectancyData[[#This Row],[Life expectancy]]), LifeExpectancyData[[#This Row],[Year]]=2013)</f>
        <v>0</v>
      </c>
    </row>
    <row r="1778" spans="1:23" x14ac:dyDescent="0.25">
      <c r="A1778" t="s">
        <v>388</v>
      </c>
      <c r="B1778">
        <v>2003</v>
      </c>
      <c r="C1778" t="s">
        <v>273</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cm="1">
        <f t="array" ref="W1778">AND(ISNUMBER(LifeExpectancyData[[#This Row],[Adult Mortality]:[Schooling]]),ISNUMBER(LifeExpectancyData[[#This Row],[Life expectancy]]), LifeExpectancyData[[#This Row],[Year]]=2013)</f>
        <v>0</v>
      </c>
    </row>
    <row r="1779" spans="1:23" x14ac:dyDescent="0.25">
      <c r="A1779" t="s">
        <v>388</v>
      </c>
      <c r="B1779">
        <v>2002</v>
      </c>
      <c r="C1779" t="s">
        <v>273</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cm="1">
        <f t="array" ref="W1779">AND(ISNUMBER(LifeExpectancyData[[#This Row],[Adult Mortality]:[Schooling]]),ISNUMBER(LifeExpectancyData[[#This Row],[Life expectancy]]), LifeExpectancyData[[#This Row],[Year]]=2013)</f>
        <v>0</v>
      </c>
    </row>
    <row r="1780" spans="1:23" x14ac:dyDescent="0.25">
      <c r="A1780" t="s">
        <v>388</v>
      </c>
      <c r="B1780">
        <v>2001</v>
      </c>
      <c r="C1780" t="s">
        <v>273</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cm="1">
        <f t="array" ref="W1780">AND(ISNUMBER(LifeExpectancyData[[#This Row],[Adult Mortality]:[Schooling]]),ISNUMBER(LifeExpectancyData[[#This Row],[Life expectancy]]), LifeExpectancyData[[#This Row],[Year]]=2013)</f>
        <v>0</v>
      </c>
    </row>
    <row r="1781" spans="1:23" hidden="1" x14ac:dyDescent="0.25">
      <c r="A1781" t="s">
        <v>388</v>
      </c>
      <c r="B1781">
        <v>2000</v>
      </c>
      <c r="C1781" t="s">
        <v>273</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cm="1">
        <f t="array" ref="W1781">AND(ISNUMBER(LifeExpectancyData[[#This Row],[Adult Mortality]:[Schooling]]),ISNUMBER(LifeExpectancyData[[#This Row],[Life expectancy]]), LifeExpectancyData[[#This Row],[Year]]=2013)</f>
        <v>0</v>
      </c>
    </row>
    <row r="1782" spans="1:23" hidden="1" x14ac:dyDescent="0.25">
      <c r="A1782" t="s">
        <v>389</v>
      </c>
      <c r="B1782">
        <v>2015</v>
      </c>
      <c r="C1782" t="s">
        <v>273</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cm="1">
        <f t="array" ref="W1782">AND(ISNUMBER(LifeExpectancyData[[#This Row],[Adult Mortality]:[Schooling]]),ISNUMBER(LifeExpectancyData[[#This Row],[Life expectancy]]), LifeExpectancyData[[#This Row],[Year]]=2013)</f>
        <v>0</v>
      </c>
    </row>
    <row r="1783" spans="1:23" x14ac:dyDescent="0.25">
      <c r="A1783" t="s">
        <v>389</v>
      </c>
      <c r="B1783">
        <v>2014</v>
      </c>
      <c r="C1783" t="s">
        <v>273</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cm="1">
        <f t="array" ref="W1783">AND(ISNUMBER(LifeExpectancyData[[#This Row],[Adult Mortality]:[Schooling]]),ISNUMBER(LifeExpectancyData[[#This Row],[Life expectancy]]), LifeExpectancyData[[#This Row],[Year]]=2013)</f>
        <v>0</v>
      </c>
    </row>
    <row r="1784" spans="1:23" x14ac:dyDescent="0.25">
      <c r="A1784" t="s">
        <v>389</v>
      </c>
      <c r="B1784">
        <v>2013</v>
      </c>
      <c r="C1784" t="s">
        <v>273</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cm="1">
        <f t="array" ref="W1784">AND(ISNUMBER(LifeExpectancyData[[#This Row],[Adult Mortality]:[Schooling]]),ISNUMBER(LifeExpectancyData[[#This Row],[Life expectancy]]), LifeExpectancyData[[#This Row],[Year]]=2013)</f>
        <v>1</v>
      </c>
    </row>
    <row r="1785" spans="1:23" x14ac:dyDescent="0.25">
      <c r="A1785" t="s">
        <v>389</v>
      </c>
      <c r="B1785">
        <v>2012</v>
      </c>
      <c r="C1785" t="s">
        <v>273</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cm="1">
        <f t="array" ref="W1785">AND(ISNUMBER(LifeExpectancyData[[#This Row],[Adult Mortality]:[Schooling]]),ISNUMBER(LifeExpectancyData[[#This Row],[Life expectancy]]), LifeExpectancyData[[#This Row],[Year]]=2013)</f>
        <v>0</v>
      </c>
    </row>
    <row r="1786" spans="1:23" x14ac:dyDescent="0.25">
      <c r="A1786" t="s">
        <v>389</v>
      </c>
      <c r="B1786">
        <v>2011</v>
      </c>
      <c r="C1786" t="s">
        <v>273</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cm="1">
        <f t="array" ref="W1786">AND(ISNUMBER(LifeExpectancyData[[#This Row],[Adult Mortality]:[Schooling]]),ISNUMBER(LifeExpectancyData[[#This Row],[Life expectancy]]), LifeExpectancyData[[#This Row],[Year]]=2013)</f>
        <v>0</v>
      </c>
    </row>
    <row r="1787" spans="1:23" x14ac:dyDescent="0.25">
      <c r="A1787" t="s">
        <v>389</v>
      </c>
      <c r="B1787">
        <v>2010</v>
      </c>
      <c r="C1787" t="s">
        <v>273</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cm="1">
        <f t="array" ref="W1787">AND(ISNUMBER(LifeExpectancyData[[#This Row],[Adult Mortality]:[Schooling]]),ISNUMBER(LifeExpectancyData[[#This Row],[Life expectancy]]), LifeExpectancyData[[#This Row],[Year]]=2013)</f>
        <v>0</v>
      </c>
    </row>
    <row r="1788" spans="1:23" x14ac:dyDescent="0.25">
      <c r="A1788" t="s">
        <v>389</v>
      </c>
      <c r="B1788">
        <v>2009</v>
      </c>
      <c r="C1788" t="s">
        <v>273</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cm="1">
        <f t="array" ref="W1788">AND(ISNUMBER(LifeExpectancyData[[#This Row],[Adult Mortality]:[Schooling]]),ISNUMBER(LifeExpectancyData[[#This Row],[Life expectancy]]), LifeExpectancyData[[#This Row],[Year]]=2013)</f>
        <v>0</v>
      </c>
    </row>
    <row r="1789" spans="1:23" x14ac:dyDescent="0.25">
      <c r="A1789" t="s">
        <v>389</v>
      </c>
      <c r="B1789">
        <v>2008</v>
      </c>
      <c r="C1789" t="s">
        <v>273</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cm="1">
        <f t="array" ref="W1789">AND(ISNUMBER(LifeExpectancyData[[#This Row],[Adult Mortality]:[Schooling]]),ISNUMBER(LifeExpectancyData[[#This Row],[Life expectancy]]), LifeExpectancyData[[#This Row],[Year]]=2013)</f>
        <v>0</v>
      </c>
    </row>
    <row r="1790" spans="1:23" x14ac:dyDescent="0.25">
      <c r="A1790" t="s">
        <v>389</v>
      </c>
      <c r="B1790">
        <v>2007</v>
      </c>
      <c r="C1790" t="s">
        <v>273</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cm="1">
        <f t="array" ref="W1790">AND(ISNUMBER(LifeExpectancyData[[#This Row],[Adult Mortality]:[Schooling]]),ISNUMBER(LifeExpectancyData[[#This Row],[Life expectancy]]), LifeExpectancyData[[#This Row],[Year]]=2013)</f>
        <v>0</v>
      </c>
    </row>
    <row r="1791" spans="1:23" x14ac:dyDescent="0.25">
      <c r="A1791" t="s">
        <v>389</v>
      </c>
      <c r="B1791">
        <v>2006</v>
      </c>
      <c r="C1791" t="s">
        <v>273</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cm="1">
        <f t="array" ref="W1791">AND(ISNUMBER(LifeExpectancyData[[#This Row],[Adult Mortality]:[Schooling]]),ISNUMBER(LifeExpectancyData[[#This Row],[Life expectancy]]), LifeExpectancyData[[#This Row],[Year]]=2013)</f>
        <v>0</v>
      </c>
    </row>
    <row r="1792" spans="1:23" x14ac:dyDescent="0.25">
      <c r="A1792" t="s">
        <v>389</v>
      </c>
      <c r="B1792">
        <v>2005</v>
      </c>
      <c r="C1792" t="s">
        <v>273</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cm="1">
        <f t="array" ref="W1792">AND(ISNUMBER(LifeExpectancyData[[#This Row],[Adult Mortality]:[Schooling]]),ISNUMBER(LifeExpectancyData[[#This Row],[Life expectancy]]), LifeExpectancyData[[#This Row],[Year]]=2013)</f>
        <v>0</v>
      </c>
    </row>
    <row r="1793" spans="1:23" x14ac:dyDescent="0.25">
      <c r="A1793" t="s">
        <v>389</v>
      </c>
      <c r="B1793">
        <v>2004</v>
      </c>
      <c r="C1793" t="s">
        <v>273</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cm="1">
        <f t="array" ref="W1793">AND(ISNUMBER(LifeExpectancyData[[#This Row],[Adult Mortality]:[Schooling]]),ISNUMBER(LifeExpectancyData[[#This Row],[Life expectancy]]), LifeExpectancyData[[#This Row],[Year]]=2013)</f>
        <v>0</v>
      </c>
    </row>
    <row r="1794" spans="1:23" x14ac:dyDescent="0.25">
      <c r="A1794" t="s">
        <v>389</v>
      </c>
      <c r="B1794">
        <v>2003</v>
      </c>
      <c r="C1794" t="s">
        <v>273</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cm="1">
        <f t="array" ref="W1794">AND(ISNUMBER(LifeExpectancyData[[#This Row],[Adult Mortality]:[Schooling]]),ISNUMBER(LifeExpectancyData[[#This Row],[Life expectancy]]), LifeExpectancyData[[#This Row],[Year]]=2013)</f>
        <v>0</v>
      </c>
    </row>
    <row r="1795" spans="1:23" hidden="1" x14ac:dyDescent="0.25">
      <c r="A1795" t="s">
        <v>389</v>
      </c>
      <c r="B1795">
        <v>2002</v>
      </c>
      <c r="C1795" t="s">
        <v>273</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cm="1">
        <f t="array" ref="W1795">AND(ISNUMBER(LifeExpectancyData[[#This Row],[Adult Mortality]:[Schooling]]),ISNUMBER(LifeExpectancyData[[#This Row],[Life expectancy]]), LifeExpectancyData[[#This Row],[Year]]=2013)</f>
        <v>0</v>
      </c>
    </row>
    <row r="1796" spans="1:23" hidden="1" x14ac:dyDescent="0.25">
      <c r="A1796" t="s">
        <v>389</v>
      </c>
      <c r="B1796">
        <v>2001</v>
      </c>
      <c r="C1796" t="s">
        <v>273</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cm="1">
        <f t="array" ref="W1796">AND(ISNUMBER(LifeExpectancyData[[#This Row],[Adult Mortality]:[Schooling]]),ISNUMBER(LifeExpectancyData[[#This Row],[Life expectancy]]), LifeExpectancyData[[#This Row],[Year]]=2013)</f>
        <v>0</v>
      </c>
    </row>
    <row r="1797" spans="1:23" hidden="1" x14ac:dyDescent="0.25">
      <c r="A1797" t="s">
        <v>389</v>
      </c>
      <c r="B1797">
        <v>2000</v>
      </c>
      <c r="C1797" t="s">
        <v>273</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cm="1">
        <f t="array" ref="W1797">AND(ISNUMBER(LifeExpectancyData[[#This Row],[Adult Mortality]:[Schooling]]),ISNUMBER(LifeExpectancyData[[#This Row],[Life expectancy]]), LifeExpectancyData[[#This Row],[Year]]=2013)</f>
        <v>0</v>
      </c>
    </row>
    <row r="1798" spans="1:23" hidden="1" x14ac:dyDescent="0.25">
      <c r="A1798" t="s">
        <v>390</v>
      </c>
      <c r="B1798">
        <v>2015</v>
      </c>
      <c r="C1798" t="s">
        <v>273</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cm="1">
        <f t="array" ref="W1798">AND(ISNUMBER(LifeExpectancyData[[#This Row],[Adult Mortality]:[Schooling]]),ISNUMBER(LifeExpectancyData[[#This Row],[Life expectancy]]), LifeExpectancyData[[#This Row],[Year]]=2013)</f>
        <v>0</v>
      </c>
    </row>
    <row r="1799" spans="1:23" x14ac:dyDescent="0.25">
      <c r="A1799" t="s">
        <v>390</v>
      </c>
      <c r="B1799">
        <v>2014</v>
      </c>
      <c r="C1799" t="s">
        <v>273</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cm="1">
        <f t="array" ref="W1799">AND(ISNUMBER(LifeExpectancyData[[#This Row],[Adult Mortality]:[Schooling]]),ISNUMBER(LifeExpectancyData[[#This Row],[Life expectancy]]), LifeExpectancyData[[#This Row],[Year]]=2013)</f>
        <v>0</v>
      </c>
    </row>
    <row r="1800" spans="1:23" x14ac:dyDescent="0.25">
      <c r="A1800" t="s">
        <v>390</v>
      </c>
      <c r="B1800">
        <v>2013</v>
      </c>
      <c r="C1800" t="s">
        <v>273</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cm="1">
        <f t="array" ref="W1800">AND(ISNUMBER(LifeExpectancyData[[#This Row],[Adult Mortality]:[Schooling]]),ISNUMBER(LifeExpectancyData[[#This Row],[Life expectancy]]), LifeExpectancyData[[#This Row],[Year]]=2013)</f>
        <v>1</v>
      </c>
    </row>
    <row r="1801" spans="1:23" x14ac:dyDescent="0.25">
      <c r="A1801" t="s">
        <v>390</v>
      </c>
      <c r="B1801">
        <v>2012</v>
      </c>
      <c r="C1801" t="s">
        <v>273</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cm="1">
        <f t="array" ref="W1801">AND(ISNUMBER(LifeExpectancyData[[#This Row],[Adult Mortality]:[Schooling]]),ISNUMBER(LifeExpectancyData[[#This Row],[Life expectancy]]), LifeExpectancyData[[#This Row],[Year]]=2013)</f>
        <v>0</v>
      </c>
    </row>
    <row r="1802" spans="1:23" x14ac:dyDescent="0.25">
      <c r="A1802" t="s">
        <v>390</v>
      </c>
      <c r="B1802">
        <v>2011</v>
      </c>
      <c r="C1802" t="s">
        <v>273</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cm="1">
        <f t="array" ref="W1802">AND(ISNUMBER(LifeExpectancyData[[#This Row],[Adult Mortality]:[Schooling]]),ISNUMBER(LifeExpectancyData[[#This Row],[Life expectancy]]), LifeExpectancyData[[#This Row],[Year]]=2013)</f>
        <v>0</v>
      </c>
    </row>
    <row r="1803" spans="1:23" x14ac:dyDescent="0.25">
      <c r="A1803" t="s">
        <v>390</v>
      </c>
      <c r="B1803">
        <v>2010</v>
      </c>
      <c r="C1803" t="s">
        <v>273</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cm="1">
        <f t="array" ref="W1803">AND(ISNUMBER(LifeExpectancyData[[#This Row],[Adult Mortality]:[Schooling]]),ISNUMBER(LifeExpectancyData[[#This Row],[Life expectancy]]), LifeExpectancyData[[#This Row],[Year]]=2013)</f>
        <v>0</v>
      </c>
    </row>
    <row r="1804" spans="1:23" hidden="1" x14ac:dyDescent="0.25">
      <c r="A1804" t="s">
        <v>390</v>
      </c>
      <c r="B1804">
        <v>2009</v>
      </c>
      <c r="C1804" t="s">
        <v>273</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cm="1">
        <f t="array" ref="W1804">AND(ISNUMBER(LifeExpectancyData[[#This Row],[Adult Mortality]:[Schooling]]),ISNUMBER(LifeExpectancyData[[#This Row],[Life expectancy]]), LifeExpectancyData[[#This Row],[Year]]=2013)</f>
        <v>0</v>
      </c>
    </row>
    <row r="1805" spans="1:23" hidden="1" x14ac:dyDescent="0.25">
      <c r="A1805" t="s">
        <v>390</v>
      </c>
      <c r="B1805">
        <v>2008</v>
      </c>
      <c r="C1805" t="s">
        <v>273</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cm="1">
        <f t="array" ref="W1805">AND(ISNUMBER(LifeExpectancyData[[#This Row],[Adult Mortality]:[Schooling]]),ISNUMBER(LifeExpectancyData[[#This Row],[Life expectancy]]), LifeExpectancyData[[#This Row],[Year]]=2013)</f>
        <v>0</v>
      </c>
    </row>
    <row r="1806" spans="1:23" hidden="1" x14ac:dyDescent="0.25">
      <c r="A1806" t="s">
        <v>390</v>
      </c>
      <c r="B1806">
        <v>2007</v>
      </c>
      <c r="C1806" t="s">
        <v>273</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cm="1">
        <f t="array" ref="W1806">AND(ISNUMBER(LifeExpectancyData[[#This Row],[Adult Mortality]:[Schooling]]),ISNUMBER(LifeExpectancyData[[#This Row],[Life expectancy]]), LifeExpectancyData[[#This Row],[Year]]=2013)</f>
        <v>0</v>
      </c>
    </row>
    <row r="1807" spans="1:23" hidden="1" x14ac:dyDescent="0.25">
      <c r="A1807" t="s">
        <v>390</v>
      </c>
      <c r="B1807">
        <v>2006</v>
      </c>
      <c r="C1807" t="s">
        <v>273</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cm="1">
        <f t="array" ref="W1807">AND(ISNUMBER(LifeExpectancyData[[#This Row],[Adult Mortality]:[Schooling]]),ISNUMBER(LifeExpectancyData[[#This Row],[Life expectancy]]), LifeExpectancyData[[#This Row],[Year]]=2013)</f>
        <v>0</v>
      </c>
    </row>
    <row r="1808" spans="1:23" hidden="1" x14ac:dyDescent="0.25">
      <c r="A1808" t="s">
        <v>390</v>
      </c>
      <c r="B1808">
        <v>2005</v>
      </c>
      <c r="C1808" t="s">
        <v>273</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cm="1">
        <f t="array" ref="W1808">AND(ISNUMBER(LifeExpectancyData[[#This Row],[Adult Mortality]:[Schooling]]),ISNUMBER(LifeExpectancyData[[#This Row],[Life expectancy]]), LifeExpectancyData[[#This Row],[Year]]=2013)</f>
        <v>0</v>
      </c>
    </row>
    <row r="1809" spans="1:23" hidden="1" x14ac:dyDescent="0.25">
      <c r="A1809" t="s">
        <v>390</v>
      </c>
      <c r="B1809">
        <v>2004</v>
      </c>
      <c r="C1809" t="s">
        <v>273</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cm="1">
        <f t="array" ref="W1809">AND(ISNUMBER(LifeExpectancyData[[#This Row],[Adult Mortality]:[Schooling]]),ISNUMBER(LifeExpectancyData[[#This Row],[Life expectancy]]), LifeExpectancyData[[#This Row],[Year]]=2013)</f>
        <v>0</v>
      </c>
    </row>
    <row r="1810" spans="1:23" hidden="1" x14ac:dyDescent="0.25">
      <c r="A1810" t="s">
        <v>390</v>
      </c>
      <c r="B1810">
        <v>2003</v>
      </c>
      <c r="C1810" t="s">
        <v>273</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cm="1">
        <f t="array" ref="W1810">AND(ISNUMBER(LifeExpectancyData[[#This Row],[Adult Mortality]:[Schooling]]),ISNUMBER(LifeExpectancyData[[#This Row],[Life expectancy]]), LifeExpectancyData[[#This Row],[Year]]=2013)</f>
        <v>0</v>
      </c>
    </row>
    <row r="1811" spans="1:23" hidden="1" x14ac:dyDescent="0.25">
      <c r="A1811" t="s">
        <v>390</v>
      </c>
      <c r="B1811">
        <v>2002</v>
      </c>
      <c r="C1811" t="s">
        <v>273</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cm="1">
        <f t="array" ref="W1811">AND(ISNUMBER(LifeExpectancyData[[#This Row],[Adult Mortality]:[Schooling]]),ISNUMBER(LifeExpectancyData[[#This Row],[Life expectancy]]), LifeExpectancyData[[#This Row],[Year]]=2013)</f>
        <v>0</v>
      </c>
    </row>
    <row r="1812" spans="1:23" hidden="1" x14ac:dyDescent="0.25">
      <c r="A1812" t="s">
        <v>390</v>
      </c>
      <c r="B1812">
        <v>2001</v>
      </c>
      <c r="C1812" t="s">
        <v>273</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cm="1">
        <f t="array" ref="W1812">AND(ISNUMBER(LifeExpectancyData[[#This Row],[Adult Mortality]:[Schooling]]),ISNUMBER(LifeExpectancyData[[#This Row],[Life expectancy]]), LifeExpectancyData[[#This Row],[Year]]=2013)</f>
        <v>0</v>
      </c>
    </row>
    <row r="1813" spans="1:23" hidden="1" x14ac:dyDescent="0.25">
      <c r="A1813" t="s">
        <v>390</v>
      </c>
      <c r="B1813">
        <v>2000</v>
      </c>
      <c r="C1813" t="s">
        <v>273</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cm="1">
        <f t="array" ref="W1813">AND(ISNUMBER(LifeExpectancyData[[#This Row],[Adult Mortality]:[Schooling]]),ISNUMBER(LifeExpectancyData[[#This Row],[Life expectancy]]), LifeExpectancyData[[#This Row],[Year]]=2013)</f>
        <v>0</v>
      </c>
    </row>
    <row r="1814" spans="1:23" hidden="1" x14ac:dyDescent="0.25">
      <c r="A1814" t="s">
        <v>391</v>
      </c>
      <c r="B1814">
        <v>2013</v>
      </c>
      <c r="C1814" t="s">
        <v>273</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cm="1">
        <f t="array" ref="W1814">AND(ISNUMBER(LifeExpectancyData[[#This Row],[Adult Mortality]:[Schooling]]),ISNUMBER(LifeExpectancyData[[#This Row],[Life expectancy]]), LifeExpectancyData[[#This Row],[Year]]=2013)</f>
        <v>0</v>
      </c>
    </row>
    <row r="1815" spans="1:23" hidden="1" x14ac:dyDescent="0.25">
      <c r="A1815" t="s">
        <v>392</v>
      </c>
      <c r="B1815">
        <v>2015</v>
      </c>
      <c r="C1815" t="s">
        <v>273</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cm="1">
        <f t="array" ref="W1815">AND(ISNUMBER(LifeExpectancyData[[#This Row],[Adult Mortality]:[Schooling]]),ISNUMBER(LifeExpectancyData[[#This Row],[Life expectancy]]), LifeExpectancyData[[#This Row],[Year]]=2013)</f>
        <v>0</v>
      </c>
    </row>
    <row r="1816" spans="1:23" x14ac:dyDescent="0.25">
      <c r="A1816" t="s">
        <v>392</v>
      </c>
      <c r="B1816">
        <v>2014</v>
      </c>
      <c r="C1816" t="s">
        <v>273</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cm="1">
        <f t="array" ref="W1816">AND(ISNUMBER(LifeExpectancyData[[#This Row],[Adult Mortality]:[Schooling]]),ISNUMBER(LifeExpectancyData[[#This Row],[Life expectancy]]), LifeExpectancyData[[#This Row],[Year]]=2013)</f>
        <v>0</v>
      </c>
    </row>
    <row r="1817" spans="1:23" x14ac:dyDescent="0.25">
      <c r="A1817" t="s">
        <v>392</v>
      </c>
      <c r="B1817">
        <v>2013</v>
      </c>
      <c r="C1817" t="s">
        <v>273</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cm="1">
        <f t="array" ref="W1817">AND(ISNUMBER(LifeExpectancyData[[#This Row],[Adult Mortality]:[Schooling]]),ISNUMBER(LifeExpectancyData[[#This Row],[Life expectancy]]), LifeExpectancyData[[#This Row],[Year]]=2013)</f>
        <v>1</v>
      </c>
    </row>
    <row r="1818" spans="1:23" x14ac:dyDescent="0.25">
      <c r="A1818" t="s">
        <v>392</v>
      </c>
      <c r="B1818">
        <v>2012</v>
      </c>
      <c r="C1818" t="s">
        <v>273</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cm="1">
        <f t="array" ref="W1818">AND(ISNUMBER(LifeExpectancyData[[#This Row],[Adult Mortality]:[Schooling]]),ISNUMBER(LifeExpectancyData[[#This Row],[Life expectancy]]), LifeExpectancyData[[#This Row],[Year]]=2013)</f>
        <v>0</v>
      </c>
    </row>
    <row r="1819" spans="1:23" x14ac:dyDescent="0.25">
      <c r="A1819" t="s">
        <v>392</v>
      </c>
      <c r="B1819">
        <v>2011</v>
      </c>
      <c r="C1819" t="s">
        <v>273</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cm="1">
        <f t="array" ref="W1819">AND(ISNUMBER(LifeExpectancyData[[#This Row],[Adult Mortality]:[Schooling]]),ISNUMBER(LifeExpectancyData[[#This Row],[Life expectancy]]), LifeExpectancyData[[#This Row],[Year]]=2013)</f>
        <v>0</v>
      </c>
    </row>
    <row r="1820" spans="1:23" x14ac:dyDescent="0.25">
      <c r="A1820" t="s">
        <v>392</v>
      </c>
      <c r="B1820">
        <v>2010</v>
      </c>
      <c r="C1820" t="s">
        <v>273</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cm="1">
        <f t="array" ref="W1820">AND(ISNUMBER(LifeExpectancyData[[#This Row],[Adult Mortality]:[Schooling]]),ISNUMBER(LifeExpectancyData[[#This Row],[Life expectancy]]), LifeExpectancyData[[#This Row],[Year]]=2013)</f>
        <v>0</v>
      </c>
    </row>
    <row r="1821" spans="1:23" x14ac:dyDescent="0.25">
      <c r="A1821" t="s">
        <v>392</v>
      </c>
      <c r="B1821">
        <v>2009</v>
      </c>
      <c r="C1821" t="s">
        <v>273</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cm="1">
        <f t="array" ref="W1821">AND(ISNUMBER(LifeExpectancyData[[#This Row],[Adult Mortality]:[Schooling]]),ISNUMBER(LifeExpectancyData[[#This Row],[Life expectancy]]), LifeExpectancyData[[#This Row],[Year]]=2013)</f>
        <v>0</v>
      </c>
    </row>
    <row r="1822" spans="1:23" x14ac:dyDescent="0.25">
      <c r="A1822" t="s">
        <v>392</v>
      </c>
      <c r="B1822">
        <v>2008</v>
      </c>
      <c r="C1822" t="s">
        <v>273</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cm="1">
        <f t="array" ref="W1822">AND(ISNUMBER(LifeExpectancyData[[#This Row],[Adult Mortality]:[Schooling]]),ISNUMBER(LifeExpectancyData[[#This Row],[Life expectancy]]), LifeExpectancyData[[#This Row],[Year]]=2013)</f>
        <v>0</v>
      </c>
    </row>
    <row r="1823" spans="1:23" x14ac:dyDescent="0.25">
      <c r="A1823" t="s">
        <v>392</v>
      </c>
      <c r="B1823">
        <v>2007</v>
      </c>
      <c r="C1823" t="s">
        <v>273</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cm="1">
        <f t="array" ref="W1823">AND(ISNUMBER(LifeExpectancyData[[#This Row],[Adult Mortality]:[Schooling]]),ISNUMBER(LifeExpectancyData[[#This Row],[Life expectancy]]), LifeExpectancyData[[#This Row],[Year]]=2013)</f>
        <v>0</v>
      </c>
    </row>
    <row r="1824" spans="1:23" x14ac:dyDescent="0.25">
      <c r="A1824" t="s">
        <v>392</v>
      </c>
      <c r="B1824">
        <v>2006</v>
      </c>
      <c r="C1824" t="s">
        <v>273</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cm="1">
        <f t="array" ref="W1824">AND(ISNUMBER(LifeExpectancyData[[#This Row],[Adult Mortality]:[Schooling]]),ISNUMBER(LifeExpectancyData[[#This Row],[Life expectancy]]), LifeExpectancyData[[#This Row],[Year]]=2013)</f>
        <v>0</v>
      </c>
    </row>
    <row r="1825" spans="1:23" x14ac:dyDescent="0.25">
      <c r="A1825" t="s">
        <v>392</v>
      </c>
      <c r="B1825">
        <v>2005</v>
      </c>
      <c r="C1825" t="s">
        <v>273</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cm="1">
        <f t="array" ref="W1825">AND(ISNUMBER(LifeExpectancyData[[#This Row],[Adult Mortality]:[Schooling]]),ISNUMBER(LifeExpectancyData[[#This Row],[Life expectancy]]), LifeExpectancyData[[#This Row],[Year]]=2013)</f>
        <v>0</v>
      </c>
    </row>
    <row r="1826" spans="1:23" x14ac:dyDescent="0.25">
      <c r="A1826" t="s">
        <v>392</v>
      </c>
      <c r="B1826">
        <v>2004</v>
      </c>
      <c r="C1826" t="s">
        <v>273</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cm="1">
        <f t="array" ref="W1826">AND(ISNUMBER(LifeExpectancyData[[#This Row],[Adult Mortality]:[Schooling]]),ISNUMBER(LifeExpectancyData[[#This Row],[Life expectancy]]), LifeExpectancyData[[#This Row],[Year]]=2013)</f>
        <v>0</v>
      </c>
    </row>
    <row r="1827" spans="1:23" x14ac:dyDescent="0.25">
      <c r="A1827" t="s">
        <v>392</v>
      </c>
      <c r="B1827">
        <v>2003</v>
      </c>
      <c r="C1827" t="s">
        <v>273</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cm="1">
        <f t="array" ref="W1827">AND(ISNUMBER(LifeExpectancyData[[#This Row],[Adult Mortality]:[Schooling]]),ISNUMBER(LifeExpectancyData[[#This Row],[Life expectancy]]), LifeExpectancyData[[#This Row],[Year]]=2013)</f>
        <v>0</v>
      </c>
    </row>
    <row r="1828" spans="1:23" hidden="1" x14ac:dyDescent="0.25">
      <c r="A1828" t="s">
        <v>392</v>
      </c>
      <c r="B1828">
        <v>2002</v>
      </c>
      <c r="C1828" t="s">
        <v>273</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cm="1">
        <f t="array" ref="W1828">AND(ISNUMBER(LifeExpectancyData[[#This Row],[Adult Mortality]:[Schooling]]),ISNUMBER(LifeExpectancyData[[#This Row],[Life expectancy]]), LifeExpectancyData[[#This Row],[Year]]=2013)</f>
        <v>0</v>
      </c>
    </row>
    <row r="1829" spans="1:23" hidden="1" x14ac:dyDescent="0.25">
      <c r="A1829" t="s">
        <v>392</v>
      </c>
      <c r="B1829">
        <v>2001</v>
      </c>
      <c r="C1829" t="s">
        <v>273</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cm="1">
        <f t="array" ref="W1829">AND(ISNUMBER(LifeExpectancyData[[#This Row],[Adult Mortality]:[Schooling]]),ISNUMBER(LifeExpectancyData[[#This Row],[Life expectancy]]), LifeExpectancyData[[#This Row],[Year]]=2013)</f>
        <v>0</v>
      </c>
    </row>
    <row r="1830" spans="1:23" hidden="1" x14ac:dyDescent="0.25">
      <c r="A1830" t="s">
        <v>392</v>
      </c>
      <c r="B1830">
        <v>2000</v>
      </c>
      <c r="C1830" t="s">
        <v>273</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cm="1">
        <f t="array" ref="W1830">AND(ISNUMBER(LifeExpectancyData[[#This Row],[Adult Mortality]:[Schooling]]),ISNUMBER(LifeExpectancyData[[#This Row],[Life expectancy]]), LifeExpectancyData[[#This Row],[Year]]=2013)</f>
        <v>0</v>
      </c>
    </row>
    <row r="1831" spans="1:23" hidden="1" x14ac:dyDescent="0.25">
      <c r="A1831" t="s">
        <v>393</v>
      </c>
      <c r="B1831">
        <v>2015</v>
      </c>
      <c r="C1831" t="s">
        <v>281</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cm="1">
        <f t="array" ref="W1831">AND(ISNUMBER(LifeExpectancyData[[#This Row],[Adult Mortality]:[Schooling]]),ISNUMBER(LifeExpectancyData[[#This Row],[Life expectancy]]), LifeExpectancyData[[#This Row],[Year]]=2013)</f>
        <v>0</v>
      </c>
    </row>
    <row r="1832" spans="1:23" x14ac:dyDescent="0.25">
      <c r="A1832" t="s">
        <v>393</v>
      </c>
      <c r="B1832">
        <v>2014</v>
      </c>
      <c r="C1832" t="s">
        <v>281</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cm="1">
        <f t="array" ref="W1832">AND(ISNUMBER(LifeExpectancyData[[#This Row],[Adult Mortality]:[Schooling]]),ISNUMBER(LifeExpectancyData[[#This Row],[Life expectancy]]), LifeExpectancyData[[#This Row],[Year]]=2013)</f>
        <v>0</v>
      </c>
    </row>
    <row r="1833" spans="1:23" x14ac:dyDescent="0.25">
      <c r="A1833" t="s">
        <v>393</v>
      </c>
      <c r="B1833">
        <v>2013</v>
      </c>
      <c r="C1833" t="s">
        <v>281</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cm="1">
        <f t="array" ref="W1833">AND(ISNUMBER(LifeExpectancyData[[#This Row],[Adult Mortality]:[Schooling]]),ISNUMBER(LifeExpectancyData[[#This Row],[Life expectancy]]), LifeExpectancyData[[#This Row],[Year]]=2013)</f>
        <v>1</v>
      </c>
    </row>
    <row r="1834" spans="1:23" x14ac:dyDescent="0.25">
      <c r="A1834" t="s">
        <v>393</v>
      </c>
      <c r="B1834">
        <v>2012</v>
      </c>
      <c r="C1834" t="s">
        <v>281</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cm="1">
        <f t="array" ref="W1834">AND(ISNUMBER(LifeExpectancyData[[#This Row],[Adult Mortality]:[Schooling]]),ISNUMBER(LifeExpectancyData[[#This Row],[Life expectancy]]), LifeExpectancyData[[#This Row],[Year]]=2013)</f>
        <v>0</v>
      </c>
    </row>
    <row r="1835" spans="1:23" x14ac:dyDescent="0.25">
      <c r="A1835" t="s">
        <v>393</v>
      </c>
      <c r="B1835">
        <v>2011</v>
      </c>
      <c r="C1835" t="s">
        <v>281</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cm="1">
        <f t="array" ref="W1835">AND(ISNUMBER(LifeExpectancyData[[#This Row],[Adult Mortality]:[Schooling]]),ISNUMBER(LifeExpectancyData[[#This Row],[Life expectancy]]), LifeExpectancyData[[#This Row],[Year]]=2013)</f>
        <v>0</v>
      </c>
    </row>
    <row r="1836" spans="1:23" hidden="1" x14ac:dyDescent="0.25">
      <c r="A1836" t="s">
        <v>393</v>
      </c>
      <c r="B1836">
        <v>2010</v>
      </c>
      <c r="C1836" t="s">
        <v>281</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cm="1">
        <f t="array" ref="W1836">AND(ISNUMBER(LifeExpectancyData[[#This Row],[Adult Mortality]:[Schooling]]),ISNUMBER(LifeExpectancyData[[#This Row],[Life expectancy]]), LifeExpectancyData[[#This Row],[Year]]=2013)</f>
        <v>0</v>
      </c>
    </row>
    <row r="1837" spans="1:23" hidden="1" x14ac:dyDescent="0.25">
      <c r="A1837" t="s">
        <v>393</v>
      </c>
      <c r="B1837">
        <v>2009</v>
      </c>
      <c r="C1837" t="s">
        <v>281</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cm="1">
        <f t="array" ref="W1837">AND(ISNUMBER(LifeExpectancyData[[#This Row],[Adult Mortality]:[Schooling]]),ISNUMBER(LifeExpectancyData[[#This Row],[Life expectancy]]), LifeExpectancyData[[#This Row],[Year]]=2013)</f>
        <v>0</v>
      </c>
    </row>
    <row r="1838" spans="1:23" hidden="1" x14ac:dyDescent="0.25">
      <c r="A1838" t="s">
        <v>393</v>
      </c>
      <c r="B1838">
        <v>2008</v>
      </c>
      <c r="C1838" t="s">
        <v>281</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cm="1">
        <f t="array" ref="W1838">AND(ISNUMBER(LifeExpectancyData[[#This Row],[Adult Mortality]:[Schooling]]),ISNUMBER(LifeExpectancyData[[#This Row],[Life expectancy]]), LifeExpectancyData[[#This Row],[Year]]=2013)</f>
        <v>0</v>
      </c>
    </row>
    <row r="1839" spans="1:23" hidden="1" x14ac:dyDescent="0.25">
      <c r="A1839" t="s">
        <v>393</v>
      </c>
      <c r="B1839">
        <v>2007</v>
      </c>
      <c r="C1839" t="s">
        <v>281</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cm="1">
        <f t="array" ref="W1839">AND(ISNUMBER(LifeExpectancyData[[#This Row],[Adult Mortality]:[Schooling]]),ISNUMBER(LifeExpectancyData[[#This Row],[Life expectancy]]), LifeExpectancyData[[#This Row],[Year]]=2013)</f>
        <v>0</v>
      </c>
    </row>
    <row r="1840" spans="1:23" hidden="1" x14ac:dyDescent="0.25">
      <c r="A1840" t="s">
        <v>393</v>
      </c>
      <c r="B1840">
        <v>2006</v>
      </c>
      <c r="C1840" t="s">
        <v>281</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cm="1">
        <f t="array" ref="W1840">AND(ISNUMBER(LifeExpectancyData[[#This Row],[Adult Mortality]:[Schooling]]),ISNUMBER(LifeExpectancyData[[#This Row],[Life expectancy]]), LifeExpectancyData[[#This Row],[Year]]=2013)</f>
        <v>0</v>
      </c>
    </row>
    <row r="1841" spans="1:23" hidden="1" x14ac:dyDescent="0.25">
      <c r="A1841" t="s">
        <v>393</v>
      </c>
      <c r="B1841">
        <v>2005</v>
      </c>
      <c r="C1841" t="s">
        <v>281</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cm="1">
        <f t="array" ref="W1841">AND(ISNUMBER(LifeExpectancyData[[#This Row],[Adult Mortality]:[Schooling]]),ISNUMBER(LifeExpectancyData[[#This Row],[Life expectancy]]), LifeExpectancyData[[#This Row],[Year]]=2013)</f>
        <v>0</v>
      </c>
    </row>
    <row r="1842" spans="1:23" hidden="1" x14ac:dyDescent="0.25">
      <c r="A1842" t="s">
        <v>393</v>
      </c>
      <c r="B1842">
        <v>2004</v>
      </c>
      <c r="C1842" t="s">
        <v>281</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cm="1">
        <f t="array" ref="W1842">AND(ISNUMBER(LifeExpectancyData[[#This Row],[Adult Mortality]:[Schooling]]),ISNUMBER(LifeExpectancyData[[#This Row],[Life expectancy]]), LifeExpectancyData[[#This Row],[Year]]=2013)</f>
        <v>0</v>
      </c>
    </row>
    <row r="1843" spans="1:23" hidden="1" x14ac:dyDescent="0.25">
      <c r="A1843" t="s">
        <v>393</v>
      </c>
      <c r="B1843">
        <v>2003</v>
      </c>
      <c r="C1843" t="s">
        <v>281</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cm="1">
        <f t="array" ref="W1843">AND(ISNUMBER(LifeExpectancyData[[#This Row],[Adult Mortality]:[Schooling]]),ISNUMBER(LifeExpectancyData[[#This Row],[Life expectancy]]), LifeExpectancyData[[#This Row],[Year]]=2013)</f>
        <v>0</v>
      </c>
    </row>
    <row r="1844" spans="1:23" hidden="1" x14ac:dyDescent="0.25">
      <c r="A1844" t="s">
        <v>393</v>
      </c>
      <c r="B1844">
        <v>2002</v>
      </c>
      <c r="C1844" t="s">
        <v>281</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cm="1">
        <f t="array" ref="W1844">AND(ISNUMBER(LifeExpectancyData[[#This Row],[Adult Mortality]:[Schooling]]),ISNUMBER(LifeExpectancyData[[#This Row],[Life expectancy]]), LifeExpectancyData[[#This Row],[Year]]=2013)</f>
        <v>0</v>
      </c>
    </row>
    <row r="1845" spans="1:23" hidden="1" x14ac:dyDescent="0.25">
      <c r="A1845" t="s">
        <v>393</v>
      </c>
      <c r="B1845">
        <v>2001</v>
      </c>
      <c r="C1845" t="s">
        <v>281</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cm="1">
        <f t="array" ref="W1845">AND(ISNUMBER(LifeExpectancyData[[#This Row],[Adult Mortality]:[Schooling]]),ISNUMBER(LifeExpectancyData[[#This Row],[Life expectancy]]), LifeExpectancyData[[#This Row],[Year]]=2013)</f>
        <v>0</v>
      </c>
    </row>
    <row r="1846" spans="1:23" hidden="1" x14ac:dyDescent="0.25">
      <c r="A1846" t="s">
        <v>393</v>
      </c>
      <c r="B1846">
        <v>2000</v>
      </c>
      <c r="C1846" t="s">
        <v>281</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cm="1">
        <f t="array" ref="W1846">AND(ISNUMBER(LifeExpectancyData[[#This Row],[Adult Mortality]:[Schooling]]),ISNUMBER(LifeExpectancyData[[#This Row],[Life expectancy]]), LifeExpectancyData[[#This Row],[Year]]=2013)</f>
        <v>0</v>
      </c>
    </row>
    <row r="1847" spans="1:23" hidden="1" x14ac:dyDescent="0.25">
      <c r="A1847" t="s">
        <v>394</v>
      </c>
      <c r="B1847">
        <v>2015</v>
      </c>
      <c r="C1847" t="s">
        <v>281</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cm="1">
        <f t="array" ref="W1847">AND(ISNUMBER(LifeExpectancyData[[#This Row],[Adult Mortality]:[Schooling]]),ISNUMBER(LifeExpectancyData[[#This Row],[Life expectancy]]), LifeExpectancyData[[#This Row],[Year]]=2013)</f>
        <v>0</v>
      </c>
    </row>
    <row r="1848" spans="1:23" hidden="1" x14ac:dyDescent="0.25">
      <c r="A1848" t="s">
        <v>394</v>
      </c>
      <c r="B1848">
        <v>2014</v>
      </c>
      <c r="C1848" t="s">
        <v>281</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cm="1">
        <f t="array" ref="W1848">AND(ISNUMBER(LifeExpectancyData[[#This Row],[Adult Mortality]:[Schooling]]),ISNUMBER(LifeExpectancyData[[#This Row],[Life expectancy]]), LifeExpectancyData[[#This Row],[Year]]=2013)</f>
        <v>0</v>
      </c>
    </row>
    <row r="1849" spans="1:23" hidden="1" x14ac:dyDescent="0.25">
      <c r="A1849" t="s">
        <v>394</v>
      </c>
      <c r="B1849">
        <v>2013</v>
      </c>
      <c r="C1849" t="s">
        <v>281</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cm="1">
        <f t="array" ref="W1849">AND(ISNUMBER(LifeExpectancyData[[#This Row],[Adult Mortality]:[Schooling]]),ISNUMBER(LifeExpectancyData[[#This Row],[Life expectancy]]), LifeExpectancyData[[#This Row],[Year]]=2013)</f>
        <v>0</v>
      </c>
    </row>
    <row r="1850" spans="1:23" hidden="1" x14ac:dyDescent="0.25">
      <c r="A1850" t="s">
        <v>394</v>
      </c>
      <c r="B1850">
        <v>2012</v>
      </c>
      <c r="C1850" t="s">
        <v>281</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cm="1">
        <f t="array" ref="W1850">AND(ISNUMBER(LifeExpectancyData[[#This Row],[Adult Mortality]:[Schooling]]),ISNUMBER(LifeExpectancyData[[#This Row],[Life expectancy]]), LifeExpectancyData[[#This Row],[Year]]=2013)</f>
        <v>0</v>
      </c>
    </row>
    <row r="1851" spans="1:23" hidden="1" x14ac:dyDescent="0.25">
      <c r="A1851" t="s">
        <v>394</v>
      </c>
      <c r="B1851">
        <v>2011</v>
      </c>
      <c r="C1851" t="s">
        <v>281</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cm="1">
        <f t="array" ref="W1851">AND(ISNUMBER(LifeExpectancyData[[#This Row],[Adult Mortality]:[Schooling]]),ISNUMBER(LifeExpectancyData[[#This Row],[Life expectancy]]), LifeExpectancyData[[#This Row],[Year]]=2013)</f>
        <v>0</v>
      </c>
    </row>
    <row r="1852" spans="1:23" hidden="1" x14ac:dyDescent="0.25">
      <c r="A1852" t="s">
        <v>394</v>
      </c>
      <c r="B1852">
        <v>2010</v>
      </c>
      <c r="C1852" t="s">
        <v>281</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cm="1">
        <f t="array" ref="W1852">AND(ISNUMBER(LifeExpectancyData[[#This Row],[Adult Mortality]:[Schooling]]),ISNUMBER(LifeExpectancyData[[#This Row],[Life expectancy]]), LifeExpectancyData[[#This Row],[Year]]=2013)</f>
        <v>0</v>
      </c>
    </row>
    <row r="1853" spans="1:23" hidden="1" x14ac:dyDescent="0.25">
      <c r="A1853" t="s">
        <v>394</v>
      </c>
      <c r="B1853">
        <v>2009</v>
      </c>
      <c r="C1853" t="s">
        <v>281</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cm="1">
        <f t="array" ref="W1853">AND(ISNUMBER(LifeExpectancyData[[#This Row],[Adult Mortality]:[Schooling]]),ISNUMBER(LifeExpectancyData[[#This Row],[Life expectancy]]), LifeExpectancyData[[#This Row],[Year]]=2013)</f>
        <v>0</v>
      </c>
    </row>
    <row r="1854" spans="1:23" hidden="1" x14ac:dyDescent="0.25">
      <c r="A1854" t="s">
        <v>394</v>
      </c>
      <c r="B1854">
        <v>2008</v>
      </c>
      <c r="C1854" t="s">
        <v>281</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cm="1">
        <f t="array" ref="W1854">AND(ISNUMBER(LifeExpectancyData[[#This Row],[Adult Mortality]:[Schooling]]),ISNUMBER(LifeExpectancyData[[#This Row],[Life expectancy]]), LifeExpectancyData[[#This Row],[Year]]=2013)</f>
        <v>0</v>
      </c>
    </row>
    <row r="1855" spans="1:23" hidden="1" x14ac:dyDescent="0.25">
      <c r="A1855" t="s">
        <v>394</v>
      </c>
      <c r="B1855">
        <v>2007</v>
      </c>
      <c r="C1855" t="s">
        <v>281</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cm="1">
        <f t="array" ref="W1855">AND(ISNUMBER(LifeExpectancyData[[#This Row],[Adult Mortality]:[Schooling]]),ISNUMBER(LifeExpectancyData[[#This Row],[Life expectancy]]), LifeExpectancyData[[#This Row],[Year]]=2013)</f>
        <v>0</v>
      </c>
    </row>
    <row r="1856" spans="1:23" hidden="1" x14ac:dyDescent="0.25">
      <c r="A1856" t="s">
        <v>394</v>
      </c>
      <c r="B1856">
        <v>2006</v>
      </c>
      <c r="C1856" t="s">
        <v>281</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cm="1">
        <f t="array" ref="W1856">AND(ISNUMBER(LifeExpectancyData[[#This Row],[Adult Mortality]:[Schooling]]),ISNUMBER(LifeExpectancyData[[#This Row],[Life expectancy]]), LifeExpectancyData[[#This Row],[Year]]=2013)</f>
        <v>0</v>
      </c>
    </row>
    <row r="1857" spans="1:23" hidden="1" x14ac:dyDescent="0.25">
      <c r="A1857" t="s">
        <v>394</v>
      </c>
      <c r="B1857">
        <v>2005</v>
      </c>
      <c r="C1857" t="s">
        <v>281</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cm="1">
        <f t="array" ref="W1857">AND(ISNUMBER(LifeExpectancyData[[#This Row],[Adult Mortality]:[Schooling]]),ISNUMBER(LifeExpectancyData[[#This Row],[Life expectancy]]), LifeExpectancyData[[#This Row],[Year]]=2013)</f>
        <v>0</v>
      </c>
    </row>
    <row r="1858" spans="1:23" hidden="1" x14ac:dyDescent="0.25">
      <c r="A1858" t="s">
        <v>394</v>
      </c>
      <c r="B1858">
        <v>2004</v>
      </c>
      <c r="C1858" t="s">
        <v>281</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cm="1">
        <f t="array" ref="W1858">AND(ISNUMBER(LifeExpectancyData[[#This Row],[Adult Mortality]:[Schooling]]),ISNUMBER(LifeExpectancyData[[#This Row],[Life expectancy]]), LifeExpectancyData[[#This Row],[Year]]=2013)</f>
        <v>0</v>
      </c>
    </row>
    <row r="1859" spans="1:23" hidden="1" x14ac:dyDescent="0.25">
      <c r="A1859" t="s">
        <v>394</v>
      </c>
      <c r="B1859">
        <v>2003</v>
      </c>
      <c r="C1859" t="s">
        <v>281</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cm="1">
        <f t="array" ref="W1859">AND(ISNUMBER(LifeExpectancyData[[#This Row],[Adult Mortality]:[Schooling]]),ISNUMBER(LifeExpectancyData[[#This Row],[Life expectancy]]), LifeExpectancyData[[#This Row],[Year]]=2013)</f>
        <v>0</v>
      </c>
    </row>
    <row r="1860" spans="1:23" hidden="1" x14ac:dyDescent="0.25">
      <c r="A1860" t="s">
        <v>394</v>
      </c>
      <c r="B1860">
        <v>2002</v>
      </c>
      <c r="C1860" t="s">
        <v>281</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cm="1">
        <f t="array" ref="W1860">AND(ISNUMBER(LifeExpectancyData[[#This Row],[Adult Mortality]:[Schooling]]),ISNUMBER(LifeExpectancyData[[#This Row],[Life expectancy]]), LifeExpectancyData[[#This Row],[Year]]=2013)</f>
        <v>0</v>
      </c>
    </row>
    <row r="1861" spans="1:23" hidden="1" x14ac:dyDescent="0.25">
      <c r="A1861" t="s">
        <v>394</v>
      </c>
      <c r="B1861">
        <v>2001</v>
      </c>
      <c r="C1861" t="s">
        <v>281</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cm="1">
        <f t="array" ref="W1861">AND(ISNUMBER(LifeExpectancyData[[#This Row],[Adult Mortality]:[Schooling]]),ISNUMBER(LifeExpectancyData[[#This Row],[Life expectancy]]), LifeExpectancyData[[#This Row],[Year]]=2013)</f>
        <v>0</v>
      </c>
    </row>
    <row r="1862" spans="1:23" hidden="1" x14ac:dyDescent="0.25">
      <c r="A1862" t="s">
        <v>394</v>
      </c>
      <c r="B1862">
        <v>2000</v>
      </c>
      <c r="C1862" t="s">
        <v>281</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cm="1">
        <f t="array" ref="W1862">AND(ISNUMBER(LifeExpectancyData[[#This Row],[Adult Mortality]:[Schooling]]),ISNUMBER(LifeExpectancyData[[#This Row],[Life expectancy]]), LifeExpectancyData[[#This Row],[Year]]=2013)</f>
        <v>0</v>
      </c>
    </row>
    <row r="1863" spans="1:23" hidden="1" x14ac:dyDescent="0.25">
      <c r="A1863" t="s">
        <v>395</v>
      </c>
      <c r="B1863">
        <v>2015</v>
      </c>
      <c r="C1863" t="s">
        <v>273</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cm="1">
        <f t="array" ref="W1863">AND(ISNUMBER(LifeExpectancyData[[#This Row],[Adult Mortality]:[Schooling]]),ISNUMBER(LifeExpectancyData[[#This Row],[Life expectancy]]), LifeExpectancyData[[#This Row],[Year]]=2013)</f>
        <v>0</v>
      </c>
    </row>
    <row r="1864" spans="1:23" x14ac:dyDescent="0.25">
      <c r="A1864" t="s">
        <v>395</v>
      </c>
      <c r="B1864">
        <v>2014</v>
      </c>
      <c r="C1864" t="s">
        <v>273</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cm="1">
        <f t="array" ref="W1864">AND(ISNUMBER(LifeExpectancyData[[#This Row],[Adult Mortality]:[Schooling]]),ISNUMBER(LifeExpectancyData[[#This Row],[Life expectancy]]), LifeExpectancyData[[#This Row],[Year]]=2013)</f>
        <v>0</v>
      </c>
    </row>
    <row r="1865" spans="1:23" x14ac:dyDescent="0.25">
      <c r="A1865" t="s">
        <v>395</v>
      </c>
      <c r="B1865">
        <v>2013</v>
      </c>
      <c r="C1865" t="s">
        <v>273</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cm="1">
        <f t="array" ref="W1865">AND(ISNUMBER(LifeExpectancyData[[#This Row],[Adult Mortality]:[Schooling]]),ISNUMBER(LifeExpectancyData[[#This Row],[Life expectancy]]), LifeExpectancyData[[#This Row],[Year]]=2013)</f>
        <v>1</v>
      </c>
    </row>
    <row r="1866" spans="1:23" x14ac:dyDescent="0.25">
      <c r="A1866" t="s">
        <v>395</v>
      </c>
      <c r="B1866">
        <v>2012</v>
      </c>
      <c r="C1866" t="s">
        <v>273</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cm="1">
        <f t="array" ref="W1866">AND(ISNUMBER(LifeExpectancyData[[#This Row],[Adult Mortality]:[Schooling]]),ISNUMBER(LifeExpectancyData[[#This Row],[Life expectancy]]), LifeExpectancyData[[#This Row],[Year]]=2013)</f>
        <v>0</v>
      </c>
    </row>
    <row r="1867" spans="1:23" x14ac:dyDescent="0.25">
      <c r="A1867" t="s">
        <v>395</v>
      </c>
      <c r="B1867">
        <v>2011</v>
      </c>
      <c r="C1867" t="s">
        <v>273</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cm="1">
        <f t="array" ref="W1867">AND(ISNUMBER(LifeExpectancyData[[#This Row],[Adult Mortality]:[Schooling]]),ISNUMBER(LifeExpectancyData[[#This Row],[Life expectancy]]), LifeExpectancyData[[#This Row],[Year]]=2013)</f>
        <v>0</v>
      </c>
    </row>
    <row r="1868" spans="1:23" x14ac:dyDescent="0.25">
      <c r="A1868" t="s">
        <v>395</v>
      </c>
      <c r="B1868">
        <v>2010</v>
      </c>
      <c r="C1868" t="s">
        <v>273</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cm="1">
        <f t="array" ref="W1868">AND(ISNUMBER(LifeExpectancyData[[#This Row],[Adult Mortality]:[Schooling]]),ISNUMBER(LifeExpectancyData[[#This Row],[Life expectancy]]), LifeExpectancyData[[#This Row],[Year]]=2013)</f>
        <v>0</v>
      </c>
    </row>
    <row r="1869" spans="1:23" x14ac:dyDescent="0.25">
      <c r="A1869" t="s">
        <v>395</v>
      </c>
      <c r="B1869">
        <v>2009</v>
      </c>
      <c r="C1869" t="s">
        <v>273</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cm="1">
        <f t="array" ref="W1869">AND(ISNUMBER(LifeExpectancyData[[#This Row],[Adult Mortality]:[Schooling]]),ISNUMBER(LifeExpectancyData[[#This Row],[Life expectancy]]), LifeExpectancyData[[#This Row],[Year]]=2013)</f>
        <v>0</v>
      </c>
    </row>
    <row r="1870" spans="1:23" x14ac:dyDescent="0.25">
      <c r="A1870" t="s">
        <v>395</v>
      </c>
      <c r="B1870">
        <v>2008</v>
      </c>
      <c r="C1870" t="s">
        <v>273</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cm="1">
        <f t="array" ref="W1870">AND(ISNUMBER(LifeExpectancyData[[#This Row],[Adult Mortality]:[Schooling]]),ISNUMBER(LifeExpectancyData[[#This Row],[Life expectancy]]), LifeExpectancyData[[#This Row],[Year]]=2013)</f>
        <v>0</v>
      </c>
    </row>
    <row r="1871" spans="1:23" x14ac:dyDescent="0.25">
      <c r="A1871" t="s">
        <v>395</v>
      </c>
      <c r="B1871">
        <v>2007</v>
      </c>
      <c r="C1871" t="s">
        <v>273</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cm="1">
        <f t="array" ref="W1871">AND(ISNUMBER(LifeExpectancyData[[#This Row],[Adult Mortality]:[Schooling]]),ISNUMBER(LifeExpectancyData[[#This Row],[Life expectancy]]), LifeExpectancyData[[#This Row],[Year]]=2013)</f>
        <v>0</v>
      </c>
    </row>
    <row r="1872" spans="1:23" x14ac:dyDescent="0.25">
      <c r="A1872" t="s">
        <v>395</v>
      </c>
      <c r="B1872">
        <v>2006</v>
      </c>
      <c r="C1872" t="s">
        <v>273</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cm="1">
        <f t="array" ref="W1872">AND(ISNUMBER(LifeExpectancyData[[#This Row],[Adult Mortality]:[Schooling]]),ISNUMBER(LifeExpectancyData[[#This Row],[Life expectancy]]), LifeExpectancyData[[#This Row],[Year]]=2013)</f>
        <v>0</v>
      </c>
    </row>
    <row r="1873" spans="1:23" x14ac:dyDescent="0.25">
      <c r="A1873" t="s">
        <v>395</v>
      </c>
      <c r="B1873">
        <v>2005</v>
      </c>
      <c r="C1873" t="s">
        <v>273</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cm="1">
        <f t="array" ref="W1873">AND(ISNUMBER(LifeExpectancyData[[#This Row],[Adult Mortality]:[Schooling]]),ISNUMBER(LifeExpectancyData[[#This Row],[Life expectancy]]), LifeExpectancyData[[#This Row],[Year]]=2013)</f>
        <v>0</v>
      </c>
    </row>
    <row r="1874" spans="1:23" x14ac:dyDescent="0.25">
      <c r="A1874" t="s">
        <v>395</v>
      </c>
      <c r="B1874">
        <v>2004</v>
      </c>
      <c r="C1874" t="s">
        <v>273</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cm="1">
        <f t="array" ref="W1874">AND(ISNUMBER(LifeExpectancyData[[#This Row],[Adult Mortality]:[Schooling]]),ISNUMBER(LifeExpectancyData[[#This Row],[Life expectancy]]), LifeExpectancyData[[#This Row],[Year]]=2013)</f>
        <v>0</v>
      </c>
    </row>
    <row r="1875" spans="1:23" x14ac:dyDescent="0.25">
      <c r="A1875" t="s">
        <v>395</v>
      </c>
      <c r="B1875">
        <v>2003</v>
      </c>
      <c r="C1875" t="s">
        <v>273</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cm="1">
        <f t="array" ref="W1875">AND(ISNUMBER(LifeExpectancyData[[#This Row],[Adult Mortality]:[Schooling]]),ISNUMBER(LifeExpectancyData[[#This Row],[Life expectancy]]), LifeExpectancyData[[#This Row],[Year]]=2013)</f>
        <v>0</v>
      </c>
    </row>
    <row r="1876" spans="1:23" x14ac:dyDescent="0.25">
      <c r="A1876" t="s">
        <v>395</v>
      </c>
      <c r="B1876">
        <v>2002</v>
      </c>
      <c r="C1876" t="s">
        <v>273</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cm="1">
        <f t="array" ref="W1876">AND(ISNUMBER(LifeExpectancyData[[#This Row],[Adult Mortality]:[Schooling]]),ISNUMBER(LifeExpectancyData[[#This Row],[Life expectancy]]), LifeExpectancyData[[#This Row],[Year]]=2013)</f>
        <v>0</v>
      </c>
    </row>
    <row r="1877" spans="1:23" x14ac:dyDescent="0.25">
      <c r="A1877" t="s">
        <v>395</v>
      </c>
      <c r="B1877">
        <v>2001</v>
      </c>
      <c r="C1877" t="s">
        <v>273</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cm="1">
        <f t="array" ref="W1877">AND(ISNUMBER(LifeExpectancyData[[#This Row],[Adult Mortality]:[Schooling]]),ISNUMBER(LifeExpectancyData[[#This Row],[Life expectancy]]), LifeExpectancyData[[#This Row],[Year]]=2013)</f>
        <v>0</v>
      </c>
    </row>
    <row r="1878" spans="1:23" x14ac:dyDescent="0.25">
      <c r="A1878" t="s">
        <v>395</v>
      </c>
      <c r="B1878">
        <v>2000</v>
      </c>
      <c r="C1878" t="s">
        <v>273</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cm="1">
        <f t="array" ref="W1878">AND(ISNUMBER(LifeExpectancyData[[#This Row],[Adult Mortality]:[Schooling]]),ISNUMBER(LifeExpectancyData[[#This Row],[Life expectancy]]), LifeExpectancyData[[#This Row],[Year]]=2013)</f>
        <v>0</v>
      </c>
    </row>
    <row r="1879" spans="1:23" hidden="1" x14ac:dyDescent="0.25">
      <c r="A1879" t="s">
        <v>396</v>
      </c>
      <c r="B1879">
        <v>2015</v>
      </c>
      <c r="C1879" t="s">
        <v>273</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cm="1">
        <f t="array" ref="W1879">AND(ISNUMBER(LifeExpectancyData[[#This Row],[Adult Mortality]:[Schooling]]),ISNUMBER(LifeExpectancyData[[#This Row],[Life expectancy]]), LifeExpectancyData[[#This Row],[Year]]=2013)</f>
        <v>0</v>
      </c>
    </row>
    <row r="1880" spans="1:23" x14ac:dyDescent="0.25">
      <c r="A1880" t="s">
        <v>396</v>
      </c>
      <c r="B1880">
        <v>2014</v>
      </c>
      <c r="C1880" t="s">
        <v>273</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cm="1">
        <f t="array" ref="W1880">AND(ISNUMBER(LifeExpectancyData[[#This Row],[Adult Mortality]:[Schooling]]),ISNUMBER(LifeExpectancyData[[#This Row],[Life expectancy]]), LifeExpectancyData[[#This Row],[Year]]=2013)</f>
        <v>0</v>
      </c>
    </row>
    <row r="1881" spans="1:23" x14ac:dyDescent="0.25">
      <c r="A1881" t="s">
        <v>396</v>
      </c>
      <c r="B1881">
        <v>2013</v>
      </c>
      <c r="C1881" t="s">
        <v>273</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cm="1">
        <f t="array" ref="W1881">AND(ISNUMBER(LifeExpectancyData[[#This Row],[Adult Mortality]:[Schooling]]),ISNUMBER(LifeExpectancyData[[#This Row],[Life expectancy]]), LifeExpectancyData[[#This Row],[Year]]=2013)</f>
        <v>1</v>
      </c>
    </row>
    <row r="1882" spans="1:23" x14ac:dyDescent="0.25">
      <c r="A1882" t="s">
        <v>396</v>
      </c>
      <c r="B1882">
        <v>2012</v>
      </c>
      <c r="C1882" t="s">
        <v>273</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cm="1">
        <f t="array" ref="W1882">AND(ISNUMBER(LifeExpectancyData[[#This Row],[Adult Mortality]:[Schooling]]),ISNUMBER(LifeExpectancyData[[#This Row],[Life expectancy]]), LifeExpectancyData[[#This Row],[Year]]=2013)</f>
        <v>0</v>
      </c>
    </row>
    <row r="1883" spans="1:23" x14ac:dyDescent="0.25">
      <c r="A1883" t="s">
        <v>396</v>
      </c>
      <c r="B1883">
        <v>2011</v>
      </c>
      <c r="C1883" t="s">
        <v>273</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cm="1">
        <f t="array" ref="W1883">AND(ISNUMBER(LifeExpectancyData[[#This Row],[Adult Mortality]:[Schooling]]),ISNUMBER(LifeExpectancyData[[#This Row],[Life expectancy]]), LifeExpectancyData[[#This Row],[Year]]=2013)</f>
        <v>0</v>
      </c>
    </row>
    <row r="1884" spans="1:23" x14ac:dyDescent="0.25">
      <c r="A1884" t="s">
        <v>396</v>
      </c>
      <c r="B1884">
        <v>2010</v>
      </c>
      <c r="C1884" t="s">
        <v>273</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cm="1">
        <f t="array" ref="W1884">AND(ISNUMBER(LifeExpectancyData[[#This Row],[Adult Mortality]:[Schooling]]),ISNUMBER(LifeExpectancyData[[#This Row],[Life expectancy]]), LifeExpectancyData[[#This Row],[Year]]=2013)</f>
        <v>0</v>
      </c>
    </row>
    <row r="1885" spans="1:23" x14ac:dyDescent="0.25">
      <c r="A1885" t="s">
        <v>396</v>
      </c>
      <c r="B1885">
        <v>2009</v>
      </c>
      <c r="C1885" t="s">
        <v>273</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cm="1">
        <f t="array" ref="W1885">AND(ISNUMBER(LifeExpectancyData[[#This Row],[Adult Mortality]:[Schooling]]),ISNUMBER(LifeExpectancyData[[#This Row],[Life expectancy]]), LifeExpectancyData[[#This Row],[Year]]=2013)</f>
        <v>0</v>
      </c>
    </row>
    <row r="1886" spans="1:23" hidden="1" x14ac:dyDescent="0.25">
      <c r="A1886" t="s">
        <v>396</v>
      </c>
      <c r="B1886">
        <v>2008</v>
      </c>
      <c r="C1886" t="s">
        <v>273</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cm="1">
        <f t="array" ref="W1886">AND(ISNUMBER(LifeExpectancyData[[#This Row],[Adult Mortality]:[Schooling]]),ISNUMBER(LifeExpectancyData[[#This Row],[Life expectancy]]), LifeExpectancyData[[#This Row],[Year]]=2013)</f>
        <v>0</v>
      </c>
    </row>
    <row r="1887" spans="1:23" hidden="1" x14ac:dyDescent="0.25">
      <c r="A1887" t="s">
        <v>396</v>
      </c>
      <c r="B1887">
        <v>2007</v>
      </c>
      <c r="C1887" t="s">
        <v>273</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cm="1">
        <f t="array" ref="W1887">AND(ISNUMBER(LifeExpectancyData[[#This Row],[Adult Mortality]:[Schooling]]),ISNUMBER(LifeExpectancyData[[#This Row],[Life expectancy]]), LifeExpectancyData[[#This Row],[Year]]=2013)</f>
        <v>0</v>
      </c>
    </row>
    <row r="1888" spans="1:23" hidden="1" x14ac:dyDescent="0.25">
      <c r="A1888" t="s">
        <v>396</v>
      </c>
      <c r="B1888">
        <v>2006</v>
      </c>
      <c r="C1888" t="s">
        <v>273</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cm="1">
        <f t="array" ref="W1888">AND(ISNUMBER(LifeExpectancyData[[#This Row],[Adult Mortality]:[Schooling]]),ISNUMBER(LifeExpectancyData[[#This Row],[Life expectancy]]), LifeExpectancyData[[#This Row],[Year]]=2013)</f>
        <v>0</v>
      </c>
    </row>
    <row r="1889" spans="1:23" hidden="1" x14ac:dyDescent="0.25">
      <c r="A1889" t="s">
        <v>396</v>
      </c>
      <c r="B1889">
        <v>2005</v>
      </c>
      <c r="C1889" t="s">
        <v>273</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cm="1">
        <f t="array" ref="W1889">AND(ISNUMBER(LifeExpectancyData[[#This Row],[Adult Mortality]:[Schooling]]),ISNUMBER(LifeExpectancyData[[#This Row],[Life expectancy]]), LifeExpectancyData[[#This Row],[Year]]=2013)</f>
        <v>0</v>
      </c>
    </row>
    <row r="1890" spans="1:23" hidden="1" x14ac:dyDescent="0.25">
      <c r="A1890" t="s">
        <v>396</v>
      </c>
      <c r="B1890">
        <v>2004</v>
      </c>
      <c r="C1890" t="s">
        <v>273</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cm="1">
        <f t="array" ref="W1890">AND(ISNUMBER(LifeExpectancyData[[#This Row],[Adult Mortality]:[Schooling]]),ISNUMBER(LifeExpectancyData[[#This Row],[Life expectancy]]), LifeExpectancyData[[#This Row],[Year]]=2013)</f>
        <v>0</v>
      </c>
    </row>
    <row r="1891" spans="1:23" hidden="1" x14ac:dyDescent="0.25">
      <c r="A1891" t="s">
        <v>396</v>
      </c>
      <c r="B1891">
        <v>2003</v>
      </c>
      <c r="C1891" t="s">
        <v>273</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cm="1">
        <f t="array" ref="W1891">AND(ISNUMBER(LifeExpectancyData[[#This Row],[Adult Mortality]:[Schooling]]),ISNUMBER(LifeExpectancyData[[#This Row],[Life expectancy]]), LifeExpectancyData[[#This Row],[Year]]=2013)</f>
        <v>0</v>
      </c>
    </row>
    <row r="1892" spans="1:23" hidden="1" x14ac:dyDescent="0.25">
      <c r="A1892" t="s">
        <v>396</v>
      </c>
      <c r="B1892">
        <v>2002</v>
      </c>
      <c r="C1892" t="s">
        <v>273</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cm="1">
        <f t="array" ref="W1892">AND(ISNUMBER(LifeExpectancyData[[#This Row],[Adult Mortality]:[Schooling]]),ISNUMBER(LifeExpectancyData[[#This Row],[Life expectancy]]), LifeExpectancyData[[#This Row],[Year]]=2013)</f>
        <v>0</v>
      </c>
    </row>
    <row r="1893" spans="1:23" hidden="1" x14ac:dyDescent="0.25">
      <c r="A1893" t="s">
        <v>396</v>
      </c>
      <c r="B1893">
        <v>2001</v>
      </c>
      <c r="C1893" t="s">
        <v>273</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cm="1">
        <f t="array" ref="W1893">AND(ISNUMBER(LifeExpectancyData[[#This Row],[Adult Mortality]:[Schooling]]),ISNUMBER(LifeExpectancyData[[#This Row],[Life expectancy]]), LifeExpectancyData[[#This Row],[Year]]=2013)</f>
        <v>0</v>
      </c>
    </row>
    <row r="1894" spans="1:23" hidden="1" x14ac:dyDescent="0.25">
      <c r="A1894" t="s">
        <v>396</v>
      </c>
      <c r="B1894">
        <v>2000</v>
      </c>
      <c r="C1894" t="s">
        <v>273</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cm="1">
        <f t="array" ref="W1894">AND(ISNUMBER(LifeExpectancyData[[#This Row],[Adult Mortality]:[Schooling]]),ISNUMBER(LifeExpectancyData[[#This Row],[Life expectancy]]), LifeExpectancyData[[#This Row],[Year]]=2013)</f>
        <v>0</v>
      </c>
    </row>
    <row r="1895" spans="1:23" hidden="1" x14ac:dyDescent="0.25">
      <c r="A1895" t="s">
        <v>397</v>
      </c>
      <c r="B1895">
        <v>2015</v>
      </c>
      <c r="C1895" t="s">
        <v>273</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cm="1">
        <f t="array" ref="W1895">AND(ISNUMBER(LifeExpectancyData[[#This Row],[Adult Mortality]:[Schooling]]),ISNUMBER(LifeExpectancyData[[#This Row],[Life expectancy]]), LifeExpectancyData[[#This Row],[Year]]=2013)</f>
        <v>0</v>
      </c>
    </row>
    <row r="1896" spans="1:23" x14ac:dyDescent="0.25">
      <c r="A1896" t="s">
        <v>397</v>
      </c>
      <c r="B1896">
        <v>2014</v>
      </c>
      <c r="C1896" t="s">
        <v>273</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cm="1">
        <f t="array" ref="W1896">AND(ISNUMBER(LifeExpectancyData[[#This Row],[Adult Mortality]:[Schooling]]),ISNUMBER(LifeExpectancyData[[#This Row],[Life expectancy]]), LifeExpectancyData[[#This Row],[Year]]=2013)</f>
        <v>0</v>
      </c>
    </row>
    <row r="1897" spans="1:23" x14ac:dyDescent="0.25">
      <c r="A1897" t="s">
        <v>397</v>
      </c>
      <c r="B1897">
        <v>2013</v>
      </c>
      <c r="C1897" t="s">
        <v>273</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cm="1">
        <f t="array" ref="W1897">AND(ISNUMBER(LifeExpectancyData[[#This Row],[Adult Mortality]:[Schooling]]),ISNUMBER(LifeExpectancyData[[#This Row],[Life expectancy]]), LifeExpectancyData[[#This Row],[Year]]=2013)</f>
        <v>1</v>
      </c>
    </row>
    <row r="1898" spans="1:23" x14ac:dyDescent="0.25">
      <c r="A1898" t="s">
        <v>397</v>
      </c>
      <c r="B1898">
        <v>2012</v>
      </c>
      <c r="C1898" t="s">
        <v>273</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cm="1">
        <f t="array" ref="W1898">AND(ISNUMBER(LifeExpectancyData[[#This Row],[Adult Mortality]:[Schooling]]),ISNUMBER(LifeExpectancyData[[#This Row],[Life expectancy]]), LifeExpectancyData[[#This Row],[Year]]=2013)</f>
        <v>0</v>
      </c>
    </row>
    <row r="1899" spans="1:23" x14ac:dyDescent="0.25">
      <c r="A1899" t="s">
        <v>397</v>
      </c>
      <c r="B1899">
        <v>2011</v>
      </c>
      <c r="C1899" t="s">
        <v>273</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cm="1">
        <f t="array" ref="W1899">AND(ISNUMBER(LifeExpectancyData[[#This Row],[Adult Mortality]:[Schooling]]),ISNUMBER(LifeExpectancyData[[#This Row],[Life expectancy]]), LifeExpectancyData[[#This Row],[Year]]=2013)</f>
        <v>0</v>
      </c>
    </row>
    <row r="1900" spans="1:23" x14ac:dyDescent="0.25">
      <c r="A1900" t="s">
        <v>397</v>
      </c>
      <c r="B1900">
        <v>2010</v>
      </c>
      <c r="C1900" t="s">
        <v>273</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cm="1">
        <f t="array" ref="W1900">AND(ISNUMBER(LifeExpectancyData[[#This Row],[Adult Mortality]:[Schooling]]),ISNUMBER(LifeExpectancyData[[#This Row],[Life expectancy]]), LifeExpectancyData[[#This Row],[Year]]=2013)</f>
        <v>0</v>
      </c>
    </row>
    <row r="1901" spans="1:23" x14ac:dyDescent="0.25">
      <c r="A1901" t="s">
        <v>397</v>
      </c>
      <c r="B1901">
        <v>2009</v>
      </c>
      <c r="C1901" t="s">
        <v>273</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cm="1">
        <f t="array" ref="W1901">AND(ISNUMBER(LifeExpectancyData[[#This Row],[Adult Mortality]:[Schooling]]),ISNUMBER(LifeExpectancyData[[#This Row],[Life expectancy]]), LifeExpectancyData[[#This Row],[Year]]=2013)</f>
        <v>0</v>
      </c>
    </row>
    <row r="1902" spans="1:23" x14ac:dyDescent="0.25">
      <c r="A1902" t="s">
        <v>397</v>
      </c>
      <c r="B1902">
        <v>2008</v>
      </c>
      <c r="C1902" t="s">
        <v>273</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cm="1">
        <f t="array" ref="W1902">AND(ISNUMBER(LifeExpectancyData[[#This Row],[Adult Mortality]:[Schooling]]),ISNUMBER(LifeExpectancyData[[#This Row],[Life expectancy]]), LifeExpectancyData[[#This Row],[Year]]=2013)</f>
        <v>0</v>
      </c>
    </row>
    <row r="1903" spans="1:23" x14ac:dyDescent="0.25">
      <c r="A1903" t="s">
        <v>397</v>
      </c>
      <c r="B1903">
        <v>2007</v>
      </c>
      <c r="C1903" t="s">
        <v>273</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cm="1">
        <f t="array" ref="W1903">AND(ISNUMBER(LifeExpectancyData[[#This Row],[Adult Mortality]:[Schooling]]),ISNUMBER(LifeExpectancyData[[#This Row],[Life expectancy]]), LifeExpectancyData[[#This Row],[Year]]=2013)</f>
        <v>0</v>
      </c>
    </row>
    <row r="1904" spans="1:23" x14ac:dyDescent="0.25">
      <c r="A1904" t="s">
        <v>397</v>
      </c>
      <c r="B1904">
        <v>2006</v>
      </c>
      <c r="C1904" t="s">
        <v>273</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cm="1">
        <f t="array" ref="W1904">AND(ISNUMBER(LifeExpectancyData[[#This Row],[Adult Mortality]:[Schooling]]),ISNUMBER(LifeExpectancyData[[#This Row],[Life expectancy]]), LifeExpectancyData[[#This Row],[Year]]=2013)</f>
        <v>0</v>
      </c>
    </row>
    <row r="1905" spans="1:23" x14ac:dyDescent="0.25">
      <c r="A1905" t="s">
        <v>397</v>
      </c>
      <c r="B1905">
        <v>2005</v>
      </c>
      <c r="C1905" t="s">
        <v>273</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cm="1">
        <f t="array" ref="W1905">AND(ISNUMBER(LifeExpectancyData[[#This Row],[Adult Mortality]:[Schooling]]),ISNUMBER(LifeExpectancyData[[#This Row],[Life expectancy]]), LifeExpectancyData[[#This Row],[Year]]=2013)</f>
        <v>0</v>
      </c>
    </row>
    <row r="1906" spans="1:23" hidden="1" x14ac:dyDescent="0.25">
      <c r="A1906" t="s">
        <v>397</v>
      </c>
      <c r="B1906">
        <v>2004</v>
      </c>
      <c r="C1906" t="s">
        <v>273</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cm="1">
        <f t="array" ref="W1906">AND(ISNUMBER(LifeExpectancyData[[#This Row],[Adult Mortality]:[Schooling]]),ISNUMBER(LifeExpectancyData[[#This Row],[Life expectancy]]), LifeExpectancyData[[#This Row],[Year]]=2013)</f>
        <v>0</v>
      </c>
    </row>
    <row r="1907" spans="1:23" hidden="1" x14ac:dyDescent="0.25">
      <c r="A1907" t="s">
        <v>397</v>
      </c>
      <c r="B1907">
        <v>2003</v>
      </c>
      <c r="C1907" t="s">
        <v>273</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cm="1">
        <f t="array" ref="W1907">AND(ISNUMBER(LifeExpectancyData[[#This Row],[Adult Mortality]:[Schooling]]),ISNUMBER(LifeExpectancyData[[#This Row],[Life expectancy]]), LifeExpectancyData[[#This Row],[Year]]=2013)</f>
        <v>0</v>
      </c>
    </row>
    <row r="1908" spans="1:23" hidden="1" x14ac:dyDescent="0.25">
      <c r="A1908" t="s">
        <v>397</v>
      </c>
      <c r="B1908">
        <v>2002</v>
      </c>
      <c r="C1908" t="s">
        <v>273</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cm="1">
        <f t="array" ref="W1908">AND(ISNUMBER(LifeExpectancyData[[#This Row],[Adult Mortality]:[Schooling]]),ISNUMBER(LifeExpectancyData[[#This Row],[Life expectancy]]), LifeExpectancyData[[#This Row],[Year]]=2013)</f>
        <v>0</v>
      </c>
    </row>
    <row r="1909" spans="1:23" hidden="1" x14ac:dyDescent="0.25">
      <c r="A1909" t="s">
        <v>397</v>
      </c>
      <c r="B1909">
        <v>2001</v>
      </c>
      <c r="C1909" t="s">
        <v>273</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cm="1">
        <f t="array" ref="W1909">AND(ISNUMBER(LifeExpectancyData[[#This Row],[Adult Mortality]:[Schooling]]),ISNUMBER(LifeExpectancyData[[#This Row],[Life expectancy]]), LifeExpectancyData[[#This Row],[Year]]=2013)</f>
        <v>0</v>
      </c>
    </row>
    <row r="1910" spans="1:23" hidden="1" x14ac:dyDescent="0.25">
      <c r="A1910" t="s">
        <v>397</v>
      </c>
      <c r="B1910">
        <v>2000</v>
      </c>
      <c r="C1910" t="s">
        <v>273</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cm="1">
        <f t="array" ref="W1910">AND(ISNUMBER(LifeExpectancyData[[#This Row],[Adult Mortality]:[Schooling]]),ISNUMBER(LifeExpectancyData[[#This Row],[Life expectancy]]), LifeExpectancyData[[#This Row],[Year]]=2013)</f>
        <v>0</v>
      </c>
    </row>
    <row r="1911" spans="1:23" hidden="1" x14ac:dyDescent="0.25">
      <c r="A1911" t="s">
        <v>398</v>
      </c>
      <c r="B1911">
        <v>2013</v>
      </c>
      <c r="C1911" t="s">
        <v>273</v>
      </c>
      <c r="F1911">
        <v>0</v>
      </c>
      <c r="G1911">
        <v>0.01</v>
      </c>
      <c r="H1911">
        <v>0</v>
      </c>
      <c r="I1911">
        <v>99</v>
      </c>
      <c r="J1911">
        <v>0</v>
      </c>
      <c r="K1911">
        <v>77.3</v>
      </c>
      <c r="L1911">
        <v>0</v>
      </c>
      <c r="M1911">
        <v>99</v>
      </c>
      <c r="N1911">
        <v>7.2</v>
      </c>
      <c r="O1911">
        <v>99</v>
      </c>
      <c r="P1911">
        <v>0.1</v>
      </c>
      <c r="S1911">
        <v>0.1</v>
      </c>
      <c r="T1911">
        <v>0.1</v>
      </c>
      <c r="W1911" t="b" cm="1">
        <f t="array" ref="W1911">AND(ISNUMBER(LifeExpectancyData[[#This Row],[Adult Mortality]:[Schooling]]),ISNUMBER(LifeExpectancyData[[#This Row],[Life expectancy]]), LifeExpectancyData[[#This Row],[Year]]=2013)</f>
        <v>0</v>
      </c>
    </row>
    <row r="1912" spans="1:23" hidden="1" x14ac:dyDescent="0.25">
      <c r="A1912" t="s">
        <v>399</v>
      </c>
      <c r="B1912">
        <v>2015</v>
      </c>
      <c r="C1912" t="s">
        <v>281</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cm="1">
        <f t="array" ref="W1912">AND(ISNUMBER(LifeExpectancyData[[#This Row],[Adult Mortality]:[Schooling]]),ISNUMBER(LifeExpectancyData[[#This Row],[Life expectancy]]), LifeExpectancyData[[#This Row],[Year]]=2013)</f>
        <v>0</v>
      </c>
    </row>
    <row r="1913" spans="1:23" hidden="1" x14ac:dyDescent="0.25">
      <c r="A1913" t="s">
        <v>399</v>
      </c>
      <c r="B1913">
        <v>2014</v>
      </c>
      <c r="C1913" t="s">
        <v>281</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cm="1">
        <f t="array" ref="W1913">AND(ISNUMBER(LifeExpectancyData[[#This Row],[Adult Mortality]:[Schooling]]),ISNUMBER(LifeExpectancyData[[#This Row],[Life expectancy]]), LifeExpectancyData[[#This Row],[Year]]=2013)</f>
        <v>0</v>
      </c>
    </row>
    <row r="1914" spans="1:23" hidden="1" x14ac:dyDescent="0.25">
      <c r="A1914" t="s">
        <v>399</v>
      </c>
      <c r="B1914">
        <v>2013</v>
      </c>
      <c r="C1914" t="s">
        <v>281</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cm="1">
        <f t="array" ref="W1914">AND(ISNUMBER(LifeExpectancyData[[#This Row],[Adult Mortality]:[Schooling]]),ISNUMBER(LifeExpectancyData[[#This Row],[Life expectancy]]), LifeExpectancyData[[#This Row],[Year]]=2013)</f>
        <v>0</v>
      </c>
    </row>
    <row r="1915" spans="1:23" hidden="1" x14ac:dyDescent="0.25">
      <c r="A1915" t="s">
        <v>399</v>
      </c>
      <c r="B1915">
        <v>2012</v>
      </c>
      <c r="C1915" t="s">
        <v>281</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cm="1">
        <f t="array" ref="W1915">AND(ISNUMBER(LifeExpectancyData[[#This Row],[Adult Mortality]:[Schooling]]),ISNUMBER(LifeExpectancyData[[#This Row],[Life expectancy]]), LifeExpectancyData[[#This Row],[Year]]=2013)</f>
        <v>0</v>
      </c>
    </row>
    <row r="1916" spans="1:23" hidden="1" x14ac:dyDescent="0.25">
      <c r="A1916" t="s">
        <v>399</v>
      </c>
      <c r="B1916">
        <v>2011</v>
      </c>
      <c r="C1916" t="s">
        <v>281</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cm="1">
        <f t="array" ref="W1916">AND(ISNUMBER(LifeExpectancyData[[#This Row],[Adult Mortality]:[Schooling]]),ISNUMBER(LifeExpectancyData[[#This Row],[Life expectancy]]), LifeExpectancyData[[#This Row],[Year]]=2013)</f>
        <v>0</v>
      </c>
    </row>
    <row r="1917" spans="1:23" hidden="1" x14ac:dyDescent="0.25">
      <c r="A1917" t="s">
        <v>399</v>
      </c>
      <c r="B1917">
        <v>2010</v>
      </c>
      <c r="C1917" t="s">
        <v>281</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cm="1">
        <f t="array" ref="W1917">AND(ISNUMBER(LifeExpectancyData[[#This Row],[Adult Mortality]:[Schooling]]),ISNUMBER(LifeExpectancyData[[#This Row],[Life expectancy]]), LifeExpectancyData[[#This Row],[Year]]=2013)</f>
        <v>0</v>
      </c>
    </row>
    <row r="1918" spans="1:23" hidden="1" x14ac:dyDescent="0.25">
      <c r="A1918" t="s">
        <v>399</v>
      </c>
      <c r="B1918">
        <v>2009</v>
      </c>
      <c r="C1918" t="s">
        <v>281</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cm="1">
        <f t="array" ref="W1918">AND(ISNUMBER(LifeExpectancyData[[#This Row],[Adult Mortality]:[Schooling]]),ISNUMBER(LifeExpectancyData[[#This Row],[Life expectancy]]), LifeExpectancyData[[#This Row],[Year]]=2013)</f>
        <v>0</v>
      </c>
    </row>
    <row r="1919" spans="1:23" hidden="1" x14ac:dyDescent="0.25">
      <c r="A1919" t="s">
        <v>399</v>
      </c>
      <c r="B1919">
        <v>2008</v>
      </c>
      <c r="C1919" t="s">
        <v>281</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cm="1">
        <f t="array" ref="W1919">AND(ISNUMBER(LifeExpectancyData[[#This Row],[Adult Mortality]:[Schooling]]),ISNUMBER(LifeExpectancyData[[#This Row],[Life expectancy]]), LifeExpectancyData[[#This Row],[Year]]=2013)</f>
        <v>0</v>
      </c>
    </row>
    <row r="1920" spans="1:23" hidden="1" x14ac:dyDescent="0.25">
      <c r="A1920" t="s">
        <v>399</v>
      </c>
      <c r="B1920">
        <v>2007</v>
      </c>
      <c r="C1920" t="s">
        <v>281</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cm="1">
        <f t="array" ref="W1920">AND(ISNUMBER(LifeExpectancyData[[#This Row],[Adult Mortality]:[Schooling]]),ISNUMBER(LifeExpectancyData[[#This Row],[Life expectancy]]), LifeExpectancyData[[#This Row],[Year]]=2013)</f>
        <v>0</v>
      </c>
    </row>
    <row r="1921" spans="1:23" hidden="1" x14ac:dyDescent="0.25">
      <c r="A1921" t="s">
        <v>399</v>
      </c>
      <c r="B1921">
        <v>2006</v>
      </c>
      <c r="C1921" t="s">
        <v>281</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cm="1">
        <f t="array" ref="W1921">AND(ISNUMBER(LifeExpectancyData[[#This Row],[Adult Mortality]:[Schooling]]),ISNUMBER(LifeExpectancyData[[#This Row],[Life expectancy]]), LifeExpectancyData[[#This Row],[Year]]=2013)</f>
        <v>0</v>
      </c>
    </row>
    <row r="1922" spans="1:23" hidden="1" x14ac:dyDescent="0.25">
      <c r="A1922" t="s">
        <v>399</v>
      </c>
      <c r="B1922">
        <v>2005</v>
      </c>
      <c r="C1922" t="s">
        <v>281</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cm="1">
        <f t="array" ref="W1922">AND(ISNUMBER(LifeExpectancyData[[#This Row],[Adult Mortality]:[Schooling]]),ISNUMBER(LifeExpectancyData[[#This Row],[Life expectancy]]), LifeExpectancyData[[#This Row],[Year]]=2013)</f>
        <v>0</v>
      </c>
    </row>
    <row r="1923" spans="1:23" hidden="1" x14ac:dyDescent="0.25">
      <c r="A1923" t="s">
        <v>399</v>
      </c>
      <c r="B1923">
        <v>2004</v>
      </c>
      <c r="C1923" t="s">
        <v>281</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cm="1">
        <f t="array" ref="W1923">AND(ISNUMBER(LifeExpectancyData[[#This Row],[Adult Mortality]:[Schooling]]),ISNUMBER(LifeExpectancyData[[#This Row],[Life expectancy]]), LifeExpectancyData[[#This Row],[Year]]=2013)</f>
        <v>0</v>
      </c>
    </row>
    <row r="1924" spans="1:23" hidden="1" x14ac:dyDescent="0.25">
      <c r="A1924" t="s">
        <v>399</v>
      </c>
      <c r="B1924">
        <v>2003</v>
      </c>
      <c r="C1924" t="s">
        <v>281</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cm="1">
        <f t="array" ref="W1924">AND(ISNUMBER(LifeExpectancyData[[#This Row],[Adult Mortality]:[Schooling]]),ISNUMBER(LifeExpectancyData[[#This Row],[Life expectancy]]), LifeExpectancyData[[#This Row],[Year]]=2013)</f>
        <v>0</v>
      </c>
    </row>
    <row r="1925" spans="1:23" hidden="1" x14ac:dyDescent="0.25">
      <c r="A1925" t="s">
        <v>399</v>
      </c>
      <c r="B1925">
        <v>2002</v>
      </c>
      <c r="C1925" t="s">
        <v>281</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cm="1">
        <f t="array" ref="W1925">AND(ISNUMBER(LifeExpectancyData[[#This Row],[Adult Mortality]:[Schooling]]),ISNUMBER(LifeExpectancyData[[#This Row],[Life expectancy]]), LifeExpectancyData[[#This Row],[Year]]=2013)</f>
        <v>0</v>
      </c>
    </row>
    <row r="1926" spans="1:23" hidden="1" x14ac:dyDescent="0.25">
      <c r="A1926" t="s">
        <v>399</v>
      </c>
      <c r="B1926">
        <v>2001</v>
      </c>
      <c r="C1926" t="s">
        <v>281</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cm="1">
        <f t="array" ref="W1926">AND(ISNUMBER(LifeExpectancyData[[#This Row],[Adult Mortality]:[Schooling]]),ISNUMBER(LifeExpectancyData[[#This Row],[Life expectancy]]), LifeExpectancyData[[#This Row],[Year]]=2013)</f>
        <v>0</v>
      </c>
    </row>
    <row r="1927" spans="1:23" hidden="1" x14ac:dyDescent="0.25">
      <c r="A1927" t="s">
        <v>399</v>
      </c>
      <c r="B1927">
        <v>2000</v>
      </c>
      <c r="C1927" t="s">
        <v>281</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cm="1">
        <f t="array" ref="W1927">AND(ISNUMBER(LifeExpectancyData[[#This Row],[Adult Mortality]:[Schooling]]),ISNUMBER(LifeExpectancyData[[#This Row],[Life expectancy]]), LifeExpectancyData[[#This Row],[Year]]=2013)</f>
        <v>0</v>
      </c>
    </row>
    <row r="1928" spans="1:23" hidden="1" x14ac:dyDescent="0.25">
      <c r="A1928" t="s">
        <v>400</v>
      </c>
      <c r="B1928">
        <v>2015</v>
      </c>
      <c r="C1928" t="s">
        <v>273</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cm="1">
        <f t="array" ref="W1928">AND(ISNUMBER(LifeExpectancyData[[#This Row],[Adult Mortality]:[Schooling]]),ISNUMBER(LifeExpectancyData[[#This Row],[Life expectancy]]), LifeExpectancyData[[#This Row],[Year]]=2013)</f>
        <v>0</v>
      </c>
    </row>
    <row r="1929" spans="1:23" hidden="1" x14ac:dyDescent="0.25">
      <c r="A1929" t="s">
        <v>400</v>
      </c>
      <c r="B1929">
        <v>2014</v>
      </c>
      <c r="C1929" t="s">
        <v>273</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cm="1">
        <f t="array" ref="W1929">AND(ISNUMBER(LifeExpectancyData[[#This Row],[Adult Mortality]:[Schooling]]),ISNUMBER(LifeExpectancyData[[#This Row],[Life expectancy]]), LifeExpectancyData[[#This Row],[Year]]=2013)</f>
        <v>0</v>
      </c>
    </row>
    <row r="1930" spans="1:23" hidden="1" x14ac:dyDescent="0.25">
      <c r="A1930" t="s">
        <v>400</v>
      </c>
      <c r="B1930">
        <v>2013</v>
      </c>
      <c r="C1930" t="s">
        <v>273</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cm="1">
        <f t="array" ref="W1930">AND(ISNUMBER(LifeExpectancyData[[#This Row],[Adult Mortality]:[Schooling]]),ISNUMBER(LifeExpectancyData[[#This Row],[Life expectancy]]), LifeExpectancyData[[#This Row],[Year]]=2013)</f>
        <v>0</v>
      </c>
    </row>
    <row r="1931" spans="1:23" hidden="1" x14ac:dyDescent="0.25">
      <c r="A1931" t="s">
        <v>400</v>
      </c>
      <c r="B1931">
        <v>2012</v>
      </c>
      <c r="C1931" t="s">
        <v>273</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cm="1">
        <f t="array" ref="W1931">AND(ISNUMBER(LifeExpectancyData[[#This Row],[Adult Mortality]:[Schooling]]),ISNUMBER(LifeExpectancyData[[#This Row],[Life expectancy]]), LifeExpectancyData[[#This Row],[Year]]=2013)</f>
        <v>0</v>
      </c>
    </row>
    <row r="1932" spans="1:23" hidden="1" x14ac:dyDescent="0.25">
      <c r="A1932" t="s">
        <v>400</v>
      </c>
      <c r="B1932">
        <v>2011</v>
      </c>
      <c r="C1932" t="s">
        <v>273</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cm="1">
        <f t="array" ref="W1932">AND(ISNUMBER(LifeExpectancyData[[#This Row],[Adult Mortality]:[Schooling]]),ISNUMBER(LifeExpectancyData[[#This Row],[Life expectancy]]), LifeExpectancyData[[#This Row],[Year]]=2013)</f>
        <v>0</v>
      </c>
    </row>
    <row r="1933" spans="1:23" hidden="1" x14ac:dyDescent="0.25">
      <c r="A1933" t="s">
        <v>400</v>
      </c>
      <c r="B1933">
        <v>2010</v>
      </c>
      <c r="C1933" t="s">
        <v>273</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cm="1">
        <f t="array" ref="W1933">AND(ISNUMBER(LifeExpectancyData[[#This Row],[Adult Mortality]:[Schooling]]),ISNUMBER(LifeExpectancyData[[#This Row],[Life expectancy]]), LifeExpectancyData[[#This Row],[Year]]=2013)</f>
        <v>0</v>
      </c>
    </row>
    <row r="1934" spans="1:23" hidden="1" x14ac:dyDescent="0.25">
      <c r="A1934" t="s">
        <v>400</v>
      </c>
      <c r="B1934">
        <v>2009</v>
      </c>
      <c r="C1934" t="s">
        <v>273</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cm="1">
        <f t="array" ref="W1934">AND(ISNUMBER(LifeExpectancyData[[#This Row],[Adult Mortality]:[Schooling]]),ISNUMBER(LifeExpectancyData[[#This Row],[Life expectancy]]), LifeExpectancyData[[#This Row],[Year]]=2013)</f>
        <v>0</v>
      </c>
    </row>
    <row r="1935" spans="1:23" hidden="1" x14ac:dyDescent="0.25">
      <c r="A1935" t="s">
        <v>400</v>
      </c>
      <c r="B1935">
        <v>2008</v>
      </c>
      <c r="C1935" t="s">
        <v>273</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cm="1">
        <f t="array" ref="W1935">AND(ISNUMBER(LifeExpectancyData[[#This Row],[Adult Mortality]:[Schooling]]),ISNUMBER(LifeExpectancyData[[#This Row],[Life expectancy]]), LifeExpectancyData[[#This Row],[Year]]=2013)</f>
        <v>0</v>
      </c>
    </row>
    <row r="1936" spans="1:23" hidden="1" x14ac:dyDescent="0.25">
      <c r="A1936" t="s">
        <v>400</v>
      </c>
      <c r="B1936">
        <v>2007</v>
      </c>
      <c r="C1936" t="s">
        <v>273</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cm="1">
        <f t="array" ref="W1936">AND(ISNUMBER(LifeExpectancyData[[#This Row],[Adult Mortality]:[Schooling]]),ISNUMBER(LifeExpectancyData[[#This Row],[Life expectancy]]), LifeExpectancyData[[#This Row],[Year]]=2013)</f>
        <v>0</v>
      </c>
    </row>
    <row r="1937" spans="1:23" hidden="1" x14ac:dyDescent="0.25">
      <c r="A1937" t="s">
        <v>400</v>
      </c>
      <c r="B1937">
        <v>2006</v>
      </c>
      <c r="C1937" t="s">
        <v>273</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cm="1">
        <f t="array" ref="W1937">AND(ISNUMBER(LifeExpectancyData[[#This Row],[Adult Mortality]:[Schooling]]),ISNUMBER(LifeExpectancyData[[#This Row],[Life expectancy]]), LifeExpectancyData[[#This Row],[Year]]=2013)</f>
        <v>0</v>
      </c>
    </row>
    <row r="1938" spans="1:23" hidden="1" x14ac:dyDescent="0.25">
      <c r="A1938" t="s">
        <v>400</v>
      </c>
      <c r="B1938">
        <v>2005</v>
      </c>
      <c r="C1938" t="s">
        <v>273</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cm="1">
        <f t="array" ref="W1938">AND(ISNUMBER(LifeExpectancyData[[#This Row],[Adult Mortality]:[Schooling]]),ISNUMBER(LifeExpectancyData[[#This Row],[Life expectancy]]), LifeExpectancyData[[#This Row],[Year]]=2013)</f>
        <v>0</v>
      </c>
    </row>
    <row r="1939" spans="1:23" hidden="1" x14ac:dyDescent="0.25">
      <c r="A1939" t="s">
        <v>400</v>
      </c>
      <c r="B1939">
        <v>2004</v>
      </c>
      <c r="C1939" t="s">
        <v>273</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cm="1">
        <f t="array" ref="W1939">AND(ISNUMBER(LifeExpectancyData[[#This Row],[Adult Mortality]:[Schooling]]),ISNUMBER(LifeExpectancyData[[#This Row],[Life expectancy]]), LifeExpectancyData[[#This Row],[Year]]=2013)</f>
        <v>0</v>
      </c>
    </row>
    <row r="1940" spans="1:23" hidden="1" x14ac:dyDescent="0.25">
      <c r="A1940" t="s">
        <v>400</v>
      </c>
      <c r="B1940">
        <v>2003</v>
      </c>
      <c r="C1940" t="s">
        <v>273</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cm="1">
        <f t="array" ref="W1940">AND(ISNUMBER(LifeExpectancyData[[#This Row],[Adult Mortality]:[Schooling]]),ISNUMBER(LifeExpectancyData[[#This Row],[Life expectancy]]), LifeExpectancyData[[#This Row],[Year]]=2013)</f>
        <v>0</v>
      </c>
    </row>
    <row r="1941" spans="1:23" hidden="1" x14ac:dyDescent="0.25">
      <c r="A1941" t="s">
        <v>400</v>
      </c>
      <c r="B1941">
        <v>2002</v>
      </c>
      <c r="C1941" t="s">
        <v>273</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cm="1">
        <f t="array" ref="W1941">AND(ISNUMBER(LifeExpectancyData[[#This Row],[Adult Mortality]:[Schooling]]),ISNUMBER(LifeExpectancyData[[#This Row],[Life expectancy]]), LifeExpectancyData[[#This Row],[Year]]=2013)</f>
        <v>0</v>
      </c>
    </row>
    <row r="1942" spans="1:23" hidden="1" x14ac:dyDescent="0.25">
      <c r="A1942" t="s">
        <v>400</v>
      </c>
      <c r="B1942">
        <v>2001</v>
      </c>
      <c r="C1942" t="s">
        <v>273</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cm="1">
        <f t="array" ref="W1942">AND(ISNUMBER(LifeExpectancyData[[#This Row],[Adult Mortality]:[Schooling]]),ISNUMBER(LifeExpectancyData[[#This Row],[Life expectancy]]), LifeExpectancyData[[#This Row],[Year]]=2013)</f>
        <v>0</v>
      </c>
    </row>
    <row r="1943" spans="1:23" hidden="1" x14ac:dyDescent="0.25">
      <c r="A1943" t="s">
        <v>400</v>
      </c>
      <c r="B1943">
        <v>2000</v>
      </c>
      <c r="C1943" t="s">
        <v>273</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cm="1">
        <f t="array" ref="W1943">AND(ISNUMBER(LifeExpectancyData[[#This Row],[Adult Mortality]:[Schooling]]),ISNUMBER(LifeExpectancyData[[#This Row],[Life expectancy]]), LifeExpectancyData[[#This Row],[Year]]=2013)</f>
        <v>0</v>
      </c>
    </row>
    <row r="1944" spans="1:23" hidden="1" x14ac:dyDescent="0.25">
      <c r="A1944" t="s">
        <v>401</v>
      </c>
      <c r="B1944">
        <v>2015</v>
      </c>
      <c r="C1944" t="s">
        <v>273</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cm="1">
        <f t="array" ref="W1944">AND(ISNUMBER(LifeExpectancyData[[#This Row],[Adult Mortality]:[Schooling]]),ISNUMBER(LifeExpectancyData[[#This Row],[Life expectancy]]), LifeExpectancyData[[#This Row],[Year]]=2013)</f>
        <v>0</v>
      </c>
    </row>
    <row r="1945" spans="1:23" x14ac:dyDescent="0.25">
      <c r="A1945" t="s">
        <v>401</v>
      </c>
      <c r="B1945">
        <v>2014</v>
      </c>
      <c r="C1945" t="s">
        <v>273</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cm="1">
        <f t="array" ref="W1945">AND(ISNUMBER(LifeExpectancyData[[#This Row],[Adult Mortality]:[Schooling]]),ISNUMBER(LifeExpectancyData[[#This Row],[Life expectancy]]), LifeExpectancyData[[#This Row],[Year]]=2013)</f>
        <v>0</v>
      </c>
    </row>
    <row r="1946" spans="1:23" x14ac:dyDescent="0.25">
      <c r="A1946" t="s">
        <v>401</v>
      </c>
      <c r="B1946">
        <v>2013</v>
      </c>
      <c r="C1946" t="s">
        <v>273</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cm="1">
        <f t="array" ref="W1946">AND(ISNUMBER(LifeExpectancyData[[#This Row],[Adult Mortality]:[Schooling]]),ISNUMBER(LifeExpectancyData[[#This Row],[Life expectancy]]), LifeExpectancyData[[#This Row],[Year]]=2013)</f>
        <v>1</v>
      </c>
    </row>
    <row r="1947" spans="1:23" x14ac:dyDescent="0.25">
      <c r="A1947" t="s">
        <v>401</v>
      </c>
      <c r="B1947">
        <v>2012</v>
      </c>
      <c r="C1947" t="s">
        <v>273</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cm="1">
        <f t="array" ref="W1947">AND(ISNUMBER(LifeExpectancyData[[#This Row],[Adult Mortality]:[Schooling]]),ISNUMBER(LifeExpectancyData[[#This Row],[Life expectancy]]), LifeExpectancyData[[#This Row],[Year]]=2013)</f>
        <v>0</v>
      </c>
    </row>
    <row r="1948" spans="1:23" x14ac:dyDescent="0.25">
      <c r="A1948" t="s">
        <v>401</v>
      </c>
      <c r="B1948">
        <v>2011</v>
      </c>
      <c r="C1948" t="s">
        <v>273</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cm="1">
        <f t="array" ref="W1948">AND(ISNUMBER(LifeExpectancyData[[#This Row],[Adult Mortality]:[Schooling]]),ISNUMBER(LifeExpectancyData[[#This Row],[Life expectancy]]), LifeExpectancyData[[#This Row],[Year]]=2013)</f>
        <v>0</v>
      </c>
    </row>
    <row r="1949" spans="1:23" x14ac:dyDescent="0.25">
      <c r="A1949" t="s">
        <v>401</v>
      </c>
      <c r="B1949">
        <v>2010</v>
      </c>
      <c r="C1949" t="s">
        <v>273</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cm="1">
        <f t="array" ref="W1949">AND(ISNUMBER(LifeExpectancyData[[#This Row],[Adult Mortality]:[Schooling]]),ISNUMBER(LifeExpectancyData[[#This Row],[Life expectancy]]), LifeExpectancyData[[#This Row],[Year]]=2013)</f>
        <v>0</v>
      </c>
    </row>
    <row r="1950" spans="1:23" x14ac:dyDescent="0.25">
      <c r="A1950" t="s">
        <v>401</v>
      </c>
      <c r="B1950">
        <v>2009</v>
      </c>
      <c r="C1950" t="s">
        <v>273</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cm="1">
        <f t="array" ref="W1950">AND(ISNUMBER(LifeExpectancyData[[#This Row],[Adult Mortality]:[Schooling]]),ISNUMBER(LifeExpectancyData[[#This Row],[Life expectancy]]), LifeExpectancyData[[#This Row],[Year]]=2013)</f>
        <v>0</v>
      </c>
    </row>
    <row r="1951" spans="1:23" x14ac:dyDescent="0.25">
      <c r="A1951" t="s">
        <v>401</v>
      </c>
      <c r="B1951">
        <v>2008</v>
      </c>
      <c r="C1951" t="s">
        <v>273</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cm="1">
        <f t="array" ref="W1951">AND(ISNUMBER(LifeExpectancyData[[#This Row],[Adult Mortality]:[Schooling]]),ISNUMBER(LifeExpectancyData[[#This Row],[Life expectancy]]), LifeExpectancyData[[#This Row],[Year]]=2013)</f>
        <v>0</v>
      </c>
    </row>
    <row r="1952" spans="1:23" x14ac:dyDescent="0.25">
      <c r="A1952" t="s">
        <v>401</v>
      </c>
      <c r="B1952">
        <v>2007</v>
      </c>
      <c r="C1952" t="s">
        <v>273</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cm="1">
        <f t="array" ref="W1952">AND(ISNUMBER(LifeExpectancyData[[#This Row],[Adult Mortality]:[Schooling]]),ISNUMBER(LifeExpectancyData[[#This Row],[Life expectancy]]), LifeExpectancyData[[#This Row],[Year]]=2013)</f>
        <v>0</v>
      </c>
    </row>
    <row r="1953" spans="1:23" x14ac:dyDescent="0.25">
      <c r="A1953" t="s">
        <v>401</v>
      </c>
      <c r="B1953">
        <v>2006</v>
      </c>
      <c r="C1953" t="s">
        <v>273</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cm="1">
        <f t="array" ref="W1953">AND(ISNUMBER(LifeExpectancyData[[#This Row],[Adult Mortality]:[Schooling]]),ISNUMBER(LifeExpectancyData[[#This Row],[Life expectancy]]), LifeExpectancyData[[#This Row],[Year]]=2013)</f>
        <v>0</v>
      </c>
    </row>
    <row r="1954" spans="1:23" x14ac:dyDescent="0.25">
      <c r="A1954" t="s">
        <v>401</v>
      </c>
      <c r="B1954">
        <v>2005</v>
      </c>
      <c r="C1954" t="s">
        <v>273</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cm="1">
        <f t="array" ref="W1954">AND(ISNUMBER(LifeExpectancyData[[#This Row],[Adult Mortality]:[Schooling]]),ISNUMBER(LifeExpectancyData[[#This Row],[Life expectancy]]), LifeExpectancyData[[#This Row],[Year]]=2013)</f>
        <v>0</v>
      </c>
    </row>
    <row r="1955" spans="1:23" x14ac:dyDescent="0.25">
      <c r="A1955" t="s">
        <v>401</v>
      </c>
      <c r="B1955">
        <v>2004</v>
      </c>
      <c r="C1955" t="s">
        <v>273</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cm="1">
        <f t="array" ref="W1955">AND(ISNUMBER(LifeExpectancyData[[#This Row],[Adult Mortality]:[Schooling]]),ISNUMBER(LifeExpectancyData[[#This Row],[Life expectancy]]), LifeExpectancyData[[#This Row],[Year]]=2013)</f>
        <v>0</v>
      </c>
    </row>
    <row r="1956" spans="1:23" x14ac:dyDescent="0.25">
      <c r="A1956" t="s">
        <v>401</v>
      </c>
      <c r="B1956">
        <v>2003</v>
      </c>
      <c r="C1956" t="s">
        <v>273</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cm="1">
        <f t="array" ref="W1956">AND(ISNUMBER(LifeExpectancyData[[#This Row],[Adult Mortality]:[Schooling]]),ISNUMBER(LifeExpectancyData[[#This Row],[Life expectancy]]), LifeExpectancyData[[#This Row],[Year]]=2013)</f>
        <v>0</v>
      </c>
    </row>
    <row r="1957" spans="1:23" hidden="1" x14ac:dyDescent="0.25">
      <c r="A1957" t="s">
        <v>401</v>
      </c>
      <c r="B1957">
        <v>2002</v>
      </c>
      <c r="C1957" t="s">
        <v>273</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cm="1">
        <f t="array" ref="W1957">AND(ISNUMBER(LifeExpectancyData[[#This Row],[Adult Mortality]:[Schooling]]),ISNUMBER(LifeExpectancyData[[#This Row],[Life expectancy]]), LifeExpectancyData[[#This Row],[Year]]=2013)</f>
        <v>0</v>
      </c>
    </row>
    <row r="1958" spans="1:23" hidden="1" x14ac:dyDescent="0.25">
      <c r="A1958" t="s">
        <v>401</v>
      </c>
      <c r="B1958">
        <v>2001</v>
      </c>
      <c r="C1958" t="s">
        <v>273</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cm="1">
        <f t="array" ref="W1958">AND(ISNUMBER(LifeExpectancyData[[#This Row],[Adult Mortality]:[Schooling]]),ISNUMBER(LifeExpectancyData[[#This Row],[Life expectancy]]), LifeExpectancyData[[#This Row],[Year]]=2013)</f>
        <v>0</v>
      </c>
    </row>
    <row r="1959" spans="1:23" hidden="1" x14ac:dyDescent="0.25">
      <c r="A1959" t="s">
        <v>401</v>
      </c>
      <c r="B1959">
        <v>2000</v>
      </c>
      <c r="C1959" t="s">
        <v>273</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cm="1">
        <f t="array" ref="W1959">AND(ISNUMBER(LifeExpectancyData[[#This Row],[Adult Mortality]:[Schooling]]),ISNUMBER(LifeExpectancyData[[#This Row],[Life expectancy]]), LifeExpectancyData[[#This Row],[Year]]=2013)</f>
        <v>0</v>
      </c>
    </row>
    <row r="1960" spans="1:23" hidden="1" x14ac:dyDescent="0.25">
      <c r="A1960" t="s">
        <v>402</v>
      </c>
      <c r="B1960">
        <v>2013</v>
      </c>
      <c r="C1960" t="s">
        <v>273</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cm="1">
        <f t="array" ref="W1960">AND(ISNUMBER(LifeExpectancyData[[#This Row],[Adult Mortality]:[Schooling]]),ISNUMBER(LifeExpectancyData[[#This Row],[Life expectancy]]), LifeExpectancyData[[#This Row],[Year]]=2013)</f>
        <v>0</v>
      </c>
    </row>
    <row r="1961" spans="1:23" hidden="1" x14ac:dyDescent="0.25">
      <c r="A1961" t="s">
        <v>403</v>
      </c>
      <c r="B1961">
        <v>2015</v>
      </c>
      <c r="C1961" t="s">
        <v>273</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cm="1">
        <f t="array" ref="W1961">AND(ISNUMBER(LifeExpectancyData[[#This Row],[Adult Mortality]:[Schooling]]),ISNUMBER(LifeExpectancyData[[#This Row],[Life expectancy]]), LifeExpectancyData[[#This Row],[Year]]=2013)</f>
        <v>0</v>
      </c>
    </row>
    <row r="1962" spans="1:23" x14ac:dyDescent="0.25">
      <c r="A1962" t="s">
        <v>403</v>
      </c>
      <c r="B1962">
        <v>2014</v>
      </c>
      <c r="C1962" t="s">
        <v>273</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cm="1">
        <f t="array" ref="W1962">AND(ISNUMBER(LifeExpectancyData[[#This Row],[Adult Mortality]:[Schooling]]),ISNUMBER(LifeExpectancyData[[#This Row],[Life expectancy]]), LifeExpectancyData[[#This Row],[Year]]=2013)</f>
        <v>0</v>
      </c>
    </row>
    <row r="1963" spans="1:23" x14ac:dyDescent="0.25">
      <c r="A1963" t="s">
        <v>403</v>
      </c>
      <c r="B1963">
        <v>2013</v>
      </c>
      <c r="C1963" t="s">
        <v>273</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cm="1">
        <f t="array" ref="W1963">AND(ISNUMBER(LifeExpectancyData[[#This Row],[Adult Mortality]:[Schooling]]),ISNUMBER(LifeExpectancyData[[#This Row],[Life expectancy]]), LifeExpectancyData[[#This Row],[Year]]=2013)</f>
        <v>1</v>
      </c>
    </row>
    <row r="1964" spans="1:23" x14ac:dyDescent="0.25">
      <c r="A1964" t="s">
        <v>403</v>
      </c>
      <c r="B1964">
        <v>2012</v>
      </c>
      <c r="C1964" t="s">
        <v>273</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cm="1">
        <f t="array" ref="W1964">AND(ISNUMBER(LifeExpectancyData[[#This Row],[Adult Mortality]:[Schooling]]),ISNUMBER(LifeExpectancyData[[#This Row],[Life expectancy]]), LifeExpectancyData[[#This Row],[Year]]=2013)</f>
        <v>0</v>
      </c>
    </row>
    <row r="1965" spans="1:23" x14ac:dyDescent="0.25">
      <c r="A1965" t="s">
        <v>403</v>
      </c>
      <c r="B1965">
        <v>2011</v>
      </c>
      <c r="C1965" t="s">
        <v>273</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cm="1">
        <f t="array" ref="W1965">AND(ISNUMBER(LifeExpectancyData[[#This Row],[Adult Mortality]:[Schooling]]),ISNUMBER(LifeExpectancyData[[#This Row],[Life expectancy]]), LifeExpectancyData[[#This Row],[Year]]=2013)</f>
        <v>0</v>
      </c>
    </row>
    <row r="1966" spans="1:23" x14ac:dyDescent="0.25">
      <c r="A1966" t="s">
        <v>403</v>
      </c>
      <c r="B1966">
        <v>2010</v>
      </c>
      <c r="C1966" t="s">
        <v>273</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cm="1">
        <f t="array" ref="W1966">AND(ISNUMBER(LifeExpectancyData[[#This Row],[Adult Mortality]:[Schooling]]),ISNUMBER(LifeExpectancyData[[#This Row],[Life expectancy]]), LifeExpectancyData[[#This Row],[Year]]=2013)</f>
        <v>0</v>
      </c>
    </row>
    <row r="1967" spans="1:23" x14ac:dyDescent="0.25">
      <c r="A1967" t="s">
        <v>403</v>
      </c>
      <c r="B1967">
        <v>2009</v>
      </c>
      <c r="C1967" t="s">
        <v>273</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cm="1">
        <f t="array" ref="W1967">AND(ISNUMBER(LifeExpectancyData[[#This Row],[Adult Mortality]:[Schooling]]),ISNUMBER(LifeExpectancyData[[#This Row],[Life expectancy]]), LifeExpectancyData[[#This Row],[Year]]=2013)</f>
        <v>0</v>
      </c>
    </row>
    <row r="1968" spans="1:23" x14ac:dyDescent="0.25">
      <c r="A1968" t="s">
        <v>403</v>
      </c>
      <c r="B1968">
        <v>2008</v>
      </c>
      <c r="C1968" t="s">
        <v>273</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cm="1">
        <f t="array" ref="W1968">AND(ISNUMBER(LifeExpectancyData[[#This Row],[Adult Mortality]:[Schooling]]),ISNUMBER(LifeExpectancyData[[#This Row],[Life expectancy]]), LifeExpectancyData[[#This Row],[Year]]=2013)</f>
        <v>0</v>
      </c>
    </row>
    <row r="1969" spans="1:23" x14ac:dyDescent="0.25">
      <c r="A1969" t="s">
        <v>403</v>
      </c>
      <c r="B1969">
        <v>2007</v>
      </c>
      <c r="C1969" t="s">
        <v>273</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cm="1">
        <f t="array" ref="W1969">AND(ISNUMBER(LifeExpectancyData[[#This Row],[Adult Mortality]:[Schooling]]),ISNUMBER(LifeExpectancyData[[#This Row],[Life expectancy]]), LifeExpectancyData[[#This Row],[Year]]=2013)</f>
        <v>0</v>
      </c>
    </row>
    <row r="1970" spans="1:23" x14ac:dyDescent="0.25">
      <c r="A1970" t="s">
        <v>403</v>
      </c>
      <c r="B1970">
        <v>2006</v>
      </c>
      <c r="C1970" t="s">
        <v>273</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cm="1">
        <f t="array" ref="W1970">AND(ISNUMBER(LifeExpectancyData[[#This Row],[Adult Mortality]:[Schooling]]),ISNUMBER(LifeExpectancyData[[#This Row],[Life expectancy]]), LifeExpectancyData[[#This Row],[Year]]=2013)</f>
        <v>0</v>
      </c>
    </row>
    <row r="1971" spans="1:23" x14ac:dyDescent="0.25">
      <c r="A1971" t="s">
        <v>403</v>
      </c>
      <c r="B1971">
        <v>2005</v>
      </c>
      <c r="C1971" t="s">
        <v>273</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cm="1">
        <f t="array" ref="W1971">AND(ISNUMBER(LifeExpectancyData[[#This Row],[Adult Mortality]:[Schooling]]),ISNUMBER(LifeExpectancyData[[#This Row],[Life expectancy]]), LifeExpectancyData[[#This Row],[Year]]=2013)</f>
        <v>0</v>
      </c>
    </row>
    <row r="1972" spans="1:23" x14ac:dyDescent="0.25">
      <c r="A1972" t="s">
        <v>403</v>
      </c>
      <c r="B1972">
        <v>2004</v>
      </c>
      <c r="C1972" t="s">
        <v>273</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cm="1">
        <f t="array" ref="W1972">AND(ISNUMBER(LifeExpectancyData[[#This Row],[Adult Mortality]:[Schooling]]),ISNUMBER(LifeExpectancyData[[#This Row],[Life expectancy]]), LifeExpectancyData[[#This Row],[Year]]=2013)</f>
        <v>0</v>
      </c>
    </row>
    <row r="1973" spans="1:23" x14ac:dyDescent="0.25">
      <c r="A1973" t="s">
        <v>403</v>
      </c>
      <c r="B1973">
        <v>2003</v>
      </c>
      <c r="C1973" t="s">
        <v>273</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cm="1">
        <f t="array" ref="W1973">AND(ISNUMBER(LifeExpectancyData[[#This Row],[Adult Mortality]:[Schooling]]),ISNUMBER(LifeExpectancyData[[#This Row],[Life expectancy]]), LifeExpectancyData[[#This Row],[Year]]=2013)</f>
        <v>0</v>
      </c>
    </row>
    <row r="1974" spans="1:23" x14ac:dyDescent="0.25">
      <c r="A1974" t="s">
        <v>403</v>
      </c>
      <c r="B1974">
        <v>2002</v>
      </c>
      <c r="C1974" t="s">
        <v>273</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cm="1">
        <f t="array" ref="W1974">AND(ISNUMBER(LifeExpectancyData[[#This Row],[Adult Mortality]:[Schooling]]),ISNUMBER(LifeExpectancyData[[#This Row],[Life expectancy]]), LifeExpectancyData[[#This Row],[Year]]=2013)</f>
        <v>0</v>
      </c>
    </row>
    <row r="1975" spans="1:23" x14ac:dyDescent="0.25">
      <c r="A1975" t="s">
        <v>403</v>
      </c>
      <c r="B1975">
        <v>2001</v>
      </c>
      <c r="C1975" t="s">
        <v>273</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cm="1">
        <f t="array" ref="W1975">AND(ISNUMBER(LifeExpectancyData[[#This Row],[Adult Mortality]:[Schooling]]),ISNUMBER(LifeExpectancyData[[#This Row],[Life expectancy]]), LifeExpectancyData[[#This Row],[Year]]=2013)</f>
        <v>0</v>
      </c>
    </row>
    <row r="1976" spans="1:23" hidden="1" x14ac:dyDescent="0.25">
      <c r="A1976" t="s">
        <v>403</v>
      </c>
      <c r="B1976">
        <v>2000</v>
      </c>
      <c r="C1976" t="s">
        <v>273</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cm="1">
        <f t="array" ref="W1976">AND(ISNUMBER(LifeExpectancyData[[#This Row],[Adult Mortality]:[Schooling]]),ISNUMBER(LifeExpectancyData[[#This Row],[Life expectancy]]), LifeExpectancyData[[#This Row],[Year]]=2013)</f>
        <v>0</v>
      </c>
    </row>
    <row r="1977" spans="1:23" hidden="1" x14ac:dyDescent="0.25">
      <c r="A1977" t="s">
        <v>404</v>
      </c>
      <c r="B1977">
        <v>2015</v>
      </c>
      <c r="C1977" t="s">
        <v>273</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cm="1">
        <f t="array" ref="W1977">AND(ISNUMBER(LifeExpectancyData[[#This Row],[Adult Mortality]:[Schooling]]),ISNUMBER(LifeExpectancyData[[#This Row],[Life expectancy]]), LifeExpectancyData[[#This Row],[Year]]=2013)</f>
        <v>0</v>
      </c>
    </row>
    <row r="1978" spans="1:23" x14ac:dyDescent="0.25">
      <c r="A1978" t="s">
        <v>404</v>
      </c>
      <c r="B1978">
        <v>2014</v>
      </c>
      <c r="C1978" t="s">
        <v>273</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cm="1">
        <f t="array" ref="W1978">AND(ISNUMBER(LifeExpectancyData[[#This Row],[Adult Mortality]:[Schooling]]),ISNUMBER(LifeExpectancyData[[#This Row],[Life expectancy]]), LifeExpectancyData[[#This Row],[Year]]=2013)</f>
        <v>0</v>
      </c>
    </row>
    <row r="1979" spans="1:23" x14ac:dyDescent="0.25">
      <c r="A1979" t="s">
        <v>404</v>
      </c>
      <c r="B1979">
        <v>2013</v>
      </c>
      <c r="C1979" t="s">
        <v>273</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cm="1">
        <f t="array" ref="W1979">AND(ISNUMBER(LifeExpectancyData[[#This Row],[Adult Mortality]:[Schooling]]),ISNUMBER(LifeExpectancyData[[#This Row],[Life expectancy]]), LifeExpectancyData[[#This Row],[Year]]=2013)</f>
        <v>1</v>
      </c>
    </row>
    <row r="1980" spans="1:23" x14ac:dyDescent="0.25">
      <c r="A1980" t="s">
        <v>404</v>
      </c>
      <c r="B1980">
        <v>2012</v>
      </c>
      <c r="C1980" t="s">
        <v>273</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cm="1">
        <f t="array" ref="W1980">AND(ISNUMBER(LifeExpectancyData[[#This Row],[Adult Mortality]:[Schooling]]),ISNUMBER(LifeExpectancyData[[#This Row],[Life expectancy]]), LifeExpectancyData[[#This Row],[Year]]=2013)</f>
        <v>0</v>
      </c>
    </row>
    <row r="1981" spans="1:23" x14ac:dyDescent="0.25">
      <c r="A1981" t="s">
        <v>404</v>
      </c>
      <c r="B1981">
        <v>2011</v>
      </c>
      <c r="C1981" t="s">
        <v>273</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cm="1">
        <f t="array" ref="W1981">AND(ISNUMBER(LifeExpectancyData[[#This Row],[Adult Mortality]:[Schooling]]),ISNUMBER(LifeExpectancyData[[#This Row],[Life expectancy]]), LifeExpectancyData[[#This Row],[Year]]=2013)</f>
        <v>0</v>
      </c>
    </row>
    <row r="1982" spans="1:23" x14ac:dyDescent="0.25">
      <c r="A1982" t="s">
        <v>404</v>
      </c>
      <c r="B1982">
        <v>2010</v>
      </c>
      <c r="C1982" t="s">
        <v>273</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cm="1">
        <f t="array" ref="W1982">AND(ISNUMBER(LifeExpectancyData[[#This Row],[Adult Mortality]:[Schooling]]),ISNUMBER(LifeExpectancyData[[#This Row],[Life expectancy]]), LifeExpectancyData[[#This Row],[Year]]=2013)</f>
        <v>0</v>
      </c>
    </row>
    <row r="1983" spans="1:23" x14ac:dyDescent="0.25">
      <c r="A1983" t="s">
        <v>404</v>
      </c>
      <c r="B1983">
        <v>2009</v>
      </c>
      <c r="C1983" t="s">
        <v>273</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cm="1">
        <f t="array" ref="W1983">AND(ISNUMBER(LifeExpectancyData[[#This Row],[Adult Mortality]:[Schooling]]),ISNUMBER(LifeExpectancyData[[#This Row],[Life expectancy]]), LifeExpectancyData[[#This Row],[Year]]=2013)</f>
        <v>0</v>
      </c>
    </row>
    <row r="1984" spans="1:23" x14ac:dyDescent="0.25">
      <c r="A1984" t="s">
        <v>404</v>
      </c>
      <c r="B1984">
        <v>2008</v>
      </c>
      <c r="C1984" t="s">
        <v>273</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cm="1">
        <f t="array" ref="W1984">AND(ISNUMBER(LifeExpectancyData[[#This Row],[Adult Mortality]:[Schooling]]),ISNUMBER(LifeExpectancyData[[#This Row],[Life expectancy]]), LifeExpectancyData[[#This Row],[Year]]=2013)</f>
        <v>0</v>
      </c>
    </row>
    <row r="1985" spans="1:23" x14ac:dyDescent="0.25">
      <c r="A1985" t="s">
        <v>404</v>
      </c>
      <c r="B1985">
        <v>2007</v>
      </c>
      <c r="C1985" t="s">
        <v>273</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cm="1">
        <f t="array" ref="W1985">AND(ISNUMBER(LifeExpectancyData[[#This Row],[Adult Mortality]:[Schooling]]),ISNUMBER(LifeExpectancyData[[#This Row],[Life expectancy]]), LifeExpectancyData[[#This Row],[Year]]=2013)</f>
        <v>0</v>
      </c>
    </row>
    <row r="1986" spans="1:23" x14ac:dyDescent="0.25">
      <c r="A1986" t="s">
        <v>404</v>
      </c>
      <c r="B1986">
        <v>2006</v>
      </c>
      <c r="C1986" t="s">
        <v>273</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cm="1">
        <f t="array" ref="W1986">AND(ISNUMBER(LifeExpectancyData[[#This Row],[Adult Mortality]:[Schooling]]),ISNUMBER(LifeExpectancyData[[#This Row],[Life expectancy]]), LifeExpectancyData[[#This Row],[Year]]=2013)</f>
        <v>0</v>
      </c>
    </row>
    <row r="1987" spans="1:23" x14ac:dyDescent="0.25">
      <c r="A1987" t="s">
        <v>404</v>
      </c>
      <c r="B1987">
        <v>2005</v>
      </c>
      <c r="C1987" t="s">
        <v>273</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cm="1">
        <f t="array" ref="W1987">AND(ISNUMBER(LifeExpectancyData[[#This Row],[Adult Mortality]:[Schooling]]),ISNUMBER(LifeExpectancyData[[#This Row],[Life expectancy]]), LifeExpectancyData[[#This Row],[Year]]=2013)</f>
        <v>0</v>
      </c>
    </row>
    <row r="1988" spans="1:23" x14ac:dyDescent="0.25">
      <c r="A1988" t="s">
        <v>404</v>
      </c>
      <c r="B1988">
        <v>2004</v>
      </c>
      <c r="C1988" t="s">
        <v>273</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cm="1">
        <f t="array" ref="W1988">AND(ISNUMBER(LifeExpectancyData[[#This Row],[Adult Mortality]:[Schooling]]),ISNUMBER(LifeExpectancyData[[#This Row],[Life expectancy]]), LifeExpectancyData[[#This Row],[Year]]=2013)</f>
        <v>0</v>
      </c>
    </row>
    <row r="1989" spans="1:23" x14ac:dyDescent="0.25">
      <c r="A1989" t="s">
        <v>404</v>
      </c>
      <c r="B1989">
        <v>2003</v>
      </c>
      <c r="C1989" t="s">
        <v>273</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cm="1">
        <f t="array" ref="W1989">AND(ISNUMBER(LifeExpectancyData[[#This Row],[Adult Mortality]:[Schooling]]),ISNUMBER(LifeExpectancyData[[#This Row],[Life expectancy]]), LifeExpectancyData[[#This Row],[Year]]=2013)</f>
        <v>0</v>
      </c>
    </row>
    <row r="1990" spans="1:23" x14ac:dyDescent="0.25">
      <c r="A1990" t="s">
        <v>404</v>
      </c>
      <c r="B1990">
        <v>2002</v>
      </c>
      <c r="C1990" t="s">
        <v>273</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cm="1">
        <f t="array" ref="W1990">AND(ISNUMBER(LifeExpectancyData[[#This Row],[Adult Mortality]:[Schooling]]),ISNUMBER(LifeExpectancyData[[#This Row],[Life expectancy]]), LifeExpectancyData[[#This Row],[Year]]=2013)</f>
        <v>0</v>
      </c>
    </row>
    <row r="1991" spans="1:23" x14ac:dyDescent="0.25">
      <c r="A1991" t="s">
        <v>404</v>
      </c>
      <c r="B1991">
        <v>2001</v>
      </c>
      <c r="C1991" t="s">
        <v>273</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cm="1">
        <f t="array" ref="W1991">AND(ISNUMBER(LifeExpectancyData[[#This Row],[Adult Mortality]:[Schooling]]),ISNUMBER(LifeExpectancyData[[#This Row],[Life expectancy]]), LifeExpectancyData[[#This Row],[Year]]=2013)</f>
        <v>0</v>
      </c>
    </row>
    <row r="1992" spans="1:23" x14ac:dyDescent="0.25">
      <c r="A1992" t="s">
        <v>404</v>
      </c>
      <c r="B1992">
        <v>2000</v>
      </c>
      <c r="C1992" t="s">
        <v>273</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cm="1">
        <f t="array" ref="W1992">AND(ISNUMBER(LifeExpectancyData[[#This Row],[Adult Mortality]:[Schooling]]),ISNUMBER(LifeExpectancyData[[#This Row],[Life expectancy]]), LifeExpectancyData[[#This Row],[Year]]=2013)</f>
        <v>0</v>
      </c>
    </row>
    <row r="1993" spans="1:23" hidden="1" x14ac:dyDescent="0.25">
      <c r="A1993" t="s">
        <v>405</v>
      </c>
      <c r="B1993">
        <v>2015</v>
      </c>
      <c r="C1993" t="s">
        <v>273</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cm="1">
        <f t="array" ref="W1993">AND(ISNUMBER(LifeExpectancyData[[#This Row],[Adult Mortality]:[Schooling]]),ISNUMBER(LifeExpectancyData[[#This Row],[Life expectancy]]), LifeExpectancyData[[#This Row],[Year]]=2013)</f>
        <v>0</v>
      </c>
    </row>
    <row r="1994" spans="1:23" x14ac:dyDescent="0.25">
      <c r="A1994" t="s">
        <v>405</v>
      </c>
      <c r="B1994">
        <v>2014</v>
      </c>
      <c r="C1994" t="s">
        <v>273</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cm="1">
        <f t="array" ref="W1994">AND(ISNUMBER(LifeExpectancyData[[#This Row],[Adult Mortality]:[Schooling]]),ISNUMBER(LifeExpectancyData[[#This Row],[Life expectancy]]), LifeExpectancyData[[#This Row],[Year]]=2013)</f>
        <v>0</v>
      </c>
    </row>
    <row r="1995" spans="1:23" x14ac:dyDescent="0.25">
      <c r="A1995" t="s">
        <v>405</v>
      </c>
      <c r="B1995">
        <v>2013</v>
      </c>
      <c r="C1995" t="s">
        <v>273</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cm="1">
        <f t="array" ref="W1995">AND(ISNUMBER(LifeExpectancyData[[#This Row],[Adult Mortality]:[Schooling]]),ISNUMBER(LifeExpectancyData[[#This Row],[Life expectancy]]), LifeExpectancyData[[#This Row],[Year]]=2013)</f>
        <v>1</v>
      </c>
    </row>
    <row r="1996" spans="1:23" x14ac:dyDescent="0.25">
      <c r="A1996" t="s">
        <v>405</v>
      </c>
      <c r="B1996">
        <v>2012</v>
      </c>
      <c r="C1996" t="s">
        <v>273</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cm="1">
        <f t="array" ref="W1996">AND(ISNUMBER(LifeExpectancyData[[#This Row],[Adult Mortality]:[Schooling]]),ISNUMBER(LifeExpectancyData[[#This Row],[Life expectancy]]), LifeExpectancyData[[#This Row],[Year]]=2013)</f>
        <v>0</v>
      </c>
    </row>
    <row r="1997" spans="1:23" x14ac:dyDescent="0.25">
      <c r="A1997" t="s">
        <v>405</v>
      </c>
      <c r="B1997">
        <v>2011</v>
      </c>
      <c r="C1997" t="s">
        <v>273</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cm="1">
        <f t="array" ref="W1997">AND(ISNUMBER(LifeExpectancyData[[#This Row],[Adult Mortality]:[Schooling]]),ISNUMBER(LifeExpectancyData[[#This Row],[Life expectancy]]), LifeExpectancyData[[#This Row],[Year]]=2013)</f>
        <v>0</v>
      </c>
    </row>
    <row r="1998" spans="1:23" x14ac:dyDescent="0.25">
      <c r="A1998" t="s">
        <v>405</v>
      </c>
      <c r="B1998">
        <v>2010</v>
      </c>
      <c r="C1998" t="s">
        <v>273</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cm="1">
        <f t="array" ref="W1998">AND(ISNUMBER(LifeExpectancyData[[#This Row],[Adult Mortality]:[Schooling]]),ISNUMBER(LifeExpectancyData[[#This Row],[Life expectancy]]), LifeExpectancyData[[#This Row],[Year]]=2013)</f>
        <v>0</v>
      </c>
    </row>
    <row r="1999" spans="1:23" x14ac:dyDescent="0.25">
      <c r="A1999" t="s">
        <v>405</v>
      </c>
      <c r="B1999">
        <v>2009</v>
      </c>
      <c r="C1999" t="s">
        <v>273</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cm="1">
        <f t="array" ref="W1999">AND(ISNUMBER(LifeExpectancyData[[#This Row],[Adult Mortality]:[Schooling]]),ISNUMBER(LifeExpectancyData[[#This Row],[Life expectancy]]), LifeExpectancyData[[#This Row],[Year]]=2013)</f>
        <v>0</v>
      </c>
    </row>
    <row r="2000" spans="1:23" x14ac:dyDescent="0.25">
      <c r="A2000" t="s">
        <v>405</v>
      </c>
      <c r="B2000">
        <v>2008</v>
      </c>
      <c r="C2000" t="s">
        <v>273</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cm="1">
        <f t="array" ref="W2000">AND(ISNUMBER(LifeExpectancyData[[#This Row],[Adult Mortality]:[Schooling]]),ISNUMBER(LifeExpectancyData[[#This Row],[Life expectancy]]), LifeExpectancyData[[#This Row],[Year]]=2013)</f>
        <v>0</v>
      </c>
    </row>
    <row r="2001" spans="1:23" x14ac:dyDescent="0.25">
      <c r="A2001" t="s">
        <v>405</v>
      </c>
      <c r="B2001">
        <v>2007</v>
      </c>
      <c r="C2001" t="s">
        <v>273</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cm="1">
        <f t="array" ref="W2001">AND(ISNUMBER(LifeExpectancyData[[#This Row],[Adult Mortality]:[Schooling]]),ISNUMBER(LifeExpectancyData[[#This Row],[Life expectancy]]), LifeExpectancyData[[#This Row],[Year]]=2013)</f>
        <v>0</v>
      </c>
    </row>
    <row r="2002" spans="1:23" x14ac:dyDescent="0.25">
      <c r="A2002" t="s">
        <v>405</v>
      </c>
      <c r="B2002">
        <v>2006</v>
      </c>
      <c r="C2002" t="s">
        <v>273</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cm="1">
        <f t="array" ref="W2002">AND(ISNUMBER(LifeExpectancyData[[#This Row],[Adult Mortality]:[Schooling]]),ISNUMBER(LifeExpectancyData[[#This Row],[Life expectancy]]), LifeExpectancyData[[#This Row],[Year]]=2013)</f>
        <v>0</v>
      </c>
    </row>
    <row r="2003" spans="1:23" x14ac:dyDescent="0.25">
      <c r="A2003" t="s">
        <v>405</v>
      </c>
      <c r="B2003">
        <v>2005</v>
      </c>
      <c r="C2003" t="s">
        <v>273</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cm="1">
        <f t="array" ref="W2003">AND(ISNUMBER(LifeExpectancyData[[#This Row],[Adult Mortality]:[Schooling]]),ISNUMBER(LifeExpectancyData[[#This Row],[Life expectancy]]), LifeExpectancyData[[#This Row],[Year]]=2013)</f>
        <v>0</v>
      </c>
    </row>
    <row r="2004" spans="1:23" x14ac:dyDescent="0.25">
      <c r="A2004" t="s">
        <v>405</v>
      </c>
      <c r="B2004">
        <v>2004</v>
      </c>
      <c r="C2004" t="s">
        <v>273</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cm="1">
        <f t="array" ref="W2004">AND(ISNUMBER(LifeExpectancyData[[#This Row],[Adult Mortality]:[Schooling]]),ISNUMBER(LifeExpectancyData[[#This Row],[Life expectancy]]), LifeExpectancyData[[#This Row],[Year]]=2013)</f>
        <v>0</v>
      </c>
    </row>
    <row r="2005" spans="1:23" x14ac:dyDescent="0.25">
      <c r="A2005" t="s">
        <v>405</v>
      </c>
      <c r="B2005">
        <v>2003</v>
      </c>
      <c r="C2005" t="s">
        <v>273</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cm="1">
        <f t="array" ref="W2005">AND(ISNUMBER(LifeExpectancyData[[#This Row],[Adult Mortality]:[Schooling]]),ISNUMBER(LifeExpectancyData[[#This Row],[Life expectancy]]), LifeExpectancyData[[#This Row],[Year]]=2013)</f>
        <v>0</v>
      </c>
    </row>
    <row r="2006" spans="1:23" hidden="1" x14ac:dyDescent="0.25">
      <c r="A2006" t="s">
        <v>405</v>
      </c>
      <c r="B2006">
        <v>2002</v>
      </c>
      <c r="C2006" t="s">
        <v>273</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cm="1">
        <f t="array" ref="W2006">AND(ISNUMBER(LifeExpectancyData[[#This Row],[Adult Mortality]:[Schooling]]),ISNUMBER(LifeExpectancyData[[#This Row],[Life expectancy]]), LifeExpectancyData[[#This Row],[Year]]=2013)</f>
        <v>0</v>
      </c>
    </row>
    <row r="2007" spans="1:23" hidden="1" x14ac:dyDescent="0.25">
      <c r="A2007" t="s">
        <v>405</v>
      </c>
      <c r="B2007">
        <v>2001</v>
      </c>
      <c r="C2007" t="s">
        <v>273</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cm="1">
        <f t="array" ref="W2007">AND(ISNUMBER(LifeExpectancyData[[#This Row],[Adult Mortality]:[Schooling]]),ISNUMBER(LifeExpectancyData[[#This Row],[Life expectancy]]), LifeExpectancyData[[#This Row],[Year]]=2013)</f>
        <v>0</v>
      </c>
    </row>
    <row r="2008" spans="1:23" hidden="1" x14ac:dyDescent="0.25">
      <c r="A2008" t="s">
        <v>405</v>
      </c>
      <c r="B2008">
        <v>2000</v>
      </c>
      <c r="C2008" t="s">
        <v>273</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cm="1">
        <f t="array" ref="W2008">AND(ISNUMBER(LifeExpectancyData[[#This Row],[Adult Mortality]:[Schooling]]),ISNUMBER(LifeExpectancyData[[#This Row],[Life expectancy]]), LifeExpectancyData[[#This Row],[Year]]=2013)</f>
        <v>0</v>
      </c>
    </row>
    <row r="2009" spans="1:23" hidden="1" x14ac:dyDescent="0.25">
      <c r="A2009" t="s">
        <v>406</v>
      </c>
      <c r="B2009">
        <v>2015</v>
      </c>
      <c r="C2009" t="s">
        <v>273</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cm="1">
        <f t="array" ref="W2009">AND(ISNUMBER(LifeExpectancyData[[#This Row],[Adult Mortality]:[Schooling]]),ISNUMBER(LifeExpectancyData[[#This Row],[Life expectancy]]), LifeExpectancyData[[#This Row],[Year]]=2013)</f>
        <v>0</v>
      </c>
    </row>
    <row r="2010" spans="1:23" x14ac:dyDescent="0.25">
      <c r="A2010" t="s">
        <v>406</v>
      </c>
      <c r="B2010">
        <v>2014</v>
      </c>
      <c r="C2010" t="s">
        <v>273</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cm="1">
        <f t="array" ref="W2010">AND(ISNUMBER(LifeExpectancyData[[#This Row],[Adult Mortality]:[Schooling]]),ISNUMBER(LifeExpectancyData[[#This Row],[Life expectancy]]), LifeExpectancyData[[#This Row],[Year]]=2013)</f>
        <v>0</v>
      </c>
    </row>
    <row r="2011" spans="1:23" x14ac:dyDescent="0.25">
      <c r="A2011" t="s">
        <v>406</v>
      </c>
      <c r="B2011">
        <v>2013</v>
      </c>
      <c r="C2011" t="s">
        <v>273</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cm="1">
        <f t="array" ref="W2011">AND(ISNUMBER(LifeExpectancyData[[#This Row],[Adult Mortality]:[Schooling]]),ISNUMBER(LifeExpectancyData[[#This Row],[Life expectancy]]), LifeExpectancyData[[#This Row],[Year]]=2013)</f>
        <v>1</v>
      </c>
    </row>
    <row r="2012" spans="1:23" x14ac:dyDescent="0.25">
      <c r="A2012" t="s">
        <v>406</v>
      </c>
      <c r="B2012">
        <v>2012</v>
      </c>
      <c r="C2012" t="s">
        <v>273</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cm="1">
        <f t="array" ref="W2012">AND(ISNUMBER(LifeExpectancyData[[#This Row],[Adult Mortality]:[Schooling]]),ISNUMBER(LifeExpectancyData[[#This Row],[Life expectancy]]), LifeExpectancyData[[#This Row],[Year]]=2013)</f>
        <v>0</v>
      </c>
    </row>
    <row r="2013" spans="1:23" x14ac:dyDescent="0.25">
      <c r="A2013" t="s">
        <v>406</v>
      </c>
      <c r="B2013">
        <v>2011</v>
      </c>
      <c r="C2013" t="s">
        <v>273</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cm="1">
        <f t="array" ref="W2013">AND(ISNUMBER(LifeExpectancyData[[#This Row],[Adult Mortality]:[Schooling]]),ISNUMBER(LifeExpectancyData[[#This Row],[Life expectancy]]), LifeExpectancyData[[#This Row],[Year]]=2013)</f>
        <v>0</v>
      </c>
    </row>
    <row r="2014" spans="1:23" x14ac:dyDescent="0.25">
      <c r="A2014" t="s">
        <v>406</v>
      </c>
      <c r="B2014">
        <v>2010</v>
      </c>
      <c r="C2014" t="s">
        <v>273</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cm="1">
        <f t="array" ref="W2014">AND(ISNUMBER(LifeExpectancyData[[#This Row],[Adult Mortality]:[Schooling]]),ISNUMBER(LifeExpectancyData[[#This Row],[Life expectancy]]), LifeExpectancyData[[#This Row],[Year]]=2013)</f>
        <v>0</v>
      </c>
    </row>
    <row r="2015" spans="1:23" x14ac:dyDescent="0.25">
      <c r="A2015" t="s">
        <v>406</v>
      </c>
      <c r="B2015">
        <v>2009</v>
      </c>
      <c r="C2015" t="s">
        <v>273</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cm="1">
        <f t="array" ref="W2015">AND(ISNUMBER(LifeExpectancyData[[#This Row],[Adult Mortality]:[Schooling]]),ISNUMBER(LifeExpectancyData[[#This Row],[Life expectancy]]), LifeExpectancyData[[#This Row],[Year]]=2013)</f>
        <v>0</v>
      </c>
    </row>
    <row r="2016" spans="1:23" x14ac:dyDescent="0.25">
      <c r="A2016" t="s">
        <v>406</v>
      </c>
      <c r="B2016">
        <v>2008</v>
      </c>
      <c r="C2016" t="s">
        <v>273</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cm="1">
        <f t="array" ref="W2016">AND(ISNUMBER(LifeExpectancyData[[#This Row],[Adult Mortality]:[Schooling]]),ISNUMBER(LifeExpectancyData[[#This Row],[Life expectancy]]), LifeExpectancyData[[#This Row],[Year]]=2013)</f>
        <v>0</v>
      </c>
    </row>
    <row r="2017" spans="1:23" x14ac:dyDescent="0.25">
      <c r="A2017" t="s">
        <v>406</v>
      </c>
      <c r="B2017">
        <v>2007</v>
      </c>
      <c r="C2017" t="s">
        <v>273</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cm="1">
        <f t="array" ref="W2017">AND(ISNUMBER(LifeExpectancyData[[#This Row],[Adult Mortality]:[Schooling]]),ISNUMBER(LifeExpectancyData[[#This Row],[Life expectancy]]), LifeExpectancyData[[#This Row],[Year]]=2013)</f>
        <v>0</v>
      </c>
    </row>
    <row r="2018" spans="1:23" x14ac:dyDescent="0.25">
      <c r="A2018" t="s">
        <v>406</v>
      </c>
      <c r="B2018">
        <v>2006</v>
      </c>
      <c r="C2018" t="s">
        <v>273</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cm="1">
        <f t="array" ref="W2018">AND(ISNUMBER(LifeExpectancyData[[#This Row],[Adult Mortality]:[Schooling]]),ISNUMBER(LifeExpectancyData[[#This Row],[Life expectancy]]), LifeExpectancyData[[#This Row],[Year]]=2013)</f>
        <v>0</v>
      </c>
    </row>
    <row r="2019" spans="1:23" x14ac:dyDescent="0.25">
      <c r="A2019" t="s">
        <v>406</v>
      </c>
      <c r="B2019">
        <v>2005</v>
      </c>
      <c r="C2019" t="s">
        <v>273</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cm="1">
        <f t="array" ref="W2019">AND(ISNUMBER(LifeExpectancyData[[#This Row],[Adult Mortality]:[Schooling]]),ISNUMBER(LifeExpectancyData[[#This Row],[Life expectancy]]), LifeExpectancyData[[#This Row],[Year]]=2013)</f>
        <v>0</v>
      </c>
    </row>
    <row r="2020" spans="1:23" x14ac:dyDescent="0.25">
      <c r="A2020" t="s">
        <v>406</v>
      </c>
      <c r="B2020">
        <v>2004</v>
      </c>
      <c r="C2020" t="s">
        <v>273</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cm="1">
        <f t="array" ref="W2020">AND(ISNUMBER(LifeExpectancyData[[#This Row],[Adult Mortality]:[Schooling]]),ISNUMBER(LifeExpectancyData[[#This Row],[Life expectancy]]), LifeExpectancyData[[#This Row],[Year]]=2013)</f>
        <v>0</v>
      </c>
    </row>
    <row r="2021" spans="1:23" x14ac:dyDescent="0.25">
      <c r="A2021" t="s">
        <v>406</v>
      </c>
      <c r="B2021">
        <v>2003</v>
      </c>
      <c r="C2021" t="s">
        <v>273</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cm="1">
        <f t="array" ref="W2021">AND(ISNUMBER(LifeExpectancyData[[#This Row],[Adult Mortality]:[Schooling]]),ISNUMBER(LifeExpectancyData[[#This Row],[Life expectancy]]), LifeExpectancyData[[#This Row],[Year]]=2013)</f>
        <v>0</v>
      </c>
    </row>
    <row r="2022" spans="1:23" hidden="1" x14ac:dyDescent="0.25">
      <c r="A2022" t="s">
        <v>406</v>
      </c>
      <c r="B2022">
        <v>2002</v>
      </c>
      <c r="C2022" t="s">
        <v>273</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cm="1">
        <f t="array" ref="W2022">AND(ISNUMBER(LifeExpectancyData[[#This Row],[Adult Mortality]:[Schooling]]),ISNUMBER(LifeExpectancyData[[#This Row],[Life expectancy]]), LifeExpectancyData[[#This Row],[Year]]=2013)</f>
        <v>0</v>
      </c>
    </row>
    <row r="2023" spans="1:23" hidden="1" x14ac:dyDescent="0.25">
      <c r="A2023" t="s">
        <v>406</v>
      </c>
      <c r="B2023">
        <v>2001</v>
      </c>
      <c r="C2023" t="s">
        <v>273</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cm="1">
        <f t="array" ref="W2023">AND(ISNUMBER(LifeExpectancyData[[#This Row],[Adult Mortality]:[Schooling]]),ISNUMBER(LifeExpectancyData[[#This Row],[Life expectancy]]), LifeExpectancyData[[#This Row],[Year]]=2013)</f>
        <v>0</v>
      </c>
    </row>
    <row r="2024" spans="1:23" hidden="1" x14ac:dyDescent="0.25">
      <c r="A2024" t="s">
        <v>406</v>
      </c>
      <c r="B2024">
        <v>2000</v>
      </c>
      <c r="C2024" t="s">
        <v>273</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cm="1">
        <f t="array" ref="W2024">AND(ISNUMBER(LifeExpectancyData[[#This Row],[Adult Mortality]:[Schooling]]),ISNUMBER(LifeExpectancyData[[#This Row],[Life expectancy]]), LifeExpectancyData[[#This Row],[Year]]=2013)</f>
        <v>0</v>
      </c>
    </row>
    <row r="2025" spans="1:23" hidden="1" x14ac:dyDescent="0.25">
      <c r="A2025" t="s">
        <v>407</v>
      </c>
      <c r="B2025">
        <v>2015</v>
      </c>
      <c r="C2025" t="s">
        <v>273</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cm="1">
        <f t="array" ref="W2025">AND(ISNUMBER(LifeExpectancyData[[#This Row],[Adult Mortality]:[Schooling]]),ISNUMBER(LifeExpectancyData[[#This Row],[Life expectancy]]), LifeExpectancyData[[#This Row],[Year]]=2013)</f>
        <v>0</v>
      </c>
    </row>
    <row r="2026" spans="1:23" x14ac:dyDescent="0.25">
      <c r="A2026" t="s">
        <v>407</v>
      </c>
      <c r="B2026">
        <v>2014</v>
      </c>
      <c r="C2026" t="s">
        <v>273</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cm="1">
        <f t="array" ref="W2026">AND(ISNUMBER(LifeExpectancyData[[#This Row],[Adult Mortality]:[Schooling]]),ISNUMBER(LifeExpectancyData[[#This Row],[Life expectancy]]), LifeExpectancyData[[#This Row],[Year]]=2013)</f>
        <v>0</v>
      </c>
    </row>
    <row r="2027" spans="1:23" x14ac:dyDescent="0.25">
      <c r="A2027" t="s">
        <v>407</v>
      </c>
      <c r="B2027">
        <v>2013</v>
      </c>
      <c r="C2027" t="s">
        <v>273</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cm="1">
        <f t="array" ref="W2027">AND(ISNUMBER(LifeExpectancyData[[#This Row],[Adult Mortality]:[Schooling]]),ISNUMBER(LifeExpectancyData[[#This Row],[Life expectancy]]), LifeExpectancyData[[#This Row],[Year]]=2013)</f>
        <v>1</v>
      </c>
    </row>
    <row r="2028" spans="1:23" x14ac:dyDescent="0.25">
      <c r="A2028" t="s">
        <v>407</v>
      </c>
      <c r="B2028">
        <v>2012</v>
      </c>
      <c r="C2028" t="s">
        <v>273</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cm="1">
        <f t="array" ref="W2028">AND(ISNUMBER(LifeExpectancyData[[#This Row],[Adult Mortality]:[Schooling]]),ISNUMBER(LifeExpectancyData[[#This Row],[Life expectancy]]), LifeExpectancyData[[#This Row],[Year]]=2013)</f>
        <v>0</v>
      </c>
    </row>
    <row r="2029" spans="1:23" x14ac:dyDescent="0.25">
      <c r="A2029" t="s">
        <v>407</v>
      </c>
      <c r="B2029">
        <v>2011</v>
      </c>
      <c r="C2029" t="s">
        <v>273</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cm="1">
        <f t="array" ref="W2029">AND(ISNUMBER(LifeExpectancyData[[#This Row],[Adult Mortality]:[Schooling]]),ISNUMBER(LifeExpectancyData[[#This Row],[Life expectancy]]), LifeExpectancyData[[#This Row],[Year]]=2013)</f>
        <v>0</v>
      </c>
    </row>
    <row r="2030" spans="1:23" x14ac:dyDescent="0.25">
      <c r="A2030" t="s">
        <v>407</v>
      </c>
      <c r="B2030">
        <v>2010</v>
      </c>
      <c r="C2030" t="s">
        <v>273</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cm="1">
        <f t="array" ref="W2030">AND(ISNUMBER(LifeExpectancyData[[#This Row],[Adult Mortality]:[Schooling]]),ISNUMBER(LifeExpectancyData[[#This Row],[Life expectancy]]), LifeExpectancyData[[#This Row],[Year]]=2013)</f>
        <v>0</v>
      </c>
    </row>
    <row r="2031" spans="1:23" x14ac:dyDescent="0.25">
      <c r="A2031" t="s">
        <v>407</v>
      </c>
      <c r="B2031">
        <v>2009</v>
      </c>
      <c r="C2031" t="s">
        <v>273</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cm="1">
        <f t="array" ref="W2031">AND(ISNUMBER(LifeExpectancyData[[#This Row],[Adult Mortality]:[Schooling]]),ISNUMBER(LifeExpectancyData[[#This Row],[Life expectancy]]), LifeExpectancyData[[#This Row],[Year]]=2013)</f>
        <v>0</v>
      </c>
    </row>
    <row r="2032" spans="1:23" x14ac:dyDescent="0.25">
      <c r="A2032" t="s">
        <v>407</v>
      </c>
      <c r="B2032">
        <v>2008</v>
      </c>
      <c r="C2032" t="s">
        <v>273</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cm="1">
        <f t="array" ref="W2032">AND(ISNUMBER(LifeExpectancyData[[#This Row],[Adult Mortality]:[Schooling]]),ISNUMBER(LifeExpectancyData[[#This Row],[Life expectancy]]), LifeExpectancyData[[#This Row],[Year]]=2013)</f>
        <v>0</v>
      </c>
    </row>
    <row r="2033" spans="1:23" x14ac:dyDescent="0.25">
      <c r="A2033" t="s">
        <v>407</v>
      </c>
      <c r="B2033">
        <v>2007</v>
      </c>
      <c r="C2033" t="s">
        <v>273</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cm="1">
        <f t="array" ref="W2033">AND(ISNUMBER(LifeExpectancyData[[#This Row],[Adult Mortality]:[Schooling]]),ISNUMBER(LifeExpectancyData[[#This Row],[Life expectancy]]), LifeExpectancyData[[#This Row],[Year]]=2013)</f>
        <v>0</v>
      </c>
    </row>
    <row r="2034" spans="1:23" x14ac:dyDescent="0.25">
      <c r="A2034" t="s">
        <v>407</v>
      </c>
      <c r="B2034">
        <v>2006</v>
      </c>
      <c r="C2034" t="s">
        <v>273</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cm="1">
        <f t="array" ref="W2034">AND(ISNUMBER(LifeExpectancyData[[#This Row],[Adult Mortality]:[Schooling]]),ISNUMBER(LifeExpectancyData[[#This Row],[Life expectancy]]), LifeExpectancyData[[#This Row],[Year]]=2013)</f>
        <v>0</v>
      </c>
    </row>
    <row r="2035" spans="1:23" x14ac:dyDescent="0.25">
      <c r="A2035" t="s">
        <v>407</v>
      </c>
      <c r="B2035">
        <v>2005</v>
      </c>
      <c r="C2035" t="s">
        <v>273</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cm="1">
        <f t="array" ref="W2035">AND(ISNUMBER(LifeExpectancyData[[#This Row],[Adult Mortality]:[Schooling]]),ISNUMBER(LifeExpectancyData[[#This Row],[Life expectancy]]), LifeExpectancyData[[#This Row],[Year]]=2013)</f>
        <v>0</v>
      </c>
    </row>
    <row r="2036" spans="1:23" x14ac:dyDescent="0.25">
      <c r="A2036" t="s">
        <v>407</v>
      </c>
      <c r="B2036">
        <v>2004</v>
      </c>
      <c r="C2036" t="s">
        <v>273</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cm="1">
        <f t="array" ref="W2036">AND(ISNUMBER(LifeExpectancyData[[#This Row],[Adult Mortality]:[Schooling]]),ISNUMBER(LifeExpectancyData[[#This Row],[Life expectancy]]), LifeExpectancyData[[#This Row],[Year]]=2013)</f>
        <v>0</v>
      </c>
    </row>
    <row r="2037" spans="1:23" x14ac:dyDescent="0.25">
      <c r="A2037" t="s">
        <v>407</v>
      </c>
      <c r="B2037">
        <v>2003</v>
      </c>
      <c r="C2037" t="s">
        <v>273</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cm="1">
        <f t="array" ref="W2037">AND(ISNUMBER(LifeExpectancyData[[#This Row],[Adult Mortality]:[Schooling]]),ISNUMBER(LifeExpectancyData[[#This Row],[Life expectancy]]), LifeExpectancyData[[#This Row],[Year]]=2013)</f>
        <v>0</v>
      </c>
    </row>
    <row r="2038" spans="1:23" x14ac:dyDescent="0.25">
      <c r="A2038" t="s">
        <v>407</v>
      </c>
      <c r="B2038">
        <v>2002</v>
      </c>
      <c r="C2038" t="s">
        <v>273</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cm="1">
        <f t="array" ref="W2038">AND(ISNUMBER(LifeExpectancyData[[#This Row],[Adult Mortality]:[Schooling]]),ISNUMBER(LifeExpectancyData[[#This Row],[Life expectancy]]), LifeExpectancyData[[#This Row],[Year]]=2013)</f>
        <v>0</v>
      </c>
    </row>
    <row r="2039" spans="1:23" x14ac:dyDescent="0.25">
      <c r="A2039" t="s">
        <v>407</v>
      </c>
      <c r="B2039">
        <v>2001</v>
      </c>
      <c r="C2039" t="s">
        <v>273</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cm="1">
        <f t="array" ref="W2039">AND(ISNUMBER(LifeExpectancyData[[#This Row],[Adult Mortality]:[Schooling]]),ISNUMBER(LifeExpectancyData[[#This Row],[Life expectancy]]), LifeExpectancyData[[#This Row],[Year]]=2013)</f>
        <v>0</v>
      </c>
    </row>
    <row r="2040" spans="1:23" x14ac:dyDescent="0.25">
      <c r="A2040" t="s">
        <v>407</v>
      </c>
      <c r="B2040">
        <v>2000</v>
      </c>
      <c r="C2040" t="s">
        <v>273</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cm="1">
        <f t="array" ref="W2040">AND(ISNUMBER(LifeExpectancyData[[#This Row],[Adult Mortality]:[Schooling]]),ISNUMBER(LifeExpectancyData[[#This Row],[Life expectancy]]), LifeExpectancyData[[#This Row],[Year]]=2013)</f>
        <v>0</v>
      </c>
    </row>
    <row r="2041" spans="1:23" hidden="1" x14ac:dyDescent="0.25">
      <c r="A2041" t="s">
        <v>408</v>
      </c>
      <c r="B2041">
        <v>2015</v>
      </c>
      <c r="C2041" t="s">
        <v>281</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cm="1">
        <f t="array" ref="W2041">AND(ISNUMBER(LifeExpectancyData[[#This Row],[Adult Mortality]:[Schooling]]),ISNUMBER(LifeExpectancyData[[#This Row],[Life expectancy]]), LifeExpectancyData[[#This Row],[Year]]=2013)</f>
        <v>0</v>
      </c>
    </row>
    <row r="2042" spans="1:23" x14ac:dyDescent="0.25">
      <c r="A2042" t="s">
        <v>408</v>
      </c>
      <c r="B2042">
        <v>2014</v>
      </c>
      <c r="C2042" t="s">
        <v>281</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cm="1">
        <f t="array" ref="W2042">AND(ISNUMBER(LifeExpectancyData[[#This Row],[Adult Mortality]:[Schooling]]),ISNUMBER(LifeExpectancyData[[#This Row],[Life expectancy]]), LifeExpectancyData[[#This Row],[Year]]=2013)</f>
        <v>0</v>
      </c>
    </row>
    <row r="2043" spans="1:23" x14ac:dyDescent="0.25">
      <c r="A2043" t="s">
        <v>408</v>
      </c>
      <c r="B2043">
        <v>2013</v>
      </c>
      <c r="C2043" t="s">
        <v>281</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cm="1">
        <f t="array" ref="W2043">AND(ISNUMBER(LifeExpectancyData[[#This Row],[Adult Mortality]:[Schooling]]),ISNUMBER(LifeExpectancyData[[#This Row],[Life expectancy]]), LifeExpectancyData[[#This Row],[Year]]=2013)</f>
        <v>1</v>
      </c>
    </row>
    <row r="2044" spans="1:23" x14ac:dyDescent="0.25">
      <c r="A2044" t="s">
        <v>408</v>
      </c>
      <c r="B2044">
        <v>2012</v>
      </c>
      <c r="C2044" t="s">
        <v>281</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cm="1">
        <f t="array" ref="W2044">AND(ISNUMBER(LifeExpectancyData[[#This Row],[Adult Mortality]:[Schooling]]),ISNUMBER(LifeExpectancyData[[#This Row],[Life expectancy]]), LifeExpectancyData[[#This Row],[Year]]=2013)</f>
        <v>0</v>
      </c>
    </row>
    <row r="2045" spans="1:23" x14ac:dyDescent="0.25">
      <c r="A2045" t="s">
        <v>408</v>
      </c>
      <c r="B2045">
        <v>2011</v>
      </c>
      <c r="C2045" t="s">
        <v>281</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cm="1">
        <f t="array" ref="W2045">AND(ISNUMBER(LifeExpectancyData[[#This Row],[Adult Mortality]:[Schooling]]),ISNUMBER(LifeExpectancyData[[#This Row],[Life expectancy]]), LifeExpectancyData[[#This Row],[Year]]=2013)</f>
        <v>0</v>
      </c>
    </row>
    <row r="2046" spans="1:23" x14ac:dyDescent="0.25">
      <c r="A2046" t="s">
        <v>408</v>
      </c>
      <c r="B2046">
        <v>2010</v>
      </c>
      <c r="C2046" t="s">
        <v>281</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cm="1">
        <f t="array" ref="W2046">AND(ISNUMBER(LifeExpectancyData[[#This Row],[Adult Mortality]:[Schooling]]),ISNUMBER(LifeExpectancyData[[#This Row],[Life expectancy]]), LifeExpectancyData[[#This Row],[Year]]=2013)</f>
        <v>0</v>
      </c>
    </row>
    <row r="2047" spans="1:23" x14ac:dyDescent="0.25">
      <c r="A2047" t="s">
        <v>408</v>
      </c>
      <c r="B2047">
        <v>2009</v>
      </c>
      <c r="C2047" t="s">
        <v>281</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cm="1">
        <f t="array" ref="W2047">AND(ISNUMBER(LifeExpectancyData[[#This Row],[Adult Mortality]:[Schooling]]),ISNUMBER(LifeExpectancyData[[#This Row],[Life expectancy]]), LifeExpectancyData[[#This Row],[Year]]=2013)</f>
        <v>0</v>
      </c>
    </row>
    <row r="2048" spans="1:23" x14ac:dyDescent="0.25">
      <c r="A2048" t="s">
        <v>408</v>
      </c>
      <c r="B2048">
        <v>2008</v>
      </c>
      <c r="C2048" t="s">
        <v>281</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cm="1">
        <f t="array" ref="W2048">AND(ISNUMBER(LifeExpectancyData[[#This Row],[Adult Mortality]:[Schooling]]),ISNUMBER(LifeExpectancyData[[#This Row],[Life expectancy]]), LifeExpectancyData[[#This Row],[Year]]=2013)</f>
        <v>0</v>
      </c>
    </row>
    <row r="2049" spans="1:23" x14ac:dyDescent="0.25">
      <c r="A2049" t="s">
        <v>408</v>
      </c>
      <c r="B2049">
        <v>2007</v>
      </c>
      <c r="C2049" t="s">
        <v>281</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cm="1">
        <f t="array" ref="W2049">AND(ISNUMBER(LifeExpectancyData[[#This Row],[Adult Mortality]:[Schooling]]),ISNUMBER(LifeExpectancyData[[#This Row],[Life expectancy]]), LifeExpectancyData[[#This Row],[Year]]=2013)</f>
        <v>0</v>
      </c>
    </row>
    <row r="2050" spans="1:23" x14ac:dyDescent="0.25">
      <c r="A2050" t="s">
        <v>408</v>
      </c>
      <c r="B2050">
        <v>2006</v>
      </c>
      <c r="C2050" t="s">
        <v>281</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cm="1">
        <f t="array" ref="W2050">AND(ISNUMBER(LifeExpectancyData[[#This Row],[Adult Mortality]:[Schooling]]),ISNUMBER(LifeExpectancyData[[#This Row],[Life expectancy]]), LifeExpectancyData[[#This Row],[Year]]=2013)</f>
        <v>0</v>
      </c>
    </row>
    <row r="2051" spans="1:23" x14ac:dyDescent="0.25">
      <c r="A2051" t="s">
        <v>408</v>
      </c>
      <c r="B2051">
        <v>2005</v>
      </c>
      <c r="C2051" t="s">
        <v>281</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cm="1">
        <f t="array" ref="W2051">AND(ISNUMBER(LifeExpectancyData[[#This Row],[Adult Mortality]:[Schooling]]),ISNUMBER(LifeExpectancyData[[#This Row],[Life expectancy]]), LifeExpectancyData[[#This Row],[Year]]=2013)</f>
        <v>0</v>
      </c>
    </row>
    <row r="2052" spans="1:23" x14ac:dyDescent="0.25">
      <c r="A2052" t="s">
        <v>408</v>
      </c>
      <c r="B2052">
        <v>2004</v>
      </c>
      <c r="C2052" t="s">
        <v>281</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cm="1">
        <f t="array" ref="W2052">AND(ISNUMBER(LifeExpectancyData[[#This Row],[Adult Mortality]:[Schooling]]),ISNUMBER(LifeExpectancyData[[#This Row],[Life expectancy]]), LifeExpectancyData[[#This Row],[Year]]=2013)</f>
        <v>0</v>
      </c>
    </row>
    <row r="2053" spans="1:23" x14ac:dyDescent="0.25">
      <c r="A2053" t="s">
        <v>408</v>
      </c>
      <c r="B2053">
        <v>2003</v>
      </c>
      <c r="C2053" t="s">
        <v>281</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cm="1">
        <f t="array" ref="W2053">AND(ISNUMBER(LifeExpectancyData[[#This Row],[Adult Mortality]:[Schooling]]),ISNUMBER(LifeExpectancyData[[#This Row],[Life expectancy]]), LifeExpectancyData[[#This Row],[Year]]=2013)</f>
        <v>0</v>
      </c>
    </row>
    <row r="2054" spans="1:23" x14ac:dyDescent="0.25">
      <c r="A2054" t="s">
        <v>408</v>
      </c>
      <c r="B2054">
        <v>2002</v>
      </c>
      <c r="C2054" t="s">
        <v>281</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cm="1">
        <f t="array" ref="W2054">AND(ISNUMBER(LifeExpectancyData[[#This Row],[Adult Mortality]:[Schooling]]),ISNUMBER(LifeExpectancyData[[#This Row],[Life expectancy]]), LifeExpectancyData[[#This Row],[Year]]=2013)</f>
        <v>0</v>
      </c>
    </row>
    <row r="2055" spans="1:23" x14ac:dyDescent="0.25">
      <c r="A2055" t="s">
        <v>408</v>
      </c>
      <c r="B2055">
        <v>2001</v>
      </c>
      <c r="C2055" t="s">
        <v>281</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cm="1">
        <f t="array" ref="W2055">AND(ISNUMBER(LifeExpectancyData[[#This Row],[Adult Mortality]:[Schooling]]),ISNUMBER(LifeExpectancyData[[#This Row],[Life expectancy]]), LifeExpectancyData[[#This Row],[Year]]=2013)</f>
        <v>0</v>
      </c>
    </row>
    <row r="2056" spans="1:23" x14ac:dyDescent="0.25">
      <c r="A2056" t="s">
        <v>408</v>
      </c>
      <c r="B2056">
        <v>2000</v>
      </c>
      <c r="C2056" t="s">
        <v>281</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cm="1">
        <f t="array" ref="W2056">AND(ISNUMBER(LifeExpectancyData[[#This Row],[Adult Mortality]:[Schooling]]),ISNUMBER(LifeExpectancyData[[#This Row],[Life expectancy]]), LifeExpectancyData[[#This Row],[Year]]=2013)</f>
        <v>0</v>
      </c>
    </row>
    <row r="2057" spans="1:23" hidden="1" x14ac:dyDescent="0.25">
      <c r="A2057" t="s">
        <v>409</v>
      </c>
      <c r="B2057">
        <v>2015</v>
      </c>
      <c r="C2057" t="s">
        <v>281</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cm="1">
        <f t="array" ref="W2057">AND(ISNUMBER(LifeExpectancyData[[#This Row],[Adult Mortality]:[Schooling]]),ISNUMBER(LifeExpectancyData[[#This Row],[Life expectancy]]), LifeExpectancyData[[#This Row],[Year]]=2013)</f>
        <v>0</v>
      </c>
    </row>
    <row r="2058" spans="1:23" x14ac:dyDescent="0.25">
      <c r="A2058" t="s">
        <v>409</v>
      </c>
      <c r="B2058">
        <v>2014</v>
      </c>
      <c r="C2058" t="s">
        <v>281</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cm="1">
        <f t="array" ref="W2058">AND(ISNUMBER(LifeExpectancyData[[#This Row],[Adult Mortality]:[Schooling]]),ISNUMBER(LifeExpectancyData[[#This Row],[Life expectancy]]), LifeExpectancyData[[#This Row],[Year]]=2013)</f>
        <v>0</v>
      </c>
    </row>
    <row r="2059" spans="1:23" x14ac:dyDescent="0.25">
      <c r="A2059" t="s">
        <v>409</v>
      </c>
      <c r="B2059">
        <v>2013</v>
      </c>
      <c r="C2059" t="s">
        <v>281</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cm="1">
        <f t="array" ref="W2059">AND(ISNUMBER(LifeExpectancyData[[#This Row],[Adult Mortality]:[Schooling]]),ISNUMBER(LifeExpectancyData[[#This Row],[Life expectancy]]), LifeExpectancyData[[#This Row],[Year]]=2013)</f>
        <v>1</v>
      </c>
    </row>
    <row r="2060" spans="1:23" x14ac:dyDescent="0.25">
      <c r="A2060" t="s">
        <v>409</v>
      </c>
      <c r="B2060">
        <v>2012</v>
      </c>
      <c r="C2060" t="s">
        <v>281</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cm="1">
        <f t="array" ref="W2060">AND(ISNUMBER(LifeExpectancyData[[#This Row],[Adult Mortality]:[Schooling]]),ISNUMBER(LifeExpectancyData[[#This Row],[Life expectancy]]), LifeExpectancyData[[#This Row],[Year]]=2013)</f>
        <v>0</v>
      </c>
    </row>
    <row r="2061" spans="1:23" x14ac:dyDescent="0.25">
      <c r="A2061" t="s">
        <v>409</v>
      </c>
      <c r="B2061">
        <v>2011</v>
      </c>
      <c r="C2061" t="s">
        <v>281</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cm="1">
        <f t="array" ref="W2061">AND(ISNUMBER(LifeExpectancyData[[#This Row],[Adult Mortality]:[Schooling]]),ISNUMBER(LifeExpectancyData[[#This Row],[Life expectancy]]), LifeExpectancyData[[#This Row],[Year]]=2013)</f>
        <v>0</v>
      </c>
    </row>
    <row r="2062" spans="1:23" x14ac:dyDescent="0.25">
      <c r="A2062" t="s">
        <v>409</v>
      </c>
      <c r="B2062">
        <v>2010</v>
      </c>
      <c r="C2062" t="s">
        <v>281</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cm="1">
        <f t="array" ref="W2062">AND(ISNUMBER(LifeExpectancyData[[#This Row],[Adult Mortality]:[Schooling]]),ISNUMBER(LifeExpectancyData[[#This Row],[Life expectancy]]), LifeExpectancyData[[#This Row],[Year]]=2013)</f>
        <v>0</v>
      </c>
    </row>
    <row r="2063" spans="1:23" x14ac:dyDescent="0.25">
      <c r="A2063" t="s">
        <v>409</v>
      </c>
      <c r="B2063">
        <v>2009</v>
      </c>
      <c r="C2063" t="s">
        <v>281</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cm="1">
        <f t="array" ref="W2063">AND(ISNUMBER(LifeExpectancyData[[#This Row],[Adult Mortality]:[Schooling]]),ISNUMBER(LifeExpectancyData[[#This Row],[Life expectancy]]), LifeExpectancyData[[#This Row],[Year]]=2013)</f>
        <v>0</v>
      </c>
    </row>
    <row r="2064" spans="1:23" x14ac:dyDescent="0.25">
      <c r="A2064" t="s">
        <v>409</v>
      </c>
      <c r="B2064">
        <v>2008</v>
      </c>
      <c r="C2064" t="s">
        <v>281</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cm="1">
        <f t="array" ref="W2064">AND(ISNUMBER(LifeExpectancyData[[#This Row],[Adult Mortality]:[Schooling]]),ISNUMBER(LifeExpectancyData[[#This Row],[Life expectancy]]), LifeExpectancyData[[#This Row],[Year]]=2013)</f>
        <v>0</v>
      </c>
    </row>
    <row r="2065" spans="1:23" x14ac:dyDescent="0.25">
      <c r="A2065" t="s">
        <v>409</v>
      </c>
      <c r="B2065">
        <v>2007</v>
      </c>
      <c r="C2065" t="s">
        <v>281</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cm="1">
        <f t="array" ref="W2065">AND(ISNUMBER(LifeExpectancyData[[#This Row],[Adult Mortality]:[Schooling]]),ISNUMBER(LifeExpectancyData[[#This Row],[Life expectancy]]), LifeExpectancyData[[#This Row],[Year]]=2013)</f>
        <v>0</v>
      </c>
    </row>
    <row r="2066" spans="1:23" x14ac:dyDescent="0.25">
      <c r="A2066" t="s">
        <v>409</v>
      </c>
      <c r="B2066">
        <v>2006</v>
      </c>
      <c r="C2066" t="s">
        <v>281</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cm="1">
        <f t="array" ref="W2066">AND(ISNUMBER(LifeExpectancyData[[#This Row],[Adult Mortality]:[Schooling]]),ISNUMBER(LifeExpectancyData[[#This Row],[Life expectancy]]), LifeExpectancyData[[#This Row],[Year]]=2013)</f>
        <v>0</v>
      </c>
    </row>
    <row r="2067" spans="1:23" x14ac:dyDescent="0.25">
      <c r="A2067" t="s">
        <v>409</v>
      </c>
      <c r="B2067">
        <v>2005</v>
      </c>
      <c r="C2067" t="s">
        <v>281</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cm="1">
        <f t="array" ref="W2067">AND(ISNUMBER(LifeExpectancyData[[#This Row],[Adult Mortality]:[Schooling]]),ISNUMBER(LifeExpectancyData[[#This Row],[Life expectancy]]), LifeExpectancyData[[#This Row],[Year]]=2013)</f>
        <v>0</v>
      </c>
    </row>
    <row r="2068" spans="1:23" x14ac:dyDescent="0.25">
      <c r="A2068" t="s">
        <v>409</v>
      </c>
      <c r="B2068">
        <v>2004</v>
      </c>
      <c r="C2068" t="s">
        <v>281</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cm="1">
        <f t="array" ref="W2068">AND(ISNUMBER(LifeExpectancyData[[#This Row],[Adult Mortality]:[Schooling]]),ISNUMBER(LifeExpectancyData[[#This Row],[Life expectancy]]), LifeExpectancyData[[#This Row],[Year]]=2013)</f>
        <v>0</v>
      </c>
    </row>
    <row r="2069" spans="1:23" x14ac:dyDescent="0.25">
      <c r="A2069" t="s">
        <v>409</v>
      </c>
      <c r="B2069">
        <v>2003</v>
      </c>
      <c r="C2069" t="s">
        <v>281</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cm="1">
        <f t="array" ref="W2069">AND(ISNUMBER(LifeExpectancyData[[#This Row],[Adult Mortality]:[Schooling]]),ISNUMBER(LifeExpectancyData[[#This Row],[Life expectancy]]), LifeExpectancyData[[#This Row],[Year]]=2013)</f>
        <v>0</v>
      </c>
    </row>
    <row r="2070" spans="1:23" x14ac:dyDescent="0.25">
      <c r="A2070" t="s">
        <v>409</v>
      </c>
      <c r="B2070">
        <v>2002</v>
      </c>
      <c r="C2070" t="s">
        <v>281</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cm="1">
        <f t="array" ref="W2070">AND(ISNUMBER(LifeExpectancyData[[#This Row],[Adult Mortality]:[Schooling]]),ISNUMBER(LifeExpectancyData[[#This Row],[Life expectancy]]), LifeExpectancyData[[#This Row],[Year]]=2013)</f>
        <v>0</v>
      </c>
    </row>
    <row r="2071" spans="1:23" x14ac:dyDescent="0.25">
      <c r="A2071" t="s">
        <v>409</v>
      </c>
      <c r="B2071">
        <v>2001</v>
      </c>
      <c r="C2071" t="s">
        <v>281</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cm="1">
        <f t="array" ref="W2071">AND(ISNUMBER(LifeExpectancyData[[#This Row],[Adult Mortality]:[Schooling]]),ISNUMBER(LifeExpectancyData[[#This Row],[Life expectancy]]), LifeExpectancyData[[#This Row],[Year]]=2013)</f>
        <v>0</v>
      </c>
    </row>
    <row r="2072" spans="1:23" x14ac:dyDescent="0.25">
      <c r="A2072" t="s">
        <v>409</v>
      </c>
      <c r="B2072">
        <v>2000</v>
      </c>
      <c r="C2072" t="s">
        <v>281</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cm="1">
        <f t="array" ref="W2072">AND(ISNUMBER(LifeExpectancyData[[#This Row],[Adult Mortality]:[Schooling]]),ISNUMBER(LifeExpectancyData[[#This Row],[Life expectancy]]), LifeExpectancyData[[#This Row],[Year]]=2013)</f>
        <v>0</v>
      </c>
    </row>
    <row r="2073" spans="1:23" hidden="1" x14ac:dyDescent="0.25">
      <c r="A2073" t="s">
        <v>410</v>
      </c>
      <c r="B2073">
        <v>2015</v>
      </c>
      <c r="C2073" t="s">
        <v>273</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cm="1">
        <f t="array" ref="W2073">AND(ISNUMBER(LifeExpectancyData[[#This Row],[Adult Mortality]:[Schooling]]),ISNUMBER(LifeExpectancyData[[#This Row],[Life expectancy]]), LifeExpectancyData[[#This Row],[Year]]=2013)</f>
        <v>0</v>
      </c>
    </row>
    <row r="2074" spans="1:23" hidden="1" x14ac:dyDescent="0.25">
      <c r="A2074" t="s">
        <v>410</v>
      </c>
      <c r="B2074">
        <v>2014</v>
      </c>
      <c r="C2074" t="s">
        <v>273</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cm="1">
        <f t="array" ref="W2074">AND(ISNUMBER(LifeExpectancyData[[#This Row],[Adult Mortality]:[Schooling]]),ISNUMBER(LifeExpectancyData[[#This Row],[Life expectancy]]), LifeExpectancyData[[#This Row],[Year]]=2013)</f>
        <v>0</v>
      </c>
    </row>
    <row r="2075" spans="1:23" hidden="1" x14ac:dyDescent="0.25">
      <c r="A2075" t="s">
        <v>410</v>
      </c>
      <c r="B2075">
        <v>2013</v>
      </c>
      <c r="C2075" t="s">
        <v>273</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cm="1">
        <f t="array" ref="W2075">AND(ISNUMBER(LifeExpectancyData[[#This Row],[Adult Mortality]:[Schooling]]),ISNUMBER(LifeExpectancyData[[#This Row],[Life expectancy]]), LifeExpectancyData[[#This Row],[Year]]=2013)</f>
        <v>0</v>
      </c>
    </row>
    <row r="2076" spans="1:23" hidden="1" x14ac:dyDescent="0.25">
      <c r="A2076" t="s">
        <v>410</v>
      </c>
      <c r="B2076">
        <v>2012</v>
      </c>
      <c r="C2076" t="s">
        <v>273</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cm="1">
        <f t="array" ref="W2076">AND(ISNUMBER(LifeExpectancyData[[#This Row],[Adult Mortality]:[Schooling]]),ISNUMBER(LifeExpectancyData[[#This Row],[Life expectancy]]), LifeExpectancyData[[#This Row],[Year]]=2013)</f>
        <v>0</v>
      </c>
    </row>
    <row r="2077" spans="1:23" hidden="1" x14ac:dyDescent="0.25">
      <c r="A2077" t="s">
        <v>410</v>
      </c>
      <c r="B2077">
        <v>2011</v>
      </c>
      <c r="C2077" t="s">
        <v>273</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cm="1">
        <f t="array" ref="W2077">AND(ISNUMBER(LifeExpectancyData[[#This Row],[Adult Mortality]:[Schooling]]),ISNUMBER(LifeExpectancyData[[#This Row],[Life expectancy]]), LifeExpectancyData[[#This Row],[Year]]=2013)</f>
        <v>0</v>
      </c>
    </row>
    <row r="2078" spans="1:23" hidden="1" x14ac:dyDescent="0.25">
      <c r="A2078" t="s">
        <v>410</v>
      </c>
      <c r="B2078">
        <v>2010</v>
      </c>
      <c r="C2078" t="s">
        <v>273</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cm="1">
        <f t="array" ref="W2078">AND(ISNUMBER(LifeExpectancyData[[#This Row],[Adult Mortality]:[Schooling]]),ISNUMBER(LifeExpectancyData[[#This Row],[Life expectancy]]), LifeExpectancyData[[#This Row],[Year]]=2013)</f>
        <v>0</v>
      </c>
    </row>
    <row r="2079" spans="1:23" hidden="1" x14ac:dyDescent="0.25">
      <c r="A2079" t="s">
        <v>410</v>
      </c>
      <c r="B2079">
        <v>2009</v>
      </c>
      <c r="C2079" t="s">
        <v>273</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cm="1">
        <f t="array" ref="W2079">AND(ISNUMBER(LifeExpectancyData[[#This Row],[Adult Mortality]:[Schooling]]),ISNUMBER(LifeExpectancyData[[#This Row],[Life expectancy]]), LifeExpectancyData[[#This Row],[Year]]=2013)</f>
        <v>0</v>
      </c>
    </row>
    <row r="2080" spans="1:23" hidden="1" x14ac:dyDescent="0.25">
      <c r="A2080" t="s">
        <v>410</v>
      </c>
      <c r="B2080">
        <v>2008</v>
      </c>
      <c r="C2080" t="s">
        <v>273</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cm="1">
        <f t="array" ref="W2080">AND(ISNUMBER(LifeExpectancyData[[#This Row],[Adult Mortality]:[Schooling]]),ISNUMBER(LifeExpectancyData[[#This Row],[Life expectancy]]), LifeExpectancyData[[#This Row],[Year]]=2013)</f>
        <v>0</v>
      </c>
    </row>
    <row r="2081" spans="1:23" hidden="1" x14ac:dyDescent="0.25">
      <c r="A2081" t="s">
        <v>410</v>
      </c>
      <c r="B2081">
        <v>2007</v>
      </c>
      <c r="C2081" t="s">
        <v>273</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cm="1">
        <f t="array" ref="W2081">AND(ISNUMBER(LifeExpectancyData[[#This Row],[Adult Mortality]:[Schooling]]),ISNUMBER(LifeExpectancyData[[#This Row],[Life expectancy]]), LifeExpectancyData[[#This Row],[Year]]=2013)</f>
        <v>0</v>
      </c>
    </row>
    <row r="2082" spans="1:23" hidden="1" x14ac:dyDescent="0.25">
      <c r="A2082" t="s">
        <v>410</v>
      </c>
      <c r="B2082">
        <v>2006</v>
      </c>
      <c r="C2082" t="s">
        <v>273</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cm="1">
        <f t="array" ref="W2082">AND(ISNUMBER(LifeExpectancyData[[#This Row],[Adult Mortality]:[Schooling]]),ISNUMBER(LifeExpectancyData[[#This Row],[Life expectancy]]), LifeExpectancyData[[#This Row],[Year]]=2013)</f>
        <v>0</v>
      </c>
    </row>
    <row r="2083" spans="1:23" hidden="1" x14ac:dyDescent="0.25">
      <c r="A2083" t="s">
        <v>410</v>
      </c>
      <c r="B2083">
        <v>2005</v>
      </c>
      <c r="C2083" t="s">
        <v>273</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cm="1">
        <f t="array" ref="W2083">AND(ISNUMBER(LifeExpectancyData[[#This Row],[Adult Mortality]:[Schooling]]),ISNUMBER(LifeExpectancyData[[#This Row],[Life expectancy]]), LifeExpectancyData[[#This Row],[Year]]=2013)</f>
        <v>0</v>
      </c>
    </row>
    <row r="2084" spans="1:23" hidden="1" x14ac:dyDescent="0.25">
      <c r="A2084" t="s">
        <v>410</v>
      </c>
      <c r="B2084">
        <v>2004</v>
      </c>
      <c r="C2084" t="s">
        <v>273</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cm="1">
        <f t="array" ref="W2084">AND(ISNUMBER(LifeExpectancyData[[#This Row],[Adult Mortality]:[Schooling]]),ISNUMBER(LifeExpectancyData[[#This Row],[Life expectancy]]), LifeExpectancyData[[#This Row],[Year]]=2013)</f>
        <v>0</v>
      </c>
    </row>
    <row r="2085" spans="1:23" hidden="1" x14ac:dyDescent="0.25">
      <c r="A2085" t="s">
        <v>410</v>
      </c>
      <c r="B2085">
        <v>2003</v>
      </c>
      <c r="C2085" t="s">
        <v>273</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cm="1">
        <f t="array" ref="W2085">AND(ISNUMBER(LifeExpectancyData[[#This Row],[Adult Mortality]:[Schooling]]),ISNUMBER(LifeExpectancyData[[#This Row],[Life expectancy]]), LifeExpectancyData[[#This Row],[Year]]=2013)</f>
        <v>0</v>
      </c>
    </row>
    <row r="2086" spans="1:23" hidden="1" x14ac:dyDescent="0.25">
      <c r="A2086" t="s">
        <v>410</v>
      </c>
      <c r="B2086">
        <v>2002</v>
      </c>
      <c r="C2086" t="s">
        <v>273</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cm="1">
        <f t="array" ref="W2086">AND(ISNUMBER(LifeExpectancyData[[#This Row],[Adult Mortality]:[Schooling]]),ISNUMBER(LifeExpectancyData[[#This Row],[Life expectancy]]), LifeExpectancyData[[#This Row],[Year]]=2013)</f>
        <v>0</v>
      </c>
    </row>
    <row r="2087" spans="1:23" hidden="1" x14ac:dyDescent="0.25">
      <c r="A2087" t="s">
        <v>410</v>
      </c>
      <c r="B2087">
        <v>2001</v>
      </c>
      <c r="C2087" t="s">
        <v>273</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cm="1">
        <f t="array" ref="W2087">AND(ISNUMBER(LifeExpectancyData[[#This Row],[Adult Mortality]:[Schooling]]),ISNUMBER(LifeExpectancyData[[#This Row],[Life expectancy]]), LifeExpectancyData[[#This Row],[Year]]=2013)</f>
        <v>0</v>
      </c>
    </row>
    <row r="2088" spans="1:23" hidden="1" x14ac:dyDescent="0.25">
      <c r="A2088" t="s">
        <v>410</v>
      </c>
      <c r="B2088">
        <v>2000</v>
      </c>
      <c r="C2088" t="s">
        <v>273</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cm="1">
        <f t="array" ref="W2088">AND(ISNUMBER(LifeExpectancyData[[#This Row],[Adult Mortality]:[Schooling]]),ISNUMBER(LifeExpectancyData[[#This Row],[Life expectancy]]), LifeExpectancyData[[#This Row],[Year]]=2013)</f>
        <v>0</v>
      </c>
    </row>
    <row r="2089" spans="1:23" hidden="1" x14ac:dyDescent="0.25">
      <c r="A2089" t="s">
        <v>411</v>
      </c>
      <c r="B2089">
        <v>2015</v>
      </c>
      <c r="C2089" t="s">
        <v>273</v>
      </c>
      <c r="D2089">
        <v>82.3</v>
      </c>
      <c r="E2089">
        <v>64</v>
      </c>
      <c r="F2089">
        <v>1</v>
      </c>
      <c r="H2089">
        <v>0</v>
      </c>
      <c r="I2089">
        <v>98</v>
      </c>
      <c r="J2089">
        <v>7</v>
      </c>
      <c r="K2089">
        <v>31.7</v>
      </c>
      <c r="L2089">
        <v>2</v>
      </c>
      <c r="M2089">
        <v>98</v>
      </c>
      <c r="O2089">
        <v>98</v>
      </c>
      <c r="P2089">
        <v>0.1</v>
      </c>
      <c r="S2089">
        <v>1.5</v>
      </c>
      <c r="T2089">
        <v>1</v>
      </c>
      <c r="W2089" t="b" cm="1">
        <f t="array" ref="W2089">AND(ISNUMBER(LifeExpectancyData[[#This Row],[Adult Mortality]:[Schooling]]),ISNUMBER(LifeExpectancyData[[#This Row],[Life expectancy]]), LifeExpectancyData[[#This Row],[Year]]=2013)</f>
        <v>0</v>
      </c>
    </row>
    <row r="2090" spans="1:23" hidden="1" x14ac:dyDescent="0.25">
      <c r="A2090" t="s">
        <v>411</v>
      </c>
      <c r="B2090">
        <v>2014</v>
      </c>
      <c r="C2090" t="s">
        <v>273</v>
      </c>
      <c r="D2090">
        <v>82</v>
      </c>
      <c r="E2090">
        <v>66</v>
      </c>
      <c r="F2090">
        <v>1</v>
      </c>
      <c r="G2090">
        <v>0.01</v>
      </c>
      <c r="H2090">
        <v>0</v>
      </c>
      <c r="I2090">
        <v>99</v>
      </c>
      <c r="J2090">
        <v>442</v>
      </c>
      <c r="K2090">
        <v>31.2</v>
      </c>
      <c r="L2090">
        <v>2</v>
      </c>
      <c r="M2090">
        <v>99</v>
      </c>
      <c r="N2090">
        <v>7.37</v>
      </c>
      <c r="O2090">
        <v>99</v>
      </c>
      <c r="P2090">
        <v>0.1</v>
      </c>
      <c r="S2090">
        <v>1.5</v>
      </c>
      <c r="T2090">
        <v>1</v>
      </c>
      <c r="W2090" t="b" cm="1">
        <f t="array" ref="W2090">AND(ISNUMBER(LifeExpectancyData[[#This Row],[Adult Mortality]:[Schooling]]),ISNUMBER(LifeExpectancyData[[#This Row],[Life expectancy]]), LifeExpectancyData[[#This Row],[Year]]=2013)</f>
        <v>0</v>
      </c>
    </row>
    <row r="2091" spans="1:23" hidden="1" x14ac:dyDescent="0.25">
      <c r="A2091" t="s">
        <v>411</v>
      </c>
      <c r="B2091">
        <v>2013</v>
      </c>
      <c r="C2091" t="s">
        <v>273</v>
      </c>
      <c r="D2091">
        <v>81.7</v>
      </c>
      <c r="E2091">
        <v>68</v>
      </c>
      <c r="F2091">
        <v>1</v>
      </c>
      <c r="G2091">
        <v>9.33</v>
      </c>
      <c r="H2091">
        <v>0</v>
      </c>
      <c r="I2091">
        <v>99</v>
      </c>
      <c r="J2091">
        <v>107</v>
      </c>
      <c r="K2091">
        <v>3.8</v>
      </c>
      <c r="L2091">
        <v>2</v>
      </c>
      <c r="M2091">
        <v>99</v>
      </c>
      <c r="N2091">
        <v>7.2</v>
      </c>
      <c r="O2091">
        <v>99</v>
      </c>
      <c r="P2091">
        <v>0.1</v>
      </c>
      <c r="S2091">
        <v>1.5</v>
      </c>
      <c r="T2091">
        <v>1</v>
      </c>
      <c r="W2091" t="b" cm="1">
        <f t="array" ref="W2091">AND(ISNUMBER(LifeExpectancyData[[#This Row],[Adult Mortality]:[Schooling]]),ISNUMBER(LifeExpectancyData[[#This Row],[Life expectancy]]), LifeExpectancyData[[#This Row],[Year]]=2013)</f>
        <v>0</v>
      </c>
    </row>
    <row r="2092" spans="1:23" hidden="1" x14ac:dyDescent="0.25">
      <c r="A2092" t="s">
        <v>411</v>
      </c>
      <c r="B2092">
        <v>2012</v>
      </c>
      <c r="C2092" t="s">
        <v>273</v>
      </c>
      <c r="D2092">
        <v>81.2</v>
      </c>
      <c r="E2092">
        <v>69</v>
      </c>
      <c r="F2092">
        <v>1</v>
      </c>
      <c r="G2092">
        <v>9.56</v>
      </c>
      <c r="H2092">
        <v>0</v>
      </c>
      <c r="I2092">
        <v>99</v>
      </c>
      <c r="J2092">
        <v>2</v>
      </c>
      <c r="K2092">
        <v>3.4</v>
      </c>
      <c r="L2092">
        <v>2</v>
      </c>
      <c r="M2092">
        <v>99</v>
      </c>
      <c r="N2092">
        <v>7.1</v>
      </c>
      <c r="O2092">
        <v>99</v>
      </c>
      <c r="P2092">
        <v>0.1</v>
      </c>
      <c r="S2092">
        <v>1.5</v>
      </c>
      <c r="T2092">
        <v>1</v>
      </c>
      <c r="W2092" t="b" cm="1">
        <f t="array" ref="W2092">AND(ISNUMBER(LifeExpectancyData[[#This Row],[Adult Mortality]:[Schooling]]),ISNUMBER(LifeExpectancyData[[#This Row],[Life expectancy]]), LifeExpectancyData[[#This Row],[Year]]=2013)</f>
        <v>0</v>
      </c>
    </row>
    <row r="2093" spans="1:23" hidden="1" x14ac:dyDescent="0.25">
      <c r="A2093" t="s">
        <v>411</v>
      </c>
      <c r="B2093">
        <v>2011</v>
      </c>
      <c r="C2093" t="s">
        <v>273</v>
      </c>
      <c r="D2093">
        <v>81.099999999999994</v>
      </c>
      <c r="E2093">
        <v>72</v>
      </c>
      <c r="F2093">
        <v>2</v>
      </c>
      <c r="G2093">
        <v>9.34</v>
      </c>
      <c r="H2093">
        <v>0</v>
      </c>
      <c r="I2093">
        <v>99</v>
      </c>
      <c r="J2093">
        <v>42</v>
      </c>
      <c r="K2093">
        <v>3</v>
      </c>
      <c r="L2093">
        <v>2</v>
      </c>
      <c r="M2093">
        <v>98</v>
      </c>
      <c r="N2093">
        <v>6.83</v>
      </c>
      <c r="O2093">
        <v>99</v>
      </c>
      <c r="P2093">
        <v>0.1</v>
      </c>
      <c r="S2093">
        <v>1.5</v>
      </c>
      <c r="T2093">
        <v>1</v>
      </c>
      <c r="W2093" t="b" cm="1">
        <f t="array" ref="W2093">AND(ISNUMBER(LifeExpectancyData[[#This Row],[Adult Mortality]:[Schooling]]),ISNUMBER(LifeExpectancyData[[#This Row],[Life expectancy]]), LifeExpectancyData[[#This Row],[Year]]=2013)</f>
        <v>0</v>
      </c>
    </row>
    <row r="2094" spans="1:23" hidden="1" x14ac:dyDescent="0.25">
      <c r="A2094" t="s">
        <v>411</v>
      </c>
      <c r="B2094">
        <v>2010</v>
      </c>
      <c r="C2094" t="s">
        <v>273</v>
      </c>
      <c r="D2094">
        <v>87</v>
      </c>
      <c r="E2094">
        <v>74</v>
      </c>
      <c r="F2094">
        <v>2</v>
      </c>
      <c r="G2094">
        <v>9.23</v>
      </c>
      <c r="H2094">
        <v>0</v>
      </c>
      <c r="I2094">
        <v>94</v>
      </c>
      <c r="J2094">
        <v>114</v>
      </c>
      <c r="K2094">
        <v>29.5</v>
      </c>
      <c r="L2094">
        <v>2</v>
      </c>
      <c r="M2094">
        <v>95</v>
      </c>
      <c r="N2094">
        <v>6.79</v>
      </c>
      <c r="O2094">
        <v>94</v>
      </c>
      <c r="P2094">
        <v>0.1</v>
      </c>
      <c r="S2094">
        <v>1.5</v>
      </c>
      <c r="T2094">
        <v>1</v>
      </c>
      <c r="W2094" t="b" cm="1">
        <f t="array" ref="W2094">AND(ISNUMBER(LifeExpectancyData[[#This Row],[Adult Mortality]:[Schooling]]),ISNUMBER(LifeExpectancyData[[#This Row],[Life expectancy]]), LifeExpectancyData[[#This Row],[Year]]=2013)</f>
        <v>0</v>
      </c>
    </row>
    <row r="2095" spans="1:23" hidden="1" x14ac:dyDescent="0.25">
      <c r="A2095" t="s">
        <v>411</v>
      </c>
      <c r="B2095">
        <v>2009</v>
      </c>
      <c r="C2095" t="s">
        <v>273</v>
      </c>
      <c r="D2095">
        <v>86</v>
      </c>
      <c r="E2095">
        <v>75</v>
      </c>
      <c r="F2095">
        <v>2</v>
      </c>
      <c r="G2095">
        <v>8.9700000000000006</v>
      </c>
      <c r="H2095">
        <v>0</v>
      </c>
      <c r="I2095">
        <v>94</v>
      </c>
      <c r="J2095">
        <v>17</v>
      </c>
      <c r="K2095">
        <v>29.1</v>
      </c>
      <c r="L2095">
        <v>2</v>
      </c>
      <c r="M2095">
        <v>95</v>
      </c>
      <c r="N2095">
        <v>6.66</v>
      </c>
      <c r="O2095">
        <v>94</v>
      </c>
      <c r="P2095">
        <v>0.1</v>
      </c>
      <c r="S2095">
        <v>1.5</v>
      </c>
      <c r="T2095">
        <v>1</v>
      </c>
      <c r="W2095" t="b" cm="1">
        <f t="array" ref="W2095">AND(ISNUMBER(LifeExpectancyData[[#This Row],[Adult Mortality]:[Schooling]]),ISNUMBER(LifeExpectancyData[[#This Row],[Life expectancy]]), LifeExpectancyData[[#This Row],[Year]]=2013)</f>
        <v>0</v>
      </c>
    </row>
    <row r="2096" spans="1:23" hidden="1" x14ac:dyDescent="0.25">
      <c r="A2096" t="s">
        <v>411</v>
      </c>
      <c r="B2096">
        <v>2008</v>
      </c>
      <c r="C2096" t="s">
        <v>273</v>
      </c>
      <c r="D2096">
        <v>83</v>
      </c>
      <c r="E2096">
        <v>75</v>
      </c>
      <c r="F2096">
        <v>2</v>
      </c>
      <c r="G2096">
        <v>9.31</v>
      </c>
      <c r="H2096">
        <v>0</v>
      </c>
      <c r="I2096">
        <v>94</v>
      </c>
      <c r="J2096">
        <v>2</v>
      </c>
      <c r="K2096">
        <v>28.6</v>
      </c>
      <c r="L2096">
        <v>2</v>
      </c>
      <c r="M2096">
        <v>92</v>
      </c>
      <c r="N2096">
        <v>6.16</v>
      </c>
      <c r="O2096">
        <v>94</v>
      </c>
      <c r="P2096">
        <v>0.1</v>
      </c>
      <c r="S2096">
        <v>1.5</v>
      </c>
      <c r="T2096">
        <v>1</v>
      </c>
      <c r="W2096" t="b" cm="1">
        <f t="array" ref="W2096">AND(ISNUMBER(LifeExpectancyData[[#This Row],[Adult Mortality]:[Schooling]]),ISNUMBER(LifeExpectancyData[[#This Row],[Life expectancy]]), LifeExpectancyData[[#This Row],[Year]]=2013)</f>
        <v>0</v>
      </c>
    </row>
    <row r="2097" spans="1:23" hidden="1" x14ac:dyDescent="0.25">
      <c r="A2097" t="s">
        <v>411</v>
      </c>
      <c r="B2097">
        <v>2007</v>
      </c>
      <c r="C2097" t="s">
        <v>273</v>
      </c>
      <c r="D2097">
        <v>79.8</v>
      </c>
      <c r="E2097">
        <v>77</v>
      </c>
      <c r="F2097">
        <v>2</v>
      </c>
      <c r="G2097">
        <v>9.0500000000000007</v>
      </c>
      <c r="H2097">
        <v>0</v>
      </c>
      <c r="I2097">
        <v>91</v>
      </c>
      <c r="J2097">
        <v>194</v>
      </c>
      <c r="K2097">
        <v>28.2</v>
      </c>
      <c r="L2097">
        <v>2</v>
      </c>
      <c r="M2097">
        <v>91</v>
      </c>
      <c r="N2097">
        <v>5.99</v>
      </c>
      <c r="O2097">
        <v>91</v>
      </c>
      <c r="P2097">
        <v>0.1</v>
      </c>
      <c r="S2097">
        <v>1.5</v>
      </c>
      <c r="T2097">
        <v>1</v>
      </c>
      <c r="W2097" t="b" cm="1">
        <f t="array" ref="W2097">AND(ISNUMBER(LifeExpectancyData[[#This Row],[Adult Mortality]:[Schooling]]),ISNUMBER(LifeExpectancyData[[#This Row],[Life expectancy]]), LifeExpectancyData[[#This Row],[Year]]=2013)</f>
        <v>0</v>
      </c>
    </row>
    <row r="2098" spans="1:23" hidden="1" x14ac:dyDescent="0.25">
      <c r="A2098" t="s">
        <v>411</v>
      </c>
      <c r="B2098">
        <v>2006</v>
      </c>
      <c r="C2098" t="s">
        <v>273</v>
      </c>
      <c r="D2098">
        <v>79.400000000000006</v>
      </c>
      <c r="E2098">
        <v>79</v>
      </c>
      <c r="F2098">
        <v>2</v>
      </c>
      <c r="G2098">
        <v>8.83</v>
      </c>
      <c r="H2098">
        <v>0</v>
      </c>
      <c r="I2098">
        <v>99</v>
      </c>
      <c r="J2098">
        <v>28</v>
      </c>
      <c r="K2098">
        <v>27.7</v>
      </c>
      <c r="L2098">
        <v>2</v>
      </c>
      <c r="M2098">
        <v>98</v>
      </c>
      <c r="N2098">
        <v>5.76</v>
      </c>
      <c r="O2098">
        <v>98</v>
      </c>
      <c r="P2098">
        <v>0.1</v>
      </c>
      <c r="S2098">
        <v>1.5</v>
      </c>
      <c r="T2098">
        <v>1</v>
      </c>
      <c r="W2098" t="b" cm="1">
        <f t="array" ref="W2098">AND(ISNUMBER(LifeExpectancyData[[#This Row],[Adult Mortality]:[Schooling]]),ISNUMBER(LifeExpectancyData[[#This Row],[Life expectancy]]), LifeExpectancyData[[#This Row],[Year]]=2013)</f>
        <v>0</v>
      </c>
    </row>
    <row r="2099" spans="1:23" hidden="1" x14ac:dyDescent="0.25">
      <c r="A2099" t="s">
        <v>411</v>
      </c>
      <c r="B2099">
        <v>2005</v>
      </c>
      <c r="C2099" t="s">
        <v>273</v>
      </c>
      <c r="D2099">
        <v>78.7</v>
      </c>
      <c r="E2099">
        <v>84</v>
      </c>
      <c r="F2099">
        <v>2</v>
      </c>
      <c r="G2099">
        <v>9.0299999999999994</v>
      </c>
      <c r="H2099">
        <v>0</v>
      </c>
      <c r="I2099">
        <v>99</v>
      </c>
      <c r="J2099">
        <v>7</v>
      </c>
      <c r="K2099">
        <v>27.2</v>
      </c>
      <c r="L2099">
        <v>3</v>
      </c>
      <c r="M2099">
        <v>96</v>
      </c>
      <c r="N2099">
        <v>5.33</v>
      </c>
      <c r="O2099">
        <v>96</v>
      </c>
      <c r="P2099">
        <v>0.1</v>
      </c>
      <c r="S2099">
        <v>1.6</v>
      </c>
      <c r="T2099">
        <v>1</v>
      </c>
      <c r="W2099" t="b" cm="1">
        <f t="array" ref="W2099">AND(ISNUMBER(LifeExpectancyData[[#This Row],[Adult Mortality]:[Schooling]]),ISNUMBER(LifeExpectancyData[[#This Row],[Life expectancy]]), LifeExpectancyData[[#This Row],[Year]]=2013)</f>
        <v>0</v>
      </c>
    </row>
    <row r="2100" spans="1:23" hidden="1" x14ac:dyDescent="0.25">
      <c r="A2100" t="s">
        <v>411</v>
      </c>
      <c r="B2100">
        <v>2004</v>
      </c>
      <c r="C2100" t="s">
        <v>273</v>
      </c>
      <c r="D2100">
        <v>78.2</v>
      </c>
      <c r="E2100">
        <v>89</v>
      </c>
      <c r="F2100">
        <v>3</v>
      </c>
      <c r="G2100">
        <v>9.18</v>
      </c>
      <c r="H2100">
        <v>0</v>
      </c>
      <c r="I2100">
        <v>92</v>
      </c>
      <c r="J2100">
        <v>11</v>
      </c>
      <c r="K2100">
        <v>26.7</v>
      </c>
      <c r="L2100">
        <v>3</v>
      </c>
      <c r="M2100">
        <v>9</v>
      </c>
      <c r="N2100">
        <v>4.96</v>
      </c>
      <c r="O2100">
        <v>88</v>
      </c>
      <c r="P2100">
        <v>0.1</v>
      </c>
      <c r="S2100">
        <v>1.6</v>
      </c>
      <c r="T2100">
        <v>1</v>
      </c>
      <c r="W2100" t="b" cm="1">
        <f t="array" ref="W2100">AND(ISNUMBER(LifeExpectancyData[[#This Row],[Adult Mortality]:[Schooling]]),ISNUMBER(LifeExpectancyData[[#This Row],[Life expectancy]]), LifeExpectancyData[[#This Row],[Year]]=2013)</f>
        <v>0</v>
      </c>
    </row>
    <row r="2101" spans="1:23" hidden="1" x14ac:dyDescent="0.25">
      <c r="A2101" t="s">
        <v>411</v>
      </c>
      <c r="B2101">
        <v>2003</v>
      </c>
      <c r="C2101" t="s">
        <v>273</v>
      </c>
      <c r="D2101">
        <v>77.599999999999994</v>
      </c>
      <c r="E2101">
        <v>95</v>
      </c>
      <c r="F2101">
        <v>3</v>
      </c>
      <c r="G2101">
        <v>9.66</v>
      </c>
      <c r="H2101">
        <v>0</v>
      </c>
      <c r="I2101">
        <v>91</v>
      </c>
      <c r="J2101">
        <v>33</v>
      </c>
      <c r="K2101">
        <v>26.2</v>
      </c>
      <c r="L2101">
        <v>3</v>
      </c>
      <c r="M2101">
        <v>94</v>
      </c>
      <c r="N2101">
        <v>4.93</v>
      </c>
      <c r="O2101">
        <v>97</v>
      </c>
      <c r="P2101">
        <v>0.1</v>
      </c>
      <c r="S2101">
        <v>1.6</v>
      </c>
      <c r="T2101">
        <v>1</v>
      </c>
      <c r="W2101" t="b" cm="1">
        <f t="array" ref="W2101">AND(ISNUMBER(LifeExpectancyData[[#This Row],[Adult Mortality]:[Schooling]]),ISNUMBER(LifeExpectancyData[[#This Row],[Life expectancy]]), LifeExpectancyData[[#This Row],[Year]]=2013)</f>
        <v>0</v>
      </c>
    </row>
    <row r="2102" spans="1:23" hidden="1" x14ac:dyDescent="0.25">
      <c r="A2102" t="s">
        <v>411</v>
      </c>
      <c r="B2102">
        <v>2002</v>
      </c>
      <c r="C2102" t="s">
        <v>273</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cm="1">
        <f t="array" ref="W2102">AND(ISNUMBER(LifeExpectancyData[[#This Row],[Adult Mortality]:[Schooling]]),ISNUMBER(LifeExpectancyData[[#This Row],[Life expectancy]]), LifeExpectancyData[[#This Row],[Year]]=2013)</f>
        <v>0</v>
      </c>
    </row>
    <row r="2103" spans="1:23" hidden="1" x14ac:dyDescent="0.25">
      <c r="A2103" t="s">
        <v>411</v>
      </c>
      <c r="B2103">
        <v>2001</v>
      </c>
      <c r="C2103" t="s">
        <v>273</v>
      </c>
      <c r="D2103">
        <v>76.7</v>
      </c>
      <c r="E2103">
        <v>17</v>
      </c>
      <c r="F2103">
        <v>3</v>
      </c>
      <c r="G2103">
        <v>11.45</v>
      </c>
      <c r="H2103">
        <v>0</v>
      </c>
      <c r="I2103">
        <v>89</v>
      </c>
      <c r="J2103">
        <v>23060</v>
      </c>
      <c r="K2103">
        <v>25.2</v>
      </c>
      <c r="L2103">
        <v>4</v>
      </c>
      <c r="M2103">
        <v>99</v>
      </c>
      <c r="N2103">
        <v>4.76</v>
      </c>
      <c r="O2103">
        <v>97</v>
      </c>
      <c r="P2103">
        <v>0.1</v>
      </c>
      <c r="S2103">
        <v>1.6</v>
      </c>
      <c r="T2103">
        <v>1.1000000000000001</v>
      </c>
      <c r="W2103" t="b" cm="1">
        <f t="array" ref="W2103">AND(ISNUMBER(LifeExpectancyData[[#This Row],[Adult Mortality]:[Schooling]]),ISNUMBER(LifeExpectancyData[[#This Row],[Life expectancy]]), LifeExpectancyData[[#This Row],[Year]]=2013)</f>
        <v>0</v>
      </c>
    </row>
    <row r="2104" spans="1:23" hidden="1" x14ac:dyDescent="0.25">
      <c r="A2104" t="s">
        <v>411</v>
      </c>
      <c r="B2104">
        <v>2000</v>
      </c>
      <c r="C2104" t="s">
        <v>273</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cm="1">
        <f t="array" ref="W2104">AND(ISNUMBER(LifeExpectancyData[[#This Row],[Adult Mortality]:[Schooling]]),ISNUMBER(LifeExpectancyData[[#This Row],[Life expectancy]]), LifeExpectancyData[[#This Row],[Year]]=2013)</f>
        <v>0</v>
      </c>
    </row>
    <row r="2105" spans="1:23" hidden="1" x14ac:dyDescent="0.25">
      <c r="A2105" t="s">
        <v>412</v>
      </c>
      <c r="B2105">
        <v>2015</v>
      </c>
      <c r="C2105" t="s">
        <v>273</v>
      </c>
      <c r="D2105">
        <v>72.099999999999994</v>
      </c>
      <c r="E2105">
        <v>157</v>
      </c>
      <c r="F2105">
        <v>1</v>
      </c>
      <c r="H2105">
        <v>0</v>
      </c>
      <c r="I2105">
        <v>88</v>
      </c>
      <c r="J2105">
        <v>0</v>
      </c>
      <c r="K2105">
        <v>53.4</v>
      </c>
      <c r="L2105">
        <v>1</v>
      </c>
      <c r="M2105">
        <v>88</v>
      </c>
      <c r="O2105">
        <v>87</v>
      </c>
      <c r="P2105">
        <v>0.1</v>
      </c>
      <c r="S2105">
        <v>2.7</v>
      </c>
      <c r="T2105">
        <v>2.8</v>
      </c>
      <c r="W2105" t="b" cm="1">
        <f t="array" ref="W2105">AND(ISNUMBER(LifeExpectancyData[[#This Row],[Adult Mortality]:[Schooling]]),ISNUMBER(LifeExpectancyData[[#This Row],[Life expectancy]]), LifeExpectancyData[[#This Row],[Year]]=2013)</f>
        <v>0</v>
      </c>
    </row>
    <row r="2106" spans="1:23" hidden="1" x14ac:dyDescent="0.25">
      <c r="A2106" t="s">
        <v>412</v>
      </c>
      <c r="B2106">
        <v>2014</v>
      </c>
      <c r="C2106" t="s">
        <v>273</v>
      </c>
      <c r="D2106">
        <v>71.8</v>
      </c>
      <c r="E2106">
        <v>162</v>
      </c>
      <c r="F2106">
        <v>1</v>
      </c>
      <c r="G2106">
        <v>9.99</v>
      </c>
      <c r="H2106">
        <v>0</v>
      </c>
      <c r="I2106">
        <v>92</v>
      </c>
      <c r="J2106">
        <v>2</v>
      </c>
      <c r="K2106">
        <v>52.7</v>
      </c>
      <c r="L2106">
        <v>1</v>
      </c>
      <c r="M2106">
        <v>92</v>
      </c>
      <c r="N2106">
        <v>1.32</v>
      </c>
      <c r="O2106">
        <v>9</v>
      </c>
      <c r="P2106">
        <v>0.1</v>
      </c>
      <c r="S2106">
        <v>2.7</v>
      </c>
      <c r="T2106">
        <v>2.8</v>
      </c>
      <c r="W2106" t="b" cm="1">
        <f t="array" ref="W2106">AND(ISNUMBER(LifeExpectancyData[[#This Row],[Adult Mortality]:[Schooling]]),ISNUMBER(LifeExpectancyData[[#This Row],[Life expectancy]]), LifeExpectancyData[[#This Row],[Year]]=2013)</f>
        <v>0</v>
      </c>
    </row>
    <row r="2107" spans="1:23" hidden="1" x14ac:dyDescent="0.25">
      <c r="A2107" t="s">
        <v>412</v>
      </c>
      <c r="B2107">
        <v>2013</v>
      </c>
      <c r="C2107" t="s">
        <v>273</v>
      </c>
      <c r="D2107">
        <v>71.7</v>
      </c>
      <c r="E2107">
        <v>163</v>
      </c>
      <c r="F2107">
        <v>1</v>
      </c>
      <c r="G2107">
        <v>10.49</v>
      </c>
      <c r="H2107">
        <v>0</v>
      </c>
      <c r="I2107">
        <v>91</v>
      </c>
      <c r="J2107">
        <v>27</v>
      </c>
      <c r="K2107">
        <v>52.1</v>
      </c>
      <c r="L2107">
        <v>1</v>
      </c>
      <c r="M2107">
        <v>92</v>
      </c>
      <c r="N2107">
        <v>1.5</v>
      </c>
      <c r="O2107">
        <v>9</v>
      </c>
      <c r="P2107">
        <v>0.1</v>
      </c>
      <c r="S2107">
        <v>2.7</v>
      </c>
      <c r="T2107">
        <v>2.9</v>
      </c>
      <c r="W2107" t="b" cm="1">
        <f t="array" ref="W2107">AND(ISNUMBER(LifeExpectancyData[[#This Row],[Adult Mortality]:[Schooling]]),ISNUMBER(LifeExpectancyData[[#This Row],[Life expectancy]]), LifeExpectancyData[[#This Row],[Year]]=2013)</f>
        <v>0</v>
      </c>
    </row>
    <row r="2108" spans="1:23" hidden="1" x14ac:dyDescent="0.25">
      <c r="A2108" t="s">
        <v>412</v>
      </c>
      <c r="B2108">
        <v>2012</v>
      </c>
      <c r="C2108" t="s">
        <v>273</v>
      </c>
      <c r="D2108">
        <v>79</v>
      </c>
      <c r="E2108">
        <v>175</v>
      </c>
      <c r="F2108">
        <v>1</v>
      </c>
      <c r="G2108">
        <v>10.68</v>
      </c>
      <c r="H2108">
        <v>0</v>
      </c>
      <c r="I2108">
        <v>94</v>
      </c>
      <c r="J2108">
        <v>11</v>
      </c>
      <c r="K2108">
        <v>51.5</v>
      </c>
      <c r="L2108">
        <v>1</v>
      </c>
      <c r="M2108">
        <v>92</v>
      </c>
      <c r="N2108">
        <v>11.87</v>
      </c>
      <c r="O2108">
        <v>92</v>
      </c>
      <c r="P2108">
        <v>0.1</v>
      </c>
      <c r="S2108">
        <v>2.7</v>
      </c>
      <c r="T2108">
        <v>2.9</v>
      </c>
      <c r="W2108" t="b" cm="1">
        <f t="array" ref="W2108">AND(ISNUMBER(LifeExpectancyData[[#This Row],[Adult Mortality]:[Schooling]]),ISNUMBER(LifeExpectancyData[[#This Row],[Life expectancy]]), LifeExpectancyData[[#This Row],[Year]]=2013)</f>
        <v>0</v>
      </c>
    </row>
    <row r="2109" spans="1:23" hidden="1" x14ac:dyDescent="0.25">
      <c r="A2109" t="s">
        <v>412</v>
      </c>
      <c r="B2109">
        <v>2011</v>
      </c>
      <c r="C2109" t="s">
        <v>273</v>
      </c>
      <c r="D2109">
        <v>77</v>
      </c>
      <c r="E2109">
        <v>177</v>
      </c>
      <c r="F2109">
        <v>1</v>
      </c>
      <c r="G2109">
        <v>9.4499999999999993</v>
      </c>
      <c r="H2109">
        <v>0</v>
      </c>
      <c r="I2109">
        <v>96</v>
      </c>
      <c r="J2109">
        <v>0</v>
      </c>
      <c r="K2109">
        <v>5.9</v>
      </c>
      <c r="L2109">
        <v>1</v>
      </c>
      <c r="M2109">
        <v>96</v>
      </c>
      <c r="N2109">
        <v>1.61</v>
      </c>
      <c r="O2109">
        <v>93</v>
      </c>
      <c r="P2109">
        <v>0.1</v>
      </c>
      <c r="S2109">
        <v>2.8</v>
      </c>
      <c r="T2109">
        <v>3</v>
      </c>
      <c r="W2109" t="b" cm="1">
        <f t="array" ref="W2109">AND(ISNUMBER(LifeExpectancyData[[#This Row],[Adult Mortality]:[Schooling]]),ISNUMBER(LifeExpectancyData[[#This Row],[Life expectancy]]), LifeExpectancyData[[#This Row],[Year]]=2013)</f>
        <v>0</v>
      </c>
    </row>
    <row r="2110" spans="1:23" hidden="1" x14ac:dyDescent="0.25">
      <c r="A2110" t="s">
        <v>412</v>
      </c>
      <c r="B2110">
        <v>2010</v>
      </c>
      <c r="C2110" t="s">
        <v>273</v>
      </c>
      <c r="D2110">
        <v>68.8</v>
      </c>
      <c r="E2110">
        <v>219</v>
      </c>
      <c r="F2110">
        <v>1</v>
      </c>
      <c r="G2110">
        <v>8.25</v>
      </c>
      <c r="H2110">
        <v>0</v>
      </c>
      <c r="I2110">
        <v>98</v>
      </c>
      <c r="J2110">
        <v>0</v>
      </c>
      <c r="K2110">
        <v>5.4</v>
      </c>
      <c r="L2110">
        <v>1</v>
      </c>
      <c r="M2110">
        <v>97</v>
      </c>
      <c r="N2110">
        <v>12.8</v>
      </c>
      <c r="O2110">
        <v>9</v>
      </c>
      <c r="P2110">
        <v>0.1</v>
      </c>
      <c r="S2110">
        <v>2.8</v>
      </c>
      <c r="T2110">
        <v>3</v>
      </c>
      <c r="W2110" t="b" cm="1">
        <f t="array" ref="W2110">AND(ISNUMBER(LifeExpectancyData[[#This Row],[Adult Mortality]:[Schooling]]),ISNUMBER(LifeExpectancyData[[#This Row],[Life expectancy]]), LifeExpectancyData[[#This Row],[Year]]=2013)</f>
        <v>0</v>
      </c>
    </row>
    <row r="2111" spans="1:23" hidden="1" x14ac:dyDescent="0.25">
      <c r="A2111" t="s">
        <v>412</v>
      </c>
      <c r="B2111">
        <v>2009</v>
      </c>
      <c r="C2111" t="s">
        <v>273</v>
      </c>
      <c r="D2111">
        <v>69</v>
      </c>
      <c r="E2111">
        <v>218</v>
      </c>
      <c r="F2111">
        <v>1</v>
      </c>
      <c r="G2111">
        <v>8.4499999999999993</v>
      </c>
      <c r="H2111">
        <v>0</v>
      </c>
      <c r="I2111">
        <v>89</v>
      </c>
      <c r="J2111">
        <v>0</v>
      </c>
      <c r="K2111">
        <v>49.9</v>
      </c>
      <c r="L2111">
        <v>1</v>
      </c>
      <c r="M2111">
        <v>87</v>
      </c>
      <c r="N2111">
        <v>12.49</v>
      </c>
      <c r="O2111">
        <v>85</v>
      </c>
      <c r="P2111">
        <v>0.1</v>
      </c>
      <c r="S2111">
        <v>2.9</v>
      </c>
      <c r="T2111">
        <v>3.1</v>
      </c>
      <c r="W2111" t="b" cm="1">
        <f t="array" ref="W2111">AND(ISNUMBER(LifeExpectancyData[[#This Row],[Adult Mortality]:[Schooling]]),ISNUMBER(LifeExpectancyData[[#This Row],[Life expectancy]]), LifeExpectancyData[[#This Row],[Year]]=2013)</f>
        <v>0</v>
      </c>
    </row>
    <row r="2112" spans="1:23" hidden="1" x14ac:dyDescent="0.25">
      <c r="A2112" t="s">
        <v>412</v>
      </c>
      <c r="B2112">
        <v>2008</v>
      </c>
      <c r="C2112" t="s">
        <v>273</v>
      </c>
      <c r="D2112">
        <v>68.900000000000006</v>
      </c>
      <c r="E2112">
        <v>228</v>
      </c>
      <c r="F2112">
        <v>1</v>
      </c>
      <c r="G2112">
        <v>9.07</v>
      </c>
      <c r="H2112">
        <v>0</v>
      </c>
      <c r="I2112">
        <v>97</v>
      </c>
      <c r="J2112">
        <v>0</v>
      </c>
      <c r="K2112">
        <v>49.5</v>
      </c>
      <c r="L2112">
        <v>1</v>
      </c>
      <c r="M2112">
        <v>96</v>
      </c>
      <c r="N2112">
        <v>11.41</v>
      </c>
      <c r="O2112">
        <v>9</v>
      </c>
      <c r="P2112">
        <v>0.1</v>
      </c>
      <c r="S2112">
        <v>2.9</v>
      </c>
      <c r="T2112">
        <v>3.1</v>
      </c>
      <c r="W2112" t="b" cm="1">
        <f t="array" ref="W2112">AND(ISNUMBER(LifeExpectancyData[[#This Row],[Adult Mortality]:[Schooling]]),ISNUMBER(LifeExpectancyData[[#This Row],[Life expectancy]]), LifeExpectancyData[[#This Row],[Year]]=2013)</f>
        <v>0</v>
      </c>
    </row>
    <row r="2113" spans="1:23" hidden="1" x14ac:dyDescent="0.25">
      <c r="A2113" t="s">
        <v>412</v>
      </c>
      <c r="B2113">
        <v>2007</v>
      </c>
      <c r="C2113" t="s">
        <v>273</v>
      </c>
      <c r="D2113">
        <v>68.3</v>
      </c>
      <c r="E2113">
        <v>237</v>
      </c>
      <c r="F2113">
        <v>1</v>
      </c>
      <c r="G2113">
        <v>9.66</v>
      </c>
      <c r="H2113">
        <v>0</v>
      </c>
      <c r="I2113">
        <v>95</v>
      </c>
      <c r="J2113">
        <v>10</v>
      </c>
      <c r="K2113">
        <v>49.1</v>
      </c>
      <c r="L2113">
        <v>1</v>
      </c>
      <c r="M2113">
        <v>93</v>
      </c>
      <c r="N2113">
        <v>1.88</v>
      </c>
      <c r="O2113">
        <v>92</v>
      </c>
      <c r="P2113">
        <v>0.1</v>
      </c>
      <c r="S2113">
        <v>3</v>
      </c>
      <c r="T2113">
        <v>3.2</v>
      </c>
      <c r="W2113" t="b" cm="1">
        <f t="array" ref="W2113">AND(ISNUMBER(LifeExpectancyData[[#This Row],[Adult Mortality]:[Schooling]]),ISNUMBER(LifeExpectancyData[[#This Row],[Life expectancy]]), LifeExpectancyData[[#This Row],[Year]]=2013)</f>
        <v>0</v>
      </c>
    </row>
    <row r="2114" spans="1:23" hidden="1" x14ac:dyDescent="0.25">
      <c r="A2114" t="s">
        <v>412</v>
      </c>
      <c r="B2114">
        <v>2006</v>
      </c>
      <c r="C2114" t="s">
        <v>273</v>
      </c>
      <c r="D2114">
        <v>68</v>
      </c>
      <c r="E2114">
        <v>242</v>
      </c>
      <c r="F2114">
        <v>1</v>
      </c>
      <c r="G2114">
        <v>8.36</v>
      </c>
      <c r="H2114">
        <v>0</v>
      </c>
      <c r="I2114">
        <v>98</v>
      </c>
      <c r="J2114">
        <v>34</v>
      </c>
      <c r="K2114">
        <v>48.7</v>
      </c>
      <c r="L2114">
        <v>1</v>
      </c>
      <c r="M2114">
        <v>98</v>
      </c>
      <c r="N2114">
        <v>1.63</v>
      </c>
      <c r="O2114">
        <v>97</v>
      </c>
      <c r="P2114">
        <v>0.1</v>
      </c>
      <c r="S2114">
        <v>3.1</v>
      </c>
      <c r="T2114">
        <v>3.3</v>
      </c>
      <c r="W2114" t="b" cm="1">
        <f t="array" ref="W2114">AND(ISNUMBER(LifeExpectancyData[[#This Row],[Adult Mortality]:[Schooling]]),ISNUMBER(LifeExpectancyData[[#This Row],[Life expectancy]]), LifeExpectancyData[[#This Row],[Year]]=2013)</f>
        <v>0</v>
      </c>
    </row>
    <row r="2115" spans="1:23" hidden="1" x14ac:dyDescent="0.25">
      <c r="A2115" t="s">
        <v>412</v>
      </c>
      <c r="B2115">
        <v>2005</v>
      </c>
      <c r="C2115" t="s">
        <v>273</v>
      </c>
      <c r="D2115">
        <v>67.3</v>
      </c>
      <c r="E2115">
        <v>248</v>
      </c>
      <c r="F2115">
        <v>1</v>
      </c>
      <c r="G2115">
        <v>10.78</v>
      </c>
      <c r="H2115">
        <v>0</v>
      </c>
      <c r="I2115">
        <v>99</v>
      </c>
      <c r="J2115">
        <v>6</v>
      </c>
      <c r="K2115">
        <v>48.3</v>
      </c>
      <c r="L2115">
        <v>1</v>
      </c>
      <c r="M2115">
        <v>99</v>
      </c>
      <c r="N2115">
        <v>9.15</v>
      </c>
      <c r="O2115">
        <v>98</v>
      </c>
      <c r="P2115">
        <v>0.1</v>
      </c>
      <c r="S2115">
        <v>3.1</v>
      </c>
      <c r="T2115">
        <v>3.3</v>
      </c>
      <c r="W2115" t="b" cm="1">
        <f t="array" ref="W2115">AND(ISNUMBER(LifeExpectancyData[[#This Row],[Adult Mortality]:[Schooling]]),ISNUMBER(LifeExpectancyData[[#This Row],[Life expectancy]]), LifeExpectancyData[[#This Row],[Year]]=2013)</f>
        <v>0</v>
      </c>
    </row>
    <row r="2116" spans="1:23" hidden="1" x14ac:dyDescent="0.25">
      <c r="A2116" t="s">
        <v>412</v>
      </c>
      <c r="B2116">
        <v>2004</v>
      </c>
      <c r="C2116" t="s">
        <v>273</v>
      </c>
      <c r="D2116">
        <v>68</v>
      </c>
      <c r="E2116">
        <v>225</v>
      </c>
      <c r="F2116">
        <v>1</v>
      </c>
      <c r="G2116">
        <v>12.27</v>
      </c>
      <c r="H2116">
        <v>0</v>
      </c>
      <c r="I2116">
        <v>99</v>
      </c>
      <c r="J2116">
        <v>4</v>
      </c>
      <c r="K2116">
        <v>47.9</v>
      </c>
      <c r="L2116">
        <v>1</v>
      </c>
      <c r="M2116">
        <v>98</v>
      </c>
      <c r="N2116">
        <v>8.49</v>
      </c>
      <c r="O2116">
        <v>98</v>
      </c>
      <c r="P2116">
        <v>0.1</v>
      </c>
      <c r="S2116">
        <v>3.2</v>
      </c>
      <c r="T2116">
        <v>3.4</v>
      </c>
      <c r="W2116" t="b" cm="1">
        <f t="array" ref="W2116">AND(ISNUMBER(LifeExpectancyData[[#This Row],[Adult Mortality]:[Schooling]]),ISNUMBER(LifeExpectancyData[[#This Row],[Life expectancy]]), LifeExpectancyData[[#This Row],[Year]]=2013)</f>
        <v>0</v>
      </c>
    </row>
    <row r="2117" spans="1:23" hidden="1" x14ac:dyDescent="0.25">
      <c r="A2117" t="s">
        <v>412</v>
      </c>
      <c r="B2117">
        <v>2003</v>
      </c>
      <c r="C2117" t="s">
        <v>273</v>
      </c>
      <c r="D2117">
        <v>67.599999999999994</v>
      </c>
      <c r="E2117">
        <v>226</v>
      </c>
      <c r="F2117">
        <v>1</v>
      </c>
      <c r="G2117">
        <v>8.15</v>
      </c>
      <c r="H2117">
        <v>0</v>
      </c>
      <c r="I2117">
        <v>99</v>
      </c>
      <c r="J2117">
        <v>87</v>
      </c>
      <c r="K2117">
        <v>47.6</v>
      </c>
      <c r="L2117">
        <v>1</v>
      </c>
      <c r="M2117">
        <v>98</v>
      </c>
      <c r="N2117">
        <v>8.24</v>
      </c>
      <c r="O2117">
        <v>98</v>
      </c>
      <c r="P2117">
        <v>0.1</v>
      </c>
      <c r="S2117">
        <v>3.3</v>
      </c>
      <c r="T2117">
        <v>3.5</v>
      </c>
      <c r="W2117" t="b" cm="1">
        <f t="array" ref="W2117">AND(ISNUMBER(LifeExpectancyData[[#This Row],[Adult Mortality]:[Schooling]]),ISNUMBER(LifeExpectancyData[[#This Row],[Life expectancy]]), LifeExpectancyData[[#This Row],[Year]]=2013)</f>
        <v>0</v>
      </c>
    </row>
    <row r="2118" spans="1:23" hidden="1" x14ac:dyDescent="0.25">
      <c r="A2118" t="s">
        <v>412</v>
      </c>
      <c r="B2118">
        <v>2002</v>
      </c>
      <c r="C2118" t="s">
        <v>273</v>
      </c>
      <c r="D2118">
        <v>67.5</v>
      </c>
      <c r="E2118">
        <v>225</v>
      </c>
      <c r="F2118">
        <v>1</v>
      </c>
      <c r="G2118">
        <v>6.71</v>
      </c>
      <c r="H2118">
        <v>0</v>
      </c>
      <c r="I2118">
        <v>99</v>
      </c>
      <c r="J2118">
        <v>4929</v>
      </c>
      <c r="K2118">
        <v>47.2</v>
      </c>
      <c r="L2118">
        <v>1</v>
      </c>
      <c r="M2118">
        <v>98</v>
      </c>
      <c r="N2118">
        <v>8.31</v>
      </c>
      <c r="O2118">
        <v>97</v>
      </c>
      <c r="P2118">
        <v>0.1</v>
      </c>
      <c r="S2118">
        <v>3.4</v>
      </c>
      <c r="T2118">
        <v>3.6</v>
      </c>
      <c r="W2118" t="b" cm="1">
        <f t="array" ref="W2118">AND(ISNUMBER(LifeExpectancyData[[#This Row],[Adult Mortality]:[Schooling]]),ISNUMBER(LifeExpectancyData[[#This Row],[Life expectancy]]), LifeExpectancyData[[#This Row],[Year]]=2013)</f>
        <v>0</v>
      </c>
    </row>
    <row r="2119" spans="1:23" hidden="1" x14ac:dyDescent="0.25">
      <c r="A2119" t="s">
        <v>412</v>
      </c>
      <c r="B2119">
        <v>2001</v>
      </c>
      <c r="C2119" t="s">
        <v>273</v>
      </c>
      <c r="D2119">
        <v>67.599999999999994</v>
      </c>
      <c r="E2119">
        <v>228</v>
      </c>
      <c r="F2119">
        <v>1</v>
      </c>
      <c r="G2119">
        <v>10.98</v>
      </c>
      <c r="H2119">
        <v>0</v>
      </c>
      <c r="I2119">
        <v>94</v>
      </c>
      <c r="J2119">
        <v>457</v>
      </c>
      <c r="K2119">
        <v>46.8</v>
      </c>
      <c r="L2119">
        <v>1</v>
      </c>
      <c r="M2119">
        <v>98</v>
      </c>
      <c r="N2119">
        <v>7</v>
      </c>
      <c r="O2119">
        <v>97</v>
      </c>
      <c r="P2119">
        <v>0.1</v>
      </c>
      <c r="S2119">
        <v>3.5</v>
      </c>
      <c r="T2119">
        <v>3.6</v>
      </c>
      <c r="W2119" t="b" cm="1">
        <f t="array" ref="W2119">AND(ISNUMBER(LifeExpectancyData[[#This Row],[Adult Mortality]:[Schooling]]),ISNUMBER(LifeExpectancyData[[#This Row],[Life expectancy]]), LifeExpectancyData[[#This Row],[Year]]=2013)</f>
        <v>0</v>
      </c>
    </row>
    <row r="2120" spans="1:23" hidden="1" x14ac:dyDescent="0.25">
      <c r="A2120" t="s">
        <v>412</v>
      </c>
      <c r="B2120">
        <v>2000</v>
      </c>
      <c r="C2120" t="s">
        <v>273</v>
      </c>
      <c r="D2120">
        <v>67.099999999999994</v>
      </c>
      <c r="E2120">
        <v>235</v>
      </c>
      <c r="F2120">
        <v>1</v>
      </c>
      <c r="G2120">
        <v>9.89</v>
      </c>
      <c r="H2120">
        <v>0</v>
      </c>
      <c r="I2120">
        <v>92</v>
      </c>
      <c r="J2120">
        <v>687</v>
      </c>
      <c r="K2120">
        <v>46.5</v>
      </c>
      <c r="L2120">
        <v>2</v>
      </c>
      <c r="M2120">
        <v>97</v>
      </c>
      <c r="N2120">
        <v>6.65</v>
      </c>
      <c r="O2120">
        <v>95</v>
      </c>
      <c r="P2120">
        <v>0.1</v>
      </c>
      <c r="S2120">
        <v>3.6</v>
      </c>
      <c r="T2120">
        <v>3.7</v>
      </c>
      <c r="W2120" t="b" cm="1">
        <f t="array" ref="W2120">AND(ISNUMBER(LifeExpectancyData[[#This Row],[Adult Mortality]:[Schooling]]),ISNUMBER(LifeExpectancyData[[#This Row],[Life expectancy]]), LifeExpectancyData[[#This Row],[Year]]=2013)</f>
        <v>0</v>
      </c>
    </row>
    <row r="2121" spans="1:23" hidden="1" x14ac:dyDescent="0.25">
      <c r="A2121" t="s">
        <v>413</v>
      </c>
      <c r="B2121">
        <v>2015</v>
      </c>
      <c r="C2121" t="s">
        <v>281</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cm="1">
        <f t="array" ref="W2121">AND(ISNUMBER(LifeExpectancyData[[#This Row],[Adult Mortality]:[Schooling]]),ISNUMBER(LifeExpectancyData[[#This Row],[Life expectancy]]), LifeExpectancyData[[#This Row],[Year]]=2013)</f>
        <v>0</v>
      </c>
    </row>
    <row r="2122" spans="1:23" x14ac:dyDescent="0.25">
      <c r="A2122" t="s">
        <v>413</v>
      </c>
      <c r="B2122">
        <v>2014</v>
      </c>
      <c r="C2122" t="s">
        <v>281</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cm="1">
        <f t="array" ref="W2122">AND(ISNUMBER(LifeExpectancyData[[#This Row],[Adult Mortality]:[Schooling]]),ISNUMBER(LifeExpectancyData[[#This Row],[Life expectancy]]), LifeExpectancyData[[#This Row],[Year]]=2013)</f>
        <v>0</v>
      </c>
    </row>
    <row r="2123" spans="1:23" x14ac:dyDescent="0.25">
      <c r="A2123" t="s">
        <v>413</v>
      </c>
      <c r="B2123">
        <v>2013</v>
      </c>
      <c r="C2123" t="s">
        <v>281</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cm="1">
        <f t="array" ref="W2123">AND(ISNUMBER(LifeExpectancyData[[#This Row],[Adult Mortality]:[Schooling]]),ISNUMBER(LifeExpectancyData[[#This Row],[Life expectancy]]), LifeExpectancyData[[#This Row],[Year]]=2013)</f>
        <v>1</v>
      </c>
    </row>
    <row r="2124" spans="1:23" x14ac:dyDescent="0.25">
      <c r="A2124" t="s">
        <v>413</v>
      </c>
      <c r="B2124">
        <v>2012</v>
      </c>
      <c r="C2124" t="s">
        <v>281</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cm="1">
        <f t="array" ref="W2124">AND(ISNUMBER(LifeExpectancyData[[#This Row],[Adult Mortality]:[Schooling]]),ISNUMBER(LifeExpectancyData[[#This Row],[Life expectancy]]), LifeExpectancyData[[#This Row],[Year]]=2013)</f>
        <v>0</v>
      </c>
    </row>
    <row r="2125" spans="1:23" x14ac:dyDescent="0.25">
      <c r="A2125" t="s">
        <v>413</v>
      </c>
      <c r="B2125">
        <v>2011</v>
      </c>
      <c r="C2125" t="s">
        <v>281</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cm="1">
        <f t="array" ref="W2125">AND(ISNUMBER(LifeExpectancyData[[#This Row],[Adult Mortality]:[Schooling]]),ISNUMBER(LifeExpectancyData[[#This Row],[Life expectancy]]), LifeExpectancyData[[#This Row],[Year]]=2013)</f>
        <v>0</v>
      </c>
    </row>
    <row r="2126" spans="1:23" x14ac:dyDescent="0.25">
      <c r="A2126" t="s">
        <v>413</v>
      </c>
      <c r="B2126">
        <v>2010</v>
      </c>
      <c r="C2126" t="s">
        <v>281</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cm="1">
        <f t="array" ref="W2126">AND(ISNUMBER(LifeExpectancyData[[#This Row],[Adult Mortality]:[Schooling]]),ISNUMBER(LifeExpectancyData[[#This Row],[Life expectancy]]), LifeExpectancyData[[#This Row],[Year]]=2013)</f>
        <v>0</v>
      </c>
    </row>
    <row r="2127" spans="1:23" x14ac:dyDescent="0.25">
      <c r="A2127" t="s">
        <v>413</v>
      </c>
      <c r="B2127">
        <v>2009</v>
      </c>
      <c r="C2127" t="s">
        <v>281</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cm="1">
        <f t="array" ref="W2127">AND(ISNUMBER(LifeExpectancyData[[#This Row],[Adult Mortality]:[Schooling]]),ISNUMBER(LifeExpectancyData[[#This Row],[Life expectancy]]), LifeExpectancyData[[#This Row],[Year]]=2013)</f>
        <v>0</v>
      </c>
    </row>
    <row r="2128" spans="1:23" x14ac:dyDescent="0.25">
      <c r="A2128" t="s">
        <v>413</v>
      </c>
      <c r="B2128">
        <v>2008</v>
      </c>
      <c r="C2128" t="s">
        <v>281</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cm="1">
        <f t="array" ref="W2128">AND(ISNUMBER(LifeExpectancyData[[#This Row],[Adult Mortality]:[Schooling]]),ISNUMBER(LifeExpectancyData[[#This Row],[Life expectancy]]), LifeExpectancyData[[#This Row],[Year]]=2013)</f>
        <v>0</v>
      </c>
    </row>
    <row r="2129" spans="1:23" x14ac:dyDescent="0.25">
      <c r="A2129" t="s">
        <v>413</v>
      </c>
      <c r="B2129">
        <v>2007</v>
      </c>
      <c r="C2129" t="s">
        <v>281</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cm="1">
        <f t="array" ref="W2129">AND(ISNUMBER(LifeExpectancyData[[#This Row],[Adult Mortality]:[Schooling]]),ISNUMBER(LifeExpectancyData[[#This Row],[Life expectancy]]), LifeExpectancyData[[#This Row],[Year]]=2013)</f>
        <v>0</v>
      </c>
    </row>
    <row r="2130" spans="1:23" x14ac:dyDescent="0.25">
      <c r="A2130" t="s">
        <v>413</v>
      </c>
      <c r="B2130">
        <v>2006</v>
      </c>
      <c r="C2130" t="s">
        <v>281</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cm="1">
        <f t="array" ref="W2130">AND(ISNUMBER(LifeExpectancyData[[#This Row],[Adult Mortality]:[Schooling]]),ISNUMBER(LifeExpectancyData[[#This Row],[Life expectancy]]), LifeExpectancyData[[#This Row],[Year]]=2013)</f>
        <v>0</v>
      </c>
    </row>
    <row r="2131" spans="1:23" x14ac:dyDescent="0.25">
      <c r="A2131" t="s">
        <v>413</v>
      </c>
      <c r="B2131">
        <v>2005</v>
      </c>
      <c r="C2131" t="s">
        <v>281</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cm="1">
        <f t="array" ref="W2131">AND(ISNUMBER(LifeExpectancyData[[#This Row],[Adult Mortality]:[Schooling]]),ISNUMBER(LifeExpectancyData[[#This Row],[Life expectancy]]), LifeExpectancyData[[#This Row],[Year]]=2013)</f>
        <v>0</v>
      </c>
    </row>
    <row r="2132" spans="1:23" x14ac:dyDescent="0.25">
      <c r="A2132" t="s">
        <v>413</v>
      </c>
      <c r="B2132">
        <v>2004</v>
      </c>
      <c r="C2132" t="s">
        <v>281</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cm="1">
        <f t="array" ref="W2132">AND(ISNUMBER(LifeExpectancyData[[#This Row],[Adult Mortality]:[Schooling]]),ISNUMBER(LifeExpectancyData[[#This Row],[Life expectancy]]), LifeExpectancyData[[#This Row],[Year]]=2013)</f>
        <v>0</v>
      </c>
    </row>
    <row r="2133" spans="1:23" x14ac:dyDescent="0.25">
      <c r="A2133" t="s">
        <v>413</v>
      </c>
      <c r="B2133">
        <v>2003</v>
      </c>
      <c r="C2133" t="s">
        <v>281</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cm="1">
        <f t="array" ref="W2133">AND(ISNUMBER(LifeExpectancyData[[#This Row],[Adult Mortality]:[Schooling]]),ISNUMBER(LifeExpectancyData[[#This Row],[Life expectancy]]), LifeExpectancyData[[#This Row],[Year]]=2013)</f>
        <v>0</v>
      </c>
    </row>
    <row r="2134" spans="1:23" x14ac:dyDescent="0.25">
      <c r="A2134" t="s">
        <v>413</v>
      </c>
      <c r="B2134">
        <v>2002</v>
      </c>
      <c r="C2134" t="s">
        <v>281</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cm="1">
        <f t="array" ref="W2134">AND(ISNUMBER(LifeExpectancyData[[#This Row],[Adult Mortality]:[Schooling]]),ISNUMBER(LifeExpectancyData[[#This Row],[Life expectancy]]), LifeExpectancyData[[#This Row],[Year]]=2013)</f>
        <v>0</v>
      </c>
    </row>
    <row r="2135" spans="1:23" x14ac:dyDescent="0.25">
      <c r="A2135" t="s">
        <v>413</v>
      </c>
      <c r="B2135">
        <v>2001</v>
      </c>
      <c r="C2135" t="s">
        <v>281</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cm="1">
        <f t="array" ref="W2135">AND(ISNUMBER(LifeExpectancyData[[#This Row],[Adult Mortality]:[Schooling]]),ISNUMBER(LifeExpectancyData[[#This Row],[Life expectancy]]), LifeExpectancyData[[#This Row],[Year]]=2013)</f>
        <v>0</v>
      </c>
    </row>
    <row r="2136" spans="1:23" x14ac:dyDescent="0.25">
      <c r="A2136" t="s">
        <v>413</v>
      </c>
      <c r="B2136">
        <v>2000</v>
      </c>
      <c r="C2136" t="s">
        <v>281</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cm="1">
        <f t="array" ref="W2136">AND(ISNUMBER(LifeExpectancyData[[#This Row],[Adult Mortality]:[Schooling]]),ISNUMBER(LifeExpectancyData[[#This Row],[Life expectancy]]), LifeExpectancyData[[#This Row],[Year]]=2013)</f>
        <v>0</v>
      </c>
    </row>
    <row r="2137" spans="1:23" hidden="1" x14ac:dyDescent="0.25">
      <c r="A2137" t="s">
        <v>414</v>
      </c>
      <c r="B2137">
        <v>2015</v>
      </c>
      <c r="C2137" t="s">
        <v>273</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cm="1">
        <f t="array" ref="W2137">AND(ISNUMBER(LifeExpectancyData[[#This Row],[Adult Mortality]:[Schooling]]),ISNUMBER(LifeExpectancyData[[#This Row],[Life expectancy]]), LifeExpectancyData[[#This Row],[Year]]=2013)</f>
        <v>0</v>
      </c>
    </row>
    <row r="2138" spans="1:23" x14ac:dyDescent="0.25">
      <c r="A2138" t="s">
        <v>414</v>
      </c>
      <c r="B2138">
        <v>2014</v>
      </c>
      <c r="C2138" t="s">
        <v>273</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cm="1">
        <f t="array" ref="W2138">AND(ISNUMBER(LifeExpectancyData[[#This Row],[Adult Mortality]:[Schooling]]),ISNUMBER(LifeExpectancyData[[#This Row],[Life expectancy]]), LifeExpectancyData[[#This Row],[Year]]=2013)</f>
        <v>0</v>
      </c>
    </row>
    <row r="2139" spans="1:23" x14ac:dyDescent="0.25">
      <c r="A2139" t="s">
        <v>414</v>
      </c>
      <c r="B2139">
        <v>2013</v>
      </c>
      <c r="C2139" t="s">
        <v>273</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cm="1">
        <f t="array" ref="W2139">AND(ISNUMBER(LifeExpectancyData[[#This Row],[Adult Mortality]:[Schooling]]),ISNUMBER(LifeExpectancyData[[#This Row],[Life expectancy]]), LifeExpectancyData[[#This Row],[Year]]=2013)</f>
        <v>1</v>
      </c>
    </row>
    <row r="2140" spans="1:23" x14ac:dyDescent="0.25">
      <c r="A2140" t="s">
        <v>414</v>
      </c>
      <c r="B2140">
        <v>2012</v>
      </c>
      <c r="C2140" t="s">
        <v>273</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cm="1">
        <f t="array" ref="W2140">AND(ISNUMBER(LifeExpectancyData[[#This Row],[Adult Mortality]:[Schooling]]),ISNUMBER(LifeExpectancyData[[#This Row],[Life expectancy]]), LifeExpectancyData[[#This Row],[Year]]=2013)</f>
        <v>0</v>
      </c>
    </row>
    <row r="2141" spans="1:23" x14ac:dyDescent="0.25">
      <c r="A2141" t="s">
        <v>414</v>
      </c>
      <c r="B2141">
        <v>2011</v>
      </c>
      <c r="C2141" t="s">
        <v>273</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cm="1">
        <f t="array" ref="W2141">AND(ISNUMBER(LifeExpectancyData[[#This Row],[Adult Mortality]:[Schooling]]),ISNUMBER(LifeExpectancyData[[#This Row],[Life expectancy]]), LifeExpectancyData[[#This Row],[Year]]=2013)</f>
        <v>0</v>
      </c>
    </row>
    <row r="2142" spans="1:23" x14ac:dyDescent="0.25">
      <c r="A2142" t="s">
        <v>414</v>
      </c>
      <c r="B2142">
        <v>2010</v>
      </c>
      <c r="C2142" t="s">
        <v>273</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cm="1">
        <f t="array" ref="W2142">AND(ISNUMBER(LifeExpectancyData[[#This Row],[Adult Mortality]:[Schooling]]),ISNUMBER(LifeExpectancyData[[#This Row],[Life expectancy]]), LifeExpectancyData[[#This Row],[Year]]=2013)</f>
        <v>0</v>
      </c>
    </row>
    <row r="2143" spans="1:23" x14ac:dyDescent="0.25">
      <c r="A2143" t="s">
        <v>414</v>
      </c>
      <c r="B2143">
        <v>2009</v>
      </c>
      <c r="C2143" t="s">
        <v>273</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cm="1">
        <f t="array" ref="W2143">AND(ISNUMBER(LifeExpectancyData[[#This Row],[Adult Mortality]:[Schooling]]),ISNUMBER(LifeExpectancyData[[#This Row],[Life expectancy]]), LifeExpectancyData[[#This Row],[Year]]=2013)</f>
        <v>0</v>
      </c>
    </row>
    <row r="2144" spans="1:23" x14ac:dyDescent="0.25">
      <c r="A2144" t="s">
        <v>414</v>
      </c>
      <c r="B2144">
        <v>2008</v>
      </c>
      <c r="C2144" t="s">
        <v>273</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cm="1">
        <f t="array" ref="W2144">AND(ISNUMBER(LifeExpectancyData[[#This Row],[Adult Mortality]:[Schooling]]),ISNUMBER(LifeExpectancyData[[#This Row],[Life expectancy]]), LifeExpectancyData[[#This Row],[Year]]=2013)</f>
        <v>0</v>
      </c>
    </row>
    <row r="2145" spans="1:23" x14ac:dyDescent="0.25">
      <c r="A2145" t="s">
        <v>414</v>
      </c>
      <c r="B2145">
        <v>2007</v>
      </c>
      <c r="C2145" t="s">
        <v>273</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cm="1">
        <f t="array" ref="W2145">AND(ISNUMBER(LifeExpectancyData[[#This Row],[Adult Mortality]:[Schooling]]),ISNUMBER(LifeExpectancyData[[#This Row],[Life expectancy]]), LifeExpectancyData[[#This Row],[Year]]=2013)</f>
        <v>0</v>
      </c>
    </row>
    <row r="2146" spans="1:23" x14ac:dyDescent="0.25">
      <c r="A2146" t="s">
        <v>414</v>
      </c>
      <c r="B2146">
        <v>2006</v>
      </c>
      <c r="C2146" t="s">
        <v>273</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cm="1">
        <f t="array" ref="W2146">AND(ISNUMBER(LifeExpectancyData[[#This Row],[Adult Mortality]:[Schooling]]),ISNUMBER(LifeExpectancyData[[#This Row],[Life expectancy]]), LifeExpectancyData[[#This Row],[Year]]=2013)</f>
        <v>0</v>
      </c>
    </row>
    <row r="2147" spans="1:23" x14ac:dyDescent="0.25">
      <c r="A2147" t="s">
        <v>414</v>
      </c>
      <c r="B2147">
        <v>2005</v>
      </c>
      <c r="C2147" t="s">
        <v>273</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cm="1">
        <f t="array" ref="W2147">AND(ISNUMBER(LifeExpectancyData[[#This Row],[Adult Mortality]:[Schooling]]),ISNUMBER(LifeExpectancyData[[#This Row],[Life expectancy]]), LifeExpectancyData[[#This Row],[Year]]=2013)</f>
        <v>0</v>
      </c>
    </row>
    <row r="2148" spans="1:23" x14ac:dyDescent="0.25">
      <c r="A2148" t="s">
        <v>414</v>
      </c>
      <c r="B2148">
        <v>2004</v>
      </c>
      <c r="C2148" t="s">
        <v>273</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cm="1">
        <f t="array" ref="W2148">AND(ISNUMBER(LifeExpectancyData[[#This Row],[Adult Mortality]:[Schooling]]),ISNUMBER(LifeExpectancyData[[#This Row],[Life expectancy]]), LifeExpectancyData[[#This Row],[Year]]=2013)</f>
        <v>0</v>
      </c>
    </row>
    <row r="2149" spans="1:23" x14ac:dyDescent="0.25">
      <c r="A2149" t="s">
        <v>414</v>
      </c>
      <c r="B2149">
        <v>2003</v>
      </c>
      <c r="C2149" t="s">
        <v>273</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cm="1">
        <f t="array" ref="W2149">AND(ISNUMBER(LifeExpectancyData[[#This Row],[Adult Mortality]:[Schooling]]),ISNUMBER(LifeExpectancyData[[#This Row],[Life expectancy]]), LifeExpectancyData[[#This Row],[Year]]=2013)</f>
        <v>0</v>
      </c>
    </row>
    <row r="2150" spans="1:23" x14ac:dyDescent="0.25">
      <c r="A2150" t="s">
        <v>414</v>
      </c>
      <c r="B2150">
        <v>2002</v>
      </c>
      <c r="C2150" t="s">
        <v>273</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cm="1">
        <f t="array" ref="W2150">AND(ISNUMBER(LifeExpectancyData[[#This Row],[Adult Mortality]:[Schooling]]),ISNUMBER(LifeExpectancyData[[#This Row],[Life expectancy]]), LifeExpectancyData[[#This Row],[Year]]=2013)</f>
        <v>0</v>
      </c>
    </row>
    <row r="2151" spans="1:23" x14ac:dyDescent="0.25">
      <c r="A2151" t="s">
        <v>414</v>
      </c>
      <c r="B2151">
        <v>2001</v>
      </c>
      <c r="C2151" t="s">
        <v>273</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cm="1">
        <f t="array" ref="W2151">AND(ISNUMBER(LifeExpectancyData[[#This Row],[Adult Mortality]:[Schooling]]),ISNUMBER(LifeExpectancyData[[#This Row],[Life expectancy]]), LifeExpectancyData[[#This Row],[Year]]=2013)</f>
        <v>0</v>
      </c>
    </row>
    <row r="2152" spans="1:23" hidden="1" x14ac:dyDescent="0.25">
      <c r="A2152" t="s">
        <v>414</v>
      </c>
      <c r="B2152">
        <v>2000</v>
      </c>
      <c r="C2152" t="s">
        <v>273</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cm="1">
        <f t="array" ref="W2152">AND(ISNUMBER(LifeExpectancyData[[#This Row],[Adult Mortality]:[Schooling]]),ISNUMBER(LifeExpectancyData[[#This Row],[Life expectancy]]), LifeExpectancyData[[#This Row],[Year]]=2013)</f>
        <v>0</v>
      </c>
    </row>
    <row r="2153" spans="1:23" hidden="1" x14ac:dyDescent="0.25">
      <c r="A2153" t="s">
        <v>415</v>
      </c>
      <c r="B2153">
        <v>2015</v>
      </c>
      <c r="C2153" t="s">
        <v>273</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cm="1">
        <f t="array" ref="W2153">AND(ISNUMBER(LifeExpectancyData[[#This Row],[Adult Mortality]:[Schooling]]),ISNUMBER(LifeExpectancyData[[#This Row],[Life expectancy]]), LifeExpectancyData[[#This Row],[Year]]=2013)</f>
        <v>0</v>
      </c>
    </row>
    <row r="2154" spans="1:23" x14ac:dyDescent="0.25">
      <c r="A2154" t="s">
        <v>415</v>
      </c>
      <c r="B2154">
        <v>2014</v>
      </c>
      <c r="C2154" t="s">
        <v>273</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cm="1">
        <f t="array" ref="W2154">AND(ISNUMBER(LifeExpectancyData[[#This Row],[Adult Mortality]:[Schooling]]),ISNUMBER(LifeExpectancyData[[#This Row],[Life expectancy]]), LifeExpectancyData[[#This Row],[Year]]=2013)</f>
        <v>0</v>
      </c>
    </row>
    <row r="2155" spans="1:23" x14ac:dyDescent="0.25">
      <c r="A2155" t="s">
        <v>415</v>
      </c>
      <c r="B2155">
        <v>2013</v>
      </c>
      <c r="C2155" t="s">
        <v>273</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cm="1">
        <f t="array" ref="W2155">AND(ISNUMBER(LifeExpectancyData[[#This Row],[Adult Mortality]:[Schooling]]),ISNUMBER(LifeExpectancyData[[#This Row],[Life expectancy]]), LifeExpectancyData[[#This Row],[Year]]=2013)</f>
        <v>1</v>
      </c>
    </row>
    <row r="2156" spans="1:23" x14ac:dyDescent="0.25">
      <c r="A2156" t="s">
        <v>415</v>
      </c>
      <c r="B2156">
        <v>2012</v>
      </c>
      <c r="C2156" t="s">
        <v>273</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cm="1">
        <f t="array" ref="W2156">AND(ISNUMBER(LifeExpectancyData[[#This Row],[Adult Mortality]:[Schooling]]),ISNUMBER(LifeExpectancyData[[#This Row],[Life expectancy]]), LifeExpectancyData[[#This Row],[Year]]=2013)</f>
        <v>0</v>
      </c>
    </row>
    <row r="2157" spans="1:23" x14ac:dyDescent="0.25">
      <c r="A2157" t="s">
        <v>415</v>
      </c>
      <c r="B2157">
        <v>2011</v>
      </c>
      <c r="C2157" t="s">
        <v>273</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cm="1">
        <f t="array" ref="W2157">AND(ISNUMBER(LifeExpectancyData[[#This Row],[Adult Mortality]:[Schooling]]),ISNUMBER(LifeExpectancyData[[#This Row],[Life expectancy]]), LifeExpectancyData[[#This Row],[Year]]=2013)</f>
        <v>0</v>
      </c>
    </row>
    <row r="2158" spans="1:23" x14ac:dyDescent="0.25">
      <c r="A2158" t="s">
        <v>415</v>
      </c>
      <c r="B2158">
        <v>2010</v>
      </c>
      <c r="C2158" t="s">
        <v>273</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cm="1">
        <f t="array" ref="W2158">AND(ISNUMBER(LifeExpectancyData[[#This Row],[Adult Mortality]:[Schooling]]),ISNUMBER(LifeExpectancyData[[#This Row],[Life expectancy]]), LifeExpectancyData[[#This Row],[Year]]=2013)</f>
        <v>0</v>
      </c>
    </row>
    <row r="2159" spans="1:23" x14ac:dyDescent="0.25">
      <c r="A2159" t="s">
        <v>415</v>
      </c>
      <c r="B2159">
        <v>2009</v>
      </c>
      <c r="C2159" t="s">
        <v>273</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cm="1">
        <f t="array" ref="W2159">AND(ISNUMBER(LifeExpectancyData[[#This Row],[Adult Mortality]:[Schooling]]),ISNUMBER(LifeExpectancyData[[#This Row],[Life expectancy]]), LifeExpectancyData[[#This Row],[Year]]=2013)</f>
        <v>0</v>
      </c>
    </row>
    <row r="2160" spans="1:23" x14ac:dyDescent="0.25">
      <c r="A2160" t="s">
        <v>415</v>
      </c>
      <c r="B2160">
        <v>2008</v>
      </c>
      <c r="C2160" t="s">
        <v>273</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cm="1">
        <f t="array" ref="W2160">AND(ISNUMBER(LifeExpectancyData[[#This Row],[Adult Mortality]:[Schooling]]),ISNUMBER(LifeExpectancyData[[#This Row],[Life expectancy]]), LifeExpectancyData[[#This Row],[Year]]=2013)</f>
        <v>0</v>
      </c>
    </row>
    <row r="2161" spans="1:23" x14ac:dyDescent="0.25">
      <c r="A2161" t="s">
        <v>415</v>
      </c>
      <c r="B2161">
        <v>2007</v>
      </c>
      <c r="C2161" t="s">
        <v>273</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cm="1">
        <f t="array" ref="W2161">AND(ISNUMBER(LifeExpectancyData[[#This Row],[Adult Mortality]:[Schooling]]),ISNUMBER(LifeExpectancyData[[#This Row],[Life expectancy]]), LifeExpectancyData[[#This Row],[Year]]=2013)</f>
        <v>0</v>
      </c>
    </row>
    <row r="2162" spans="1:23" x14ac:dyDescent="0.25">
      <c r="A2162" t="s">
        <v>415</v>
      </c>
      <c r="B2162">
        <v>2006</v>
      </c>
      <c r="C2162" t="s">
        <v>273</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cm="1">
        <f t="array" ref="W2162">AND(ISNUMBER(LifeExpectancyData[[#This Row],[Adult Mortality]:[Schooling]]),ISNUMBER(LifeExpectancyData[[#This Row],[Life expectancy]]), LifeExpectancyData[[#This Row],[Year]]=2013)</f>
        <v>0</v>
      </c>
    </row>
    <row r="2163" spans="1:23" x14ac:dyDescent="0.25">
      <c r="A2163" t="s">
        <v>415</v>
      </c>
      <c r="B2163">
        <v>2005</v>
      </c>
      <c r="C2163" t="s">
        <v>273</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cm="1">
        <f t="array" ref="W2163">AND(ISNUMBER(LifeExpectancyData[[#This Row],[Adult Mortality]:[Schooling]]),ISNUMBER(LifeExpectancyData[[#This Row],[Life expectancy]]), LifeExpectancyData[[#This Row],[Year]]=2013)</f>
        <v>0</v>
      </c>
    </row>
    <row r="2164" spans="1:23" x14ac:dyDescent="0.25">
      <c r="A2164" t="s">
        <v>415</v>
      </c>
      <c r="B2164">
        <v>2004</v>
      </c>
      <c r="C2164" t="s">
        <v>273</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cm="1">
        <f t="array" ref="W2164">AND(ISNUMBER(LifeExpectancyData[[#This Row],[Adult Mortality]:[Schooling]]),ISNUMBER(LifeExpectancyData[[#This Row],[Life expectancy]]), LifeExpectancyData[[#This Row],[Year]]=2013)</f>
        <v>0</v>
      </c>
    </row>
    <row r="2165" spans="1:23" x14ac:dyDescent="0.25">
      <c r="A2165" t="s">
        <v>415</v>
      </c>
      <c r="B2165">
        <v>2003</v>
      </c>
      <c r="C2165" t="s">
        <v>273</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cm="1">
        <f t="array" ref="W2165">AND(ISNUMBER(LifeExpectancyData[[#This Row],[Adult Mortality]:[Schooling]]),ISNUMBER(LifeExpectancyData[[#This Row],[Life expectancy]]), LifeExpectancyData[[#This Row],[Year]]=2013)</f>
        <v>0</v>
      </c>
    </row>
    <row r="2166" spans="1:23" x14ac:dyDescent="0.25">
      <c r="A2166" t="s">
        <v>415</v>
      </c>
      <c r="B2166">
        <v>2002</v>
      </c>
      <c r="C2166" t="s">
        <v>273</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cm="1">
        <f t="array" ref="W2166">AND(ISNUMBER(LifeExpectancyData[[#This Row],[Adult Mortality]:[Schooling]]),ISNUMBER(LifeExpectancyData[[#This Row],[Life expectancy]]), LifeExpectancyData[[#This Row],[Year]]=2013)</f>
        <v>0</v>
      </c>
    </row>
    <row r="2167" spans="1:23" hidden="1" x14ac:dyDescent="0.25">
      <c r="A2167" t="s">
        <v>415</v>
      </c>
      <c r="B2167">
        <v>2001</v>
      </c>
      <c r="C2167" t="s">
        <v>273</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cm="1">
        <f t="array" ref="W2167">AND(ISNUMBER(LifeExpectancyData[[#This Row],[Adult Mortality]:[Schooling]]),ISNUMBER(LifeExpectancyData[[#This Row],[Life expectancy]]), LifeExpectancyData[[#This Row],[Year]]=2013)</f>
        <v>0</v>
      </c>
    </row>
    <row r="2168" spans="1:23" hidden="1" x14ac:dyDescent="0.25">
      <c r="A2168" t="s">
        <v>415</v>
      </c>
      <c r="B2168">
        <v>2000</v>
      </c>
      <c r="C2168" t="s">
        <v>273</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cm="1">
        <f t="array" ref="W2168">AND(ISNUMBER(LifeExpectancyData[[#This Row],[Adult Mortality]:[Schooling]]),ISNUMBER(LifeExpectancyData[[#This Row],[Life expectancy]]), LifeExpectancyData[[#This Row],[Year]]=2013)</f>
        <v>0</v>
      </c>
    </row>
    <row r="2169" spans="1:23" hidden="1" x14ac:dyDescent="0.25">
      <c r="A2169" t="s">
        <v>416</v>
      </c>
      <c r="B2169">
        <v>2013</v>
      </c>
      <c r="C2169" t="s">
        <v>273</v>
      </c>
      <c r="F2169">
        <v>0</v>
      </c>
      <c r="G2169">
        <v>8.5399999999999991</v>
      </c>
      <c r="H2169">
        <v>0</v>
      </c>
      <c r="I2169">
        <v>97</v>
      </c>
      <c r="J2169">
        <v>0</v>
      </c>
      <c r="K2169">
        <v>5.2</v>
      </c>
      <c r="L2169">
        <v>0</v>
      </c>
      <c r="M2169">
        <v>96</v>
      </c>
      <c r="N2169">
        <v>6.14</v>
      </c>
      <c r="O2169">
        <v>96</v>
      </c>
      <c r="P2169">
        <v>0.1</v>
      </c>
      <c r="S2169">
        <v>3.7</v>
      </c>
      <c r="T2169">
        <v>3.6</v>
      </c>
      <c r="U2169">
        <v>0.749</v>
      </c>
      <c r="V2169">
        <v>13.4</v>
      </c>
      <c r="W2169" t="b" cm="1">
        <f t="array" ref="W2169">AND(ISNUMBER(LifeExpectancyData[[#This Row],[Adult Mortality]:[Schooling]]),ISNUMBER(LifeExpectancyData[[#This Row],[Life expectancy]]), LifeExpectancyData[[#This Row],[Year]]=2013)</f>
        <v>0</v>
      </c>
    </row>
    <row r="2170" spans="1:23" hidden="1" x14ac:dyDescent="0.25">
      <c r="A2170" t="s">
        <v>417</v>
      </c>
      <c r="B2170">
        <v>2015</v>
      </c>
      <c r="C2170" t="s">
        <v>273</v>
      </c>
      <c r="D2170">
        <v>75.2</v>
      </c>
      <c r="E2170">
        <v>138</v>
      </c>
      <c r="F2170">
        <v>0</v>
      </c>
      <c r="H2170">
        <v>0</v>
      </c>
      <c r="I2170">
        <v>99</v>
      </c>
      <c r="J2170">
        <v>0</v>
      </c>
      <c r="K2170">
        <v>47.5</v>
      </c>
      <c r="L2170">
        <v>0</v>
      </c>
      <c r="M2170">
        <v>99</v>
      </c>
      <c r="O2170">
        <v>99</v>
      </c>
      <c r="P2170">
        <v>0.1</v>
      </c>
      <c r="S2170">
        <v>4.3</v>
      </c>
      <c r="T2170">
        <v>4.3</v>
      </c>
      <c r="U2170">
        <v>0.73499999999999999</v>
      </c>
      <c r="V2170">
        <v>13.1</v>
      </c>
      <c r="W2170" t="b" cm="1">
        <f t="array" ref="W2170">AND(ISNUMBER(LifeExpectancyData[[#This Row],[Adult Mortality]:[Schooling]]),ISNUMBER(LifeExpectancyData[[#This Row],[Life expectancy]]), LifeExpectancyData[[#This Row],[Year]]=2013)</f>
        <v>0</v>
      </c>
    </row>
    <row r="2171" spans="1:23" hidden="1" x14ac:dyDescent="0.25">
      <c r="A2171" t="s">
        <v>417</v>
      </c>
      <c r="B2171">
        <v>2014</v>
      </c>
      <c r="C2171" t="s">
        <v>273</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cm="1">
        <f t="array" ref="W2171">AND(ISNUMBER(LifeExpectancyData[[#This Row],[Adult Mortality]:[Schooling]]),ISNUMBER(LifeExpectancyData[[#This Row],[Life expectancy]]), LifeExpectancyData[[#This Row],[Year]]=2013)</f>
        <v>0</v>
      </c>
    </row>
    <row r="2172" spans="1:23" hidden="1" x14ac:dyDescent="0.25">
      <c r="A2172" t="s">
        <v>417</v>
      </c>
      <c r="B2172">
        <v>2013</v>
      </c>
      <c r="C2172" t="s">
        <v>273</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cm="1">
        <f t="array" ref="W2172">AND(ISNUMBER(LifeExpectancyData[[#This Row],[Adult Mortality]:[Schooling]]),ISNUMBER(LifeExpectancyData[[#This Row],[Life expectancy]]), LifeExpectancyData[[#This Row],[Year]]=2013)</f>
        <v>0</v>
      </c>
    </row>
    <row r="2173" spans="1:23" hidden="1" x14ac:dyDescent="0.25">
      <c r="A2173" t="s">
        <v>417</v>
      </c>
      <c r="B2173">
        <v>2012</v>
      </c>
      <c r="C2173" t="s">
        <v>273</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cm="1">
        <f t="array" ref="W2173">AND(ISNUMBER(LifeExpectancyData[[#This Row],[Adult Mortality]:[Schooling]]),ISNUMBER(LifeExpectancyData[[#This Row],[Life expectancy]]), LifeExpectancyData[[#This Row],[Year]]=2013)</f>
        <v>0</v>
      </c>
    </row>
    <row r="2174" spans="1:23" hidden="1" x14ac:dyDescent="0.25">
      <c r="A2174" t="s">
        <v>417</v>
      </c>
      <c r="B2174">
        <v>2011</v>
      </c>
      <c r="C2174" t="s">
        <v>273</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cm="1">
        <f t="array" ref="W2174">AND(ISNUMBER(LifeExpectancyData[[#This Row],[Adult Mortality]:[Schooling]]),ISNUMBER(LifeExpectancyData[[#This Row],[Life expectancy]]), LifeExpectancyData[[#This Row],[Year]]=2013)</f>
        <v>0</v>
      </c>
    </row>
    <row r="2175" spans="1:23" hidden="1" x14ac:dyDescent="0.25">
      <c r="A2175" t="s">
        <v>417</v>
      </c>
      <c r="B2175">
        <v>2010</v>
      </c>
      <c r="C2175" t="s">
        <v>273</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cm="1">
        <f t="array" ref="W2175">AND(ISNUMBER(LifeExpectancyData[[#This Row],[Adult Mortality]:[Schooling]]),ISNUMBER(LifeExpectancyData[[#This Row],[Life expectancy]]), LifeExpectancyData[[#This Row],[Year]]=2013)</f>
        <v>0</v>
      </c>
    </row>
    <row r="2176" spans="1:23" hidden="1" x14ac:dyDescent="0.25">
      <c r="A2176" t="s">
        <v>417</v>
      </c>
      <c r="B2176">
        <v>2009</v>
      </c>
      <c r="C2176" t="s">
        <v>273</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cm="1">
        <f t="array" ref="W2176">AND(ISNUMBER(LifeExpectancyData[[#This Row],[Adult Mortality]:[Schooling]]),ISNUMBER(LifeExpectancyData[[#This Row],[Life expectancy]]), LifeExpectancyData[[#This Row],[Year]]=2013)</f>
        <v>0</v>
      </c>
    </row>
    <row r="2177" spans="1:23" hidden="1" x14ac:dyDescent="0.25">
      <c r="A2177" t="s">
        <v>417</v>
      </c>
      <c r="B2177">
        <v>2008</v>
      </c>
      <c r="C2177" t="s">
        <v>273</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cm="1">
        <f t="array" ref="W2177">AND(ISNUMBER(LifeExpectancyData[[#This Row],[Adult Mortality]:[Schooling]]),ISNUMBER(LifeExpectancyData[[#This Row],[Life expectancy]]), LifeExpectancyData[[#This Row],[Year]]=2013)</f>
        <v>0</v>
      </c>
    </row>
    <row r="2178" spans="1:23" hidden="1" x14ac:dyDescent="0.25">
      <c r="A2178" t="s">
        <v>417</v>
      </c>
      <c r="B2178">
        <v>2007</v>
      </c>
      <c r="C2178" t="s">
        <v>273</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cm="1">
        <f t="array" ref="W2178">AND(ISNUMBER(LifeExpectancyData[[#This Row],[Adult Mortality]:[Schooling]]),ISNUMBER(LifeExpectancyData[[#This Row],[Life expectancy]]), LifeExpectancyData[[#This Row],[Year]]=2013)</f>
        <v>0</v>
      </c>
    </row>
    <row r="2179" spans="1:23" hidden="1" x14ac:dyDescent="0.25">
      <c r="A2179" t="s">
        <v>417</v>
      </c>
      <c r="B2179">
        <v>2006</v>
      </c>
      <c r="C2179" t="s">
        <v>273</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cm="1">
        <f t="array" ref="W2179">AND(ISNUMBER(LifeExpectancyData[[#This Row],[Adult Mortality]:[Schooling]]),ISNUMBER(LifeExpectancyData[[#This Row],[Life expectancy]]), LifeExpectancyData[[#This Row],[Year]]=2013)</f>
        <v>0</v>
      </c>
    </row>
    <row r="2180" spans="1:23" hidden="1" x14ac:dyDescent="0.25">
      <c r="A2180" t="s">
        <v>417</v>
      </c>
      <c r="B2180">
        <v>2005</v>
      </c>
      <c r="C2180" t="s">
        <v>273</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cm="1">
        <f t="array" ref="W2180">AND(ISNUMBER(LifeExpectancyData[[#This Row],[Adult Mortality]:[Schooling]]),ISNUMBER(LifeExpectancyData[[#This Row],[Life expectancy]]), LifeExpectancyData[[#This Row],[Year]]=2013)</f>
        <v>0</v>
      </c>
    </row>
    <row r="2181" spans="1:23" hidden="1" x14ac:dyDescent="0.25">
      <c r="A2181" t="s">
        <v>417</v>
      </c>
      <c r="B2181">
        <v>2004</v>
      </c>
      <c r="C2181" t="s">
        <v>273</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cm="1">
        <f t="array" ref="W2181">AND(ISNUMBER(LifeExpectancyData[[#This Row],[Adult Mortality]:[Schooling]]),ISNUMBER(LifeExpectancyData[[#This Row],[Life expectancy]]), LifeExpectancyData[[#This Row],[Year]]=2013)</f>
        <v>0</v>
      </c>
    </row>
    <row r="2182" spans="1:23" hidden="1" x14ac:dyDescent="0.25">
      <c r="A2182" t="s">
        <v>417</v>
      </c>
      <c r="B2182">
        <v>2003</v>
      </c>
      <c r="C2182" t="s">
        <v>273</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cm="1">
        <f t="array" ref="W2182">AND(ISNUMBER(LifeExpectancyData[[#This Row],[Adult Mortality]:[Schooling]]),ISNUMBER(LifeExpectancyData[[#This Row],[Life expectancy]]), LifeExpectancyData[[#This Row],[Year]]=2013)</f>
        <v>0</v>
      </c>
    </row>
    <row r="2183" spans="1:23" hidden="1" x14ac:dyDescent="0.25">
      <c r="A2183" t="s">
        <v>417</v>
      </c>
      <c r="B2183">
        <v>2002</v>
      </c>
      <c r="C2183" t="s">
        <v>273</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cm="1">
        <f t="array" ref="W2183">AND(ISNUMBER(LifeExpectancyData[[#This Row],[Adult Mortality]:[Schooling]]),ISNUMBER(LifeExpectancyData[[#This Row],[Life expectancy]]), LifeExpectancyData[[#This Row],[Year]]=2013)</f>
        <v>0</v>
      </c>
    </row>
    <row r="2184" spans="1:23" hidden="1" x14ac:dyDescent="0.25">
      <c r="A2184" t="s">
        <v>417</v>
      </c>
      <c r="B2184">
        <v>2001</v>
      </c>
      <c r="C2184" t="s">
        <v>273</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cm="1">
        <f t="array" ref="W2184">AND(ISNUMBER(LifeExpectancyData[[#This Row],[Adult Mortality]:[Schooling]]),ISNUMBER(LifeExpectancyData[[#This Row],[Life expectancy]]), LifeExpectancyData[[#This Row],[Year]]=2013)</f>
        <v>0</v>
      </c>
    </row>
    <row r="2185" spans="1:23" hidden="1" x14ac:dyDescent="0.25">
      <c r="A2185" t="s">
        <v>417</v>
      </c>
      <c r="B2185">
        <v>2000</v>
      </c>
      <c r="C2185" t="s">
        <v>273</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cm="1">
        <f t="array" ref="W2185">AND(ISNUMBER(LifeExpectancyData[[#This Row],[Adult Mortality]:[Schooling]]),ISNUMBER(LifeExpectancyData[[#This Row],[Life expectancy]]), LifeExpectancyData[[#This Row],[Year]]=2013)</f>
        <v>0</v>
      </c>
    </row>
    <row r="2186" spans="1:23" hidden="1" x14ac:dyDescent="0.25">
      <c r="A2186" t="s">
        <v>418</v>
      </c>
      <c r="B2186">
        <v>2015</v>
      </c>
      <c r="C2186" t="s">
        <v>273</v>
      </c>
      <c r="D2186">
        <v>73.2</v>
      </c>
      <c r="E2186">
        <v>156</v>
      </c>
      <c r="F2186">
        <v>0</v>
      </c>
      <c r="H2186">
        <v>0</v>
      </c>
      <c r="I2186">
        <v>98</v>
      </c>
      <c r="J2186">
        <v>0</v>
      </c>
      <c r="K2186">
        <v>54.1</v>
      </c>
      <c r="L2186">
        <v>0</v>
      </c>
      <c r="M2186">
        <v>97</v>
      </c>
      <c r="O2186">
        <v>98</v>
      </c>
      <c r="P2186">
        <v>0.1</v>
      </c>
      <c r="S2186">
        <v>3.5</v>
      </c>
      <c r="T2186">
        <v>3.4</v>
      </c>
      <c r="U2186">
        <v>0.72</v>
      </c>
      <c r="V2186">
        <v>13.3</v>
      </c>
      <c r="W2186" t="b" cm="1">
        <f t="array" ref="W2186">AND(ISNUMBER(LifeExpectancyData[[#This Row],[Adult Mortality]:[Schooling]]),ISNUMBER(LifeExpectancyData[[#This Row],[Life expectancy]]), LifeExpectancyData[[#This Row],[Year]]=2013)</f>
        <v>0</v>
      </c>
    </row>
    <row r="2187" spans="1:23" hidden="1" x14ac:dyDescent="0.25">
      <c r="A2187" t="s">
        <v>418</v>
      </c>
      <c r="B2187">
        <v>2014</v>
      </c>
      <c r="C2187" t="s">
        <v>273</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cm="1">
        <f t="array" ref="W2187">AND(ISNUMBER(LifeExpectancyData[[#This Row],[Adult Mortality]:[Schooling]]),ISNUMBER(LifeExpectancyData[[#This Row],[Life expectancy]]), LifeExpectancyData[[#This Row],[Year]]=2013)</f>
        <v>0</v>
      </c>
    </row>
    <row r="2188" spans="1:23" hidden="1" x14ac:dyDescent="0.25">
      <c r="A2188" t="s">
        <v>418</v>
      </c>
      <c r="B2188">
        <v>2013</v>
      </c>
      <c r="C2188" t="s">
        <v>273</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cm="1">
        <f t="array" ref="W2188">AND(ISNUMBER(LifeExpectancyData[[#This Row],[Adult Mortality]:[Schooling]]),ISNUMBER(LifeExpectancyData[[#This Row],[Life expectancy]]), LifeExpectancyData[[#This Row],[Year]]=2013)</f>
        <v>0</v>
      </c>
    </row>
    <row r="2189" spans="1:23" hidden="1" x14ac:dyDescent="0.25">
      <c r="A2189" t="s">
        <v>418</v>
      </c>
      <c r="B2189">
        <v>2012</v>
      </c>
      <c r="C2189" t="s">
        <v>273</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cm="1">
        <f t="array" ref="W2189">AND(ISNUMBER(LifeExpectancyData[[#This Row],[Adult Mortality]:[Schooling]]),ISNUMBER(LifeExpectancyData[[#This Row],[Life expectancy]]), LifeExpectancyData[[#This Row],[Year]]=2013)</f>
        <v>0</v>
      </c>
    </row>
    <row r="2190" spans="1:23" hidden="1" x14ac:dyDescent="0.25">
      <c r="A2190" t="s">
        <v>418</v>
      </c>
      <c r="B2190">
        <v>2011</v>
      </c>
      <c r="C2190" t="s">
        <v>273</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cm="1">
        <f t="array" ref="W2190">AND(ISNUMBER(LifeExpectancyData[[#This Row],[Adult Mortality]:[Schooling]]),ISNUMBER(LifeExpectancyData[[#This Row],[Life expectancy]]), LifeExpectancyData[[#This Row],[Year]]=2013)</f>
        <v>0</v>
      </c>
    </row>
    <row r="2191" spans="1:23" hidden="1" x14ac:dyDescent="0.25">
      <c r="A2191" t="s">
        <v>418</v>
      </c>
      <c r="B2191">
        <v>2010</v>
      </c>
      <c r="C2191" t="s">
        <v>273</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cm="1">
        <f t="array" ref="W2191">AND(ISNUMBER(LifeExpectancyData[[#This Row],[Adult Mortality]:[Schooling]]),ISNUMBER(LifeExpectancyData[[#This Row],[Life expectancy]]), LifeExpectancyData[[#This Row],[Year]]=2013)</f>
        <v>0</v>
      </c>
    </row>
    <row r="2192" spans="1:23" hidden="1" x14ac:dyDescent="0.25">
      <c r="A2192" t="s">
        <v>418</v>
      </c>
      <c r="B2192">
        <v>2009</v>
      </c>
      <c r="C2192" t="s">
        <v>273</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cm="1">
        <f t="array" ref="W2192">AND(ISNUMBER(LifeExpectancyData[[#This Row],[Adult Mortality]:[Schooling]]),ISNUMBER(LifeExpectancyData[[#This Row],[Life expectancy]]), LifeExpectancyData[[#This Row],[Year]]=2013)</f>
        <v>0</v>
      </c>
    </row>
    <row r="2193" spans="1:23" hidden="1" x14ac:dyDescent="0.25">
      <c r="A2193" t="s">
        <v>418</v>
      </c>
      <c r="B2193">
        <v>2008</v>
      </c>
      <c r="C2193" t="s">
        <v>273</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cm="1">
        <f t="array" ref="W2193">AND(ISNUMBER(LifeExpectancyData[[#This Row],[Adult Mortality]:[Schooling]]),ISNUMBER(LifeExpectancyData[[#This Row],[Life expectancy]]), LifeExpectancyData[[#This Row],[Year]]=2013)</f>
        <v>0</v>
      </c>
    </row>
    <row r="2194" spans="1:23" hidden="1" x14ac:dyDescent="0.25">
      <c r="A2194" t="s">
        <v>418</v>
      </c>
      <c r="B2194">
        <v>2007</v>
      </c>
      <c r="C2194" t="s">
        <v>273</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cm="1">
        <f t="array" ref="W2194">AND(ISNUMBER(LifeExpectancyData[[#This Row],[Adult Mortality]:[Schooling]]),ISNUMBER(LifeExpectancyData[[#This Row],[Life expectancy]]), LifeExpectancyData[[#This Row],[Year]]=2013)</f>
        <v>0</v>
      </c>
    </row>
    <row r="2195" spans="1:23" hidden="1" x14ac:dyDescent="0.25">
      <c r="A2195" t="s">
        <v>418</v>
      </c>
      <c r="B2195">
        <v>2006</v>
      </c>
      <c r="C2195" t="s">
        <v>273</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cm="1">
        <f t="array" ref="W2195">AND(ISNUMBER(LifeExpectancyData[[#This Row],[Adult Mortality]:[Schooling]]),ISNUMBER(LifeExpectancyData[[#This Row],[Life expectancy]]), LifeExpectancyData[[#This Row],[Year]]=2013)</f>
        <v>0</v>
      </c>
    </row>
    <row r="2196" spans="1:23" hidden="1" x14ac:dyDescent="0.25">
      <c r="A2196" t="s">
        <v>418</v>
      </c>
      <c r="B2196">
        <v>2005</v>
      </c>
      <c r="C2196" t="s">
        <v>273</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cm="1">
        <f t="array" ref="W2196">AND(ISNUMBER(LifeExpectancyData[[#This Row],[Adult Mortality]:[Schooling]]),ISNUMBER(LifeExpectancyData[[#This Row],[Life expectancy]]), LifeExpectancyData[[#This Row],[Year]]=2013)</f>
        <v>0</v>
      </c>
    </row>
    <row r="2197" spans="1:23" hidden="1" x14ac:dyDescent="0.25">
      <c r="A2197" t="s">
        <v>418</v>
      </c>
      <c r="B2197">
        <v>2004</v>
      </c>
      <c r="C2197" t="s">
        <v>273</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cm="1">
        <f t="array" ref="W2197">AND(ISNUMBER(LifeExpectancyData[[#This Row],[Adult Mortality]:[Schooling]]),ISNUMBER(LifeExpectancyData[[#This Row],[Life expectancy]]), LifeExpectancyData[[#This Row],[Year]]=2013)</f>
        <v>0</v>
      </c>
    </row>
    <row r="2198" spans="1:23" hidden="1" x14ac:dyDescent="0.25">
      <c r="A2198" t="s">
        <v>418</v>
      </c>
      <c r="B2198">
        <v>2003</v>
      </c>
      <c r="C2198" t="s">
        <v>273</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cm="1">
        <f t="array" ref="W2198">AND(ISNUMBER(LifeExpectancyData[[#This Row],[Adult Mortality]:[Schooling]]),ISNUMBER(LifeExpectancyData[[#This Row],[Life expectancy]]), LifeExpectancyData[[#This Row],[Year]]=2013)</f>
        <v>0</v>
      </c>
    </row>
    <row r="2199" spans="1:23" hidden="1" x14ac:dyDescent="0.25">
      <c r="A2199" t="s">
        <v>418</v>
      </c>
      <c r="B2199">
        <v>2002</v>
      </c>
      <c r="C2199" t="s">
        <v>273</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cm="1">
        <f t="array" ref="W2199">AND(ISNUMBER(LifeExpectancyData[[#This Row],[Adult Mortality]:[Schooling]]),ISNUMBER(LifeExpectancyData[[#This Row],[Life expectancy]]), LifeExpectancyData[[#This Row],[Year]]=2013)</f>
        <v>0</v>
      </c>
    </row>
    <row r="2200" spans="1:23" hidden="1" x14ac:dyDescent="0.25">
      <c r="A2200" t="s">
        <v>418</v>
      </c>
      <c r="B2200">
        <v>2001</v>
      </c>
      <c r="C2200" t="s">
        <v>273</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cm="1">
        <f t="array" ref="W2200">AND(ISNUMBER(LifeExpectancyData[[#This Row],[Adult Mortality]:[Schooling]]),ISNUMBER(LifeExpectancyData[[#This Row],[Life expectancy]]), LifeExpectancyData[[#This Row],[Year]]=2013)</f>
        <v>0</v>
      </c>
    </row>
    <row r="2201" spans="1:23" hidden="1" x14ac:dyDescent="0.25">
      <c r="A2201" t="s">
        <v>418</v>
      </c>
      <c r="B2201">
        <v>2000</v>
      </c>
      <c r="C2201" t="s">
        <v>273</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cm="1">
        <f t="array" ref="W2201">AND(ISNUMBER(LifeExpectancyData[[#This Row],[Adult Mortality]:[Schooling]]),ISNUMBER(LifeExpectancyData[[#This Row],[Life expectancy]]), LifeExpectancyData[[#This Row],[Year]]=2013)</f>
        <v>0</v>
      </c>
    </row>
    <row r="2202" spans="1:23" hidden="1" x14ac:dyDescent="0.25">
      <c r="A2202" t="s">
        <v>419</v>
      </c>
      <c r="B2202">
        <v>2015</v>
      </c>
      <c r="C2202" t="s">
        <v>273</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cm="1">
        <f t="array" ref="W2202">AND(ISNUMBER(LifeExpectancyData[[#This Row],[Adult Mortality]:[Schooling]]),ISNUMBER(LifeExpectancyData[[#This Row],[Life expectancy]]), LifeExpectancyData[[#This Row],[Year]]=2013)</f>
        <v>0</v>
      </c>
    </row>
    <row r="2203" spans="1:23" x14ac:dyDescent="0.25">
      <c r="A2203" t="s">
        <v>419</v>
      </c>
      <c r="B2203">
        <v>2014</v>
      </c>
      <c r="C2203" t="s">
        <v>273</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cm="1">
        <f t="array" ref="W2203">AND(ISNUMBER(LifeExpectancyData[[#This Row],[Adult Mortality]:[Schooling]]),ISNUMBER(LifeExpectancyData[[#This Row],[Life expectancy]]), LifeExpectancyData[[#This Row],[Year]]=2013)</f>
        <v>0</v>
      </c>
    </row>
    <row r="2204" spans="1:23" x14ac:dyDescent="0.25">
      <c r="A2204" t="s">
        <v>419</v>
      </c>
      <c r="B2204">
        <v>2013</v>
      </c>
      <c r="C2204" t="s">
        <v>273</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cm="1">
        <f t="array" ref="W2204">AND(ISNUMBER(LifeExpectancyData[[#This Row],[Adult Mortality]:[Schooling]]),ISNUMBER(LifeExpectancyData[[#This Row],[Life expectancy]]), LifeExpectancyData[[#This Row],[Year]]=2013)</f>
        <v>1</v>
      </c>
    </row>
    <row r="2205" spans="1:23" x14ac:dyDescent="0.25">
      <c r="A2205" t="s">
        <v>419</v>
      </c>
      <c r="B2205">
        <v>2012</v>
      </c>
      <c r="C2205" t="s">
        <v>273</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cm="1">
        <f t="array" ref="W2205">AND(ISNUMBER(LifeExpectancyData[[#This Row],[Adult Mortality]:[Schooling]]),ISNUMBER(LifeExpectancyData[[#This Row],[Life expectancy]]), LifeExpectancyData[[#This Row],[Year]]=2013)</f>
        <v>0</v>
      </c>
    </row>
    <row r="2206" spans="1:23" x14ac:dyDescent="0.25">
      <c r="A2206" t="s">
        <v>419</v>
      </c>
      <c r="B2206">
        <v>2011</v>
      </c>
      <c r="C2206" t="s">
        <v>273</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cm="1">
        <f t="array" ref="W2206">AND(ISNUMBER(LifeExpectancyData[[#This Row],[Adult Mortality]:[Schooling]]),ISNUMBER(LifeExpectancyData[[#This Row],[Life expectancy]]), LifeExpectancyData[[#This Row],[Year]]=2013)</f>
        <v>0</v>
      </c>
    </row>
    <row r="2207" spans="1:23" x14ac:dyDescent="0.25">
      <c r="A2207" t="s">
        <v>419</v>
      </c>
      <c r="B2207">
        <v>2010</v>
      </c>
      <c r="C2207" t="s">
        <v>273</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cm="1">
        <f t="array" ref="W2207">AND(ISNUMBER(LifeExpectancyData[[#This Row],[Adult Mortality]:[Schooling]]),ISNUMBER(LifeExpectancyData[[#This Row],[Life expectancy]]), LifeExpectancyData[[#This Row],[Year]]=2013)</f>
        <v>0</v>
      </c>
    </row>
    <row r="2208" spans="1:23" x14ac:dyDescent="0.25">
      <c r="A2208" t="s">
        <v>419</v>
      </c>
      <c r="B2208">
        <v>2009</v>
      </c>
      <c r="C2208" t="s">
        <v>273</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cm="1">
        <f t="array" ref="W2208">AND(ISNUMBER(LifeExpectancyData[[#This Row],[Adult Mortality]:[Schooling]]),ISNUMBER(LifeExpectancyData[[#This Row],[Life expectancy]]), LifeExpectancyData[[#This Row],[Year]]=2013)</f>
        <v>0</v>
      </c>
    </row>
    <row r="2209" spans="1:23" x14ac:dyDescent="0.25">
      <c r="A2209" t="s">
        <v>419</v>
      </c>
      <c r="B2209">
        <v>2008</v>
      </c>
      <c r="C2209" t="s">
        <v>273</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cm="1">
        <f t="array" ref="W2209">AND(ISNUMBER(LifeExpectancyData[[#This Row],[Adult Mortality]:[Schooling]]),ISNUMBER(LifeExpectancyData[[#This Row],[Life expectancy]]), LifeExpectancyData[[#This Row],[Year]]=2013)</f>
        <v>0</v>
      </c>
    </row>
    <row r="2210" spans="1:23" x14ac:dyDescent="0.25">
      <c r="A2210" t="s">
        <v>419</v>
      </c>
      <c r="B2210">
        <v>2007</v>
      </c>
      <c r="C2210" t="s">
        <v>273</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cm="1">
        <f t="array" ref="W2210">AND(ISNUMBER(LifeExpectancyData[[#This Row],[Adult Mortality]:[Schooling]]),ISNUMBER(LifeExpectancyData[[#This Row],[Life expectancy]]), LifeExpectancyData[[#This Row],[Year]]=2013)</f>
        <v>0</v>
      </c>
    </row>
    <row r="2211" spans="1:23" x14ac:dyDescent="0.25">
      <c r="A2211" t="s">
        <v>419</v>
      </c>
      <c r="B2211">
        <v>2006</v>
      </c>
      <c r="C2211" t="s">
        <v>273</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cm="1">
        <f t="array" ref="W2211">AND(ISNUMBER(LifeExpectancyData[[#This Row],[Adult Mortality]:[Schooling]]),ISNUMBER(LifeExpectancyData[[#This Row],[Life expectancy]]), LifeExpectancyData[[#This Row],[Year]]=2013)</f>
        <v>0</v>
      </c>
    </row>
    <row r="2212" spans="1:23" x14ac:dyDescent="0.25">
      <c r="A2212" t="s">
        <v>419</v>
      </c>
      <c r="B2212">
        <v>2005</v>
      </c>
      <c r="C2212" t="s">
        <v>273</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cm="1">
        <f t="array" ref="W2212">AND(ISNUMBER(LifeExpectancyData[[#This Row],[Adult Mortality]:[Schooling]]),ISNUMBER(LifeExpectancyData[[#This Row],[Life expectancy]]), LifeExpectancyData[[#This Row],[Year]]=2013)</f>
        <v>0</v>
      </c>
    </row>
    <row r="2213" spans="1:23" x14ac:dyDescent="0.25">
      <c r="A2213" t="s">
        <v>419</v>
      </c>
      <c r="B2213">
        <v>2004</v>
      </c>
      <c r="C2213" t="s">
        <v>273</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cm="1">
        <f t="array" ref="W2213">AND(ISNUMBER(LifeExpectancyData[[#This Row],[Adult Mortality]:[Schooling]]),ISNUMBER(LifeExpectancyData[[#This Row],[Life expectancy]]), LifeExpectancyData[[#This Row],[Year]]=2013)</f>
        <v>0</v>
      </c>
    </row>
    <row r="2214" spans="1:23" x14ac:dyDescent="0.25">
      <c r="A2214" t="s">
        <v>419</v>
      </c>
      <c r="B2214">
        <v>2003</v>
      </c>
      <c r="C2214" t="s">
        <v>273</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cm="1">
        <f t="array" ref="W2214">AND(ISNUMBER(LifeExpectancyData[[#This Row],[Adult Mortality]:[Schooling]]),ISNUMBER(LifeExpectancyData[[#This Row],[Life expectancy]]), LifeExpectancyData[[#This Row],[Year]]=2013)</f>
        <v>0</v>
      </c>
    </row>
    <row r="2215" spans="1:23" x14ac:dyDescent="0.25">
      <c r="A2215" t="s">
        <v>419</v>
      </c>
      <c r="B2215">
        <v>2002</v>
      </c>
      <c r="C2215" t="s">
        <v>273</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cm="1">
        <f t="array" ref="W2215">AND(ISNUMBER(LifeExpectancyData[[#This Row],[Adult Mortality]:[Schooling]]),ISNUMBER(LifeExpectancyData[[#This Row],[Life expectancy]]), LifeExpectancyData[[#This Row],[Year]]=2013)</f>
        <v>0</v>
      </c>
    </row>
    <row r="2216" spans="1:23" x14ac:dyDescent="0.25">
      <c r="A2216" t="s">
        <v>419</v>
      </c>
      <c r="B2216">
        <v>2001</v>
      </c>
      <c r="C2216" t="s">
        <v>273</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cm="1">
        <f t="array" ref="W2216">AND(ISNUMBER(LifeExpectancyData[[#This Row],[Adult Mortality]:[Schooling]]),ISNUMBER(LifeExpectancyData[[#This Row],[Life expectancy]]), LifeExpectancyData[[#This Row],[Year]]=2013)</f>
        <v>0</v>
      </c>
    </row>
    <row r="2217" spans="1:23" x14ac:dyDescent="0.25">
      <c r="A2217" t="s">
        <v>419</v>
      </c>
      <c r="B2217">
        <v>2000</v>
      </c>
      <c r="C2217" t="s">
        <v>273</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cm="1">
        <f t="array" ref="W2217">AND(ISNUMBER(LifeExpectancyData[[#This Row],[Adult Mortality]:[Schooling]]),ISNUMBER(LifeExpectancyData[[#This Row],[Life expectancy]]), LifeExpectancyData[[#This Row],[Year]]=2013)</f>
        <v>0</v>
      </c>
    </row>
    <row r="2218" spans="1:23" hidden="1" x14ac:dyDescent="0.25">
      <c r="A2218" t="s">
        <v>420</v>
      </c>
      <c r="B2218">
        <v>2013</v>
      </c>
      <c r="C2218" t="s">
        <v>273</v>
      </c>
      <c r="F2218">
        <v>0</v>
      </c>
      <c r="G2218">
        <v>0.01</v>
      </c>
      <c r="H2218">
        <v>0</v>
      </c>
      <c r="I2218">
        <v>69</v>
      </c>
      <c r="J2218">
        <v>0</v>
      </c>
      <c r="L2218">
        <v>0</v>
      </c>
      <c r="M2218">
        <v>69</v>
      </c>
      <c r="N2218">
        <v>6.5</v>
      </c>
      <c r="O2218">
        <v>69</v>
      </c>
      <c r="P2218">
        <v>0.1</v>
      </c>
      <c r="V2218">
        <v>15.1</v>
      </c>
      <c r="W2218" t="b" cm="1">
        <f t="array" ref="W2218">AND(ISNUMBER(LifeExpectancyData[[#This Row],[Adult Mortality]:[Schooling]]),ISNUMBER(LifeExpectancyData[[#This Row],[Life expectancy]]), LifeExpectancyData[[#This Row],[Year]]=2013)</f>
        <v>0</v>
      </c>
    </row>
    <row r="2219" spans="1:23" hidden="1" x14ac:dyDescent="0.25">
      <c r="A2219" t="s">
        <v>421</v>
      </c>
      <c r="B2219">
        <v>2015</v>
      </c>
      <c r="C2219" t="s">
        <v>273</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cm="1">
        <f t="array" ref="W2219">AND(ISNUMBER(LifeExpectancyData[[#This Row],[Adult Mortality]:[Schooling]]),ISNUMBER(LifeExpectancyData[[#This Row],[Life expectancy]]), LifeExpectancyData[[#This Row],[Year]]=2013)</f>
        <v>0</v>
      </c>
    </row>
    <row r="2220" spans="1:23" x14ac:dyDescent="0.25">
      <c r="A2220" t="s">
        <v>421</v>
      </c>
      <c r="B2220">
        <v>2014</v>
      </c>
      <c r="C2220" t="s">
        <v>273</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cm="1">
        <f t="array" ref="W2220">AND(ISNUMBER(LifeExpectancyData[[#This Row],[Adult Mortality]:[Schooling]]),ISNUMBER(LifeExpectancyData[[#This Row],[Life expectancy]]), LifeExpectancyData[[#This Row],[Year]]=2013)</f>
        <v>0</v>
      </c>
    </row>
    <row r="2221" spans="1:23" x14ac:dyDescent="0.25">
      <c r="A2221" t="s">
        <v>421</v>
      </c>
      <c r="B2221">
        <v>2013</v>
      </c>
      <c r="C2221" t="s">
        <v>273</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cm="1">
        <f t="array" ref="W2221">AND(ISNUMBER(LifeExpectancyData[[#This Row],[Adult Mortality]:[Schooling]]),ISNUMBER(LifeExpectancyData[[#This Row],[Life expectancy]]), LifeExpectancyData[[#This Row],[Year]]=2013)</f>
        <v>1</v>
      </c>
    </row>
    <row r="2222" spans="1:23" x14ac:dyDescent="0.25">
      <c r="A2222" t="s">
        <v>421</v>
      </c>
      <c r="B2222">
        <v>2012</v>
      </c>
      <c r="C2222" t="s">
        <v>273</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cm="1">
        <f t="array" ref="W2222">AND(ISNUMBER(LifeExpectancyData[[#This Row],[Adult Mortality]:[Schooling]]),ISNUMBER(LifeExpectancyData[[#This Row],[Life expectancy]]), LifeExpectancyData[[#This Row],[Year]]=2013)</f>
        <v>0</v>
      </c>
    </row>
    <row r="2223" spans="1:23" x14ac:dyDescent="0.25">
      <c r="A2223" t="s">
        <v>421</v>
      </c>
      <c r="B2223">
        <v>2011</v>
      </c>
      <c r="C2223" t="s">
        <v>273</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cm="1">
        <f t="array" ref="W2223">AND(ISNUMBER(LifeExpectancyData[[#This Row],[Adult Mortality]:[Schooling]]),ISNUMBER(LifeExpectancyData[[#This Row],[Life expectancy]]), LifeExpectancyData[[#This Row],[Year]]=2013)</f>
        <v>0</v>
      </c>
    </row>
    <row r="2224" spans="1:23" x14ac:dyDescent="0.25">
      <c r="A2224" t="s">
        <v>421</v>
      </c>
      <c r="B2224">
        <v>2010</v>
      </c>
      <c r="C2224" t="s">
        <v>273</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cm="1">
        <f t="array" ref="W2224">AND(ISNUMBER(LifeExpectancyData[[#This Row],[Adult Mortality]:[Schooling]]),ISNUMBER(LifeExpectancyData[[#This Row],[Life expectancy]]), LifeExpectancyData[[#This Row],[Year]]=2013)</f>
        <v>0</v>
      </c>
    </row>
    <row r="2225" spans="1:23" x14ac:dyDescent="0.25">
      <c r="A2225" t="s">
        <v>421</v>
      </c>
      <c r="B2225">
        <v>2009</v>
      </c>
      <c r="C2225" t="s">
        <v>273</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cm="1">
        <f t="array" ref="W2225">AND(ISNUMBER(LifeExpectancyData[[#This Row],[Adult Mortality]:[Schooling]]),ISNUMBER(LifeExpectancyData[[#This Row],[Life expectancy]]), LifeExpectancyData[[#This Row],[Year]]=2013)</f>
        <v>0</v>
      </c>
    </row>
    <row r="2226" spans="1:23" x14ac:dyDescent="0.25">
      <c r="A2226" t="s">
        <v>421</v>
      </c>
      <c r="B2226">
        <v>2008</v>
      </c>
      <c r="C2226" t="s">
        <v>273</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cm="1">
        <f t="array" ref="W2226">AND(ISNUMBER(LifeExpectancyData[[#This Row],[Adult Mortality]:[Schooling]]),ISNUMBER(LifeExpectancyData[[#This Row],[Life expectancy]]), LifeExpectancyData[[#This Row],[Year]]=2013)</f>
        <v>0</v>
      </c>
    </row>
    <row r="2227" spans="1:23" x14ac:dyDescent="0.25">
      <c r="A2227" t="s">
        <v>421</v>
      </c>
      <c r="B2227">
        <v>2007</v>
      </c>
      <c r="C2227" t="s">
        <v>273</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cm="1">
        <f t="array" ref="W2227">AND(ISNUMBER(LifeExpectancyData[[#This Row],[Adult Mortality]:[Schooling]]),ISNUMBER(LifeExpectancyData[[#This Row],[Life expectancy]]), LifeExpectancyData[[#This Row],[Year]]=2013)</f>
        <v>0</v>
      </c>
    </row>
    <row r="2228" spans="1:23" x14ac:dyDescent="0.25">
      <c r="A2228" t="s">
        <v>421</v>
      </c>
      <c r="B2228">
        <v>2006</v>
      </c>
      <c r="C2228" t="s">
        <v>273</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cm="1">
        <f t="array" ref="W2228">AND(ISNUMBER(LifeExpectancyData[[#This Row],[Adult Mortality]:[Schooling]]),ISNUMBER(LifeExpectancyData[[#This Row],[Life expectancy]]), LifeExpectancyData[[#This Row],[Year]]=2013)</f>
        <v>0</v>
      </c>
    </row>
    <row r="2229" spans="1:23" x14ac:dyDescent="0.25">
      <c r="A2229" t="s">
        <v>421</v>
      </c>
      <c r="B2229">
        <v>2005</v>
      </c>
      <c r="C2229" t="s">
        <v>273</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cm="1">
        <f t="array" ref="W2229">AND(ISNUMBER(LifeExpectancyData[[#This Row],[Adult Mortality]:[Schooling]]),ISNUMBER(LifeExpectancyData[[#This Row],[Life expectancy]]), LifeExpectancyData[[#This Row],[Year]]=2013)</f>
        <v>0</v>
      </c>
    </row>
    <row r="2230" spans="1:23" x14ac:dyDescent="0.25">
      <c r="A2230" t="s">
        <v>421</v>
      </c>
      <c r="B2230">
        <v>2004</v>
      </c>
      <c r="C2230" t="s">
        <v>273</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cm="1">
        <f t="array" ref="W2230">AND(ISNUMBER(LifeExpectancyData[[#This Row],[Adult Mortality]:[Schooling]]),ISNUMBER(LifeExpectancyData[[#This Row],[Life expectancy]]), LifeExpectancyData[[#This Row],[Year]]=2013)</f>
        <v>0</v>
      </c>
    </row>
    <row r="2231" spans="1:23" x14ac:dyDescent="0.25">
      <c r="A2231" t="s">
        <v>421</v>
      </c>
      <c r="B2231">
        <v>2003</v>
      </c>
      <c r="C2231" t="s">
        <v>273</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cm="1">
        <f t="array" ref="W2231">AND(ISNUMBER(LifeExpectancyData[[#This Row],[Adult Mortality]:[Schooling]]),ISNUMBER(LifeExpectancyData[[#This Row],[Life expectancy]]), LifeExpectancyData[[#This Row],[Year]]=2013)</f>
        <v>0</v>
      </c>
    </row>
    <row r="2232" spans="1:23" hidden="1" x14ac:dyDescent="0.25">
      <c r="A2232" t="s">
        <v>421</v>
      </c>
      <c r="B2232">
        <v>2002</v>
      </c>
      <c r="C2232" t="s">
        <v>273</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cm="1">
        <f t="array" ref="W2232">AND(ISNUMBER(LifeExpectancyData[[#This Row],[Adult Mortality]:[Schooling]]),ISNUMBER(LifeExpectancyData[[#This Row],[Life expectancy]]), LifeExpectancyData[[#This Row],[Year]]=2013)</f>
        <v>0</v>
      </c>
    </row>
    <row r="2233" spans="1:23" hidden="1" x14ac:dyDescent="0.25">
      <c r="A2233" t="s">
        <v>421</v>
      </c>
      <c r="B2233">
        <v>2001</v>
      </c>
      <c r="C2233" t="s">
        <v>273</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cm="1">
        <f t="array" ref="W2233">AND(ISNUMBER(LifeExpectancyData[[#This Row],[Adult Mortality]:[Schooling]]),ISNUMBER(LifeExpectancyData[[#This Row],[Life expectancy]]), LifeExpectancyData[[#This Row],[Year]]=2013)</f>
        <v>0</v>
      </c>
    </row>
    <row r="2234" spans="1:23" hidden="1" x14ac:dyDescent="0.25">
      <c r="A2234" t="s">
        <v>421</v>
      </c>
      <c r="B2234">
        <v>2000</v>
      </c>
      <c r="C2234" t="s">
        <v>273</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cm="1">
        <f t="array" ref="W2234">AND(ISNUMBER(LifeExpectancyData[[#This Row],[Adult Mortality]:[Schooling]]),ISNUMBER(LifeExpectancyData[[#This Row],[Life expectancy]]), LifeExpectancyData[[#This Row],[Year]]=2013)</f>
        <v>0</v>
      </c>
    </row>
    <row r="2235" spans="1:23" hidden="1" x14ac:dyDescent="0.25">
      <c r="A2235" t="s">
        <v>422</v>
      </c>
      <c r="B2235">
        <v>2015</v>
      </c>
      <c r="C2235" t="s">
        <v>273</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cm="1">
        <f t="array" ref="W2235">AND(ISNUMBER(LifeExpectancyData[[#This Row],[Adult Mortality]:[Schooling]]),ISNUMBER(LifeExpectancyData[[#This Row],[Life expectancy]]), LifeExpectancyData[[#This Row],[Year]]=2013)</f>
        <v>0</v>
      </c>
    </row>
    <row r="2236" spans="1:23" hidden="1" x14ac:dyDescent="0.25">
      <c r="A2236" t="s">
        <v>422</v>
      </c>
      <c r="B2236">
        <v>2014</v>
      </c>
      <c r="C2236" t="s">
        <v>273</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cm="1">
        <f t="array" ref="W2236">AND(ISNUMBER(LifeExpectancyData[[#This Row],[Adult Mortality]:[Schooling]]),ISNUMBER(LifeExpectancyData[[#This Row],[Life expectancy]]), LifeExpectancyData[[#This Row],[Year]]=2013)</f>
        <v>0</v>
      </c>
    </row>
    <row r="2237" spans="1:23" hidden="1" x14ac:dyDescent="0.25">
      <c r="A2237" t="s">
        <v>422</v>
      </c>
      <c r="B2237">
        <v>2013</v>
      </c>
      <c r="C2237" t="s">
        <v>273</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cm="1">
        <f t="array" ref="W2237">AND(ISNUMBER(LifeExpectancyData[[#This Row],[Adult Mortality]:[Schooling]]),ISNUMBER(LifeExpectancyData[[#This Row],[Life expectancy]]), LifeExpectancyData[[#This Row],[Year]]=2013)</f>
        <v>0</v>
      </c>
    </row>
    <row r="2238" spans="1:23" hidden="1" x14ac:dyDescent="0.25">
      <c r="A2238" t="s">
        <v>422</v>
      </c>
      <c r="B2238">
        <v>2012</v>
      </c>
      <c r="C2238" t="s">
        <v>273</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cm="1">
        <f t="array" ref="W2238">AND(ISNUMBER(LifeExpectancyData[[#This Row],[Adult Mortality]:[Schooling]]),ISNUMBER(LifeExpectancyData[[#This Row],[Life expectancy]]), LifeExpectancyData[[#This Row],[Year]]=2013)</f>
        <v>0</v>
      </c>
    </row>
    <row r="2239" spans="1:23" hidden="1" x14ac:dyDescent="0.25">
      <c r="A2239" t="s">
        <v>422</v>
      </c>
      <c r="B2239">
        <v>2011</v>
      </c>
      <c r="C2239" t="s">
        <v>273</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cm="1">
        <f t="array" ref="W2239">AND(ISNUMBER(LifeExpectancyData[[#This Row],[Adult Mortality]:[Schooling]]),ISNUMBER(LifeExpectancyData[[#This Row],[Life expectancy]]), LifeExpectancyData[[#This Row],[Year]]=2013)</f>
        <v>0</v>
      </c>
    </row>
    <row r="2240" spans="1:23" hidden="1" x14ac:dyDescent="0.25">
      <c r="A2240" t="s">
        <v>422</v>
      </c>
      <c r="B2240">
        <v>2010</v>
      </c>
      <c r="C2240" t="s">
        <v>273</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cm="1">
        <f t="array" ref="W2240">AND(ISNUMBER(LifeExpectancyData[[#This Row],[Adult Mortality]:[Schooling]]),ISNUMBER(LifeExpectancyData[[#This Row],[Life expectancy]]), LifeExpectancyData[[#This Row],[Year]]=2013)</f>
        <v>0</v>
      </c>
    </row>
    <row r="2241" spans="1:23" hidden="1" x14ac:dyDescent="0.25">
      <c r="A2241" t="s">
        <v>422</v>
      </c>
      <c r="B2241">
        <v>2009</v>
      </c>
      <c r="C2241" t="s">
        <v>273</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cm="1">
        <f t="array" ref="W2241">AND(ISNUMBER(LifeExpectancyData[[#This Row],[Adult Mortality]:[Schooling]]),ISNUMBER(LifeExpectancyData[[#This Row],[Life expectancy]]), LifeExpectancyData[[#This Row],[Year]]=2013)</f>
        <v>0</v>
      </c>
    </row>
    <row r="2242" spans="1:23" hidden="1" x14ac:dyDescent="0.25">
      <c r="A2242" t="s">
        <v>422</v>
      </c>
      <c r="B2242">
        <v>2008</v>
      </c>
      <c r="C2242" t="s">
        <v>273</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cm="1">
        <f t="array" ref="W2242">AND(ISNUMBER(LifeExpectancyData[[#This Row],[Adult Mortality]:[Schooling]]),ISNUMBER(LifeExpectancyData[[#This Row],[Life expectancy]]), LifeExpectancyData[[#This Row],[Year]]=2013)</f>
        <v>0</v>
      </c>
    </row>
    <row r="2243" spans="1:23" hidden="1" x14ac:dyDescent="0.25">
      <c r="A2243" t="s">
        <v>422</v>
      </c>
      <c r="B2243">
        <v>2007</v>
      </c>
      <c r="C2243" t="s">
        <v>273</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cm="1">
        <f t="array" ref="W2243">AND(ISNUMBER(LifeExpectancyData[[#This Row],[Adult Mortality]:[Schooling]]),ISNUMBER(LifeExpectancyData[[#This Row],[Life expectancy]]), LifeExpectancyData[[#This Row],[Year]]=2013)</f>
        <v>0</v>
      </c>
    </row>
    <row r="2244" spans="1:23" hidden="1" x14ac:dyDescent="0.25">
      <c r="A2244" t="s">
        <v>422</v>
      </c>
      <c r="B2244">
        <v>2006</v>
      </c>
      <c r="C2244" t="s">
        <v>273</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cm="1">
        <f t="array" ref="W2244">AND(ISNUMBER(LifeExpectancyData[[#This Row],[Adult Mortality]:[Schooling]]),ISNUMBER(LifeExpectancyData[[#This Row],[Life expectancy]]), LifeExpectancyData[[#This Row],[Year]]=2013)</f>
        <v>0</v>
      </c>
    </row>
    <row r="2245" spans="1:23" hidden="1" x14ac:dyDescent="0.25">
      <c r="A2245" t="s">
        <v>422</v>
      </c>
      <c r="B2245">
        <v>2005</v>
      </c>
      <c r="C2245" t="s">
        <v>273</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cm="1">
        <f t="array" ref="W2245">AND(ISNUMBER(LifeExpectancyData[[#This Row],[Adult Mortality]:[Schooling]]),ISNUMBER(LifeExpectancyData[[#This Row],[Life expectancy]]), LifeExpectancyData[[#This Row],[Year]]=2013)</f>
        <v>0</v>
      </c>
    </row>
    <row r="2246" spans="1:23" hidden="1" x14ac:dyDescent="0.25">
      <c r="A2246" t="s">
        <v>422</v>
      </c>
      <c r="B2246">
        <v>2004</v>
      </c>
      <c r="C2246" t="s">
        <v>273</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cm="1">
        <f t="array" ref="W2246">AND(ISNUMBER(LifeExpectancyData[[#This Row],[Adult Mortality]:[Schooling]]),ISNUMBER(LifeExpectancyData[[#This Row],[Life expectancy]]), LifeExpectancyData[[#This Row],[Year]]=2013)</f>
        <v>0</v>
      </c>
    </row>
    <row r="2247" spans="1:23" hidden="1" x14ac:dyDescent="0.25">
      <c r="A2247" t="s">
        <v>422</v>
      </c>
      <c r="B2247">
        <v>2003</v>
      </c>
      <c r="C2247" t="s">
        <v>273</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cm="1">
        <f t="array" ref="W2247">AND(ISNUMBER(LifeExpectancyData[[#This Row],[Adult Mortality]:[Schooling]]),ISNUMBER(LifeExpectancyData[[#This Row],[Life expectancy]]), LifeExpectancyData[[#This Row],[Year]]=2013)</f>
        <v>0</v>
      </c>
    </row>
    <row r="2248" spans="1:23" hidden="1" x14ac:dyDescent="0.25">
      <c r="A2248" t="s">
        <v>422</v>
      </c>
      <c r="B2248">
        <v>2002</v>
      </c>
      <c r="C2248" t="s">
        <v>273</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cm="1">
        <f t="array" ref="W2248">AND(ISNUMBER(LifeExpectancyData[[#This Row],[Adult Mortality]:[Schooling]]),ISNUMBER(LifeExpectancyData[[#This Row],[Life expectancy]]), LifeExpectancyData[[#This Row],[Year]]=2013)</f>
        <v>0</v>
      </c>
    </row>
    <row r="2249" spans="1:23" hidden="1" x14ac:dyDescent="0.25">
      <c r="A2249" t="s">
        <v>422</v>
      </c>
      <c r="B2249">
        <v>2001</v>
      </c>
      <c r="C2249" t="s">
        <v>273</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cm="1">
        <f t="array" ref="W2249">AND(ISNUMBER(LifeExpectancyData[[#This Row],[Adult Mortality]:[Schooling]]),ISNUMBER(LifeExpectancyData[[#This Row],[Life expectancy]]), LifeExpectancyData[[#This Row],[Year]]=2013)</f>
        <v>0</v>
      </c>
    </row>
    <row r="2250" spans="1:23" hidden="1" x14ac:dyDescent="0.25">
      <c r="A2250" t="s">
        <v>422</v>
      </c>
      <c r="B2250">
        <v>2000</v>
      </c>
      <c r="C2250" t="s">
        <v>273</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cm="1">
        <f t="array" ref="W2250">AND(ISNUMBER(LifeExpectancyData[[#This Row],[Adult Mortality]:[Schooling]]),ISNUMBER(LifeExpectancyData[[#This Row],[Life expectancy]]), LifeExpectancyData[[#This Row],[Year]]=2013)</f>
        <v>0</v>
      </c>
    </row>
    <row r="2251" spans="1:23" hidden="1" x14ac:dyDescent="0.25">
      <c r="A2251" t="s">
        <v>423</v>
      </c>
      <c r="B2251">
        <v>2015</v>
      </c>
      <c r="C2251" t="s">
        <v>273</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cm="1">
        <f t="array" ref="W2251">AND(ISNUMBER(LifeExpectancyData[[#This Row],[Adult Mortality]:[Schooling]]),ISNUMBER(LifeExpectancyData[[#This Row],[Life expectancy]]), LifeExpectancyData[[#This Row],[Year]]=2013)</f>
        <v>0</v>
      </c>
    </row>
    <row r="2252" spans="1:23" x14ac:dyDescent="0.25">
      <c r="A2252" t="s">
        <v>423</v>
      </c>
      <c r="B2252">
        <v>2014</v>
      </c>
      <c r="C2252" t="s">
        <v>273</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cm="1">
        <f t="array" ref="W2252">AND(ISNUMBER(LifeExpectancyData[[#This Row],[Adult Mortality]:[Schooling]]),ISNUMBER(LifeExpectancyData[[#This Row],[Life expectancy]]), LifeExpectancyData[[#This Row],[Year]]=2013)</f>
        <v>0</v>
      </c>
    </row>
    <row r="2253" spans="1:23" x14ac:dyDescent="0.25">
      <c r="A2253" t="s">
        <v>423</v>
      </c>
      <c r="B2253">
        <v>2013</v>
      </c>
      <c r="C2253" t="s">
        <v>273</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cm="1">
        <f t="array" ref="W2253">AND(ISNUMBER(LifeExpectancyData[[#This Row],[Adult Mortality]:[Schooling]]),ISNUMBER(LifeExpectancyData[[#This Row],[Life expectancy]]), LifeExpectancyData[[#This Row],[Year]]=2013)</f>
        <v>1</v>
      </c>
    </row>
    <row r="2254" spans="1:23" x14ac:dyDescent="0.25">
      <c r="A2254" t="s">
        <v>423</v>
      </c>
      <c r="B2254">
        <v>2012</v>
      </c>
      <c r="C2254" t="s">
        <v>273</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cm="1">
        <f t="array" ref="W2254">AND(ISNUMBER(LifeExpectancyData[[#This Row],[Adult Mortality]:[Schooling]]),ISNUMBER(LifeExpectancyData[[#This Row],[Life expectancy]]), LifeExpectancyData[[#This Row],[Year]]=2013)</f>
        <v>0</v>
      </c>
    </row>
    <row r="2255" spans="1:23" x14ac:dyDescent="0.25">
      <c r="A2255" t="s">
        <v>423</v>
      </c>
      <c r="B2255">
        <v>2011</v>
      </c>
      <c r="C2255" t="s">
        <v>273</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cm="1">
        <f t="array" ref="W2255">AND(ISNUMBER(LifeExpectancyData[[#This Row],[Adult Mortality]:[Schooling]]),ISNUMBER(LifeExpectancyData[[#This Row],[Life expectancy]]), LifeExpectancyData[[#This Row],[Year]]=2013)</f>
        <v>0</v>
      </c>
    </row>
    <row r="2256" spans="1:23" x14ac:dyDescent="0.25">
      <c r="A2256" t="s">
        <v>423</v>
      </c>
      <c r="B2256">
        <v>2010</v>
      </c>
      <c r="C2256" t="s">
        <v>273</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cm="1">
        <f t="array" ref="W2256">AND(ISNUMBER(LifeExpectancyData[[#This Row],[Adult Mortality]:[Schooling]]),ISNUMBER(LifeExpectancyData[[#This Row],[Life expectancy]]), LifeExpectancyData[[#This Row],[Year]]=2013)</f>
        <v>0</v>
      </c>
    </row>
    <row r="2257" spans="1:23" x14ac:dyDescent="0.25">
      <c r="A2257" t="s">
        <v>423</v>
      </c>
      <c r="B2257">
        <v>2009</v>
      </c>
      <c r="C2257" t="s">
        <v>273</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cm="1">
        <f t="array" ref="W2257">AND(ISNUMBER(LifeExpectancyData[[#This Row],[Adult Mortality]:[Schooling]]),ISNUMBER(LifeExpectancyData[[#This Row],[Life expectancy]]), LifeExpectancyData[[#This Row],[Year]]=2013)</f>
        <v>0</v>
      </c>
    </row>
    <row r="2258" spans="1:23" x14ac:dyDescent="0.25">
      <c r="A2258" t="s">
        <v>423</v>
      </c>
      <c r="B2258">
        <v>2008</v>
      </c>
      <c r="C2258" t="s">
        <v>273</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cm="1">
        <f t="array" ref="W2258">AND(ISNUMBER(LifeExpectancyData[[#This Row],[Adult Mortality]:[Schooling]]),ISNUMBER(LifeExpectancyData[[#This Row],[Life expectancy]]), LifeExpectancyData[[#This Row],[Year]]=2013)</f>
        <v>0</v>
      </c>
    </row>
    <row r="2259" spans="1:23" x14ac:dyDescent="0.25">
      <c r="A2259" t="s">
        <v>423</v>
      </c>
      <c r="B2259">
        <v>2007</v>
      </c>
      <c r="C2259" t="s">
        <v>273</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cm="1">
        <f t="array" ref="W2259">AND(ISNUMBER(LifeExpectancyData[[#This Row],[Adult Mortality]:[Schooling]]),ISNUMBER(LifeExpectancyData[[#This Row],[Life expectancy]]), LifeExpectancyData[[#This Row],[Year]]=2013)</f>
        <v>0</v>
      </c>
    </row>
    <row r="2260" spans="1:23" x14ac:dyDescent="0.25">
      <c r="A2260" t="s">
        <v>423</v>
      </c>
      <c r="B2260">
        <v>2006</v>
      </c>
      <c r="C2260" t="s">
        <v>273</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cm="1">
        <f t="array" ref="W2260">AND(ISNUMBER(LifeExpectancyData[[#This Row],[Adult Mortality]:[Schooling]]),ISNUMBER(LifeExpectancyData[[#This Row],[Life expectancy]]), LifeExpectancyData[[#This Row],[Year]]=2013)</f>
        <v>0</v>
      </c>
    </row>
    <row r="2261" spans="1:23" x14ac:dyDescent="0.25">
      <c r="A2261" t="s">
        <v>423</v>
      </c>
      <c r="B2261">
        <v>2005</v>
      </c>
      <c r="C2261" t="s">
        <v>273</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cm="1">
        <f t="array" ref="W2261">AND(ISNUMBER(LifeExpectancyData[[#This Row],[Adult Mortality]:[Schooling]]),ISNUMBER(LifeExpectancyData[[#This Row],[Life expectancy]]), LifeExpectancyData[[#This Row],[Year]]=2013)</f>
        <v>0</v>
      </c>
    </row>
    <row r="2262" spans="1:23" x14ac:dyDescent="0.25">
      <c r="A2262" t="s">
        <v>423</v>
      </c>
      <c r="B2262">
        <v>2004</v>
      </c>
      <c r="C2262" t="s">
        <v>273</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cm="1">
        <f t="array" ref="W2262">AND(ISNUMBER(LifeExpectancyData[[#This Row],[Adult Mortality]:[Schooling]]),ISNUMBER(LifeExpectancyData[[#This Row],[Life expectancy]]), LifeExpectancyData[[#This Row],[Year]]=2013)</f>
        <v>0</v>
      </c>
    </row>
    <row r="2263" spans="1:23" hidden="1" x14ac:dyDescent="0.25">
      <c r="A2263" t="s">
        <v>423</v>
      </c>
      <c r="B2263">
        <v>2003</v>
      </c>
      <c r="C2263" t="s">
        <v>273</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cm="1">
        <f t="array" ref="W2263">AND(ISNUMBER(LifeExpectancyData[[#This Row],[Adult Mortality]:[Schooling]]),ISNUMBER(LifeExpectancyData[[#This Row],[Life expectancy]]), LifeExpectancyData[[#This Row],[Year]]=2013)</f>
        <v>0</v>
      </c>
    </row>
    <row r="2264" spans="1:23" hidden="1" x14ac:dyDescent="0.25">
      <c r="A2264" t="s">
        <v>423</v>
      </c>
      <c r="B2264">
        <v>2002</v>
      </c>
      <c r="C2264" t="s">
        <v>273</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cm="1">
        <f t="array" ref="W2264">AND(ISNUMBER(LifeExpectancyData[[#This Row],[Adult Mortality]:[Schooling]]),ISNUMBER(LifeExpectancyData[[#This Row],[Life expectancy]]), LifeExpectancyData[[#This Row],[Year]]=2013)</f>
        <v>0</v>
      </c>
    </row>
    <row r="2265" spans="1:23" hidden="1" x14ac:dyDescent="0.25">
      <c r="A2265" t="s">
        <v>423</v>
      </c>
      <c r="B2265">
        <v>2001</v>
      </c>
      <c r="C2265" t="s">
        <v>273</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cm="1">
        <f t="array" ref="W2265">AND(ISNUMBER(LifeExpectancyData[[#This Row],[Adult Mortality]:[Schooling]]),ISNUMBER(LifeExpectancyData[[#This Row],[Life expectancy]]), LifeExpectancyData[[#This Row],[Year]]=2013)</f>
        <v>0</v>
      </c>
    </row>
    <row r="2266" spans="1:23" hidden="1" x14ac:dyDescent="0.25">
      <c r="A2266" t="s">
        <v>423</v>
      </c>
      <c r="B2266">
        <v>2000</v>
      </c>
      <c r="C2266" t="s">
        <v>273</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cm="1">
        <f t="array" ref="W2266">AND(ISNUMBER(LifeExpectancyData[[#This Row],[Adult Mortality]:[Schooling]]),ISNUMBER(LifeExpectancyData[[#This Row],[Life expectancy]]), LifeExpectancyData[[#This Row],[Year]]=2013)</f>
        <v>0</v>
      </c>
    </row>
    <row r="2267" spans="1:23" hidden="1" x14ac:dyDescent="0.25">
      <c r="A2267" t="s">
        <v>424</v>
      </c>
      <c r="B2267">
        <v>2015</v>
      </c>
      <c r="C2267" t="s">
        <v>273</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cm="1">
        <f t="array" ref="W2267">AND(ISNUMBER(LifeExpectancyData[[#This Row],[Adult Mortality]:[Schooling]]),ISNUMBER(LifeExpectancyData[[#This Row],[Life expectancy]]), LifeExpectancyData[[#This Row],[Year]]=2013)</f>
        <v>0</v>
      </c>
    </row>
    <row r="2268" spans="1:23" x14ac:dyDescent="0.25">
      <c r="A2268" t="s">
        <v>424</v>
      </c>
      <c r="B2268">
        <v>2014</v>
      </c>
      <c r="C2268" t="s">
        <v>273</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cm="1">
        <f t="array" ref="W2268">AND(ISNUMBER(LifeExpectancyData[[#This Row],[Adult Mortality]:[Schooling]]),ISNUMBER(LifeExpectancyData[[#This Row],[Life expectancy]]), LifeExpectancyData[[#This Row],[Year]]=2013)</f>
        <v>0</v>
      </c>
    </row>
    <row r="2269" spans="1:23" x14ac:dyDescent="0.25">
      <c r="A2269" t="s">
        <v>424</v>
      </c>
      <c r="B2269">
        <v>2013</v>
      </c>
      <c r="C2269" t="s">
        <v>273</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cm="1">
        <f t="array" ref="W2269">AND(ISNUMBER(LifeExpectancyData[[#This Row],[Adult Mortality]:[Schooling]]),ISNUMBER(LifeExpectancyData[[#This Row],[Life expectancy]]), LifeExpectancyData[[#This Row],[Year]]=2013)</f>
        <v>1</v>
      </c>
    </row>
    <row r="2270" spans="1:23" x14ac:dyDescent="0.25">
      <c r="A2270" t="s">
        <v>424</v>
      </c>
      <c r="B2270">
        <v>2012</v>
      </c>
      <c r="C2270" t="s">
        <v>273</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cm="1">
        <f t="array" ref="W2270">AND(ISNUMBER(LifeExpectancyData[[#This Row],[Adult Mortality]:[Schooling]]),ISNUMBER(LifeExpectancyData[[#This Row],[Life expectancy]]), LifeExpectancyData[[#This Row],[Year]]=2013)</f>
        <v>0</v>
      </c>
    </row>
    <row r="2271" spans="1:23" x14ac:dyDescent="0.25">
      <c r="A2271" t="s">
        <v>424</v>
      </c>
      <c r="B2271">
        <v>2011</v>
      </c>
      <c r="C2271" t="s">
        <v>273</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cm="1">
        <f t="array" ref="W2271">AND(ISNUMBER(LifeExpectancyData[[#This Row],[Adult Mortality]:[Schooling]]),ISNUMBER(LifeExpectancyData[[#This Row],[Life expectancy]]), LifeExpectancyData[[#This Row],[Year]]=2013)</f>
        <v>0</v>
      </c>
    </row>
    <row r="2272" spans="1:23" x14ac:dyDescent="0.25">
      <c r="A2272" t="s">
        <v>424</v>
      </c>
      <c r="B2272">
        <v>2010</v>
      </c>
      <c r="C2272" t="s">
        <v>273</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cm="1">
        <f t="array" ref="W2272">AND(ISNUMBER(LifeExpectancyData[[#This Row],[Adult Mortality]:[Schooling]]),ISNUMBER(LifeExpectancyData[[#This Row],[Life expectancy]]), LifeExpectancyData[[#This Row],[Year]]=2013)</f>
        <v>0</v>
      </c>
    </row>
    <row r="2273" spans="1:23" x14ac:dyDescent="0.25">
      <c r="A2273" t="s">
        <v>424</v>
      </c>
      <c r="B2273">
        <v>2009</v>
      </c>
      <c r="C2273" t="s">
        <v>273</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cm="1">
        <f t="array" ref="W2273">AND(ISNUMBER(LifeExpectancyData[[#This Row],[Adult Mortality]:[Schooling]]),ISNUMBER(LifeExpectancyData[[#This Row],[Life expectancy]]), LifeExpectancyData[[#This Row],[Year]]=2013)</f>
        <v>0</v>
      </c>
    </row>
    <row r="2274" spans="1:23" x14ac:dyDescent="0.25">
      <c r="A2274" t="s">
        <v>424</v>
      </c>
      <c r="B2274">
        <v>2008</v>
      </c>
      <c r="C2274" t="s">
        <v>273</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cm="1">
        <f t="array" ref="W2274">AND(ISNUMBER(LifeExpectancyData[[#This Row],[Adult Mortality]:[Schooling]]),ISNUMBER(LifeExpectancyData[[#This Row],[Life expectancy]]), LifeExpectancyData[[#This Row],[Year]]=2013)</f>
        <v>0</v>
      </c>
    </row>
    <row r="2275" spans="1:23" x14ac:dyDescent="0.25">
      <c r="A2275" t="s">
        <v>424</v>
      </c>
      <c r="B2275">
        <v>2007</v>
      </c>
      <c r="C2275" t="s">
        <v>273</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cm="1">
        <f t="array" ref="W2275">AND(ISNUMBER(LifeExpectancyData[[#This Row],[Adult Mortality]:[Schooling]]),ISNUMBER(LifeExpectancyData[[#This Row],[Life expectancy]]), LifeExpectancyData[[#This Row],[Year]]=2013)</f>
        <v>0</v>
      </c>
    </row>
    <row r="2276" spans="1:23" x14ac:dyDescent="0.25">
      <c r="A2276" t="s">
        <v>424</v>
      </c>
      <c r="B2276">
        <v>2006</v>
      </c>
      <c r="C2276" t="s">
        <v>273</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cm="1">
        <f t="array" ref="W2276">AND(ISNUMBER(LifeExpectancyData[[#This Row],[Adult Mortality]:[Schooling]]),ISNUMBER(LifeExpectancyData[[#This Row],[Life expectancy]]), LifeExpectancyData[[#This Row],[Year]]=2013)</f>
        <v>0</v>
      </c>
    </row>
    <row r="2277" spans="1:23" x14ac:dyDescent="0.25">
      <c r="A2277" t="s">
        <v>424</v>
      </c>
      <c r="B2277">
        <v>2005</v>
      </c>
      <c r="C2277" t="s">
        <v>273</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cm="1">
        <f t="array" ref="W2277">AND(ISNUMBER(LifeExpectancyData[[#This Row],[Adult Mortality]:[Schooling]]),ISNUMBER(LifeExpectancyData[[#This Row],[Life expectancy]]), LifeExpectancyData[[#This Row],[Year]]=2013)</f>
        <v>0</v>
      </c>
    </row>
    <row r="2278" spans="1:23" x14ac:dyDescent="0.25">
      <c r="A2278" t="s">
        <v>424</v>
      </c>
      <c r="B2278">
        <v>2004</v>
      </c>
      <c r="C2278" t="s">
        <v>273</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cm="1">
        <f t="array" ref="W2278">AND(ISNUMBER(LifeExpectancyData[[#This Row],[Adult Mortality]:[Schooling]]),ISNUMBER(LifeExpectancyData[[#This Row],[Life expectancy]]), LifeExpectancyData[[#This Row],[Year]]=2013)</f>
        <v>0</v>
      </c>
    </row>
    <row r="2279" spans="1:23" hidden="1" x14ac:dyDescent="0.25">
      <c r="A2279" t="s">
        <v>424</v>
      </c>
      <c r="B2279">
        <v>2003</v>
      </c>
      <c r="C2279" t="s">
        <v>273</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cm="1">
        <f t="array" ref="W2279">AND(ISNUMBER(LifeExpectancyData[[#This Row],[Adult Mortality]:[Schooling]]),ISNUMBER(LifeExpectancyData[[#This Row],[Life expectancy]]), LifeExpectancyData[[#This Row],[Year]]=2013)</f>
        <v>0</v>
      </c>
    </row>
    <row r="2280" spans="1:23" hidden="1" x14ac:dyDescent="0.25">
      <c r="A2280" t="s">
        <v>424</v>
      </c>
      <c r="B2280">
        <v>2002</v>
      </c>
      <c r="C2280" t="s">
        <v>273</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cm="1">
        <f t="array" ref="W2280">AND(ISNUMBER(LifeExpectancyData[[#This Row],[Adult Mortality]:[Schooling]]),ISNUMBER(LifeExpectancyData[[#This Row],[Life expectancy]]), LifeExpectancyData[[#This Row],[Year]]=2013)</f>
        <v>0</v>
      </c>
    </row>
    <row r="2281" spans="1:23" hidden="1" x14ac:dyDescent="0.25">
      <c r="A2281" t="s">
        <v>424</v>
      </c>
      <c r="B2281">
        <v>2001</v>
      </c>
      <c r="C2281" t="s">
        <v>273</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cm="1">
        <f t="array" ref="W2281">AND(ISNUMBER(LifeExpectancyData[[#This Row],[Adult Mortality]:[Schooling]]),ISNUMBER(LifeExpectancyData[[#This Row],[Life expectancy]]), LifeExpectancyData[[#This Row],[Year]]=2013)</f>
        <v>0</v>
      </c>
    </row>
    <row r="2282" spans="1:23" hidden="1" x14ac:dyDescent="0.25">
      <c r="A2282" t="s">
        <v>424</v>
      </c>
      <c r="B2282">
        <v>2000</v>
      </c>
      <c r="C2282" t="s">
        <v>273</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cm="1">
        <f t="array" ref="W2282">AND(ISNUMBER(LifeExpectancyData[[#This Row],[Adult Mortality]:[Schooling]]),ISNUMBER(LifeExpectancyData[[#This Row],[Life expectancy]]), LifeExpectancyData[[#This Row],[Year]]=2013)</f>
        <v>0</v>
      </c>
    </row>
    <row r="2283" spans="1:23" hidden="1" x14ac:dyDescent="0.25">
      <c r="A2283" t="s">
        <v>425</v>
      </c>
      <c r="B2283">
        <v>2015</v>
      </c>
      <c r="C2283" t="s">
        <v>273</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cm="1">
        <f t="array" ref="W2283">AND(ISNUMBER(LifeExpectancyData[[#This Row],[Adult Mortality]:[Schooling]]),ISNUMBER(LifeExpectancyData[[#This Row],[Life expectancy]]), LifeExpectancyData[[#This Row],[Year]]=2013)</f>
        <v>0</v>
      </c>
    </row>
    <row r="2284" spans="1:23" x14ac:dyDescent="0.25">
      <c r="A2284" t="s">
        <v>425</v>
      </c>
      <c r="B2284">
        <v>2014</v>
      </c>
      <c r="C2284" t="s">
        <v>273</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cm="1">
        <f t="array" ref="W2284">AND(ISNUMBER(LifeExpectancyData[[#This Row],[Adult Mortality]:[Schooling]]),ISNUMBER(LifeExpectancyData[[#This Row],[Life expectancy]]), LifeExpectancyData[[#This Row],[Year]]=2013)</f>
        <v>0</v>
      </c>
    </row>
    <row r="2285" spans="1:23" x14ac:dyDescent="0.25">
      <c r="A2285" t="s">
        <v>425</v>
      </c>
      <c r="B2285">
        <v>2013</v>
      </c>
      <c r="C2285" t="s">
        <v>273</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cm="1">
        <f t="array" ref="W2285">AND(ISNUMBER(LifeExpectancyData[[#This Row],[Adult Mortality]:[Schooling]]),ISNUMBER(LifeExpectancyData[[#This Row],[Life expectancy]]), LifeExpectancyData[[#This Row],[Year]]=2013)</f>
        <v>1</v>
      </c>
    </row>
    <row r="2286" spans="1:23" x14ac:dyDescent="0.25">
      <c r="A2286" t="s">
        <v>425</v>
      </c>
      <c r="B2286">
        <v>2012</v>
      </c>
      <c r="C2286" t="s">
        <v>273</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cm="1">
        <f t="array" ref="W2286">AND(ISNUMBER(LifeExpectancyData[[#This Row],[Adult Mortality]:[Schooling]]),ISNUMBER(LifeExpectancyData[[#This Row],[Life expectancy]]), LifeExpectancyData[[#This Row],[Year]]=2013)</f>
        <v>0</v>
      </c>
    </row>
    <row r="2287" spans="1:23" x14ac:dyDescent="0.25">
      <c r="A2287" t="s">
        <v>425</v>
      </c>
      <c r="B2287">
        <v>2011</v>
      </c>
      <c r="C2287" t="s">
        <v>273</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cm="1">
        <f t="array" ref="W2287">AND(ISNUMBER(LifeExpectancyData[[#This Row],[Adult Mortality]:[Schooling]]),ISNUMBER(LifeExpectancyData[[#This Row],[Life expectancy]]), LifeExpectancyData[[#This Row],[Year]]=2013)</f>
        <v>0</v>
      </c>
    </row>
    <row r="2288" spans="1:23" x14ac:dyDescent="0.25">
      <c r="A2288" t="s">
        <v>425</v>
      </c>
      <c r="B2288">
        <v>2010</v>
      </c>
      <c r="C2288" t="s">
        <v>273</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cm="1">
        <f t="array" ref="W2288">AND(ISNUMBER(LifeExpectancyData[[#This Row],[Adult Mortality]:[Schooling]]),ISNUMBER(LifeExpectancyData[[#This Row],[Life expectancy]]), LifeExpectancyData[[#This Row],[Year]]=2013)</f>
        <v>0</v>
      </c>
    </row>
    <row r="2289" spans="1:23" x14ac:dyDescent="0.25">
      <c r="A2289" t="s">
        <v>425</v>
      </c>
      <c r="B2289">
        <v>2009</v>
      </c>
      <c r="C2289" t="s">
        <v>273</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cm="1">
        <f t="array" ref="W2289">AND(ISNUMBER(LifeExpectancyData[[#This Row],[Adult Mortality]:[Schooling]]),ISNUMBER(LifeExpectancyData[[#This Row],[Life expectancy]]), LifeExpectancyData[[#This Row],[Year]]=2013)</f>
        <v>0</v>
      </c>
    </row>
    <row r="2290" spans="1:23" x14ac:dyDescent="0.25">
      <c r="A2290" t="s">
        <v>425</v>
      </c>
      <c r="B2290">
        <v>2008</v>
      </c>
      <c r="C2290" t="s">
        <v>273</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cm="1">
        <f t="array" ref="W2290">AND(ISNUMBER(LifeExpectancyData[[#This Row],[Adult Mortality]:[Schooling]]),ISNUMBER(LifeExpectancyData[[#This Row],[Life expectancy]]), LifeExpectancyData[[#This Row],[Year]]=2013)</f>
        <v>0</v>
      </c>
    </row>
    <row r="2291" spans="1:23" x14ac:dyDescent="0.25">
      <c r="A2291" t="s">
        <v>425</v>
      </c>
      <c r="B2291">
        <v>2007</v>
      </c>
      <c r="C2291" t="s">
        <v>273</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cm="1">
        <f t="array" ref="W2291">AND(ISNUMBER(LifeExpectancyData[[#This Row],[Adult Mortality]:[Schooling]]),ISNUMBER(LifeExpectancyData[[#This Row],[Life expectancy]]), LifeExpectancyData[[#This Row],[Year]]=2013)</f>
        <v>0</v>
      </c>
    </row>
    <row r="2292" spans="1:23" x14ac:dyDescent="0.25">
      <c r="A2292" t="s">
        <v>425</v>
      </c>
      <c r="B2292">
        <v>2006</v>
      </c>
      <c r="C2292" t="s">
        <v>273</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cm="1">
        <f t="array" ref="W2292">AND(ISNUMBER(LifeExpectancyData[[#This Row],[Adult Mortality]:[Schooling]]),ISNUMBER(LifeExpectancyData[[#This Row],[Life expectancy]]), LifeExpectancyData[[#This Row],[Year]]=2013)</f>
        <v>0</v>
      </c>
    </row>
    <row r="2293" spans="1:23" x14ac:dyDescent="0.25">
      <c r="A2293" t="s">
        <v>425</v>
      </c>
      <c r="B2293">
        <v>2005</v>
      </c>
      <c r="C2293" t="s">
        <v>273</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cm="1">
        <f t="array" ref="W2293">AND(ISNUMBER(LifeExpectancyData[[#This Row],[Adult Mortality]:[Schooling]]),ISNUMBER(LifeExpectancyData[[#This Row],[Life expectancy]]), LifeExpectancyData[[#This Row],[Year]]=2013)</f>
        <v>0</v>
      </c>
    </row>
    <row r="2294" spans="1:23" x14ac:dyDescent="0.25">
      <c r="A2294" t="s">
        <v>425</v>
      </c>
      <c r="B2294">
        <v>2004</v>
      </c>
      <c r="C2294" t="s">
        <v>273</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cm="1">
        <f t="array" ref="W2294">AND(ISNUMBER(LifeExpectancyData[[#This Row],[Adult Mortality]:[Schooling]]),ISNUMBER(LifeExpectancyData[[#This Row],[Life expectancy]]), LifeExpectancyData[[#This Row],[Year]]=2013)</f>
        <v>0</v>
      </c>
    </row>
    <row r="2295" spans="1:23" x14ac:dyDescent="0.25">
      <c r="A2295" t="s">
        <v>425</v>
      </c>
      <c r="B2295">
        <v>2003</v>
      </c>
      <c r="C2295" t="s">
        <v>273</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cm="1">
        <f t="array" ref="W2295">AND(ISNUMBER(LifeExpectancyData[[#This Row],[Adult Mortality]:[Schooling]]),ISNUMBER(LifeExpectancyData[[#This Row],[Life expectancy]]), LifeExpectancyData[[#This Row],[Year]]=2013)</f>
        <v>0</v>
      </c>
    </row>
    <row r="2296" spans="1:23" x14ac:dyDescent="0.25">
      <c r="A2296" t="s">
        <v>425</v>
      </c>
      <c r="B2296">
        <v>2002</v>
      </c>
      <c r="C2296" t="s">
        <v>273</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cm="1">
        <f t="array" ref="W2296">AND(ISNUMBER(LifeExpectancyData[[#This Row],[Adult Mortality]:[Schooling]]),ISNUMBER(LifeExpectancyData[[#This Row],[Life expectancy]]), LifeExpectancyData[[#This Row],[Year]]=2013)</f>
        <v>0</v>
      </c>
    </row>
    <row r="2297" spans="1:23" x14ac:dyDescent="0.25">
      <c r="A2297" t="s">
        <v>425</v>
      </c>
      <c r="B2297">
        <v>2001</v>
      </c>
      <c r="C2297" t="s">
        <v>273</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cm="1">
        <f t="array" ref="W2297">AND(ISNUMBER(LifeExpectancyData[[#This Row],[Adult Mortality]:[Schooling]]),ISNUMBER(LifeExpectancyData[[#This Row],[Life expectancy]]), LifeExpectancyData[[#This Row],[Year]]=2013)</f>
        <v>0</v>
      </c>
    </row>
    <row r="2298" spans="1:23" x14ac:dyDescent="0.25">
      <c r="A2298" t="s">
        <v>425</v>
      </c>
      <c r="B2298">
        <v>2000</v>
      </c>
      <c r="C2298" t="s">
        <v>273</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cm="1">
        <f t="array" ref="W2298">AND(ISNUMBER(LifeExpectancyData[[#This Row],[Adult Mortality]:[Schooling]]),ISNUMBER(LifeExpectancyData[[#This Row],[Life expectancy]]), LifeExpectancyData[[#This Row],[Year]]=2013)</f>
        <v>0</v>
      </c>
    </row>
    <row r="2299" spans="1:23" hidden="1" x14ac:dyDescent="0.25">
      <c r="A2299" t="s">
        <v>426</v>
      </c>
      <c r="B2299">
        <v>2015</v>
      </c>
      <c r="C2299" t="s">
        <v>273</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cm="1">
        <f t="array" ref="W2299">AND(ISNUMBER(LifeExpectancyData[[#This Row],[Adult Mortality]:[Schooling]]),ISNUMBER(LifeExpectancyData[[#This Row],[Life expectancy]]), LifeExpectancyData[[#This Row],[Year]]=2013)</f>
        <v>0</v>
      </c>
    </row>
    <row r="2300" spans="1:23" x14ac:dyDescent="0.25">
      <c r="A2300" t="s">
        <v>426</v>
      </c>
      <c r="B2300">
        <v>2014</v>
      </c>
      <c r="C2300" t="s">
        <v>273</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cm="1">
        <f t="array" ref="W2300">AND(ISNUMBER(LifeExpectancyData[[#This Row],[Adult Mortality]:[Schooling]]),ISNUMBER(LifeExpectancyData[[#This Row],[Life expectancy]]), LifeExpectancyData[[#This Row],[Year]]=2013)</f>
        <v>0</v>
      </c>
    </row>
    <row r="2301" spans="1:23" x14ac:dyDescent="0.25">
      <c r="A2301" t="s">
        <v>426</v>
      </c>
      <c r="B2301">
        <v>2013</v>
      </c>
      <c r="C2301" t="s">
        <v>273</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cm="1">
        <f t="array" ref="W2301">AND(ISNUMBER(LifeExpectancyData[[#This Row],[Adult Mortality]:[Schooling]]),ISNUMBER(LifeExpectancyData[[#This Row],[Life expectancy]]), LifeExpectancyData[[#This Row],[Year]]=2013)</f>
        <v>1</v>
      </c>
    </row>
    <row r="2302" spans="1:23" x14ac:dyDescent="0.25">
      <c r="A2302" t="s">
        <v>426</v>
      </c>
      <c r="B2302">
        <v>2012</v>
      </c>
      <c r="C2302" t="s">
        <v>273</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cm="1">
        <f t="array" ref="W2302">AND(ISNUMBER(LifeExpectancyData[[#This Row],[Adult Mortality]:[Schooling]]),ISNUMBER(LifeExpectancyData[[#This Row],[Life expectancy]]), LifeExpectancyData[[#This Row],[Year]]=2013)</f>
        <v>0</v>
      </c>
    </row>
    <row r="2303" spans="1:23" x14ac:dyDescent="0.25">
      <c r="A2303" t="s">
        <v>426</v>
      </c>
      <c r="B2303">
        <v>2011</v>
      </c>
      <c r="C2303" t="s">
        <v>273</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cm="1">
        <f t="array" ref="W2303">AND(ISNUMBER(LifeExpectancyData[[#This Row],[Adult Mortality]:[Schooling]]),ISNUMBER(LifeExpectancyData[[#This Row],[Life expectancy]]), LifeExpectancyData[[#This Row],[Year]]=2013)</f>
        <v>0</v>
      </c>
    </row>
    <row r="2304" spans="1:23" x14ac:dyDescent="0.25">
      <c r="A2304" t="s">
        <v>426</v>
      </c>
      <c r="B2304">
        <v>2010</v>
      </c>
      <c r="C2304" t="s">
        <v>273</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cm="1">
        <f t="array" ref="W2304">AND(ISNUMBER(LifeExpectancyData[[#This Row],[Adult Mortality]:[Schooling]]),ISNUMBER(LifeExpectancyData[[#This Row],[Life expectancy]]), LifeExpectancyData[[#This Row],[Year]]=2013)</f>
        <v>0</v>
      </c>
    </row>
    <row r="2305" spans="1:23" x14ac:dyDescent="0.25">
      <c r="A2305" t="s">
        <v>426</v>
      </c>
      <c r="B2305">
        <v>2009</v>
      </c>
      <c r="C2305" t="s">
        <v>273</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cm="1">
        <f t="array" ref="W2305">AND(ISNUMBER(LifeExpectancyData[[#This Row],[Adult Mortality]:[Schooling]]),ISNUMBER(LifeExpectancyData[[#This Row],[Life expectancy]]), LifeExpectancyData[[#This Row],[Year]]=2013)</f>
        <v>0</v>
      </c>
    </row>
    <row r="2306" spans="1:23" x14ac:dyDescent="0.25">
      <c r="A2306" t="s">
        <v>426</v>
      </c>
      <c r="B2306">
        <v>2008</v>
      </c>
      <c r="C2306" t="s">
        <v>273</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cm="1">
        <f t="array" ref="W2306">AND(ISNUMBER(LifeExpectancyData[[#This Row],[Adult Mortality]:[Schooling]]),ISNUMBER(LifeExpectancyData[[#This Row],[Life expectancy]]), LifeExpectancyData[[#This Row],[Year]]=2013)</f>
        <v>0</v>
      </c>
    </row>
    <row r="2307" spans="1:23" x14ac:dyDescent="0.25">
      <c r="A2307" t="s">
        <v>426</v>
      </c>
      <c r="B2307">
        <v>2007</v>
      </c>
      <c r="C2307" t="s">
        <v>273</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cm="1">
        <f t="array" ref="W2307">AND(ISNUMBER(LifeExpectancyData[[#This Row],[Adult Mortality]:[Schooling]]),ISNUMBER(LifeExpectancyData[[#This Row],[Life expectancy]]), LifeExpectancyData[[#This Row],[Year]]=2013)</f>
        <v>0</v>
      </c>
    </row>
    <row r="2308" spans="1:23" hidden="1" x14ac:dyDescent="0.25">
      <c r="A2308" t="s">
        <v>426</v>
      </c>
      <c r="B2308">
        <v>2006</v>
      </c>
      <c r="C2308" t="s">
        <v>273</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cm="1">
        <f t="array" ref="W2308">AND(ISNUMBER(LifeExpectancyData[[#This Row],[Adult Mortality]:[Schooling]]),ISNUMBER(LifeExpectancyData[[#This Row],[Life expectancy]]), LifeExpectancyData[[#This Row],[Year]]=2013)</f>
        <v>0</v>
      </c>
    </row>
    <row r="2309" spans="1:23" hidden="1" x14ac:dyDescent="0.25">
      <c r="A2309" t="s">
        <v>426</v>
      </c>
      <c r="B2309">
        <v>2005</v>
      </c>
      <c r="C2309" t="s">
        <v>273</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cm="1">
        <f t="array" ref="W2309">AND(ISNUMBER(LifeExpectancyData[[#This Row],[Adult Mortality]:[Schooling]]),ISNUMBER(LifeExpectancyData[[#This Row],[Life expectancy]]), LifeExpectancyData[[#This Row],[Year]]=2013)</f>
        <v>0</v>
      </c>
    </row>
    <row r="2310" spans="1:23" hidden="1" x14ac:dyDescent="0.25">
      <c r="A2310" t="s">
        <v>426</v>
      </c>
      <c r="B2310">
        <v>2004</v>
      </c>
      <c r="C2310" t="s">
        <v>273</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cm="1">
        <f t="array" ref="W2310">AND(ISNUMBER(LifeExpectancyData[[#This Row],[Adult Mortality]:[Schooling]]),ISNUMBER(LifeExpectancyData[[#This Row],[Life expectancy]]), LifeExpectancyData[[#This Row],[Year]]=2013)</f>
        <v>0</v>
      </c>
    </row>
    <row r="2311" spans="1:23" hidden="1" x14ac:dyDescent="0.25">
      <c r="A2311" t="s">
        <v>426</v>
      </c>
      <c r="B2311">
        <v>2003</v>
      </c>
      <c r="C2311" t="s">
        <v>273</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cm="1">
        <f t="array" ref="W2311">AND(ISNUMBER(LifeExpectancyData[[#This Row],[Adult Mortality]:[Schooling]]),ISNUMBER(LifeExpectancyData[[#This Row],[Life expectancy]]), LifeExpectancyData[[#This Row],[Year]]=2013)</f>
        <v>0</v>
      </c>
    </row>
    <row r="2312" spans="1:23" hidden="1" x14ac:dyDescent="0.25">
      <c r="A2312" t="s">
        <v>426</v>
      </c>
      <c r="B2312">
        <v>2002</v>
      </c>
      <c r="C2312" t="s">
        <v>273</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cm="1">
        <f t="array" ref="W2312">AND(ISNUMBER(LifeExpectancyData[[#This Row],[Adult Mortality]:[Schooling]]),ISNUMBER(LifeExpectancyData[[#This Row],[Life expectancy]]), LifeExpectancyData[[#This Row],[Year]]=2013)</f>
        <v>0</v>
      </c>
    </row>
    <row r="2313" spans="1:23" hidden="1" x14ac:dyDescent="0.25">
      <c r="A2313" t="s">
        <v>426</v>
      </c>
      <c r="B2313">
        <v>2001</v>
      </c>
      <c r="C2313" t="s">
        <v>273</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cm="1">
        <f t="array" ref="W2313">AND(ISNUMBER(LifeExpectancyData[[#This Row],[Adult Mortality]:[Schooling]]),ISNUMBER(LifeExpectancyData[[#This Row],[Life expectancy]]), LifeExpectancyData[[#This Row],[Year]]=2013)</f>
        <v>0</v>
      </c>
    </row>
    <row r="2314" spans="1:23" hidden="1" x14ac:dyDescent="0.25">
      <c r="A2314" t="s">
        <v>426</v>
      </c>
      <c r="B2314">
        <v>2000</v>
      </c>
      <c r="C2314" t="s">
        <v>273</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cm="1">
        <f t="array" ref="W2314">AND(ISNUMBER(LifeExpectancyData[[#This Row],[Adult Mortality]:[Schooling]]),ISNUMBER(LifeExpectancyData[[#This Row],[Life expectancy]]), LifeExpectancyData[[#This Row],[Year]]=2013)</f>
        <v>0</v>
      </c>
    </row>
    <row r="2315" spans="1:23" hidden="1" x14ac:dyDescent="0.25">
      <c r="A2315" t="s">
        <v>427</v>
      </c>
      <c r="B2315">
        <v>2015</v>
      </c>
      <c r="C2315" t="s">
        <v>281</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cm="1">
        <f t="array" ref="W2315">AND(ISNUMBER(LifeExpectancyData[[#This Row],[Adult Mortality]:[Schooling]]),ISNUMBER(LifeExpectancyData[[#This Row],[Life expectancy]]), LifeExpectancyData[[#This Row],[Year]]=2013)</f>
        <v>0</v>
      </c>
    </row>
    <row r="2316" spans="1:23" hidden="1" x14ac:dyDescent="0.25">
      <c r="A2316" t="s">
        <v>427</v>
      </c>
      <c r="B2316">
        <v>2014</v>
      </c>
      <c r="C2316" t="s">
        <v>281</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cm="1">
        <f t="array" ref="W2316">AND(ISNUMBER(LifeExpectancyData[[#This Row],[Adult Mortality]:[Schooling]]),ISNUMBER(LifeExpectancyData[[#This Row],[Life expectancy]]), LifeExpectancyData[[#This Row],[Year]]=2013)</f>
        <v>0</v>
      </c>
    </row>
    <row r="2317" spans="1:23" hidden="1" x14ac:dyDescent="0.25">
      <c r="A2317" t="s">
        <v>427</v>
      </c>
      <c r="B2317">
        <v>2013</v>
      </c>
      <c r="C2317" t="s">
        <v>281</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cm="1">
        <f t="array" ref="W2317">AND(ISNUMBER(LifeExpectancyData[[#This Row],[Adult Mortality]:[Schooling]]),ISNUMBER(LifeExpectancyData[[#This Row],[Life expectancy]]), LifeExpectancyData[[#This Row],[Year]]=2013)</f>
        <v>0</v>
      </c>
    </row>
    <row r="2318" spans="1:23" hidden="1" x14ac:dyDescent="0.25">
      <c r="A2318" t="s">
        <v>427</v>
      </c>
      <c r="B2318">
        <v>2012</v>
      </c>
      <c r="C2318" t="s">
        <v>281</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cm="1">
        <f t="array" ref="W2318">AND(ISNUMBER(LifeExpectancyData[[#This Row],[Adult Mortality]:[Schooling]]),ISNUMBER(LifeExpectancyData[[#This Row],[Life expectancy]]), LifeExpectancyData[[#This Row],[Year]]=2013)</f>
        <v>0</v>
      </c>
    </row>
    <row r="2319" spans="1:23" hidden="1" x14ac:dyDescent="0.25">
      <c r="A2319" t="s">
        <v>427</v>
      </c>
      <c r="B2319">
        <v>2011</v>
      </c>
      <c r="C2319" t="s">
        <v>281</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cm="1">
        <f t="array" ref="W2319">AND(ISNUMBER(LifeExpectancyData[[#This Row],[Adult Mortality]:[Schooling]]),ISNUMBER(LifeExpectancyData[[#This Row],[Life expectancy]]), LifeExpectancyData[[#This Row],[Year]]=2013)</f>
        <v>0</v>
      </c>
    </row>
    <row r="2320" spans="1:23" hidden="1" x14ac:dyDescent="0.25">
      <c r="A2320" t="s">
        <v>427</v>
      </c>
      <c r="B2320">
        <v>2010</v>
      </c>
      <c r="C2320" t="s">
        <v>281</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cm="1">
        <f t="array" ref="W2320">AND(ISNUMBER(LifeExpectancyData[[#This Row],[Adult Mortality]:[Schooling]]),ISNUMBER(LifeExpectancyData[[#This Row],[Life expectancy]]), LifeExpectancyData[[#This Row],[Year]]=2013)</f>
        <v>0</v>
      </c>
    </row>
    <row r="2321" spans="1:23" hidden="1" x14ac:dyDescent="0.25">
      <c r="A2321" t="s">
        <v>427</v>
      </c>
      <c r="B2321">
        <v>2009</v>
      </c>
      <c r="C2321" t="s">
        <v>281</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cm="1">
        <f t="array" ref="W2321">AND(ISNUMBER(LifeExpectancyData[[#This Row],[Adult Mortality]:[Schooling]]),ISNUMBER(LifeExpectancyData[[#This Row],[Life expectancy]]), LifeExpectancyData[[#This Row],[Year]]=2013)</f>
        <v>0</v>
      </c>
    </row>
    <row r="2322" spans="1:23" hidden="1" x14ac:dyDescent="0.25">
      <c r="A2322" t="s">
        <v>427</v>
      </c>
      <c r="B2322">
        <v>2008</v>
      </c>
      <c r="C2322" t="s">
        <v>281</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cm="1">
        <f t="array" ref="W2322">AND(ISNUMBER(LifeExpectancyData[[#This Row],[Adult Mortality]:[Schooling]]),ISNUMBER(LifeExpectancyData[[#This Row],[Life expectancy]]), LifeExpectancyData[[#This Row],[Year]]=2013)</f>
        <v>0</v>
      </c>
    </row>
    <row r="2323" spans="1:23" hidden="1" x14ac:dyDescent="0.25">
      <c r="A2323" t="s">
        <v>427</v>
      </c>
      <c r="B2323">
        <v>2007</v>
      </c>
      <c r="C2323" t="s">
        <v>281</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cm="1">
        <f t="array" ref="W2323">AND(ISNUMBER(LifeExpectancyData[[#This Row],[Adult Mortality]:[Schooling]]),ISNUMBER(LifeExpectancyData[[#This Row],[Life expectancy]]), LifeExpectancyData[[#This Row],[Year]]=2013)</f>
        <v>0</v>
      </c>
    </row>
    <row r="2324" spans="1:23" hidden="1" x14ac:dyDescent="0.25">
      <c r="A2324" t="s">
        <v>427</v>
      </c>
      <c r="B2324">
        <v>2006</v>
      </c>
      <c r="C2324" t="s">
        <v>281</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cm="1">
        <f t="array" ref="W2324">AND(ISNUMBER(LifeExpectancyData[[#This Row],[Adult Mortality]:[Schooling]]),ISNUMBER(LifeExpectancyData[[#This Row],[Life expectancy]]), LifeExpectancyData[[#This Row],[Year]]=2013)</f>
        <v>0</v>
      </c>
    </row>
    <row r="2325" spans="1:23" hidden="1" x14ac:dyDescent="0.25">
      <c r="A2325" t="s">
        <v>427</v>
      </c>
      <c r="B2325">
        <v>2005</v>
      </c>
      <c r="C2325" t="s">
        <v>281</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cm="1">
        <f t="array" ref="W2325">AND(ISNUMBER(LifeExpectancyData[[#This Row],[Adult Mortality]:[Schooling]]),ISNUMBER(LifeExpectancyData[[#This Row],[Life expectancy]]), LifeExpectancyData[[#This Row],[Year]]=2013)</f>
        <v>0</v>
      </c>
    </row>
    <row r="2326" spans="1:23" hidden="1" x14ac:dyDescent="0.25">
      <c r="A2326" t="s">
        <v>427</v>
      </c>
      <c r="B2326">
        <v>2004</v>
      </c>
      <c r="C2326" t="s">
        <v>281</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cm="1">
        <f t="array" ref="W2326">AND(ISNUMBER(LifeExpectancyData[[#This Row],[Adult Mortality]:[Schooling]]),ISNUMBER(LifeExpectancyData[[#This Row],[Life expectancy]]), LifeExpectancyData[[#This Row],[Year]]=2013)</f>
        <v>0</v>
      </c>
    </row>
    <row r="2327" spans="1:23" hidden="1" x14ac:dyDescent="0.25">
      <c r="A2327" t="s">
        <v>427</v>
      </c>
      <c r="B2327">
        <v>2003</v>
      </c>
      <c r="C2327" t="s">
        <v>281</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cm="1">
        <f t="array" ref="W2327">AND(ISNUMBER(LifeExpectancyData[[#This Row],[Adult Mortality]:[Schooling]]),ISNUMBER(LifeExpectancyData[[#This Row],[Life expectancy]]), LifeExpectancyData[[#This Row],[Year]]=2013)</f>
        <v>0</v>
      </c>
    </row>
    <row r="2328" spans="1:23" hidden="1" x14ac:dyDescent="0.25">
      <c r="A2328" t="s">
        <v>427</v>
      </c>
      <c r="B2328">
        <v>2002</v>
      </c>
      <c r="C2328" t="s">
        <v>281</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cm="1">
        <f t="array" ref="W2328">AND(ISNUMBER(LifeExpectancyData[[#This Row],[Adult Mortality]:[Schooling]]),ISNUMBER(LifeExpectancyData[[#This Row],[Life expectancy]]), LifeExpectancyData[[#This Row],[Year]]=2013)</f>
        <v>0</v>
      </c>
    </row>
    <row r="2329" spans="1:23" hidden="1" x14ac:dyDescent="0.25">
      <c r="A2329" t="s">
        <v>427</v>
      </c>
      <c r="B2329">
        <v>2001</v>
      </c>
      <c r="C2329" t="s">
        <v>281</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cm="1">
        <f t="array" ref="W2329">AND(ISNUMBER(LifeExpectancyData[[#This Row],[Adult Mortality]:[Schooling]]),ISNUMBER(LifeExpectancyData[[#This Row],[Life expectancy]]), LifeExpectancyData[[#This Row],[Year]]=2013)</f>
        <v>0</v>
      </c>
    </row>
    <row r="2330" spans="1:23" hidden="1" x14ac:dyDescent="0.25">
      <c r="A2330" t="s">
        <v>427</v>
      </c>
      <c r="B2330">
        <v>2000</v>
      </c>
      <c r="C2330" t="s">
        <v>281</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cm="1">
        <f t="array" ref="W2330">AND(ISNUMBER(LifeExpectancyData[[#This Row],[Adult Mortality]:[Schooling]]),ISNUMBER(LifeExpectancyData[[#This Row],[Life expectancy]]), LifeExpectancyData[[#This Row],[Year]]=2013)</f>
        <v>0</v>
      </c>
    </row>
    <row r="2331" spans="1:23" hidden="1" x14ac:dyDescent="0.25">
      <c r="A2331" t="s">
        <v>428</v>
      </c>
      <c r="B2331">
        <v>2015</v>
      </c>
      <c r="C2331" t="s">
        <v>281</v>
      </c>
      <c r="D2331">
        <v>76.7</v>
      </c>
      <c r="E2331">
        <v>19</v>
      </c>
      <c r="F2331">
        <v>0</v>
      </c>
      <c r="H2331">
        <v>0</v>
      </c>
      <c r="I2331">
        <v>96</v>
      </c>
      <c r="J2331">
        <v>1</v>
      </c>
      <c r="K2331">
        <v>59.1</v>
      </c>
      <c r="L2331">
        <v>0</v>
      </c>
      <c r="M2331">
        <v>96</v>
      </c>
      <c r="O2331">
        <v>96</v>
      </c>
      <c r="P2331">
        <v>0.1</v>
      </c>
      <c r="S2331">
        <v>1.2</v>
      </c>
      <c r="T2331">
        <v>1.2</v>
      </c>
      <c r="U2331">
        <v>0.84199999999999997</v>
      </c>
      <c r="V2331">
        <v>15</v>
      </c>
      <c r="W2331" t="b" cm="1">
        <f t="array" ref="W2331">AND(ISNUMBER(LifeExpectancyData[[#This Row],[Adult Mortality]:[Schooling]]),ISNUMBER(LifeExpectancyData[[#This Row],[Life expectancy]]), LifeExpectancyData[[#This Row],[Year]]=2013)</f>
        <v>0</v>
      </c>
    </row>
    <row r="2332" spans="1:23" hidden="1" x14ac:dyDescent="0.25">
      <c r="A2332" t="s">
        <v>428</v>
      </c>
      <c r="B2332">
        <v>2014</v>
      </c>
      <c r="C2332" t="s">
        <v>281</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cm="1">
        <f t="array" ref="W2332">AND(ISNUMBER(LifeExpectancyData[[#This Row],[Adult Mortality]:[Schooling]]),ISNUMBER(LifeExpectancyData[[#This Row],[Life expectancy]]), LifeExpectancyData[[#This Row],[Year]]=2013)</f>
        <v>0</v>
      </c>
    </row>
    <row r="2333" spans="1:23" hidden="1" x14ac:dyDescent="0.25">
      <c r="A2333" t="s">
        <v>428</v>
      </c>
      <c r="B2333">
        <v>2013</v>
      </c>
      <c r="C2333" t="s">
        <v>281</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cm="1">
        <f t="array" ref="W2333">AND(ISNUMBER(LifeExpectancyData[[#This Row],[Adult Mortality]:[Schooling]]),ISNUMBER(LifeExpectancyData[[#This Row],[Life expectancy]]), LifeExpectancyData[[#This Row],[Year]]=2013)</f>
        <v>0</v>
      </c>
    </row>
    <row r="2334" spans="1:23" hidden="1" x14ac:dyDescent="0.25">
      <c r="A2334" t="s">
        <v>428</v>
      </c>
      <c r="B2334">
        <v>2012</v>
      </c>
      <c r="C2334" t="s">
        <v>281</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cm="1">
        <f t="array" ref="W2334">AND(ISNUMBER(LifeExpectancyData[[#This Row],[Adult Mortality]:[Schooling]]),ISNUMBER(LifeExpectancyData[[#This Row],[Life expectancy]]), LifeExpectancyData[[#This Row],[Year]]=2013)</f>
        <v>0</v>
      </c>
    </row>
    <row r="2335" spans="1:23" hidden="1" x14ac:dyDescent="0.25">
      <c r="A2335" t="s">
        <v>428</v>
      </c>
      <c r="B2335">
        <v>2011</v>
      </c>
      <c r="C2335" t="s">
        <v>281</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cm="1">
        <f t="array" ref="W2335">AND(ISNUMBER(LifeExpectancyData[[#This Row],[Adult Mortality]:[Schooling]]),ISNUMBER(LifeExpectancyData[[#This Row],[Life expectancy]]), LifeExpectancyData[[#This Row],[Year]]=2013)</f>
        <v>0</v>
      </c>
    </row>
    <row r="2336" spans="1:23" hidden="1" x14ac:dyDescent="0.25">
      <c r="A2336" t="s">
        <v>428</v>
      </c>
      <c r="B2336">
        <v>2010</v>
      </c>
      <c r="C2336" t="s">
        <v>281</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cm="1">
        <f t="array" ref="W2336">AND(ISNUMBER(LifeExpectancyData[[#This Row],[Adult Mortality]:[Schooling]]),ISNUMBER(LifeExpectancyData[[#This Row],[Life expectancy]]), LifeExpectancyData[[#This Row],[Year]]=2013)</f>
        <v>0</v>
      </c>
    </row>
    <row r="2337" spans="1:23" hidden="1" x14ac:dyDescent="0.25">
      <c r="A2337" t="s">
        <v>428</v>
      </c>
      <c r="B2337">
        <v>2009</v>
      </c>
      <c r="C2337" t="s">
        <v>281</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cm="1">
        <f t="array" ref="W2337">AND(ISNUMBER(LifeExpectancyData[[#This Row],[Adult Mortality]:[Schooling]]),ISNUMBER(LifeExpectancyData[[#This Row],[Life expectancy]]), LifeExpectancyData[[#This Row],[Year]]=2013)</f>
        <v>0</v>
      </c>
    </row>
    <row r="2338" spans="1:23" hidden="1" x14ac:dyDescent="0.25">
      <c r="A2338" t="s">
        <v>428</v>
      </c>
      <c r="B2338">
        <v>2008</v>
      </c>
      <c r="C2338" t="s">
        <v>281</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cm="1">
        <f t="array" ref="W2338">AND(ISNUMBER(LifeExpectancyData[[#This Row],[Adult Mortality]:[Schooling]]),ISNUMBER(LifeExpectancyData[[#This Row],[Life expectancy]]), LifeExpectancyData[[#This Row],[Year]]=2013)</f>
        <v>0</v>
      </c>
    </row>
    <row r="2339" spans="1:23" hidden="1" x14ac:dyDescent="0.25">
      <c r="A2339" t="s">
        <v>428</v>
      </c>
      <c r="B2339">
        <v>2007</v>
      </c>
      <c r="C2339" t="s">
        <v>281</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cm="1">
        <f t="array" ref="W2339">AND(ISNUMBER(LifeExpectancyData[[#This Row],[Adult Mortality]:[Schooling]]),ISNUMBER(LifeExpectancyData[[#This Row],[Life expectancy]]), LifeExpectancyData[[#This Row],[Year]]=2013)</f>
        <v>0</v>
      </c>
    </row>
    <row r="2340" spans="1:23" hidden="1" x14ac:dyDescent="0.25">
      <c r="A2340" t="s">
        <v>428</v>
      </c>
      <c r="B2340">
        <v>2006</v>
      </c>
      <c r="C2340" t="s">
        <v>281</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cm="1">
        <f t="array" ref="W2340">AND(ISNUMBER(LifeExpectancyData[[#This Row],[Adult Mortality]:[Schooling]]),ISNUMBER(LifeExpectancyData[[#This Row],[Life expectancy]]), LifeExpectancyData[[#This Row],[Year]]=2013)</f>
        <v>0</v>
      </c>
    </row>
    <row r="2341" spans="1:23" hidden="1" x14ac:dyDescent="0.25">
      <c r="A2341" t="s">
        <v>428</v>
      </c>
      <c r="B2341">
        <v>2005</v>
      </c>
      <c r="C2341" t="s">
        <v>281</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cm="1">
        <f t="array" ref="W2341">AND(ISNUMBER(LifeExpectancyData[[#This Row],[Adult Mortality]:[Schooling]]),ISNUMBER(LifeExpectancyData[[#This Row],[Life expectancy]]), LifeExpectancyData[[#This Row],[Year]]=2013)</f>
        <v>0</v>
      </c>
    </row>
    <row r="2342" spans="1:23" hidden="1" x14ac:dyDescent="0.25">
      <c r="A2342" t="s">
        <v>428</v>
      </c>
      <c r="B2342">
        <v>2004</v>
      </c>
      <c r="C2342" t="s">
        <v>281</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cm="1">
        <f t="array" ref="W2342">AND(ISNUMBER(LifeExpectancyData[[#This Row],[Adult Mortality]:[Schooling]]),ISNUMBER(LifeExpectancyData[[#This Row],[Life expectancy]]), LifeExpectancyData[[#This Row],[Year]]=2013)</f>
        <v>0</v>
      </c>
    </row>
    <row r="2343" spans="1:23" hidden="1" x14ac:dyDescent="0.25">
      <c r="A2343" t="s">
        <v>428</v>
      </c>
      <c r="B2343">
        <v>2003</v>
      </c>
      <c r="C2343" t="s">
        <v>281</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cm="1">
        <f t="array" ref="W2343">AND(ISNUMBER(LifeExpectancyData[[#This Row],[Adult Mortality]:[Schooling]]),ISNUMBER(LifeExpectancyData[[#This Row],[Life expectancy]]), LifeExpectancyData[[#This Row],[Year]]=2013)</f>
        <v>0</v>
      </c>
    </row>
    <row r="2344" spans="1:23" hidden="1" x14ac:dyDescent="0.25">
      <c r="A2344" t="s">
        <v>428</v>
      </c>
      <c r="B2344">
        <v>2002</v>
      </c>
      <c r="C2344" t="s">
        <v>281</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cm="1">
        <f t="array" ref="W2344">AND(ISNUMBER(LifeExpectancyData[[#This Row],[Adult Mortality]:[Schooling]]),ISNUMBER(LifeExpectancyData[[#This Row],[Life expectancy]]), LifeExpectancyData[[#This Row],[Year]]=2013)</f>
        <v>0</v>
      </c>
    </row>
    <row r="2345" spans="1:23" hidden="1" x14ac:dyDescent="0.25">
      <c r="A2345" t="s">
        <v>428</v>
      </c>
      <c r="B2345">
        <v>2001</v>
      </c>
      <c r="C2345" t="s">
        <v>281</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cm="1">
        <f t="array" ref="W2345">AND(ISNUMBER(LifeExpectancyData[[#This Row],[Adult Mortality]:[Schooling]]),ISNUMBER(LifeExpectancyData[[#This Row],[Life expectancy]]), LifeExpectancyData[[#This Row],[Year]]=2013)</f>
        <v>0</v>
      </c>
    </row>
    <row r="2346" spans="1:23" hidden="1" x14ac:dyDescent="0.25">
      <c r="A2346" t="s">
        <v>428</v>
      </c>
      <c r="B2346">
        <v>2000</v>
      </c>
      <c r="C2346" t="s">
        <v>281</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cm="1">
        <f t="array" ref="W2346">AND(ISNUMBER(LifeExpectancyData[[#This Row],[Adult Mortality]:[Schooling]]),ISNUMBER(LifeExpectancyData[[#This Row],[Life expectancy]]), LifeExpectancyData[[#This Row],[Year]]=2013)</f>
        <v>0</v>
      </c>
    </row>
    <row r="2347" spans="1:23" hidden="1" x14ac:dyDescent="0.25">
      <c r="A2347" t="s">
        <v>429</v>
      </c>
      <c r="B2347">
        <v>2015</v>
      </c>
      <c r="C2347" t="s">
        <v>281</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cm="1">
        <f t="array" ref="W2347">AND(ISNUMBER(LifeExpectancyData[[#This Row],[Adult Mortality]:[Schooling]]),ISNUMBER(LifeExpectancyData[[#This Row],[Life expectancy]]), LifeExpectancyData[[#This Row],[Year]]=2013)</f>
        <v>0</v>
      </c>
    </row>
    <row r="2348" spans="1:23" hidden="1" x14ac:dyDescent="0.25">
      <c r="A2348" t="s">
        <v>429</v>
      </c>
      <c r="B2348">
        <v>2014</v>
      </c>
      <c r="C2348" t="s">
        <v>281</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cm="1">
        <f t="array" ref="W2348">AND(ISNUMBER(LifeExpectancyData[[#This Row],[Adult Mortality]:[Schooling]]),ISNUMBER(LifeExpectancyData[[#This Row],[Life expectancy]]), LifeExpectancyData[[#This Row],[Year]]=2013)</f>
        <v>0</v>
      </c>
    </row>
    <row r="2349" spans="1:23" hidden="1" x14ac:dyDescent="0.25">
      <c r="A2349" t="s">
        <v>429</v>
      </c>
      <c r="B2349">
        <v>2013</v>
      </c>
      <c r="C2349" t="s">
        <v>281</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cm="1">
        <f t="array" ref="W2349">AND(ISNUMBER(LifeExpectancyData[[#This Row],[Adult Mortality]:[Schooling]]),ISNUMBER(LifeExpectancyData[[#This Row],[Life expectancy]]), LifeExpectancyData[[#This Row],[Year]]=2013)</f>
        <v>0</v>
      </c>
    </row>
    <row r="2350" spans="1:23" hidden="1" x14ac:dyDescent="0.25">
      <c r="A2350" t="s">
        <v>429</v>
      </c>
      <c r="B2350">
        <v>2012</v>
      </c>
      <c r="C2350" t="s">
        <v>281</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cm="1">
        <f t="array" ref="W2350">AND(ISNUMBER(LifeExpectancyData[[#This Row],[Adult Mortality]:[Schooling]]),ISNUMBER(LifeExpectancyData[[#This Row],[Life expectancy]]), LifeExpectancyData[[#This Row],[Year]]=2013)</f>
        <v>0</v>
      </c>
    </row>
    <row r="2351" spans="1:23" hidden="1" x14ac:dyDescent="0.25">
      <c r="A2351" t="s">
        <v>429</v>
      </c>
      <c r="B2351">
        <v>2011</v>
      </c>
      <c r="C2351" t="s">
        <v>281</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cm="1">
        <f t="array" ref="W2351">AND(ISNUMBER(LifeExpectancyData[[#This Row],[Adult Mortality]:[Schooling]]),ISNUMBER(LifeExpectancyData[[#This Row],[Life expectancy]]), LifeExpectancyData[[#This Row],[Year]]=2013)</f>
        <v>0</v>
      </c>
    </row>
    <row r="2352" spans="1:23" hidden="1" x14ac:dyDescent="0.25">
      <c r="A2352" t="s">
        <v>429</v>
      </c>
      <c r="B2352">
        <v>2010</v>
      </c>
      <c r="C2352" t="s">
        <v>281</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cm="1">
        <f t="array" ref="W2352">AND(ISNUMBER(LifeExpectancyData[[#This Row],[Adult Mortality]:[Schooling]]),ISNUMBER(LifeExpectancyData[[#This Row],[Life expectancy]]), LifeExpectancyData[[#This Row],[Year]]=2013)</f>
        <v>0</v>
      </c>
    </row>
    <row r="2353" spans="1:23" hidden="1" x14ac:dyDescent="0.25">
      <c r="A2353" t="s">
        <v>429</v>
      </c>
      <c r="B2353">
        <v>2009</v>
      </c>
      <c r="C2353" t="s">
        <v>281</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cm="1">
        <f t="array" ref="W2353">AND(ISNUMBER(LifeExpectancyData[[#This Row],[Adult Mortality]:[Schooling]]),ISNUMBER(LifeExpectancyData[[#This Row],[Life expectancy]]), LifeExpectancyData[[#This Row],[Year]]=2013)</f>
        <v>0</v>
      </c>
    </row>
    <row r="2354" spans="1:23" hidden="1" x14ac:dyDescent="0.25">
      <c r="A2354" t="s">
        <v>429</v>
      </c>
      <c r="B2354">
        <v>2008</v>
      </c>
      <c r="C2354" t="s">
        <v>281</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cm="1">
        <f t="array" ref="W2354">AND(ISNUMBER(LifeExpectancyData[[#This Row],[Adult Mortality]:[Schooling]]),ISNUMBER(LifeExpectancyData[[#This Row],[Life expectancy]]), LifeExpectancyData[[#This Row],[Year]]=2013)</f>
        <v>0</v>
      </c>
    </row>
    <row r="2355" spans="1:23" hidden="1" x14ac:dyDescent="0.25">
      <c r="A2355" t="s">
        <v>429</v>
      </c>
      <c r="B2355">
        <v>2007</v>
      </c>
      <c r="C2355" t="s">
        <v>281</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cm="1">
        <f t="array" ref="W2355">AND(ISNUMBER(LifeExpectancyData[[#This Row],[Adult Mortality]:[Schooling]]),ISNUMBER(LifeExpectancyData[[#This Row],[Life expectancy]]), LifeExpectancyData[[#This Row],[Year]]=2013)</f>
        <v>0</v>
      </c>
    </row>
    <row r="2356" spans="1:23" hidden="1" x14ac:dyDescent="0.25">
      <c r="A2356" t="s">
        <v>429</v>
      </c>
      <c r="B2356">
        <v>2006</v>
      </c>
      <c r="C2356" t="s">
        <v>281</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cm="1">
        <f t="array" ref="W2356">AND(ISNUMBER(LifeExpectancyData[[#This Row],[Adult Mortality]:[Schooling]]),ISNUMBER(LifeExpectancyData[[#This Row],[Life expectancy]]), LifeExpectancyData[[#This Row],[Year]]=2013)</f>
        <v>0</v>
      </c>
    </row>
    <row r="2357" spans="1:23" hidden="1" x14ac:dyDescent="0.25">
      <c r="A2357" t="s">
        <v>429</v>
      </c>
      <c r="B2357">
        <v>2005</v>
      </c>
      <c r="C2357" t="s">
        <v>281</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cm="1">
        <f t="array" ref="W2357">AND(ISNUMBER(LifeExpectancyData[[#This Row],[Adult Mortality]:[Schooling]]),ISNUMBER(LifeExpectancyData[[#This Row],[Life expectancy]]), LifeExpectancyData[[#This Row],[Year]]=2013)</f>
        <v>0</v>
      </c>
    </row>
    <row r="2358" spans="1:23" hidden="1" x14ac:dyDescent="0.25">
      <c r="A2358" t="s">
        <v>429</v>
      </c>
      <c r="B2358">
        <v>2004</v>
      </c>
      <c r="C2358" t="s">
        <v>281</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cm="1">
        <f t="array" ref="W2358">AND(ISNUMBER(LifeExpectancyData[[#This Row],[Adult Mortality]:[Schooling]]),ISNUMBER(LifeExpectancyData[[#This Row],[Life expectancy]]), LifeExpectancyData[[#This Row],[Year]]=2013)</f>
        <v>0</v>
      </c>
    </row>
    <row r="2359" spans="1:23" hidden="1" x14ac:dyDescent="0.25">
      <c r="A2359" t="s">
        <v>429</v>
      </c>
      <c r="B2359">
        <v>2003</v>
      </c>
      <c r="C2359" t="s">
        <v>281</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cm="1">
        <f t="array" ref="W2359">AND(ISNUMBER(LifeExpectancyData[[#This Row],[Adult Mortality]:[Schooling]]),ISNUMBER(LifeExpectancyData[[#This Row],[Life expectancy]]), LifeExpectancyData[[#This Row],[Year]]=2013)</f>
        <v>0</v>
      </c>
    </row>
    <row r="2360" spans="1:23" hidden="1" x14ac:dyDescent="0.25">
      <c r="A2360" t="s">
        <v>429</v>
      </c>
      <c r="B2360">
        <v>2002</v>
      </c>
      <c r="C2360" t="s">
        <v>281</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cm="1">
        <f t="array" ref="W2360">AND(ISNUMBER(LifeExpectancyData[[#This Row],[Adult Mortality]:[Schooling]]),ISNUMBER(LifeExpectancyData[[#This Row],[Life expectancy]]), LifeExpectancyData[[#This Row],[Year]]=2013)</f>
        <v>0</v>
      </c>
    </row>
    <row r="2361" spans="1:23" hidden="1" x14ac:dyDescent="0.25">
      <c r="A2361" t="s">
        <v>429</v>
      </c>
      <c r="B2361">
        <v>2001</v>
      </c>
      <c r="C2361" t="s">
        <v>281</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cm="1">
        <f t="array" ref="W2361">AND(ISNUMBER(LifeExpectancyData[[#This Row],[Adult Mortality]:[Schooling]]),ISNUMBER(LifeExpectancyData[[#This Row],[Life expectancy]]), LifeExpectancyData[[#This Row],[Year]]=2013)</f>
        <v>0</v>
      </c>
    </row>
    <row r="2362" spans="1:23" hidden="1" x14ac:dyDescent="0.25">
      <c r="A2362" t="s">
        <v>429</v>
      </c>
      <c r="B2362">
        <v>2000</v>
      </c>
      <c r="C2362" t="s">
        <v>281</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cm="1">
        <f t="array" ref="W2362">AND(ISNUMBER(LifeExpectancyData[[#This Row],[Adult Mortality]:[Schooling]]),ISNUMBER(LifeExpectancyData[[#This Row],[Life expectancy]]), LifeExpectancyData[[#This Row],[Year]]=2013)</f>
        <v>0</v>
      </c>
    </row>
    <row r="2363" spans="1:23" hidden="1" x14ac:dyDescent="0.25">
      <c r="A2363" t="s">
        <v>430</v>
      </c>
      <c r="B2363">
        <v>2015</v>
      </c>
      <c r="C2363" t="s">
        <v>273</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cm="1">
        <f t="array" ref="W2363">AND(ISNUMBER(LifeExpectancyData[[#This Row],[Adult Mortality]:[Schooling]]),ISNUMBER(LifeExpectancyData[[#This Row],[Life expectancy]]), LifeExpectancyData[[#This Row],[Year]]=2013)</f>
        <v>0</v>
      </c>
    </row>
    <row r="2364" spans="1:23" x14ac:dyDescent="0.25">
      <c r="A2364" t="s">
        <v>430</v>
      </c>
      <c r="B2364">
        <v>2014</v>
      </c>
      <c r="C2364" t="s">
        <v>273</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cm="1">
        <f t="array" ref="W2364">AND(ISNUMBER(LifeExpectancyData[[#This Row],[Adult Mortality]:[Schooling]]),ISNUMBER(LifeExpectancyData[[#This Row],[Life expectancy]]), LifeExpectancyData[[#This Row],[Year]]=2013)</f>
        <v>0</v>
      </c>
    </row>
    <row r="2365" spans="1:23" x14ac:dyDescent="0.25">
      <c r="A2365" t="s">
        <v>430</v>
      </c>
      <c r="B2365">
        <v>2013</v>
      </c>
      <c r="C2365" t="s">
        <v>273</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cm="1">
        <f t="array" ref="W2365">AND(ISNUMBER(LifeExpectancyData[[#This Row],[Adult Mortality]:[Schooling]]),ISNUMBER(LifeExpectancyData[[#This Row],[Life expectancy]]), LifeExpectancyData[[#This Row],[Year]]=2013)</f>
        <v>1</v>
      </c>
    </row>
    <row r="2366" spans="1:23" x14ac:dyDescent="0.25">
      <c r="A2366" t="s">
        <v>430</v>
      </c>
      <c r="B2366">
        <v>2012</v>
      </c>
      <c r="C2366" t="s">
        <v>273</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cm="1">
        <f t="array" ref="W2366">AND(ISNUMBER(LifeExpectancyData[[#This Row],[Adult Mortality]:[Schooling]]),ISNUMBER(LifeExpectancyData[[#This Row],[Life expectancy]]), LifeExpectancyData[[#This Row],[Year]]=2013)</f>
        <v>0</v>
      </c>
    </row>
    <row r="2367" spans="1:23" x14ac:dyDescent="0.25">
      <c r="A2367" t="s">
        <v>430</v>
      </c>
      <c r="B2367">
        <v>2011</v>
      </c>
      <c r="C2367" t="s">
        <v>273</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cm="1">
        <f t="array" ref="W2367">AND(ISNUMBER(LifeExpectancyData[[#This Row],[Adult Mortality]:[Schooling]]),ISNUMBER(LifeExpectancyData[[#This Row],[Life expectancy]]), LifeExpectancyData[[#This Row],[Year]]=2013)</f>
        <v>0</v>
      </c>
    </row>
    <row r="2368" spans="1:23" x14ac:dyDescent="0.25">
      <c r="A2368" t="s">
        <v>430</v>
      </c>
      <c r="B2368">
        <v>2010</v>
      </c>
      <c r="C2368" t="s">
        <v>273</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cm="1">
        <f t="array" ref="W2368">AND(ISNUMBER(LifeExpectancyData[[#This Row],[Adult Mortality]:[Schooling]]),ISNUMBER(LifeExpectancyData[[#This Row],[Life expectancy]]), LifeExpectancyData[[#This Row],[Year]]=2013)</f>
        <v>0</v>
      </c>
    </row>
    <row r="2369" spans="1:23" x14ac:dyDescent="0.25">
      <c r="A2369" t="s">
        <v>430</v>
      </c>
      <c r="B2369">
        <v>2009</v>
      </c>
      <c r="C2369" t="s">
        <v>273</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cm="1">
        <f t="array" ref="W2369">AND(ISNUMBER(LifeExpectancyData[[#This Row],[Adult Mortality]:[Schooling]]),ISNUMBER(LifeExpectancyData[[#This Row],[Life expectancy]]), LifeExpectancyData[[#This Row],[Year]]=2013)</f>
        <v>0</v>
      </c>
    </row>
    <row r="2370" spans="1:23" x14ac:dyDescent="0.25">
      <c r="A2370" t="s">
        <v>430</v>
      </c>
      <c r="B2370">
        <v>2008</v>
      </c>
      <c r="C2370" t="s">
        <v>273</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cm="1">
        <f t="array" ref="W2370">AND(ISNUMBER(LifeExpectancyData[[#This Row],[Adult Mortality]:[Schooling]]),ISNUMBER(LifeExpectancyData[[#This Row],[Life expectancy]]), LifeExpectancyData[[#This Row],[Year]]=2013)</f>
        <v>0</v>
      </c>
    </row>
    <row r="2371" spans="1:23" x14ac:dyDescent="0.25">
      <c r="A2371" t="s">
        <v>430</v>
      </c>
      <c r="B2371">
        <v>2007</v>
      </c>
      <c r="C2371" t="s">
        <v>273</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cm="1">
        <f t="array" ref="W2371">AND(ISNUMBER(LifeExpectancyData[[#This Row],[Adult Mortality]:[Schooling]]),ISNUMBER(LifeExpectancyData[[#This Row],[Life expectancy]]), LifeExpectancyData[[#This Row],[Year]]=2013)</f>
        <v>0</v>
      </c>
    </row>
    <row r="2372" spans="1:23" x14ac:dyDescent="0.25">
      <c r="A2372" t="s">
        <v>430</v>
      </c>
      <c r="B2372">
        <v>2006</v>
      </c>
      <c r="C2372" t="s">
        <v>273</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cm="1">
        <f t="array" ref="W2372">AND(ISNUMBER(LifeExpectancyData[[#This Row],[Adult Mortality]:[Schooling]]),ISNUMBER(LifeExpectancyData[[#This Row],[Life expectancy]]), LifeExpectancyData[[#This Row],[Year]]=2013)</f>
        <v>0</v>
      </c>
    </row>
    <row r="2373" spans="1:23" x14ac:dyDescent="0.25">
      <c r="A2373" t="s">
        <v>430</v>
      </c>
      <c r="B2373">
        <v>2005</v>
      </c>
      <c r="C2373" t="s">
        <v>273</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cm="1">
        <f t="array" ref="W2373">AND(ISNUMBER(LifeExpectancyData[[#This Row],[Adult Mortality]:[Schooling]]),ISNUMBER(LifeExpectancyData[[#This Row],[Life expectancy]]), LifeExpectancyData[[#This Row],[Year]]=2013)</f>
        <v>0</v>
      </c>
    </row>
    <row r="2374" spans="1:23" x14ac:dyDescent="0.25">
      <c r="A2374" t="s">
        <v>430</v>
      </c>
      <c r="B2374">
        <v>2004</v>
      </c>
      <c r="C2374" t="s">
        <v>273</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cm="1">
        <f t="array" ref="W2374">AND(ISNUMBER(LifeExpectancyData[[#This Row],[Adult Mortality]:[Schooling]]),ISNUMBER(LifeExpectancyData[[#This Row],[Life expectancy]]), LifeExpectancyData[[#This Row],[Year]]=2013)</f>
        <v>0</v>
      </c>
    </row>
    <row r="2375" spans="1:23" x14ac:dyDescent="0.25">
      <c r="A2375" t="s">
        <v>430</v>
      </c>
      <c r="B2375">
        <v>2003</v>
      </c>
      <c r="C2375" t="s">
        <v>273</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cm="1">
        <f t="array" ref="W2375">AND(ISNUMBER(LifeExpectancyData[[#This Row],[Adult Mortality]:[Schooling]]),ISNUMBER(LifeExpectancyData[[#This Row],[Life expectancy]]), LifeExpectancyData[[#This Row],[Year]]=2013)</f>
        <v>0</v>
      </c>
    </row>
    <row r="2376" spans="1:23" x14ac:dyDescent="0.25">
      <c r="A2376" t="s">
        <v>430</v>
      </c>
      <c r="B2376">
        <v>2002</v>
      </c>
      <c r="C2376" t="s">
        <v>273</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cm="1">
        <f t="array" ref="W2376">AND(ISNUMBER(LifeExpectancyData[[#This Row],[Adult Mortality]:[Schooling]]),ISNUMBER(LifeExpectancyData[[#This Row],[Life expectancy]]), LifeExpectancyData[[#This Row],[Year]]=2013)</f>
        <v>0</v>
      </c>
    </row>
    <row r="2377" spans="1:23" x14ac:dyDescent="0.25">
      <c r="A2377" t="s">
        <v>430</v>
      </c>
      <c r="B2377">
        <v>2001</v>
      </c>
      <c r="C2377" t="s">
        <v>273</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cm="1">
        <f t="array" ref="W2377">AND(ISNUMBER(LifeExpectancyData[[#This Row],[Adult Mortality]:[Schooling]]),ISNUMBER(LifeExpectancyData[[#This Row],[Life expectancy]]), LifeExpectancyData[[#This Row],[Year]]=2013)</f>
        <v>0</v>
      </c>
    </row>
    <row r="2378" spans="1:23" x14ac:dyDescent="0.25">
      <c r="A2378" t="s">
        <v>430</v>
      </c>
      <c r="B2378">
        <v>2000</v>
      </c>
      <c r="C2378" t="s">
        <v>273</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cm="1">
        <f t="array" ref="W2378">AND(ISNUMBER(LifeExpectancyData[[#This Row],[Adult Mortality]:[Schooling]]),ISNUMBER(LifeExpectancyData[[#This Row],[Life expectancy]]), LifeExpectancyData[[#This Row],[Year]]=2013)</f>
        <v>0</v>
      </c>
    </row>
    <row r="2379" spans="1:23" hidden="1" x14ac:dyDescent="0.25">
      <c r="A2379" t="s">
        <v>431</v>
      </c>
      <c r="B2379">
        <v>2015</v>
      </c>
      <c r="C2379" t="s">
        <v>273</v>
      </c>
      <c r="D2379">
        <v>55</v>
      </c>
      <c r="E2379">
        <v>312</v>
      </c>
      <c r="F2379">
        <v>50</v>
      </c>
      <c r="H2379">
        <v>0</v>
      </c>
      <c r="I2379">
        <v>42</v>
      </c>
      <c r="J2379">
        <v>7497</v>
      </c>
      <c r="K2379">
        <v>24.3</v>
      </c>
      <c r="L2379">
        <v>80</v>
      </c>
      <c r="M2379">
        <v>47</v>
      </c>
      <c r="O2379">
        <v>42</v>
      </c>
      <c r="P2379">
        <v>0.7</v>
      </c>
      <c r="Q2379">
        <v>426.98536999999999</v>
      </c>
      <c r="S2379">
        <v>6.6</v>
      </c>
      <c r="T2379">
        <v>6.4</v>
      </c>
      <c r="W2379" t="b" cm="1">
        <f t="array" ref="W2379">AND(ISNUMBER(LifeExpectancyData[[#This Row],[Adult Mortality]:[Schooling]]),ISNUMBER(LifeExpectancyData[[#This Row],[Life expectancy]]), LifeExpectancyData[[#This Row],[Year]]=2013)</f>
        <v>0</v>
      </c>
    </row>
    <row r="2380" spans="1:23" hidden="1" x14ac:dyDescent="0.25">
      <c r="A2380" t="s">
        <v>431</v>
      </c>
      <c r="B2380">
        <v>2014</v>
      </c>
      <c r="C2380" t="s">
        <v>273</v>
      </c>
      <c r="D2380">
        <v>54.3</v>
      </c>
      <c r="E2380">
        <v>321</v>
      </c>
      <c r="F2380">
        <v>51</v>
      </c>
      <c r="G2380">
        <v>0.01</v>
      </c>
      <c r="H2380">
        <v>0</v>
      </c>
      <c r="I2380">
        <v>42</v>
      </c>
      <c r="J2380">
        <v>10229</v>
      </c>
      <c r="K2380">
        <v>23.8</v>
      </c>
      <c r="L2380">
        <v>80</v>
      </c>
      <c r="M2380">
        <v>47</v>
      </c>
      <c r="O2380">
        <v>42</v>
      </c>
      <c r="P2380">
        <v>0.8</v>
      </c>
      <c r="Q2380">
        <v>417.89143000000001</v>
      </c>
      <c r="S2380">
        <v>6.7</v>
      </c>
      <c r="T2380">
        <v>6.5</v>
      </c>
      <c r="W2380" t="b" cm="1">
        <f t="array" ref="W2380">AND(ISNUMBER(LifeExpectancyData[[#This Row],[Adult Mortality]:[Schooling]]),ISNUMBER(LifeExpectancyData[[#This Row],[Life expectancy]]), LifeExpectancyData[[#This Row],[Year]]=2013)</f>
        <v>0</v>
      </c>
    </row>
    <row r="2381" spans="1:23" hidden="1" x14ac:dyDescent="0.25">
      <c r="A2381" t="s">
        <v>431</v>
      </c>
      <c r="B2381">
        <v>2013</v>
      </c>
      <c r="C2381" t="s">
        <v>273</v>
      </c>
      <c r="D2381">
        <v>54.2</v>
      </c>
      <c r="E2381">
        <v>318</v>
      </c>
      <c r="F2381">
        <v>51</v>
      </c>
      <c r="G2381">
        <v>0.01</v>
      </c>
      <c r="H2381">
        <v>0</v>
      </c>
      <c r="I2381">
        <v>42</v>
      </c>
      <c r="J2381">
        <v>3173</v>
      </c>
      <c r="K2381">
        <v>23.3</v>
      </c>
      <c r="L2381">
        <v>81</v>
      </c>
      <c r="M2381">
        <v>47</v>
      </c>
      <c r="O2381">
        <v>42</v>
      </c>
      <c r="P2381">
        <v>0.8</v>
      </c>
      <c r="Q2381">
        <v>47.5432354</v>
      </c>
      <c r="S2381">
        <v>6.8</v>
      </c>
      <c r="T2381">
        <v>6.6</v>
      </c>
      <c r="W2381" t="b" cm="1">
        <f t="array" ref="W2381">AND(ISNUMBER(LifeExpectancyData[[#This Row],[Adult Mortality]:[Schooling]]),ISNUMBER(LifeExpectancyData[[#This Row],[Life expectancy]]), LifeExpectancyData[[#This Row],[Year]]=2013)</f>
        <v>0</v>
      </c>
    </row>
    <row r="2382" spans="1:23" hidden="1" x14ac:dyDescent="0.25">
      <c r="A2382" t="s">
        <v>431</v>
      </c>
      <c r="B2382">
        <v>2012</v>
      </c>
      <c r="C2382" t="s">
        <v>273</v>
      </c>
      <c r="D2382">
        <v>53.1</v>
      </c>
      <c r="E2382">
        <v>336</v>
      </c>
      <c r="F2382">
        <v>51</v>
      </c>
      <c r="G2382">
        <v>0.01</v>
      </c>
      <c r="H2382">
        <v>0</v>
      </c>
      <c r="J2382">
        <v>9983</v>
      </c>
      <c r="K2382">
        <v>22.9</v>
      </c>
      <c r="L2382">
        <v>82</v>
      </c>
      <c r="M2382">
        <v>47</v>
      </c>
      <c r="O2382">
        <v>42</v>
      </c>
      <c r="P2382">
        <v>0.8</v>
      </c>
      <c r="S2382">
        <v>6.8</v>
      </c>
      <c r="T2382">
        <v>6.7</v>
      </c>
      <c r="W2382" t="b" cm="1">
        <f t="array" ref="W2382">AND(ISNUMBER(LifeExpectancyData[[#This Row],[Adult Mortality]:[Schooling]]),ISNUMBER(LifeExpectancyData[[#This Row],[Life expectancy]]), LifeExpectancyData[[#This Row],[Year]]=2013)</f>
        <v>0</v>
      </c>
    </row>
    <row r="2383" spans="1:23" hidden="1" x14ac:dyDescent="0.25">
      <c r="A2383" t="s">
        <v>431</v>
      </c>
      <c r="B2383">
        <v>2011</v>
      </c>
      <c r="C2383" t="s">
        <v>273</v>
      </c>
      <c r="D2383">
        <v>53.1</v>
      </c>
      <c r="E2383">
        <v>329</v>
      </c>
      <c r="F2383">
        <v>51</v>
      </c>
      <c r="G2383">
        <v>0.01</v>
      </c>
      <c r="H2383">
        <v>0</v>
      </c>
      <c r="J2383">
        <v>17298</v>
      </c>
      <c r="K2383">
        <v>22.4</v>
      </c>
      <c r="L2383">
        <v>82</v>
      </c>
      <c r="M2383">
        <v>49</v>
      </c>
      <c r="O2383">
        <v>41</v>
      </c>
      <c r="P2383">
        <v>0.8</v>
      </c>
      <c r="S2383">
        <v>6.9</v>
      </c>
      <c r="T2383">
        <v>6.7</v>
      </c>
      <c r="W2383" t="b" cm="1">
        <f t="array" ref="W2383">AND(ISNUMBER(LifeExpectancyData[[#This Row],[Adult Mortality]:[Schooling]]),ISNUMBER(LifeExpectancyData[[#This Row],[Life expectancy]]), LifeExpectancyData[[#This Row],[Year]]=2013)</f>
        <v>0</v>
      </c>
    </row>
    <row r="2384" spans="1:23" hidden="1" x14ac:dyDescent="0.25">
      <c r="A2384" t="s">
        <v>431</v>
      </c>
      <c r="B2384">
        <v>2010</v>
      </c>
      <c r="C2384" t="s">
        <v>273</v>
      </c>
      <c r="D2384">
        <v>52.4</v>
      </c>
      <c r="E2384">
        <v>336</v>
      </c>
      <c r="F2384">
        <v>52</v>
      </c>
      <c r="G2384">
        <v>0.01</v>
      </c>
      <c r="H2384">
        <v>0</v>
      </c>
      <c r="J2384">
        <v>115</v>
      </c>
      <c r="K2384">
        <v>22</v>
      </c>
      <c r="L2384">
        <v>83</v>
      </c>
      <c r="M2384">
        <v>49</v>
      </c>
      <c r="O2384">
        <v>45</v>
      </c>
      <c r="P2384">
        <v>0.8</v>
      </c>
      <c r="S2384">
        <v>7</v>
      </c>
      <c r="T2384">
        <v>6.8</v>
      </c>
      <c r="W2384" t="b" cm="1">
        <f t="array" ref="W2384">AND(ISNUMBER(LifeExpectancyData[[#This Row],[Adult Mortality]:[Schooling]]),ISNUMBER(LifeExpectancyData[[#This Row],[Life expectancy]]), LifeExpectancyData[[#This Row],[Year]]=2013)</f>
        <v>0</v>
      </c>
    </row>
    <row r="2385" spans="1:23" hidden="1" x14ac:dyDescent="0.25">
      <c r="A2385" t="s">
        <v>431</v>
      </c>
      <c r="B2385">
        <v>2009</v>
      </c>
      <c r="C2385" t="s">
        <v>273</v>
      </c>
      <c r="D2385">
        <v>52.2</v>
      </c>
      <c r="E2385">
        <v>335</v>
      </c>
      <c r="F2385">
        <v>52</v>
      </c>
      <c r="G2385">
        <v>0.01</v>
      </c>
      <c r="H2385">
        <v>0</v>
      </c>
      <c r="J2385">
        <v>13</v>
      </c>
      <c r="K2385">
        <v>21.5</v>
      </c>
      <c r="L2385">
        <v>84</v>
      </c>
      <c r="M2385">
        <v>41</v>
      </c>
      <c r="O2385">
        <v>42</v>
      </c>
      <c r="P2385">
        <v>0.8</v>
      </c>
      <c r="S2385">
        <v>7.1</v>
      </c>
      <c r="T2385">
        <v>6.9</v>
      </c>
      <c r="W2385" t="b" cm="1">
        <f t="array" ref="W2385">AND(ISNUMBER(LifeExpectancyData[[#This Row],[Adult Mortality]:[Schooling]]),ISNUMBER(LifeExpectancyData[[#This Row],[Life expectancy]]), LifeExpectancyData[[#This Row],[Year]]=2013)</f>
        <v>0</v>
      </c>
    </row>
    <row r="2386" spans="1:23" hidden="1" x14ac:dyDescent="0.25">
      <c r="A2386" t="s">
        <v>431</v>
      </c>
      <c r="B2386">
        <v>2008</v>
      </c>
      <c r="C2386" t="s">
        <v>273</v>
      </c>
      <c r="D2386">
        <v>51.9</v>
      </c>
      <c r="E2386">
        <v>336</v>
      </c>
      <c r="F2386">
        <v>52</v>
      </c>
      <c r="G2386">
        <v>0.01</v>
      </c>
      <c r="H2386">
        <v>0</v>
      </c>
      <c r="J2386">
        <v>1081</v>
      </c>
      <c r="K2386">
        <v>21.1</v>
      </c>
      <c r="L2386">
        <v>84</v>
      </c>
      <c r="M2386">
        <v>4</v>
      </c>
      <c r="O2386">
        <v>31</v>
      </c>
      <c r="P2386">
        <v>0.9</v>
      </c>
      <c r="S2386">
        <v>7.2</v>
      </c>
      <c r="T2386">
        <v>7</v>
      </c>
      <c r="W2386" t="b" cm="1">
        <f t="array" ref="W2386">AND(ISNUMBER(LifeExpectancyData[[#This Row],[Adult Mortality]:[Schooling]]),ISNUMBER(LifeExpectancyData[[#This Row],[Life expectancy]]), LifeExpectancyData[[#This Row],[Year]]=2013)</f>
        <v>0</v>
      </c>
    </row>
    <row r="2387" spans="1:23" hidden="1" x14ac:dyDescent="0.25">
      <c r="A2387" t="s">
        <v>431</v>
      </c>
      <c r="B2387">
        <v>2007</v>
      </c>
      <c r="C2387" t="s">
        <v>273</v>
      </c>
      <c r="D2387">
        <v>51.5</v>
      </c>
      <c r="E2387">
        <v>34</v>
      </c>
      <c r="F2387">
        <v>52</v>
      </c>
      <c r="G2387">
        <v>0.01</v>
      </c>
      <c r="H2387">
        <v>0</v>
      </c>
      <c r="J2387">
        <v>1149</v>
      </c>
      <c r="K2387">
        <v>2.7</v>
      </c>
      <c r="L2387">
        <v>84</v>
      </c>
      <c r="M2387">
        <v>4</v>
      </c>
      <c r="O2387">
        <v>4</v>
      </c>
      <c r="P2387">
        <v>0.9</v>
      </c>
      <c r="S2387">
        <v>7.3</v>
      </c>
      <c r="T2387">
        <v>7.1</v>
      </c>
      <c r="W2387" t="b" cm="1">
        <f t="array" ref="W2387">AND(ISNUMBER(LifeExpectancyData[[#This Row],[Adult Mortality]:[Schooling]]),ISNUMBER(LifeExpectancyData[[#This Row],[Life expectancy]]), LifeExpectancyData[[#This Row],[Year]]=2013)</f>
        <v>0</v>
      </c>
    </row>
    <row r="2388" spans="1:23" hidden="1" x14ac:dyDescent="0.25">
      <c r="A2388" t="s">
        <v>431</v>
      </c>
      <c r="B2388">
        <v>2006</v>
      </c>
      <c r="C2388" t="s">
        <v>273</v>
      </c>
      <c r="D2388">
        <v>51.5</v>
      </c>
      <c r="E2388">
        <v>337</v>
      </c>
      <c r="F2388">
        <v>51</v>
      </c>
      <c r="G2388">
        <v>0.01</v>
      </c>
      <c r="H2388">
        <v>0</v>
      </c>
      <c r="J2388">
        <v>7</v>
      </c>
      <c r="K2388">
        <v>2.2000000000000002</v>
      </c>
      <c r="L2388">
        <v>83</v>
      </c>
      <c r="M2388">
        <v>26</v>
      </c>
      <c r="O2388">
        <v>26</v>
      </c>
      <c r="P2388">
        <v>0.9</v>
      </c>
      <c r="S2388">
        <v>7.4</v>
      </c>
      <c r="T2388">
        <v>7.2</v>
      </c>
      <c r="W2388" t="b" cm="1">
        <f t="array" ref="W2388">AND(ISNUMBER(LifeExpectancyData[[#This Row],[Adult Mortality]:[Schooling]]),ISNUMBER(LifeExpectancyData[[#This Row],[Life expectancy]]), LifeExpectancyData[[#This Row],[Year]]=2013)</f>
        <v>0</v>
      </c>
    </row>
    <row r="2389" spans="1:23" hidden="1" x14ac:dyDescent="0.25">
      <c r="A2389" t="s">
        <v>431</v>
      </c>
      <c r="B2389">
        <v>2005</v>
      </c>
      <c r="C2389" t="s">
        <v>273</v>
      </c>
      <c r="D2389">
        <v>51.6</v>
      </c>
      <c r="E2389">
        <v>334</v>
      </c>
      <c r="F2389">
        <v>50</v>
      </c>
      <c r="G2389">
        <v>0.01</v>
      </c>
      <c r="H2389">
        <v>0</v>
      </c>
      <c r="J2389">
        <v>0</v>
      </c>
      <c r="K2389">
        <v>19.8</v>
      </c>
      <c r="L2389">
        <v>82</v>
      </c>
      <c r="M2389">
        <v>35</v>
      </c>
      <c r="O2389">
        <v>35</v>
      </c>
      <c r="P2389">
        <v>0.9</v>
      </c>
      <c r="S2389">
        <v>7.5</v>
      </c>
      <c r="T2389">
        <v>7.3</v>
      </c>
      <c r="W2389" t="b" cm="1">
        <f t="array" ref="W2389">AND(ISNUMBER(LifeExpectancyData[[#This Row],[Adult Mortality]:[Schooling]]),ISNUMBER(LifeExpectancyData[[#This Row],[Life expectancy]]), LifeExpectancyData[[#This Row],[Year]]=2013)</f>
        <v>0</v>
      </c>
    </row>
    <row r="2390" spans="1:23" hidden="1" x14ac:dyDescent="0.25">
      <c r="A2390" t="s">
        <v>431</v>
      </c>
      <c r="B2390">
        <v>2004</v>
      </c>
      <c r="C2390" t="s">
        <v>273</v>
      </c>
      <c r="D2390">
        <v>51.2</v>
      </c>
      <c r="E2390">
        <v>341</v>
      </c>
      <c r="F2390">
        <v>49</v>
      </c>
      <c r="G2390">
        <v>0.01</v>
      </c>
      <c r="H2390">
        <v>0</v>
      </c>
      <c r="J2390">
        <v>12008</v>
      </c>
      <c r="K2390">
        <v>19.399999999999999</v>
      </c>
      <c r="L2390">
        <v>80</v>
      </c>
      <c r="M2390">
        <v>3</v>
      </c>
      <c r="O2390">
        <v>3</v>
      </c>
      <c r="P2390">
        <v>0.9</v>
      </c>
      <c r="S2390">
        <v>7.6</v>
      </c>
      <c r="T2390">
        <v>7.4</v>
      </c>
      <c r="W2390" t="b" cm="1">
        <f t="array" ref="W2390">AND(ISNUMBER(LifeExpectancyData[[#This Row],[Adult Mortality]:[Schooling]]),ISNUMBER(LifeExpectancyData[[#This Row],[Life expectancy]]), LifeExpectancyData[[#This Row],[Year]]=2013)</f>
        <v>0</v>
      </c>
    </row>
    <row r="2391" spans="1:23" hidden="1" x14ac:dyDescent="0.25">
      <c r="A2391" t="s">
        <v>431</v>
      </c>
      <c r="B2391">
        <v>2003</v>
      </c>
      <c r="C2391" t="s">
        <v>273</v>
      </c>
      <c r="D2391">
        <v>51.1</v>
      </c>
      <c r="E2391">
        <v>344</v>
      </c>
      <c r="F2391">
        <v>48</v>
      </c>
      <c r="G2391">
        <v>0.01</v>
      </c>
      <c r="H2391">
        <v>0</v>
      </c>
      <c r="J2391">
        <v>8257</v>
      </c>
      <c r="K2391">
        <v>19</v>
      </c>
      <c r="L2391">
        <v>78</v>
      </c>
      <c r="M2391">
        <v>4</v>
      </c>
      <c r="O2391">
        <v>4</v>
      </c>
      <c r="P2391">
        <v>0.9</v>
      </c>
      <c r="S2391">
        <v>7.7</v>
      </c>
      <c r="T2391">
        <v>7.5</v>
      </c>
      <c r="W2391" t="b" cm="1">
        <f t="array" ref="W2391">AND(ISNUMBER(LifeExpectancyData[[#This Row],[Adult Mortality]:[Schooling]]),ISNUMBER(LifeExpectancyData[[#This Row],[Life expectancy]]), LifeExpectancyData[[#This Row],[Year]]=2013)</f>
        <v>0</v>
      </c>
    </row>
    <row r="2392" spans="1:23" hidden="1" x14ac:dyDescent="0.25">
      <c r="A2392" t="s">
        <v>431</v>
      </c>
      <c r="B2392">
        <v>2002</v>
      </c>
      <c r="C2392" t="s">
        <v>273</v>
      </c>
      <c r="D2392">
        <v>58</v>
      </c>
      <c r="E2392">
        <v>348</v>
      </c>
      <c r="F2392">
        <v>47</v>
      </c>
      <c r="G2392">
        <v>0.01</v>
      </c>
      <c r="H2392">
        <v>0</v>
      </c>
      <c r="J2392">
        <v>9559</v>
      </c>
      <c r="K2392">
        <v>18.600000000000001</v>
      </c>
      <c r="L2392">
        <v>77</v>
      </c>
      <c r="M2392">
        <v>4</v>
      </c>
      <c r="O2392">
        <v>4</v>
      </c>
      <c r="P2392">
        <v>0.9</v>
      </c>
      <c r="S2392">
        <v>7.8</v>
      </c>
      <c r="T2392">
        <v>7.6</v>
      </c>
      <c r="W2392" t="b" cm="1">
        <f t="array" ref="W2392">AND(ISNUMBER(LifeExpectancyData[[#This Row],[Adult Mortality]:[Schooling]]),ISNUMBER(LifeExpectancyData[[#This Row],[Life expectancy]]), LifeExpectancyData[[#This Row],[Year]]=2013)</f>
        <v>0</v>
      </c>
    </row>
    <row r="2393" spans="1:23" hidden="1" x14ac:dyDescent="0.25">
      <c r="A2393" t="s">
        <v>431</v>
      </c>
      <c r="B2393">
        <v>2001</v>
      </c>
      <c r="C2393" t="s">
        <v>273</v>
      </c>
      <c r="D2393">
        <v>57</v>
      </c>
      <c r="E2393">
        <v>352</v>
      </c>
      <c r="F2393">
        <v>46</v>
      </c>
      <c r="G2393">
        <v>0.01</v>
      </c>
      <c r="H2393">
        <v>0</v>
      </c>
      <c r="J2393">
        <v>3571</v>
      </c>
      <c r="K2393">
        <v>18.2</v>
      </c>
      <c r="L2393">
        <v>75</v>
      </c>
      <c r="M2393">
        <v>33</v>
      </c>
      <c r="O2393">
        <v>33</v>
      </c>
      <c r="P2393">
        <v>0.8</v>
      </c>
      <c r="S2393">
        <v>7.9</v>
      </c>
      <c r="T2393">
        <v>7.7</v>
      </c>
      <c r="W2393" t="b" cm="1">
        <f t="array" ref="W2393">AND(ISNUMBER(LifeExpectancyData[[#This Row],[Adult Mortality]:[Schooling]]),ISNUMBER(LifeExpectancyData[[#This Row],[Life expectancy]]), LifeExpectancyData[[#This Row],[Year]]=2013)</f>
        <v>0</v>
      </c>
    </row>
    <row r="2394" spans="1:23" hidden="1" x14ac:dyDescent="0.25">
      <c r="A2394" t="s">
        <v>431</v>
      </c>
      <c r="B2394">
        <v>2000</v>
      </c>
      <c r="C2394" t="s">
        <v>273</v>
      </c>
      <c r="D2394">
        <v>55</v>
      </c>
      <c r="E2394">
        <v>355</v>
      </c>
      <c r="F2394">
        <v>45</v>
      </c>
      <c r="G2394">
        <v>0.01</v>
      </c>
      <c r="H2394">
        <v>0</v>
      </c>
      <c r="J2394">
        <v>3965</v>
      </c>
      <c r="K2394">
        <v>17.8</v>
      </c>
      <c r="L2394">
        <v>74</v>
      </c>
      <c r="M2394">
        <v>37</v>
      </c>
      <c r="O2394">
        <v>33</v>
      </c>
      <c r="P2394">
        <v>0.8</v>
      </c>
      <c r="S2394">
        <v>8</v>
      </c>
      <c r="T2394">
        <v>7.9</v>
      </c>
      <c r="W2394" t="b" cm="1">
        <f t="array" ref="W2394">AND(ISNUMBER(LifeExpectancyData[[#This Row],[Adult Mortality]:[Schooling]]),ISNUMBER(LifeExpectancyData[[#This Row],[Life expectancy]]), LifeExpectancyData[[#This Row],[Year]]=2013)</f>
        <v>0</v>
      </c>
    </row>
    <row r="2395" spans="1:23" hidden="1" x14ac:dyDescent="0.25">
      <c r="A2395" t="s">
        <v>432</v>
      </c>
      <c r="B2395">
        <v>2015</v>
      </c>
      <c r="C2395" t="s">
        <v>273</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cm="1">
        <f t="array" ref="W2395">AND(ISNUMBER(LifeExpectancyData[[#This Row],[Adult Mortality]:[Schooling]]),ISNUMBER(LifeExpectancyData[[#This Row],[Life expectancy]]), LifeExpectancyData[[#This Row],[Year]]=2013)</f>
        <v>0</v>
      </c>
    </row>
    <row r="2396" spans="1:23" x14ac:dyDescent="0.25">
      <c r="A2396" t="s">
        <v>432</v>
      </c>
      <c r="B2396">
        <v>2014</v>
      </c>
      <c r="C2396" t="s">
        <v>273</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cm="1">
        <f t="array" ref="W2396">AND(ISNUMBER(LifeExpectancyData[[#This Row],[Adult Mortality]:[Schooling]]),ISNUMBER(LifeExpectancyData[[#This Row],[Life expectancy]]), LifeExpectancyData[[#This Row],[Year]]=2013)</f>
        <v>0</v>
      </c>
    </row>
    <row r="2397" spans="1:23" x14ac:dyDescent="0.25">
      <c r="A2397" t="s">
        <v>432</v>
      </c>
      <c r="B2397">
        <v>2013</v>
      </c>
      <c r="C2397" t="s">
        <v>273</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cm="1">
        <f t="array" ref="W2397">AND(ISNUMBER(LifeExpectancyData[[#This Row],[Adult Mortality]:[Schooling]]),ISNUMBER(LifeExpectancyData[[#This Row],[Life expectancy]]), LifeExpectancyData[[#This Row],[Year]]=2013)</f>
        <v>1</v>
      </c>
    </row>
    <row r="2398" spans="1:23" x14ac:dyDescent="0.25">
      <c r="A2398" t="s">
        <v>432</v>
      </c>
      <c r="B2398">
        <v>2012</v>
      </c>
      <c r="C2398" t="s">
        <v>273</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cm="1">
        <f t="array" ref="W2398">AND(ISNUMBER(LifeExpectancyData[[#This Row],[Adult Mortality]:[Schooling]]),ISNUMBER(LifeExpectancyData[[#This Row],[Life expectancy]]), LifeExpectancyData[[#This Row],[Year]]=2013)</f>
        <v>0</v>
      </c>
    </row>
    <row r="2399" spans="1:23" x14ac:dyDescent="0.25">
      <c r="A2399" t="s">
        <v>432</v>
      </c>
      <c r="B2399">
        <v>2011</v>
      </c>
      <c r="C2399" t="s">
        <v>273</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cm="1">
        <f t="array" ref="W2399">AND(ISNUMBER(LifeExpectancyData[[#This Row],[Adult Mortality]:[Schooling]]),ISNUMBER(LifeExpectancyData[[#This Row],[Life expectancy]]), LifeExpectancyData[[#This Row],[Year]]=2013)</f>
        <v>0</v>
      </c>
    </row>
    <row r="2400" spans="1:23" x14ac:dyDescent="0.25">
      <c r="A2400" t="s">
        <v>432</v>
      </c>
      <c r="B2400">
        <v>2010</v>
      </c>
      <c r="C2400" t="s">
        <v>273</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cm="1">
        <f t="array" ref="W2400">AND(ISNUMBER(LifeExpectancyData[[#This Row],[Adult Mortality]:[Schooling]]),ISNUMBER(LifeExpectancyData[[#This Row],[Life expectancy]]), LifeExpectancyData[[#This Row],[Year]]=2013)</f>
        <v>0</v>
      </c>
    </row>
    <row r="2401" spans="1:23" x14ac:dyDescent="0.25">
      <c r="A2401" t="s">
        <v>432</v>
      </c>
      <c r="B2401">
        <v>2009</v>
      </c>
      <c r="C2401" t="s">
        <v>273</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cm="1">
        <f t="array" ref="W2401">AND(ISNUMBER(LifeExpectancyData[[#This Row],[Adult Mortality]:[Schooling]]),ISNUMBER(LifeExpectancyData[[#This Row],[Life expectancy]]), LifeExpectancyData[[#This Row],[Year]]=2013)</f>
        <v>0</v>
      </c>
    </row>
    <row r="2402" spans="1:23" x14ac:dyDescent="0.25">
      <c r="A2402" t="s">
        <v>432</v>
      </c>
      <c r="B2402">
        <v>2008</v>
      </c>
      <c r="C2402" t="s">
        <v>273</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cm="1">
        <f t="array" ref="W2402">AND(ISNUMBER(LifeExpectancyData[[#This Row],[Adult Mortality]:[Schooling]]),ISNUMBER(LifeExpectancyData[[#This Row],[Life expectancy]]), LifeExpectancyData[[#This Row],[Year]]=2013)</f>
        <v>0</v>
      </c>
    </row>
    <row r="2403" spans="1:23" x14ac:dyDescent="0.25">
      <c r="A2403" t="s">
        <v>432</v>
      </c>
      <c r="B2403">
        <v>2007</v>
      </c>
      <c r="C2403" t="s">
        <v>273</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cm="1">
        <f t="array" ref="W2403">AND(ISNUMBER(LifeExpectancyData[[#This Row],[Adult Mortality]:[Schooling]]),ISNUMBER(LifeExpectancyData[[#This Row],[Life expectancy]]), LifeExpectancyData[[#This Row],[Year]]=2013)</f>
        <v>0</v>
      </c>
    </row>
    <row r="2404" spans="1:23" x14ac:dyDescent="0.25">
      <c r="A2404" t="s">
        <v>432</v>
      </c>
      <c r="B2404">
        <v>2006</v>
      </c>
      <c r="C2404" t="s">
        <v>273</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cm="1">
        <f t="array" ref="W2404">AND(ISNUMBER(LifeExpectancyData[[#This Row],[Adult Mortality]:[Schooling]]),ISNUMBER(LifeExpectancyData[[#This Row],[Life expectancy]]), LifeExpectancyData[[#This Row],[Year]]=2013)</f>
        <v>0</v>
      </c>
    </row>
    <row r="2405" spans="1:23" x14ac:dyDescent="0.25">
      <c r="A2405" t="s">
        <v>432</v>
      </c>
      <c r="B2405">
        <v>2005</v>
      </c>
      <c r="C2405" t="s">
        <v>273</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cm="1">
        <f t="array" ref="W2405">AND(ISNUMBER(LifeExpectancyData[[#This Row],[Adult Mortality]:[Schooling]]),ISNUMBER(LifeExpectancyData[[#This Row],[Life expectancy]]), LifeExpectancyData[[#This Row],[Year]]=2013)</f>
        <v>0</v>
      </c>
    </row>
    <row r="2406" spans="1:23" x14ac:dyDescent="0.25">
      <c r="A2406" t="s">
        <v>432</v>
      </c>
      <c r="B2406">
        <v>2004</v>
      </c>
      <c r="C2406" t="s">
        <v>273</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cm="1">
        <f t="array" ref="W2406">AND(ISNUMBER(LifeExpectancyData[[#This Row],[Adult Mortality]:[Schooling]]),ISNUMBER(LifeExpectancyData[[#This Row],[Life expectancy]]), LifeExpectancyData[[#This Row],[Year]]=2013)</f>
        <v>0</v>
      </c>
    </row>
    <row r="2407" spans="1:23" x14ac:dyDescent="0.25">
      <c r="A2407" t="s">
        <v>432</v>
      </c>
      <c r="B2407">
        <v>2003</v>
      </c>
      <c r="C2407" t="s">
        <v>273</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cm="1">
        <f t="array" ref="W2407">AND(ISNUMBER(LifeExpectancyData[[#This Row],[Adult Mortality]:[Schooling]]),ISNUMBER(LifeExpectancyData[[#This Row],[Life expectancy]]), LifeExpectancyData[[#This Row],[Year]]=2013)</f>
        <v>0</v>
      </c>
    </row>
    <row r="2408" spans="1:23" x14ac:dyDescent="0.25">
      <c r="A2408" t="s">
        <v>432</v>
      </c>
      <c r="B2408">
        <v>2002</v>
      </c>
      <c r="C2408" t="s">
        <v>273</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cm="1">
        <f t="array" ref="W2408">AND(ISNUMBER(LifeExpectancyData[[#This Row],[Adult Mortality]:[Schooling]]),ISNUMBER(LifeExpectancyData[[#This Row],[Life expectancy]]), LifeExpectancyData[[#This Row],[Year]]=2013)</f>
        <v>0</v>
      </c>
    </row>
    <row r="2409" spans="1:23" x14ac:dyDescent="0.25">
      <c r="A2409" t="s">
        <v>432</v>
      </c>
      <c r="B2409">
        <v>2001</v>
      </c>
      <c r="C2409" t="s">
        <v>273</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cm="1">
        <f t="array" ref="W2409">AND(ISNUMBER(LifeExpectancyData[[#This Row],[Adult Mortality]:[Schooling]]),ISNUMBER(LifeExpectancyData[[#This Row],[Life expectancy]]), LifeExpectancyData[[#This Row],[Year]]=2013)</f>
        <v>0</v>
      </c>
    </row>
    <row r="2410" spans="1:23" x14ac:dyDescent="0.25">
      <c r="A2410" t="s">
        <v>432</v>
      </c>
      <c r="B2410">
        <v>2000</v>
      </c>
      <c r="C2410" t="s">
        <v>273</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cm="1">
        <f t="array" ref="W2410">AND(ISNUMBER(LifeExpectancyData[[#This Row],[Adult Mortality]:[Schooling]]),ISNUMBER(LifeExpectancyData[[#This Row],[Life expectancy]]), LifeExpectancyData[[#This Row],[Year]]=2013)</f>
        <v>0</v>
      </c>
    </row>
    <row r="2411" spans="1:23" hidden="1" x14ac:dyDescent="0.25">
      <c r="A2411" t="s">
        <v>433</v>
      </c>
      <c r="B2411">
        <v>2015</v>
      </c>
      <c r="C2411" t="s">
        <v>273</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cm="1">
        <f t="array" ref="W2411">AND(ISNUMBER(LifeExpectancyData[[#This Row],[Adult Mortality]:[Schooling]]),ISNUMBER(LifeExpectancyData[[#This Row],[Life expectancy]]), LifeExpectancyData[[#This Row],[Year]]=2013)</f>
        <v>0</v>
      </c>
    </row>
    <row r="2412" spans="1:23" hidden="1" x14ac:dyDescent="0.25">
      <c r="A2412" t="s">
        <v>433</v>
      </c>
      <c r="B2412">
        <v>2014</v>
      </c>
      <c r="C2412" t="s">
        <v>273</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cm="1">
        <f t="array" ref="W2412">AND(ISNUMBER(LifeExpectancyData[[#This Row],[Adult Mortality]:[Schooling]]),ISNUMBER(LifeExpectancyData[[#This Row],[Life expectancy]]), LifeExpectancyData[[#This Row],[Year]]=2013)</f>
        <v>0</v>
      </c>
    </row>
    <row r="2413" spans="1:23" hidden="1" x14ac:dyDescent="0.25">
      <c r="A2413" t="s">
        <v>433</v>
      </c>
      <c r="B2413">
        <v>2013</v>
      </c>
      <c r="C2413" t="s">
        <v>273</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cm="1">
        <f t="array" ref="W2413">AND(ISNUMBER(LifeExpectancyData[[#This Row],[Adult Mortality]:[Schooling]]),ISNUMBER(LifeExpectancyData[[#This Row],[Life expectancy]]), LifeExpectancyData[[#This Row],[Year]]=2013)</f>
        <v>0</v>
      </c>
    </row>
    <row r="2414" spans="1:23" hidden="1" x14ac:dyDescent="0.25">
      <c r="A2414" t="s">
        <v>433</v>
      </c>
      <c r="B2414">
        <v>2012</v>
      </c>
      <c r="C2414" t="s">
        <v>273</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cm="1">
        <f t="array" ref="W2414">AND(ISNUMBER(LifeExpectancyData[[#This Row],[Adult Mortality]:[Schooling]]),ISNUMBER(LifeExpectancyData[[#This Row],[Life expectancy]]), LifeExpectancyData[[#This Row],[Year]]=2013)</f>
        <v>0</v>
      </c>
    </row>
    <row r="2415" spans="1:23" hidden="1" x14ac:dyDescent="0.25">
      <c r="A2415" t="s">
        <v>433</v>
      </c>
      <c r="B2415">
        <v>2011</v>
      </c>
      <c r="C2415" t="s">
        <v>273</v>
      </c>
      <c r="D2415">
        <v>55.4</v>
      </c>
      <c r="E2415">
        <v>355</v>
      </c>
      <c r="F2415">
        <v>27</v>
      </c>
      <c r="H2415">
        <v>0</v>
      </c>
      <c r="J2415">
        <v>1256</v>
      </c>
      <c r="L2415">
        <v>41</v>
      </c>
      <c r="M2415">
        <v>66</v>
      </c>
      <c r="O2415">
        <v>61</v>
      </c>
      <c r="P2415">
        <v>3.9</v>
      </c>
      <c r="Q2415">
        <v>176.97130000000001</v>
      </c>
      <c r="R2415">
        <v>1448857</v>
      </c>
      <c r="U2415">
        <v>0.42899999999999999</v>
      </c>
      <c r="V2415">
        <v>4.9000000000000004</v>
      </c>
      <c r="W2415" t="b" cm="1">
        <f t="array" ref="W2415">AND(ISNUMBER(LifeExpectancyData[[#This Row],[Adult Mortality]:[Schooling]]),ISNUMBER(LifeExpectancyData[[#This Row],[Life expectancy]]), LifeExpectancyData[[#This Row],[Year]]=2013)</f>
        <v>0</v>
      </c>
    </row>
    <row r="2416" spans="1:23" hidden="1" x14ac:dyDescent="0.25">
      <c r="A2416" t="s">
        <v>433</v>
      </c>
      <c r="B2416">
        <v>2010</v>
      </c>
      <c r="C2416" t="s">
        <v>273</v>
      </c>
      <c r="D2416">
        <v>55</v>
      </c>
      <c r="E2416">
        <v>359</v>
      </c>
      <c r="F2416">
        <v>27</v>
      </c>
      <c r="H2416">
        <v>0</v>
      </c>
      <c r="J2416">
        <v>0</v>
      </c>
      <c r="L2416">
        <v>41</v>
      </c>
      <c r="P2416">
        <v>4</v>
      </c>
      <c r="Q2416">
        <v>1562.2393460000001</v>
      </c>
      <c r="R2416">
        <v>167192</v>
      </c>
      <c r="U2416">
        <v>0</v>
      </c>
      <c r="V2416">
        <v>0</v>
      </c>
      <c r="W2416" t="b" cm="1">
        <f t="array" ref="W2416">AND(ISNUMBER(LifeExpectancyData[[#This Row],[Adult Mortality]:[Schooling]]),ISNUMBER(LifeExpectancyData[[#This Row],[Life expectancy]]), LifeExpectancyData[[#This Row],[Year]]=2013)</f>
        <v>0</v>
      </c>
    </row>
    <row r="2417" spans="1:23" hidden="1" x14ac:dyDescent="0.25">
      <c r="A2417" t="s">
        <v>433</v>
      </c>
      <c r="B2417">
        <v>2009</v>
      </c>
      <c r="C2417" t="s">
        <v>273</v>
      </c>
      <c r="D2417">
        <v>54.3</v>
      </c>
      <c r="E2417">
        <v>369</v>
      </c>
      <c r="F2417">
        <v>27</v>
      </c>
      <c r="H2417">
        <v>0</v>
      </c>
      <c r="J2417">
        <v>0</v>
      </c>
      <c r="L2417">
        <v>42</v>
      </c>
      <c r="P2417">
        <v>4.2</v>
      </c>
      <c r="Q2417">
        <v>1264.78998</v>
      </c>
      <c r="R2417">
        <v>967667</v>
      </c>
      <c r="U2417">
        <v>0</v>
      </c>
      <c r="V2417">
        <v>0</v>
      </c>
      <c r="W2417" t="b" cm="1">
        <f t="array" ref="W2417">AND(ISNUMBER(LifeExpectancyData[[#This Row],[Adult Mortality]:[Schooling]]),ISNUMBER(LifeExpectancyData[[#This Row],[Life expectancy]]), LifeExpectancyData[[#This Row],[Year]]=2013)</f>
        <v>0</v>
      </c>
    </row>
    <row r="2418" spans="1:23" hidden="1" x14ac:dyDescent="0.25">
      <c r="A2418" t="s">
        <v>433</v>
      </c>
      <c r="B2418">
        <v>2008</v>
      </c>
      <c r="C2418" t="s">
        <v>273</v>
      </c>
      <c r="D2418">
        <v>53.6</v>
      </c>
      <c r="E2418">
        <v>377</v>
      </c>
      <c r="F2418">
        <v>27</v>
      </c>
      <c r="H2418">
        <v>0</v>
      </c>
      <c r="J2418">
        <v>0</v>
      </c>
      <c r="L2418">
        <v>42</v>
      </c>
      <c r="P2418">
        <v>4.2</v>
      </c>
      <c r="Q2418">
        <v>1678.7118620000001</v>
      </c>
      <c r="R2418">
        <v>9263136</v>
      </c>
      <c r="U2418">
        <v>0</v>
      </c>
      <c r="V2418">
        <v>0</v>
      </c>
      <c r="W2418" t="b" cm="1">
        <f t="array" ref="W2418">AND(ISNUMBER(LifeExpectancyData[[#This Row],[Adult Mortality]:[Schooling]]),ISNUMBER(LifeExpectancyData[[#This Row],[Life expectancy]]), LifeExpectancyData[[#This Row],[Year]]=2013)</f>
        <v>0</v>
      </c>
    </row>
    <row r="2419" spans="1:23" hidden="1" x14ac:dyDescent="0.25">
      <c r="A2419" t="s">
        <v>433</v>
      </c>
      <c r="B2419">
        <v>2007</v>
      </c>
      <c r="C2419" t="s">
        <v>273</v>
      </c>
      <c r="D2419">
        <v>53.1</v>
      </c>
      <c r="E2419">
        <v>381</v>
      </c>
      <c r="F2419">
        <v>27</v>
      </c>
      <c r="H2419">
        <v>0</v>
      </c>
      <c r="J2419">
        <v>0</v>
      </c>
      <c r="L2419">
        <v>43</v>
      </c>
      <c r="P2419">
        <v>4.2</v>
      </c>
      <c r="R2419">
        <v>88568</v>
      </c>
      <c r="U2419">
        <v>0</v>
      </c>
      <c r="V2419">
        <v>0</v>
      </c>
      <c r="W2419" t="b" cm="1">
        <f t="array" ref="W2419">AND(ISNUMBER(LifeExpectancyData[[#This Row],[Adult Mortality]:[Schooling]]),ISNUMBER(LifeExpectancyData[[#This Row],[Life expectancy]]), LifeExpectancyData[[#This Row],[Year]]=2013)</f>
        <v>0</v>
      </c>
    </row>
    <row r="2420" spans="1:23" hidden="1" x14ac:dyDescent="0.25">
      <c r="A2420" t="s">
        <v>433</v>
      </c>
      <c r="B2420">
        <v>2006</v>
      </c>
      <c r="C2420" t="s">
        <v>273</v>
      </c>
      <c r="D2420">
        <v>52.5</v>
      </c>
      <c r="E2420">
        <v>383</v>
      </c>
      <c r="F2420">
        <v>28</v>
      </c>
      <c r="H2420">
        <v>0</v>
      </c>
      <c r="J2420">
        <v>0</v>
      </c>
      <c r="L2420">
        <v>43</v>
      </c>
      <c r="P2420">
        <v>4.0999999999999996</v>
      </c>
      <c r="R2420">
        <v>8468152</v>
      </c>
      <c r="U2420">
        <v>0</v>
      </c>
      <c r="V2420">
        <v>0</v>
      </c>
      <c r="W2420" t="b" cm="1">
        <f t="array" ref="W2420">AND(ISNUMBER(LifeExpectancyData[[#This Row],[Adult Mortality]:[Schooling]]),ISNUMBER(LifeExpectancyData[[#This Row],[Life expectancy]]), LifeExpectancyData[[#This Row],[Year]]=2013)</f>
        <v>0</v>
      </c>
    </row>
    <row r="2421" spans="1:23" hidden="1" x14ac:dyDescent="0.25">
      <c r="A2421" t="s">
        <v>433</v>
      </c>
      <c r="B2421">
        <v>2005</v>
      </c>
      <c r="C2421" t="s">
        <v>273</v>
      </c>
      <c r="D2421">
        <v>51.9</v>
      </c>
      <c r="E2421">
        <v>383</v>
      </c>
      <c r="F2421">
        <v>28</v>
      </c>
      <c r="H2421">
        <v>0</v>
      </c>
      <c r="J2421">
        <v>0</v>
      </c>
      <c r="L2421">
        <v>44</v>
      </c>
      <c r="P2421">
        <v>3.9</v>
      </c>
      <c r="R2421">
        <v>818877</v>
      </c>
      <c r="U2421">
        <v>0</v>
      </c>
      <c r="V2421">
        <v>0</v>
      </c>
      <c r="W2421" t="b" cm="1">
        <f t="array" ref="W2421">AND(ISNUMBER(LifeExpectancyData[[#This Row],[Adult Mortality]:[Schooling]]),ISNUMBER(LifeExpectancyData[[#This Row],[Life expectancy]]), LifeExpectancyData[[#This Row],[Year]]=2013)</f>
        <v>0</v>
      </c>
    </row>
    <row r="2422" spans="1:23" hidden="1" x14ac:dyDescent="0.25">
      <c r="A2422" t="s">
        <v>433</v>
      </c>
      <c r="B2422">
        <v>2004</v>
      </c>
      <c r="C2422" t="s">
        <v>273</v>
      </c>
      <c r="D2422">
        <v>51.4</v>
      </c>
      <c r="E2422">
        <v>383</v>
      </c>
      <c r="F2422">
        <v>29</v>
      </c>
      <c r="H2422">
        <v>0</v>
      </c>
      <c r="J2422">
        <v>0</v>
      </c>
      <c r="L2422">
        <v>45</v>
      </c>
      <c r="P2422">
        <v>3.8</v>
      </c>
      <c r="R2422">
        <v>7787655</v>
      </c>
      <c r="U2422">
        <v>0</v>
      </c>
      <c r="V2422">
        <v>0</v>
      </c>
      <c r="W2422" t="b" cm="1">
        <f t="array" ref="W2422">AND(ISNUMBER(LifeExpectancyData[[#This Row],[Adult Mortality]:[Schooling]]),ISNUMBER(LifeExpectancyData[[#This Row],[Life expectancy]]), LifeExpectancyData[[#This Row],[Year]]=2013)</f>
        <v>0</v>
      </c>
    </row>
    <row r="2423" spans="1:23" hidden="1" x14ac:dyDescent="0.25">
      <c r="A2423" t="s">
        <v>433</v>
      </c>
      <c r="B2423">
        <v>2003</v>
      </c>
      <c r="C2423" t="s">
        <v>273</v>
      </c>
      <c r="D2423">
        <v>58</v>
      </c>
      <c r="E2423">
        <v>383</v>
      </c>
      <c r="F2423">
        <v>29</v>
      </c>
      <c r="H2423">
        <v>0</v>
      </c>
      <c r="J2423">
        <v>0</v>
      </c>
      <c r="L2423">
        <v>46</v>
      </c>
      <c r="P2423">
        <v>3.5</v>
      </c>
      <c r="R2423">
        <v>751642</v>
      </c>
      <c r="U2423">
        <v>0</v>
      </c>
      <c r="V2423">
        <v>0</v>
      </c>
      <c r="W2423" t="b" cm="1">
        <f t="array" ref="W2423">AND(ISNUMBER(LifeExpectancyData[[#This Row],[Adult Mortality]:[Schooling]]),ISNUMBER(LifeExpectancyData[[#This Row],[Life expectancy]]), LifeExpectancyData[[#This Row],[Year]]=2013)</f>
        <v>0</v>
      </c>
    </row>
    <row r="2424" spans="1:23" hidden="1" x14ac:dyDescent="0.25">
      <c r="A2424" t="s">
        <v>433</v>
      </c>
      <c r="B2424">
        <v>2002</v>
      </c>
      <c r="C2424" t="s">
        <v>273</v>
      </c>
      <c r="D2424">
        <v>52</v>
      </c>
      <c r="E2424">
        <v>382</v>
      </c>
      <c r="F2424">
        <v>30</v>
      </c>
      <c r="H2424">
        <v>0</v>
      </c>
      <c r="J2424">
        <v>0</v>
      </c>
      <c r="L2424">
        <v>48</v>
      </c>
      <c r="P2424">
        <v>3.3</v>
      </c>
      <c r="R2424">
        <v>7237276</v>
      </c>
      <c r="U2424">
        <v>0</v>
      </c>
      <c r="V2424">
        <v>0</v>
      </c>
      <c r="W2424" t="b" cm="1">
        <f t="array" ref="W2424">AND(ISNUMBER(LifeExpectancyData[[#This Row],[Adult Mortality]:[Schooling]]),ISNUMBER(LifeExpectancyData[[#This Row],[Life expectancy]]), LifeExpectancyData[[#This Row],[Year]]=2013)</f>
        <v>0</v>
      </c>
    </row>
    <row r="2425" spans="1:23" hidden="1" x14ac:dyDescent="0.25">
      <c r="A2425" t="s">
        <v>433</v>
      </c>
      <c r="B2425">
        <v>2001</v>
      </c>
      <c r="C2425" t="s">
        <v>273</v>
      </c>
      <c r="D2425">
        <v>49.6</v>
      </c>
      <c r="E2425">
        <v>381</v>
      </c>
      <c r="F2425">
        <v>30</v>
      </c>
      <c r="H2425">
        <v>0</v>
      </c>
      <c r="J2425">
        <v>0</v>
      </c>
      <c r="L2425">
        <v>49</v>
      </c>
      <c r="P2425">
        <v>3</v>
      </c>
      <c r="R2425">
        <v>6974442</v>
      </c>
      <c r="U2425">
        <v>0</v>
      </c>
      <c r="V2425">
        <v>0</v>
      </c>
      <c r="W2425" t="b" cm="1">
        <f t="array" ref="W2425">AND(ISNUMBER(LifeExpectancyData[[#This Row],[Adult Mortality]:[Schooling]]),ISNUMBER(LifeExpectancyData[[#This Row],[Life expectancy]]), LifeExpectancyData[[#This Row],[Year]]=2013)</f>
        <v>0</v>
      </c>
    </row>
    <row r="2426" spans="1:23" hidden="1" x14ac:dyDescent="0.25">
      <c r="A2426" t="s">
        <v>433</v>
      </c>
      <c r="B2426">
        <v>2000</v>
      </c>
      <c r="C2426" t="s">
        <v>273</v>
      </c>
      <c r="D2426">
        <v>48.9</v>
      </c>
      <c r="E2426">
        <v>38</v>
      </c>
      <c r="F2426">
        <v>31</v>
      </c>
      <c r="H2426">
        <v>0</v>
      </c>
      <c r="J2426">
        <v>0</v>
      </c>
      <c r="L2426">
        <v>50</v>
      </c>
      <c r="P2426">
        <v>2.7</v>
      </c>
      <c r="R2426">
        <v>67656</v>
      </c>
      <c r="U2426">
        <v>0</v>
      </c>
      <c r="V2426">
        <v>0</v>
      </c>
      <c r="W2426" t="b" cm="1">
        <f t="array" ref="W2426">AND(ISNUMBER(LifeExpectancyData[[#This Row],[Adult Mortality]:[Schooling]]),ISNUMBER(LifeExpectancyData[[#This Row],[Life expectancy]]), LifeExpectancyData[[#This Row],[Year]]=2013)</f>
        <v>0</v>
      </c>
    </row>
    <row r="2427" spans="1:23" hidden="1" x14ac:dyDescent="0.25">
      <c r="A2427" t="s">
        <v>434</v>
      </c>
      <c r="B2427">
        <v>2015</v>
      </c>
      <c r="C2427" t="s">
        <v>281</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cm="1">
        <f t="array" ref="W2427">AND(ISNUMBER(LifeExpectancyData[[#This Row],[Adult Mortality]:[Schooling]]),ISNUMBER(LifeExpectancyData[[#This Row],[Life expectancy]]), LifeExpectancyData[[#This Row],[Year]]=2013)</f>
        <v>0</v>
      </c>
    </row>
    <row r="2428" spans="1:23" x14ac:dyDescent="0.25">
      <c r="A2428" t="s">
        <v>434</v>
      </c>
      <c r="B2428">
        <v>2014</v>
      </c>
      <c r="C2428" t="s">
        <v>281</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cm="1">
        <f t="array" ref="W2428">AND(ISNUMBER(LifeExpectancyData[[#This Row],[Adult Mortality]:[Schooling]]),ISNUMBER(LifeExpectancyData[[#This Row],[Life expectancy]]), LifeExpectancyData[[#This Row],[Year]]=2013)</f>
        <v>0</v>
      </c>
    </row>
    <row r="2429" spans="1:23" x14ac:dyDescent="0.25">
      <c r="A2429" t="s">
        <v>434</v>
      </c>
      <c r="B2429">
        <v>2013</v>
      </c>
      <c r="C2429" t="s">
        <v>281</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cm="1">
        <f t="array" ref="W2429">AND(ISNUMBER(LifeExpectancyData[[#This Row],[Adult Mortality]:[Schooling]]),ISNUMBER(LifeExpectancyData[[#This Row],[Life expectancy]]), LifeExpectancyData[[#This Row],[Year]]=2013)</f>
        <v>1</v>
      </c>
    </row>
    <row r="2430" spans="1:23" x14ac:dyDescent="0.25">
      <c r="A2430" t="s">
        <v>434</v>
      </c>
      <c r="B2430">
        <v>2012</v>
      </c>
      <c r="C2430" t="s">
        <v>281</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cm="1">
        <f t="array" ref="W2430">AND(ISNUMBER(LifeExpectancyData[[#This Row],[Adult Mortality]:[Schooling]]),ISNUMBER(LifeExpectancyData[[#This Row],[Life expectancy]]), LifeExpectancyData[[#This Row],[Year]]=2013)</f>
        <v>0</v>
      </c>
    </row>
    <row r="2431" spans="1:23" x14ac:dyDescent="0.25">
      <c r="A2431" t="s">
        <v>434</v>
      </c>
      <c r="B2431">
        <v>2011</v>
      </c>
      <c r="C2431" t="s">
        <v>281</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cm="1">
        <f t="array" ref="W2431">AND(ISNUMBER(LifeExpectancyData[[#This Row],[Adult Mortality]:[Schooling]]),ISNUMBER(LifeExpectancyData[[#This Row],[Life expectancy]]), LifeExpectancyData[[#This Row],[Year]]=2013)</f>
        <v>0</v>
      </c>
    </row>
    <row r="2432" spans="1:23" x14ac:dyDescent="0.25">
      <c r="A2432" t="s">
        <v>434</v>
      </c>
      <c r="B2432">
        <v>2010</v>
      </c>
      <c r="C2432" t="s">
        <v>281</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cm="1">
        <f t="array" ref="W2432">AND(ISNUMBER(LifeExpectancyData[[#This Row],[Adult Mortality]:[Schooling]]),ISNUMBER(LifeExpectancyData[[#This Row],[Life expectancy]]), LifeExpectancyData[[#This Row],[Year]]=2013)</f>
        <v>0</v>
      </c>
    </row>
    <row r="2433" spans="1:23" x14ac:dyDescent="0.25">
      <c r="A2433" t="s">
        <v>434</v>
      </c>
      <c r="B2433">
        <v>2009</v>
      </c>
      <c r="C2433" t="s">
        <v>281</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cm="1">
        <f t="array" ref="W2433">AND(ISNUMBER(LifeExpectancyData[[#This Row],[Adult Mortality]:[Schooling]]),ISNUMBER(LifeExpectancyData[[#This Row],[Life expectancy]]), LifeExpectancyData[[#This Row],[Year]]=2013)</f>
        <v>0</v>
      </c>
    </row>
    <row r="2434" spans="1:23" x14ac:dyDescent="0.25">
      <c r="A2434" t="s">
        <v>434</v>
      </c>
      <c r="B2434">
        <v>2008</v>
      </c>
      <c r="C2434" t="s">
        <v>281</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cm="1">
        <f t="array" ref="W2434">AND(ISNUMBER(LifeExpectancyData[[#This Row],[Adult Mortality]:[Schooling]]),ISNUMBER(LifeExpectancyData[[#This Row],[Life expectancy]]), LifeExpectancyData[[#This Row],[Year]]=2013)</f>
        <v>0</v>
      </c>
    </row>
    <row r="2435" spans="1:23" x14ac:dyDescent="0.25">
      <c r="A2435" t="s">
        <v>434</v>
      </c>
      <c r="B2435">
        <v>2007</v>
      </c>
      <c r="C2435" t="s">
        <v>281</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cm="1">
        <f t="array" ref="W2435">AND(ISNUMBER(LifeExpectancyData[[#This Row],[Adult Mortality]:[Schooling]]),ISNUMBER(LifeExpectancyData[[#This Row],[Life expectancy]]), LifeExpectancyData[[#This Row],[Year]]=2013)</f>
        <v>0</v>
      </c>
    </row>
    <row r="2436" spans="1:23" x14ac:dyDescent="0.25">
      <c r="A2436" t="s">
        <v>434</v>
      </c>
      <c r="B2436">
        <v>2006</v>
      </c>
      <c r="C2436" t="s">
        <v>281</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cm="1">
        <f t="array" ref="W2436">AND(ISNUMBER(LifeExpectancyData[[#This Row],[Adult Mortality]:[Schooling]]),ISNUMBER(LifeExpectancyData[[#This Row],[Life expectancy]]), LifeExpectancyData[[#This Row],[Year]]=2013)</f>
        <v>0</v>
      </c>
    </row>
    <row r="2437" spans="1:23" x14ac:dyDescent="0.25">
      <c r="A2437" t="s">
        <v>434</v>
      </c>
      <c r="B2437">
        <v>2005</v>
      </c>
      <c r="C2437" t="s">
        <v>281</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cm="1">
        <f t="array" ref="W2437">AND(ISNUMBER(LifeExpectancyData[[#This Row],[Adult Mortality]:[Schooling]]),ISNUMBER(LifeExpectancyData[[#This Row],[Life expectancy]]), LifeExpectancyData[[#This Row],[Year]]=2013)</f>
        <v>0</v>
      </c>
    </row>
    <row r="2438" spans="1:23" x14ac:dyDescent="0.25">
      <c r="A2438" t="s">
        <v>434</v>
      </c>
      <c r="B2438">
        <v>2004</v>
      </c>
      <c r="C2438" t="s">
        <v>281</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cm="1">
        <f t="array" ref="W2438">AND(ISNUMBER(LifeExpectancyData[[#This Row],[Adult Mortality]:[Schooling]]),ISNUMBER(LifeExpectancyData[[#This Row],[Life expectancy]]), LifeExpectancyData[[#This Row],[Year]]=2013)</f>
        <v>0</v>
      </c>
    </row>
    <row r="2439" spans="1:23" x14ac:dyDescent="0.25">
      <c r="A2439" t="s">
        <v>434</v>
      </c>
      <c r="B2439">
        <v>2003</v>
      </c>
      <c r="C2439" t="s">
        <v>281</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cm="1">
        <f t="array" ref="W2439">AND(ISNUMBER(LifeExpectancyData[[#This Row],[Adult Mortality]:[Schooling]]),ISNUMBER(LifeExpectancyData[[#This Row],[Life expectancy]]), LifeExpectancyData[[#This Row],[Year]]=2013)</f>
        <v>0</v>
      </c>
    </row>
    <row r="2440" spans="1:23" x14ac:dyDescent="0.25">
      <c r="A2440" t="s">
        <v>434</v>
      </c>
      <c r="B2440">
        <v>2002</v>
      </c>
      <c r="C2440" t="s">
        <v>281</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cm="1">
        <f t="array" ref="W2440">AND(ISNUMBER(LifeExpectancyData[[#This Row],[Adult Mortality]:[Schooling]]),ISNUMBER(LifeExpectancyData[[#This Row],[Life expectancy]]), LifeExpectancyData[[#This Row],[Year]]=2013)</f>
        <v>0</v>
      </c>
    </row>
    <row r="2441" spans="1:23" x14ac:dyDescent="0.25">
      <c r="A2441" t="s">
        <v>434</v>
      </c>
      <c r="B2441">
        <v>2001</v>
      </c>
      <c r="C2441" t="s">
        <v>281</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cm="1">
        <f t="array" ref="W2441">AND(ISNUMBER(LifeExpectancyData[[#This Row],[Adult Mortality]:[Schooling]]),ISNUMBER(LifeExpectancyData[[#This Row],[Life expectancy]]), LifeExpectancyData[[#This Row],[Year]]=2013)</f>
        <v>0</v>
      </c>
    </row>
    <row r="2442" spans="1:23" x14ac:dyDescent="0.25">
      <c r="A2442" t="s">
        <v>434</v>
      </c>
      <c r="B2442">
        <v>2000</v>
      </c>
      <c r="C2442" t="s">
        <v>281</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cm="1">
        <f t="array" ref="W2442">AND(ISNUMBER(LifeExpectancyData[[#This Row],[Adult Mortality]:[Schooling]]),ISNUMBER(LifeExpectancyData[[#This Row],[Life expectancy]]), LifeExpectancyData[[#This Row],[Year]]=2013)</f>
        <v>0</v>
      </c>
    </row>
    <row r="2443" spans="1:23" hidden="1" x14ac:dyDescent="0.25">
      <c r="A2443" t="s">
        <v>435</v>
      </c>
      <c r="B2443">
        <v>2015</v>
      </c>
      <c r="C2443" t="s">
        <v>273</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cm="1">
        <f t="array" ref="W2443">AND(ISNUMBER(LifeExpectancyData[[#This Row],[Adult Mortality]:[Schooling]]),ISNUMBER(LifeExpectancyData[[#This Row],[Life expectancy]]), LifeExpectancyData[[#This Row],[Year]]=2013)</f>
        <v>0</v>
      </c>
    </row>
    <row r="2444" spans="1:23" x14ac:dyDescent="0.25">
      <c r="A2444" t="s">
        <v>435</v>
      </c>
      <c r="B2444">
        <v>2014</v>
      </c>
      <c r="C2444" t="s">
        <v>273</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cm="1">
        <f t="array" ref="W2444">AND(ISNUMBER(LifeExpectancyData[[#This Row],[Adult Mortality]:[Schooling]]),ISNUMBER(LifeExpectancyData[[#This Row],[Life expectancy]]), LifeExpectancyData[[#This Row],[Year]]=2013)</f>
        <v>0</v>
      </c>
    </row>
    <row r="2445" spans="1:23" x14ac:dyDescent="0.25">
      <c r="A2445" t="s">
        <v>435</v>
      </c>
      <c r="B2445">
        <v>2013</v>
      </c>
      <c r="C2445" t="s">
        <v>273</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cm="1">
        <f t="array" ref="W2445">AND(ISNUMBER(LifeExpectancyData[[#This Row],[Adult Mortality]:[Schooling]]),ISNUMBER(LifeExpectancyData[[#This Row],[Life expectancy]]), LifeExpectancyData[[#This Row],[Year]]=2013)</f>
        <v>1</v>
      </c>
    </row>
    <row r="2446" spans="1:23" x14ac:dyDescent="0.25">
      <c r="A2446" t="s">
        <v>435</v>
      </c>
      <c r="B2446">
        <v>2012</v>
      </c>
      <c r="C2446" t="s">
        <v>273</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cm="1">
        <f t="array" ref="W2446">AND(ISNUMBER(LifeExpectancyData[[#This Row],[Adult Mortality]:[Schooling]]),ISNUMBER(LifeExpectancyData[[#This Row],[Life expectancy]]), LifeExpectancyData[[#This Row],[Year]]=2013)</f>
        <v>0</v>
      </c>
    </row>
    <row r="2447" spans="1:23" x14ac:dyDescent="0.25">
      <c r="A2447" t="s">
        <v>435</v>
      </c>
      <c r="B2447">
        <v>2011</v>
      </c>
      <c r="C2447" t="s">
        <v>273</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cm="1">
        <f t="array" ref="W2447">AND(ISNUMBER(LifeExpectancyData[[#This Row],[Adult Mortality]:[Schooling]]),ISNUMBER(LifeExpectancyData[[#This Row],[Life expectancy]]), LifeExpectancyData[[#This Row],[Year]]=2013)</f>
        <v>0</v>
      </c>
    </row>
    <row r="2448" spans="1:23" x14ac:dyDescent="0.25">
      <c r="A2448" t="s">
        <v>435</v>
      </c>
      <c r="B2448">
        <v>2010</v>
      </c>
      <c r="C2448" t="s">
        <v>273</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cm="1">
        <f t="array" ref="W2448">AND(ISNUMBER(LifeExpectancyData[[#This Row],[Adult Mortality]:[Schooling]]),ISNUMBER(LifeExpectancyData[[#This Row],[Life expectancy]]), LifeExpectancyData[[#This Row],[Year]]=2013)</f>
        <v>0</v>
      </c>
    </row>
    <row r="2449" spans="1:23" x14ac:dyDescent="0.25">
      <c r="A2449" t="s">
        <v>435</v>
      </c>
      <c r="B2449">
        <v>2009</v>
      </c>
      <c r="C2449" t="s">
        <v>273</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cm="1">
        <f t="array" ref="W2449">AND(ISNUMBER(LifeExpectancyData[[#This Row],[Adult Mortality]:[Schooling]]),ISNUMBER(LifeExpectancyData[[#This Row],[Life expectancy]]), LifeExpectancyData[[#This Row],[Year]]=2013)</f>
        <v>0</v>
      </c>
    </row>
    <row r="2450" spans="1:23" x14ac:dyDescent="0.25">
      <c r="A2450" t="s">
        <v>435</v>
      </c>
      <c r="B2450">
        <v>2008</v>
      </c>
      <c r="C2450" t="s">
        <v>273</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cm="1">
        <f t="array" ref="W2450">AND(ISNUMBER(LifeExpectancyData[[#This Row],[Adult Mortality]:[Schooling]]),ISNUMBER(LifeExpectancyData[[#This Row],[Life expectancy]]), LifeExpectancyData[[#This Row],[Year]]=2013)</f>
        <v>0</v>
      </c>
    </row>
    <row r="2451" spans="1:23" x14ac:dyDescent="0.25">
      <c r="A2451" t="s">
        <v>435</v>
      </c>
      <c r="B2451">
        <v>2007</v>
      </c>
      <c r="C2451" t="s">
        <v>273</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cm="1">
        <f t="array" ref="W2451">AND(ISNUMBER(LifeExpectancyData[[#This Row],[Adult Mortality]:[Schooling]]),ISNUMBER(LifeExpectancyData[[#This Row],[Life expectancy]]), LifeExpectancyData[[#This Row],[Year]]=2013)</f>
        <v>0</v>
      </c>
    </row>
    <row r="2452" spans="1:23" x14ac:dyDescent="0.25">
      <c r="A2452" t="s">
        <v>435</v>
      </c>
      <c r="B2452">
        <v>2006</v>
      </c>
      <c r="C2452" t="s">
        <v>273</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cm="1">
        <f t="array" ref="W2452">AND(ISNUMBER(LifeExpectancyData[[#This Row],[Adult Mortality]:[Schooling]]),ISNUMBER(LifeExpectancyData[[#This Row],[Life expectancy]]), LifeExpectancyData[[#This Row],[Year]]=2013)</f>
        <v>0</v>
      </c>
    </row>
    <row r="2453" spans="1:23" x14ac:dyDescent="0.25">
      <c r="A2453" t="s">
        <v>435</v>
      </c>
      <c r="B2453">
        <v>2005</v>
      </c>
      <c r="C2453" t="s">
        <v>273</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cm="1">
        <f t="array" ref="W2453">AND(ISNUMBER(LifeExpectancyData[[#This Row],[Adult Mortality]:[Schooling]]),ISNUMBER(LifeExpectancyData[[#This Row],[Life expectancy]]), LifeExpectancyData[[#This Row],[Year]]=2013)</f>
        <v>0</v>
      </c>
    </row>
    <row r="2454" spans="1:23" x14ac:dyDescent="0.25">
      <c r="A2454" t="s">
        <v>435</v>
      </c>
      <c r="B2454">
        <v>2004</v>
      </c>
      <c r="C2454" t="s">
        <v>273</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cm="1">
        <f t="array" ref="W2454">AND(ISNUMBER(LifeExpectancyData[[#This Row],[Adult Mortality]:[Schooling]]),ISNUMBER(LifeExpectancyData[[#This Row],[Life expectancy]]), LifeExpectancyData[[#This Row],[Year]]=2013)</f>
        <v>0</v>
      </c>
    </row>
    <row r="2455" spans="1:23" x14ac:dyDescent="0.25">
      <c r="A2455" t="s">
        <v>435</v>
      </c>
      <c r="B2455">
        <v>2003</v>
      </c>
      <c r="C2455" t="s">
        <v>273</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cm="1">
        <f t="array" ref="W2455">AND(ISNUMBER(LifeExpectancyData[[#This Row],[Adult Mortality]:[Schooling]]),ISNUMBER(LifeExpectancyData[[#This Row],[Life expectancy]]), LifeExpectancyData[[#This Row],[Year]]=2013)</f>
        <v>0</v>
      </c>
    </row>
    <row r="2456" spans="1:23" hidden="1" x14ac:dyDescent="0.25">
      <c r="A2456" t="s">
        <v>435</v>
      </c>
      <c r="B2456">
        <v>2002</v>
      </c>
      <c r="C2456" t="s">
        <v>273</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cm="1">
        <f t="array" ref="W2456">AND(ISNUMBER(LifeExpectancyData[[#This Row],[Adult Mortality]:[Schooling]]),ISNUMBER(LifeExpectancyData[[#This Row],[Life expectancy]]), LifeExpectancyData[[#This Row],[Year]]=2013)</f>
        <v>0</v>
      </c>
    </row>
    <row r="2457" spans="1:23" hidden="1" x14ac:dyDescent="0.25">
      <c r="A2457" t="s">
        <v>435</v>
      </c>
      <c r="B2457">
        <v>2001</v>
      </c>
      <c r="C2457" t="s">
        <v>273</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cm="1">
        <f t="array" ref="W2457">AND(ISNUMBER(LifeExpectancyData[[#This Row],[Adult Mortality]:[Schooling]]),ISNUMBER(LifeExpectancyData[[#This Row],[Life expectancy]]), LifeExpectancyData[[#This Row],[Year]]=2013)</f>
        <v>0</v>
      </c>
    </row>
    <row r="2458" spans="1:23" hidden="1" x14ac:dyDescent="0.25">
      <c r="A2458" t="s">
        <v>435</v>
      </c>
      <c r="B2458">
        <v>2000</v>
      </c>
      <c r="C2458" t="s">
        <v>273</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cm="1">
        <f t="array" ref="W2458">AND(ISNUMBER(LifeExpectancyData[[#This Row],[Adult Mortality]:[Schooling]]),ISNUMBER(LifeExpectancyData[[#This Row],[Life expectancy]]), LifeExpectancyData[[#This Row],[Year]]=2013)</f>
        <v>0</v>
      </c>
    </row>
    <row r="2459" spans="1:23" hidden="1" x14ac:dyDescent="0.25">
      <c r="A2459" t="s">
        <v>436</v>
      </c>
      <c r="B2459">
        <v>2015</v>
      </c>
      <c r="C2459" t="s">
        <v>273</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cm="1">
        <f t="array" ref="W2459">AND(ISNUMBER(LifeExpectancyData[[#This Row],[Adult Mortality]:[Schooling]]),ISNUMBER(LifeExpectancyData[[#This Row],[Life expectancy]]), LifeExpectancyData[[#This Row],[Year]]=2013)</f>
        <v>0</v>
      </c>
    </row>
    <row r="2460" spans="1:23" hidden="1" x14ac:dyDescent="0.25">
      <c r="A2460" t="s">
        <v>436</v>
      </c>
      <c r="B2460">
        <v>2014</v>
      </c>
      <c r="C2460" t="s">
        <v>273</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cm="1">
        <f t="array" ref="W2460">AND(ISNUMBER(LifeExpectancyData[[#This Row],[Adult Mortality]:[Schooling]]),ISNUMBER(LifeExpectancyData[[#This Row],[Life expectancy]]), LifeExpectancyData[[#This Row],[Year]]=2013)</f>
        <v>0</v>
      </c>
    </row>
    <row r="2461" spans="1:23" hidden="1" x14ac:dyDescent="0.25">
      <c r="A2461" t="s">
        <v>436</v>
      </c>
      <c r="B2461">
        <v>2013</v>
      </c>
      <c r="C2461" t="s">
        <v>273</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cm="1">
        <f t="array" ref="W2461">AND(ISNUMBER(LifeExpectancyData[[#This Row],[Adult Mortality]:[Schooling]]),ISNUMBER(LifeExpectancyData[[#This Row],[Life expectancy]]), LifeExpectancyData[[#This Row],[Year]]=2013)</f>
        <v>0</v>
      </c>
    </row>
    <row r="2462" spans="1:23" hidden="1" x14ac:dyDescent="0.25">
      <c r="A2462" t="s">
        <v>436</v>
      </c>
      <c r="B2462">
        <v>2012</v>
      </c>
      <c r="C2462" t="s">
        <v>273</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cm="1">
        <f t="array" ref="W2462">AND(ISNUMBER(LifeExpectancyData[[#This Row],[Adult Mortality]:[Schooling]]),ISNUMBER(LifeExpectancyData[[#This Row],[Life expectancy]]), LifeExpectancyData[[#This Row],[Year]]=2013)</f>
        <v>0</v>
      </c>
    </row>
    <row r="2463" spans="1:23" hidden="1" x14ac:dyDescent="0.25">
      <c r="A2463" t="s">
        <v>436</v>
      </c>
      <c r="B2463">
        <v>2011</v>
      </c>
      <c r="C2463" t="s">
        <v>273</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cm="1">
        <f t="array" ref="W2463">AND(ISNUMBER(LifeExpectancyData[[#This Row],[Adult Mortality]:[Schooling]]),ISNUMBER(LifeExpectancyData[[#This Row],[Life expectancy]]), LifeExpectancyData[[#This Row],[Year]]=2013)</f>
        <v>0</v>
      </c>
    </row>
    <row r="2464" spans="1:23" hidden="1" x14ac:dyDescent="0.25">
      <c r="A2464" t="s">
        <v>436</v>
      </c>
      <c r="B2464">
        <v>2010</v>
      </c>
      <c r="C2464" t="s">
        <v>273</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cm="1">
        <f t="array" ref="W2464">AND(ISNUMBER(LifeExpectancyData[[#This Row],[Adult Mortality]:[Schooling]]),ISNUMBER(LifeExpectancyData[[#This Row],[Life expectancy]]), LifeExpectancyData[[#This Row],[Year]]=2013)</f>
        <v>0</v>
      </c>
    </row>
    <row r="2465" spans="1:23" hidden="1" x14ac:dyDescent="0.25">
      <c r="A2465" t="s">
        <v>436</v>
      </c>
      <c r="B2465">
        <v>2009</v>
      </c>
      <c r="C2465" t="s">
        <v>273</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cm="1">
        <f t="array" ref="W2465">AND(ISNUMBER(LifeExpectancyData[[#This Row],[Adult Mortality]:[Schooling]]),ISNUMBER(LifeExpectancyData[[#This Row],[Life expectancy]]), LifeExpectancyData[[#This Row],[Year]]=2013)</f>
        <v>0</v>
      </c>
    </row>
    <row r="2466" spans="1:23" hidden="1" x14ac:dyDescent="0.25">
      <c r="A2466" t="s">
        <v>436</v>
      </c>
      <c r="B2466">
        <v>2008</v>
      </c>
      <c r="C2466" t="s">
        <v>273</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cm="1">
        <f t="array" ref="W2466">AND(ISNUMBER(LifeExpectancyData[[#This Row],[Adult Mortality]:[Schooling]]),ISNUMBER(LifeExpectancyData[[#This Row],[Life expectancy]]), LifeExpectancyData[[#This Row],[Year]]=2013)</f>
        <v>0</v>
      </c>
    </row>
    <row r="2467" spans="1:23" hidden="1" x14ac:dyDescent="0.25">
      <c r="A2467" t="s">
        <v>436</v>
      </c>
      <c r="B2467">
        <v>2007</v>
      </c>
      <c r="C2467" t="s">
        <v>273</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cm="1">
        <f t="array" ref="W2467">AND(ISNUMBER(LifeExpectancyData[[#This Row],[Adult Mortality]:[Schooling]]),ISNUMBER(LifeExpectancyData[[#This Row],[Life expectancy]]), LifeExpectancyData[[#This Row],[Year]]=2013)</f>
        <v>0</v>
      </c>
    </row>
    <row r="2468" spans="1:23" hidden="1" x14ac:dyDescent="0.25">
      <c r="A2468" t="s">
        <v>436</v>
      </c>
      <c r="B2468">
        <v>2006</v>
      </c>
      <c r="C2468" t="s">
        <v>273</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cm="1">
        <f t="array" ref="W2468">AND(ISNUMBER(LifeExpectancyData[[#This Row],[Adult Mortality]:[Schooling]]),ISNUMBER(LifeExpectancyData[[#This Row],[Life expectancy]]), LifeExpectancyData[[#This Row],[Year]]=2013)</f>
        <v>0</v>
      </c>
    </row>
    <row r="2469" spans="1:23" hidden="1" x14ac:dyDescent="0.25">
      <c r="A2469" t="s">
        <v>436</v>
      </c>
      <c r="B2469">
        <v>2005</v>
      </c>
      <c r="C2469" t="s">
        <v>273</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cm="1">
        <f t="array" ref="W2469">AND(ISNUMBER(LifeExpectancyData[[#This Row],[Adult Mortality]:[Schooling]]),ISNUMBER(LifeExpectancyData[[#This Row],[Life expectancy]]), LifeExpectancyData[[#This Row],[Year]]=2013)</f>
        <v>0</v>
      </c>
    </row>
    <row r="2470" spans="1:23" hidden="1" x14ac:dyDescent="0.25">
      <c r="A2470" t="s">
        <v>436</v>
      </c>
      <c r="B2470">
        <v>2004</v>
      </c>
      <c r="C2470" t="s">
        <v>273</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cm="1">
        <f t="array" ref="W2470">AND(ISNUMBER(LifeExpectancyData[[#This Row],[Adult Mortality]:[Schooling]]),ISNUMBER(LifeExpectancyData[[#This Row],[Life expectancy]]), LifeExpectancyData[[#This Row],[Year]]=2013)</f>
        <v>0</v>
      </c>
    </row>
    <row r="2471" spans="1:23" hidden="1" x14ac:dyDescent="0.25">
      <c r="A2471" t="s">
        <v>436</v>
      </c>
      <c r="B2471">
        <v>2003</v>
      </c>
      <c r="C2471" t="s">
        <v>273</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cm="1">
        <f t="array" ref="W2471">AND(ISNUMBER(LifeExpectancyData[[#This Row],[Adult Mortality]:[Schooling]]),ISNUMBER(LifeExpectancyData[[#This Row],[Life expectancy]]), LifeExpectancyData[[#This Row],[Year]]=2013)</f>
        <v>0</v>
      </c>
    </row>
    <row r="2472" spans="1:23" hidden="1" x14ac:dyDescent="0.25">
      <c r="A2472" t="s">
        <v>436</v>
      </c>
      <c r="B2472">
        <v>2002</v>
      </c>
      <c r="C2472" t="s">
        <v>273</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cm="1">
        <f t="array" ref="W2472">AND(ISNUMBER(LifeExpectancyData[[#This Row],[Adult Mortality]:[Schooling]]),ISNUMBER(LifeExpectancyData[[#This Row],[Life expectancy]]), LifeExpectancyData[[#This Row],[Year]]=2013)</f>
        <v>0</v>
      </c>
    </row>
    <row r="2473" spans="1:23" hidden="1" x14ac:dyDescent="0.25">
      <c r="A2473" t="s">
        <v>436</v>
      </c>
      <c r="B2473">
        <v>2001</v>
      </c>
      <c r="C2473" t="s">
        <v>273</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cm="1">
        <f t="array" ref="W2473">AND(ISNUMBER(LifeExpectancyData[[#This Row],[Adult Mortality]:[Schooling]]),ISNUMBER(LifeExpectancyData[[#This Row],[Life expectancy]]), LifeExpectancyData[[#This Row],[Year]]=2013)</f>
        <v>0</v>
      </c>
    </row>
    <row r="2474" spans="1:23" hidden="1" x14ac:dyDescent="0.25">
      <c r="A2474" t="s">
        <v>436</v>
      </c>
      <c r="B2474">
        <v>2000</v>
      </c>
      <c r="C2474" t="s">
        <v>273</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cm="1">
        <f t="array" ref="W2474">AND(ISNUMBER(LifeExpectancyData[[#This Row],[Adult Mortality]:[Schooling]]),ISNUMBER(LifeExpectancyData[[#This Row],[Life expectancy]]), LifeExpectancyData[[#This Row],[Year]]=2013)</f>
        <v>0</v>
      </c>
    </row>
    <row r="2475" spans="1:23" hidden="1" x14ac:dyDescent="0.25">
      <c r="A2475" t="s">
        <v>437</v>
      </c>
      <c r="B2475">
        <v>2015</v>
      </c>
      <c r="C2475" t="s">
        <v>273</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cm="1">
        <f t="array" ref="W2475">AND(ISNUMBER(LifeExpectancyData[[#This Row],[Adult Mortality]:[Schooling]]),ISNUMBER(LifeExpectancyData[[#This Row],[Life expectancy]]), LifeExpectancyData[[#This Row],[Year]]=2013)</f>
        <v>0</v>
      </c>
    </row>
    <row r="2476" spans="1:23" x14ac:dyDescent="0.25">
      <c r="A2476" t="s">
        <v>437</v>
      </c>
      <c r="B2476">
        <v>2014</v>
      </c>
      <c r="C2476" t="s">
        <v>273</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cm="1">
        <f t="array" ref="W2476">AND(ISNUMBER(LifeExpectancyData[[#This Row],[Adult Mortality]:[Schooling]]),ISNUMBER(LifeExpectancyData[[#This Row],[Life expectancy]]), LifeExpectancyData[[#This Row],[Year]]=2013)</f>
        <v>0</v>
      </c>
    </row>
    <row r="2477" spans="1:23" x14ac:dyDescent="0.25">
      <c r="A2477" t="s">
        <v>437</v>
      </c>
      <c r="B2477">
        <v>2013</v>
      </c>
      <c r="C2477" t="s">
        <v>273</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cm="1">
        <f t="array" ref="W2477">AND(ISNUMBER(LifeExpectancyData[[#This Row],[Adult Mortality]:[Schooling]]),ISNUMBER(LifeExpectancyData[[#This Row],[Life expectancy]]), LifeExpectancyData[[#This Row],[Year]]=2013)</f>
        <v>1</v>
      </c>
    </row>
    <row r="2478" spans="1:23" x14ac:dyDescent="0.25">
      <c r="A2478" t="s">
        <v>437</v>
      </c>
      <c r="B2478">
        <v>2012</v>
      </c>
      <c r="C2478" t="s">
        <v>273</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cm="1">
        <f t="array" ref="W2478">AND(ISNUMBER(LifeExpectancyData[[#This Row],[Adult Mortality]:[Schooling]]),ISNUMBER(LifeExpectancyData[[#This Row],[Life expectancy]]), LifeExpectancyData[[#This Row],[Year]]=2013)</f>
        <v>0</v>
      </c>
    </row>
    <row r="2479" spans="1:23" x14ac:dyDescent="0.25">
      <c r="A2479" t="s">
        <v>437</v>
      </c>
      <c r="B2479">
        <v>2011</v>
      </c>
      <c r="C2479" t="s">
        <v>273</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cm="1">
        <f t="array" ref="W2479">AND(ISNUMBER(LifeExpectancyData[[#This Row],[Adult Mortality]:[Schooling]]),ISNUMBER(LifeExpectancyData[[#This Row],[Life expectancy]]), LifeExpectancyData[[#This Row],[Year]]=2013)</f>
        <v>0</v>
      </c>
    </row>
    <row r="2480" spans="1:23" x14ac:dyDescent="0.25">
      <c r="A2480" t="s">
        <v>437</v>
      </c>
      <c r="B2480">
        <v>2010</v>
      </c>
      <c r="C2480" t="s">
        <v>273</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cm="1">
        <f t="array" ref="W2480">AND(ISNUMBER(LifeExpectancyData[[#This Row],[Adult Mortality]:[Schooling]]),ISNUMBER(LifeExpectancyData[[#This Row],[Life expectancy]]), LifeExpectancyData[[#This Row],[Year]]=2013)</f>
        <v>0</v>
      </c>
    </row>
    <row r="2481" spans="1:23" x14ac:dyDescent="0.25">
      <c r="A2481" t="s">
        <v>437</v>
      </c>
      <c r="B2481">
        <v>2009</v>
      </c>
      <c r="C2481" t="s">
        <v>273</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cm="1">
        <f t="array" ref="W2481">AND(ISNUMBER(LifeExpectancyData[[#This Row],[Adult Mortality]:[Schooling]]),ISNUMBER(LifeExpectancyData[[#This Row],[Life expectancy]]), LifeExpectancyData[[#This Row],[Year]]=2013)</f>
        <v>0</v>
      </c>
    </row>
    <row r="2482" spans="1:23" x14ac:dyDescent="0.25">
      <c r="A2482" t="s">
        <v>437</v>
      </c>
      <c r="B2482">
        <v>2008</v>
      </c>
      <c r="C2482" t="s">
        <v>273</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cm="1">
        <f t="array" ref="W2482">AND(ISNUMBER(LifeExpectancyData[[#This Row],[Adult Mortality]:[Schooling]]),ISNUMBER(LifeExpectancyData[[#This Row],[Life expectancy]]), LifeExpectancyData[[#This Row],[Year]]=2013)</f>
        <v>0</v>
      </c>
    </row>
    <row r="2483" spans="1:23" x14ac:dyDescent="0.25">
      <c r="A2483" t="s">
        <v>437</v>
      </c>
      <c r="B2483">
        <v>2007</v>
      </c>
      <c r="C2483" t="s">
        <v>273</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cm="1">
        <f t="array" ref="W2483">AND(ISNUMBER(LifeExpectancyData[[#This Row],[Adult Mortality]:[Schooling]]),ISNUMBER(LifeExpectancyData[[#This Row],[Life expectancy]]), LifeExpectancyData[[#This Row],[Year]]=2013)</f>
        <v>0</v>
      </c>
    </row>
    <row r="2484" spans="1:23" x14ac:dyDescent="0.25">
      <c r="A2484" t="s">
        <v>437</v>
      </c>
      <c r="B2484">
        <v>2006</v>
      </c>
      <c r="C2484" t="s">
        <v>273</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cm="1">
        <f t="array" ref="W2484">AND(ISNUMBER(LifeExpectancyData[[#This Row],[Adult Mortality]:[Schooling]]),ISNUMBER(LifeExpectancyData[[#This Row],[Life expectancy]]), LifeExpectancyData[[#This Row],[Year]]=2013)</f>
        <v>0</v>
      </c>
    </row>
    <row r="2485" spans="1:23" x14ac:dyDescent="0.25">
      <c r="A2485" t="s">
        <v>437</v>
      </c>
      <c r="B2485">
        <v>2005</v>
      </c>
      <c r="C2485" t="s">
        <v>273</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cm="1">
        <f t="array" ref="W2485">AND(ISNUMBER(LifeExpectancyData[[#This Row],[Adult Mortality]:[Schooling]]),ISNUMBER(LifeExpectancyData[[#This Row],[Life expectancy]]), LifeExpectancyData[[#This Row],[Year]]=2013)</f>
        <v>0</v>
      </c>
    </row>
    <row r="2486" spans="1:23" hidden="1" x14ac:dyDescent="0.25">
      <c r="A2486" t="s">
        <v>437</v>
      </c>
      <c r="B2486">
        <v>2004</v>
      </c>
      <c r="C2486" t="s">
        <v>273</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cm="1">
        <f t="array" ref="W2486">AND(ISNUMBER(LifeExpectancyData[[#This Row],[Adult Mortality]:[Schooling]]),ISNUMBER(LifeExpectancyData[[#This Row],[Life expectancy]]), LifeExpectancyData[[#This Row],[Year]]=2013)</f>
        <v>0</v>
      </c>
    </row>
    <row r="2487" spans="1:23" hidden="1" x14ac:dyDescent="0.25">
      <c r="A2487" t="s">
        <v>437</v>
      </c>
      <c r="B2487">
        <v>2003</v>
      </c>
      <c r="C2487" t="s">
        <v>273</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cm="1">
        <f t="array" ref="W2487">AND(ISNUMBER(LifeExpectancyData[[#This Row],[Adult Mortality]:[Schooling]]),ISNUMBER(LifeExpectancyData[[#This Row],[Life expectancy]]), LifeExpectancyData[[#This Row],[Year]]=2013)</f>
        <v>0</v>
      </c>
    </row>
    <row r="2488" spans="1:23" hidden="1" x14ac:dyDescent="0.25">
      <c r="A2488" t="s">
        <v>437</v>
      </c>
      <c r="B2488">
        <v>2002</v>
      </c>
      <c r="C2488" t="s">
        <v>273</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cm="1">
        <f t="array" ref="W2488">AND(ISNUMBER(LifeExpectancyData[[#This Row],[Adult Mortality]:[Schooling]]),ISNUMBER(LifeExpectancyData[[#This Row],[Life expectancy]]), LifeExpectancyData[[#This Row],[Year]]=2013)</f>
        <v>0</v>
      </c>
    </row>
    <row r="2489" spans="1:23" hidden="1" x14ac:dyDescent="0.25">
      <c r="A2489" t="s">
        <v>437</v>
      </c>
      <c r="B2489">
        <v>2001</v>
      </c>
      <c r="C2489" t="s">
        <v>273</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cm="1">
        <f t="array" ref="W2489">AND(ISNUMBER(LifeExpectancyData[[#This Row],[Adult Mortality]:[Schooling]]),ISNUMBER(LifeExpectancyData[[#This Row],[Life expectancy]]), LifeExpectancyData[[#This Row],[Year]]=2013)</f>
        <v>0</v>
      </c>
    </row>
    <row r="2490" spans="1:23" hidden="1" x14ac:dyDescent="0.25">
      <c r="A2490" t="s">
        <v>437</v>
      </c>
      <c r="B2490">
        <v>2000</v>
      </c>
      <c r="C2490" t="s">
        <v>273</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cm="1">
        <f t="array" ref="W2490">AND(ISNUMBER(LifeExpectancyData[[#This Row],[Adult Mortality]:[Schooling]]),ISNUMBER(LifeExpectancyData[[#This Row],[Life expectancy]]), LifeExpectancyData[[#This Row],[Year]]=2013)</f>
        <v>0</v>
      </c>
    </row>
    <row r="2491" spans="1:23" hidden="1" x14ac:dyDescent="0.25">
      <c r="A2491" t="s">
        <v>438</v>
      </c>
      <c r="B2491">
        <v>2015</v>
      </c>
      <c r="C2491" t="s">
        <v>273</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cm="1">
        <f t="array" ref="W2491">AND(ISNUMBER(LifeExpectancyData[[#This Row],[Adult Mortality]:[Schooling]]),ISNUMBER(LifeExpectancyData[[#This Row],[Life expectancy]]), LifeExpectancyData[[#This Row],[Year]]=2013)</f>
        <v>0</v>
      </c>
    </row>
    <row r="2492" spans="1:23" x14ac:dyDescent="0.25">
      <c r="A2492" t="s">
        <v>438</v>
      </c>
      <c r="B2492">
        <v>2014</v>
      </c>
      <c r="C2492" t="s">
        <v>273</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cm="1">
        <f t="array" ref="W2492">AND(ISNUMBER(LifeExpectancyData[[#This Row],[Adult Mortality]:[Schooling]]),ISNUMBER(LifeExpectancyData[[#This Row],[Life expectancy]]), LifeExpectancyData[[#This Row],[Year]]=2013)</f>
        <v>0</v>
      </c>
    </row>
    <row r="2493" spans="1:23" x14ac:dyDescent="0.25">
      <c r="A2493" t="s">
        <v>438</v>
      </c>
      <c r="B2493">
        <v>2013</v>
      </c>
      <c r="C2493" t="s">
        <v>273</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cm="1">
        <f t="array" ref="W2493">AND(ISNUMBER(LifeExpectancyData[[#This Row],[Adult Mortality]:[Schooling]]),ISNUMBER(LifeExpectancyData[[#This Row],[Life expectancy]]), LifeExpectancyData[[#This Row],[Year]]=2013)</f>
        <v>1</v>
      </c>
    </row>
    <row r="2494" spans="1:23" x14ac:dyDescent="0.25">
      <c r="A2494" t="s">
        <v>438</v>
      </c>
      <c r="B2494">
        <v>2012</v>
      </c>
      <c r="C2494" t="s">
        <v>273</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cm="1">
        <f t="array" ref="W2494">AND(ISNUMBER(LifeExpectancyData[[#This Row],[Adult Mortality]:[Schooling]]),ISNUMBER(LifeExpectancyData[[#This Row],[Life expectancy]]), LifeExpectancyData[[#This Row],[Year]]=2013)</f>
        <v>0</v>
      </c>
    </row>
    <row r="2495" spans="1:23" x14ac:dyDescent="0.25">
      <c r="A2495" t="s">
        <v>438</v>
      </c>
      <c r="B2495">
        <v>2011</v>
      </c>
      <c r="C2495" t="s">
        <v>273</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cm="1">
        <f t="array" ref="W2495">AND(ISNUMBER(LifeExpectancyData[[#This Row],[Adult Mortality]:[Schooling]]),ISNUMBER(LifeExpectancyData[[#This Row],[Life expectancy]]), LifeExpectancyData[[#This Row],[Year]]=2013)</f>
        <v>0</v>
      </c>
    </row>
    <row r="2496" spans="1:23" x14ac:dyDescent="0.25">
      <c r="A2496" t="s">
        <v>438</v>
      </c>
      <c r="B2496">
        <v>2010</v>
      </c>
      <c r="C2496" t="s">
        <v>273</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cm="1">
        <f t="array" ref="W2496">AND(ISNUMBER(LifeExpectancyData[[#This Row],[Adult Mortality]:[Schooling]]),ISNUMBER(LifeExpectancyData[[#This Row],[Life expectancy]]), LifeExpectancyData[[#This Row],[Year]]=2013)</f>
        <v>0</v>
      </c>
    </row>
    <row r="2497" spans="1:23" x14ac:dyDescent="0.25">
      <c r="A2497" t="s">
        <v>438</v>
      </c>
      <c r="B2497">
        <v>2009</v>
      </c>
      <c r="C2497" t="s">
        <v>273</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cm="1">
        <f t="array" ref="W2497">AND(ISNUMBER(LifeExpectancyData[[#This Row],[Adult Mortality]:[Schooling]]),ISNUMBER(LifeExpectancyData[[#This Row],[Life expectancy]]), LifeExpectancyData[[#This Row],[Year]]=2013)</f>
        <v>0</v>
      </c>
    </row>
    <row r="2498" spans="1:23" x14ac:dyDescent="0.25">
      <c r="A2498" t="s">
        <v>438</v>
      </c>
      <c r="B2498">
        <v>2008</v>
      </c>
      <c r="C2498" t="s">
        <v>273</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cm="1">
        <f t="array" ref="W2498">AND(ISNUMBER(LifeExpectancyData[[#This Row],[Adult Mortality]:[Schooling]]),ISNUMBER(LifeExpectancyData[[#This Row],[Life expectancy]]), LifeExpectancyData[[#This Row],[Year]]=2013)</f>
        <v>0</v>
      </c>
    </row>
    <row r="2499" spans="1:23" x14ac:dyDescent="0.25">
      <c r="A2499" t="s">
        <v>438</v>
      </c>
      <c r="B2499">
        <v>2007</v>
      </c>
      <c r="C2499" t="s">
        <v>273</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cm="1">
        <f t="array" ref="W2499">AND(ISNUMBER(LifeExpectancyData[[#This Row],[Adult Mortality]:[Schooling]]),ISNUMBER(LifeExpectancyData[[#This Row],[Life expectancy]]), LifeExpectancyData[[#This Row],[Year]]=2013)</f>
        <v>0</v>
      </c>
    </row>
    <row r="2500" spans="1:23" x14ac:dyDescent="0.25">
      <c r="A2500" t="s">
        <v>438</v>
      </c>
      <c r="B2500">
        <v>2006</v>
      </c>
      <c r="C2500" t="s">
        <v>273</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cm="1">
        <f t="array" ref="W2500">AND(ISNUMBER(LifeExpectancyData[[#This Row],[Adult Mortality]:[Schooling]]),ISNUMBER(LifeExpectancyData[[#This Row],[Life expectancy]]), LifeExpectancyData[[#This Row],[Year]]=2013)</f>
        <v>0</v>
      </c>
    </row>
    <row r="2501" spans="1:23" x14ac:dyDescent="0.25">
      <c r="A2501" t="s">
        <v>438</v>
      </c>
      <c r="B2501">
        <v>2005</v>
      </c>
      <c r="C2501" t="s">
        <v>273</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cm="1">
        <f t="array" ref="W2501">AND(ISNUMBER(LifeExpectancyData[[#This Row],[Adult Mortality]:[Schooling]]),ISNUMBER(LifeExpectancyData[[#This Row],[Life expectancy]]), LifeExpectancyData[[#This Row],[Year]]=2013)</f>
        <v>0</v>
      </c>
    </row>
    <row r="2502" spans="1:23" x14ac:dyDescent="0.25">
      <c r="A2502" t="s">
        <v>438</v>
      </c>
      <c r="B2502">
        <v>2004</v>
      </c>
      <c r="C2502" t="s">
        <v>273</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cm="1">
        <f t="array" ref="W2502">AND(ISNUMBER(LifeExpectancyData[[#This Row],[Adult Mortality]:[Schooling]]),ISNUMBER(LifeExpectancyData[[#This Row],[Life expectancy]]), LifeExpectancyData[[#This Row],[Year]]=2013)</f>
        <v>0</v>
      </c>
    </row>
    <row r="2503" spans="1:23" x14ac:dyDescent="0.25">
      <c r="A2503" t="s">
        <v>438</v>
      </c>
      <c r="B2503">
        <v>2003</v>
      </c>
      <c r="C2503" t="s">
        <v>273</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cm="1">
        <f t="array" ref="W2503">AND(ISNUMBER(LifeExpectancyData[[#This Row],[Adult Mortality]:[Schooling]]),ISNUMBER(LifeExpectancyData[[#This Row],[Life expectancy]]), LifeExpectancyData[[#This Row],[Year]]=2013)</f>
        <v>0</v>
      </c>
    </row>
    <row r="2504" spans="1:23" x14ac:dyDescent="0.25">
      <c r="A2504" t="s">
        <v>438</v>
      </c>
      <c r="B2504">
        <v>2002</v>
      </c>
      <c r="C2504" t="s">
        <v>273</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cm="1">
        <f t="array" ref="W2504">AND(ISNUMBER(LifeExpectancyData[[#This Row],[Adult Mortality]:[Schooling]]),ISNUMBER(LifeExpectancyData[[#This Row],[Life expectancy]]), LifeExpectancyData[[#This Row],[Year]]=2013)</f>
        <v>0</v>
      </c>
    </row>
    <row r="2505" spans="1:23" x14ac:dyDescent="0.25">
      <c r="A2505" t="s">
        <v>438</v>
      </c>
      <c r="B2505">
        <v>2001</v>
      </c>
      <c r="C2505" t="s">
        <v>273</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cm="1">
        <f t="array" ref="W2505">AND(ISNUMBER(LifeExpectancyData[[#This Row],[Adult Mortality]:[Schooling]]),ISNUMBER(LifeExpectancyData[[#This Row],[Life expectancy]]), LifeExpectancyData[[#This Row],[Year]]=2013)</f>
        <v>0</v>
      </c>
    </row>
    <row r="2506" spans="1:23" x14ac:dyDescent="0.25">
      <c r="A2506" t="s">
        <v>438</v>
      </c>
      <c r="B2506">
        <v>2000</v>
      </c>
      <c r="C2506" t="s">
        <v>273</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cm="1">
        <f t="array" ref="W2506">AND(ISNUMBER(LifeExpectancyData[[#This Row],[Adult Mortality]:[Schooling]]),ISNUMBER(LifeExpectancyData[[#This Row],[Life expectancy]]), LifeExpectancyData[[#This Row],[Year]]=2013)</f>
        <v>0</v>
      </c>
    </row>
    <row r="2507" spans="1:23" hidden="1" x14ac:dyDescent="0.25">
      <c r="A2507" t="s">
        <v>439</v>
      </c>
      <c r="B2507">
        <v>2015</v>
      </c>
      <c r="C2507" t="s">
        <v>281</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cm="1">
        <f t="array" ref="W2507">AND(ISNUMBER(LifeExpectancyData[[#This Row],[Adult Mortality]:[Schooling]]),ISNUMBER(LifeExpectancyData[[#This Row],[Life expectancy]]), LifeExpectancyData[[#This Row],[Year]]=2013)</f>
        <v>0</v>
      </c>
    </row>
    <row r="2508" spans="1:23" x14ac:dyDescent="0.25">
      <c r="A2508" t="s">
        <v>439</v>
      </c>
      <c r="B2508">
        <v>2014</v>
      </c>
      <c r="C2508" t="s">
        <v>281</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cm="1">
        <f t="array" ref="W2508">AND(ISNUMBER(LifeExpectancyData[[#This Row],[Adult Mortality]:[Schooling]]),ISNUMBER(LifeExpectancyData[[#This Row],[Life expectancy]]), LifeExpectancyData[[#This Row],[Year]]=2013)</f>
        <v>0</v>
      </c>
    </row>
    <row r="2509" spans="1:23" x14ac:dyDescent="0.25">
      <c r="A2509" t="s">
        <v>439</v>
      </c>
      <c r="B2509">
        <v>2013</v>
      </c>
      <c r="C2509" t="s">
        <v>281</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cm="1">
        <f t="array" ref="W2509">AND(ISNUMBER(LifeExpectancyData[[#This Row],[Adult Mortality]:[Schooling]]),ISNUMBER(LifeExpectancyData[[#This Row],[Life expectancy]]), LifeExpectancyData[[#This Row],[Year]]=2013)</f>
        <v>1</v>
      </c>
    </row>
    <row r="2510" spans="1:23" x14ac:dyDescent="0.25">
      <c r="A2510" t="s">
        <v>439</v>
      </c>
      <c r="B2510">
        <v>2012</v>
      </c>
      <c r="C2510" t="s">
        <v>281</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cm="1">
        <f t="array" ref="W2510">AND(ISNUMBER(LifeExpectancyData[[#This Row],[Adult Mortality]:[Schooling]]),ISNUMBER(LifeExpectancyData[[#This Row],[Life expectancy]]), LifeExpectancyData[[#This Row],[Year]]=2013)</f>
        <v>0</v>
      </c>
    </row>
    <row r="2511" spans="1:23" x14ac:dyDescent="0.25">
      <c r="A2511" t="s">
        <v>439</v>
      </c>
      <c r="B2511">
        <v>2011</v>
      </c>
      <c r="C2511" t="s">
        <v>281</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cm="1">
        <f t="array" ref="W2511">AND(ISNUMBER(LifeExpectancyData[[#This Row],[Adult Mortality]:[Schooling]]),ISNUMBER(LifeExpectancyData[[#This Row],[Life expectancy]]), LifeExpectancyData[[#This Row],[Year]]=2013)</f>
        <v>0</v>
      </c>
    </row>
    <row r="2512" spans="1:23" hidden="1" x14ac:dyDescent="0.25">
      <c r="A2512" t="s">
        <v>439</v>
      </c>
      <c r="B2512">
        <v>2010</v>
      </c>
      <c r="C2512" t="s">
        <v>281</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cm="1">
        <f t="array" ref="W2512">AND(ISNUMBER(LifeExpectancyData[[#This Row],[Adult Mortality]:[Schooling]]),ISNUMBER(LifeExpectancyData[[#This Row],[Life expectancy]]), LifeExpectancyData[[#This Row],[Year]]=2013)</f>
        <v>0</v>
      </c>
    </row>
    <row r="2513" spans="1:23" hidden="1" x14ac:dyDescent="0.25">
      <c r="A2513" t="s">
        <v>439</v>
      </c>
      <c r="B2513">
        <v>2009</v>
      </c>
      <c r="C2513" t="s">
        <v>281</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cm="1">
        <f t="array" ref="W2513">AND(ISNUMBER(LifeExpectancyData[[#This Row],[Adult Mortality]:[Schooling]]),ISNUMBER(LifeExpectancyData[[#This Row],[Life expectancy]]), LifeExpectancyData[[#This Row],[Year]]=2013)</f>
        <v>0</v>
      </c>
    </row>
    <row r="2514" spans="1:23" hidden="1" x14ac:dyDescent="0.25">
      <c r="A2514" t="s">
        <v>439</v>
      </c>
      <c r="B2514">
        <v>2008</v>
      </c>
      <c r="C2514" t="s">
        <v>281</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cm="1">
        <f t="array" ref="W2514">AND(ISNUMBER(LifeExpectancyData[[#This Row],[Adult Mortality]:[Schooling]]),ISNUMBER(LifeExpectancyData[[#This Row],[Life expectancy]]), LifeExpectancyData[[#This Row],[Year]]=2013)</f>
        <v>0</v>
      </c>
    </row>
    <row r="2515" spans="1:23" hidden="1" x14ac:dyDescent="0.25">
      <c r="A2515" t="s">
        <v>439</v>
      </c>
      <c r="B2515">
        <v>2007</v>
      </c>
      <c r="C2515" t="s">
        <v>281</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cm="1">
        <f t="array" ref="W2515">AND(ISNUMBER(LifeExpectancyData[[#This Row],[Adult Mortality]:[Schooling]]),ISNUMBER(LifeExpectancyData[[#This Row],[Life expectancy]]), LifeExpectancyData[[#This Row],[Year]]=2013)</f>
        <v>0</v>
      </c>
    </row>
    <row r="2516" spans="1:23" hidden="1" x14ac:dyDescent="0.25">
      <c r="A2516" t="s">
        <v>439</v>
      </c>
      <c r="B2516">
        <v>2006</v>
      </c>
      <c r="C2516" t="s">
        <v>281</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cm="1">
        <f t="array" ref="W2516">AND(ISNUMBER(LifeExpectancyData[[#This Row],[Adult Mortality]:[Schooling]]),ISNUMBER(LifeExpectancyData[[#This Row],[Life expectancy]]), LifeExpectancyData[[#This Row],[Year]]=2013)</f>
        <v>0</v>
      </c>
    </row>
    <row r="2517" spans="1:23" hidden="1" x14ac:dyDescent="0.25">
      <c r="A2517" t="s">
        <v>439</v>
      </c>
      <c r="B2517">
        <v>2005</v>
      </c>
      <c r="C2517" t="s">
        <v>281</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cm="1">
        <f t="array" ref="W2517">AND(ISNUMBER(LifeExpectancyData[[#This Row],[Adult Mortality]:[Schooling]]),ISNUMBER(LifeExpectancyData[[#This Row],[Life expectancy]]), LifeExpectancyData[[#This Row],[Year]]=2013)</f>
        <v>0</v>
      </c>
    </row>
    <row r="2518" spans="1:23" hidden="1" x14ac:dyDescent="0.25">
      <c r="A2518" t="s">
        <v>439</v>
      </c>
      <c r="B2518">
        <v>2004</v>
      </c>
      <c r="C2518" t="s">
        <v>281</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cm="1">
        <f t="array" ref="W2518">AND(ISNUMBER(LifeExpectancyData[[#This Row],[Adult Mortality]:[Schooling]]),ISNUMBER(LifeExpectancyData[[#This Row],[Life expectancy]]), LifeExpectancyData[[#This Row],[Year]]=2013)</f>
        <v>0</v>
      </c>
    </row>
    <row r="2519" spans="1:23" hidden="1" x14ac:dyDescent="0.25">
      <c r="A2519" t="s">
        <v>439</v>
      </c>
      <c r="B2519">
        <v>2003</v>
      </c>
      <c r="C2519" t="s">
        <v>281</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cm="1">
        <f t="array" ref="W2519">AND(ISNUMBER(LifeExpectancyData[[#This Row],[Adult Mortality]:[Schooling]]),ISNUMBER(LifeExpectancyData[[#This Row],[Life expectancy]]), LifeExpectancyData[[#This Row],[Year]]=2013)</f>
        <v>0</v>
      </c>
    </row>
    <row r="2520" spans="1:23" hidden="1" x14ac:dyDescent="0.25">
      <c r="A2520" t="s">
        <v>439</v>
      </c>
      <c r="B2520">
        <v>2002</v>
      </c>
      <c r="C2520" t="s">
        <v>281</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cm="1">
        <f t="array" ref="W2520">AND(ISNUMBER(LifeExpectancyData[[#This Row],[Adult Mortality]:[Schooling]]),ISNUMBER(LifeExpectancyData[[#This Row],[Life expectancy]]), LifeExpectancyData[[#This Row],[Year]]=2013)</f>
        <v>0</v>
      </c>
    </row>
    <row r="2521" spans="1:23" hidden="1" x14ac:dyDescent="0.25">
      <c r="A2521" t="s">
        <v>439</v>
      </c>
      <c r="B2521">
        <v>2001</v>
      </c>
      <c r="C2521" t="s">
        <v>281</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cm="1">
        <f t="array" ref="W2521">AND(ISNUMBER(LifeExpectancyData[[#This Row],[Adult Mortality]:[Schooling]]),ISNUMBER(LifeExpectancyData[[#This Row],[Life expectancy]]), LifeExpectancyData[[#This Row],[Year]]=2013)</f>
        <v>0</v>
      </c>
    </row>
    <row r="2522" spans="1:23" hidden="1" x14ac:dyDescent="0.25">
      <c r="A2522" t="s">
        <v>439</v>
      </c>
      <c r="B2522">
        <v>2000</v>
      </c>
      <c r="C2522" t="s">
        <v>281</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cm="1">
        <f t="array" ref="W2522">AND(ISNUMBER(LifeExpectancyData[[#This Row],[Adult Mortality]:[Schooling]]),ISNUMBER(LifeExpectancyData[[#This Row],[Life expectancy]]), LifeExpectancyData[[#This Row],[Year]]=2013)</f>
        <v>0</v>
      </c>
    </row>
    <row r="2523" spans="1:23" hidden="1" x14ac:dyDescent="0.25">
      <c r="A2523" t="s">
        <v>440</v>
      </c>
      <c r="B2523">
        <v>2015</v>
      </c>
      <c r="C2523" t="s">
        <v>281</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cm="1">
        <f t="array" ref="W2523">AND(ISNUMBER(LifeExpectancyData[[#This Row],[Adult Mortality]:[Schooling]]),ISNUMBER(LifeExpectancyData[[#This Row],[Life expectancy]]), LifeExpectancyData[[#This Row],[Year]]=2013)</f>
        <v>0</v>
      </c>
    </row>
    <row r="2524" spans="1:23" hidden="1" x14ac:dyDescent="0.25">
      <c r="A2524" t="s">
        <v>440</v>
      </c>
      <c r="B2524">
        <v>2014</v>
      </c>
      <c r="C2524" t="s">
        <v>281</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cm="1">
        <f t="array" ref="W2524">AND(ISNUMBER(LifeExpectancyData[[#This Row],[Adult Mortality]:[Schooling]]),ISNUMBER(LifeExpectancyData[[#This Row],[Life expectancy]]), LifeExpectancyData[[#This Row],[Year]]=2013)</f>
        <v>0</v>
      </c>
    </row>
    <row r="2525" spans="1:23" hidden="1" x14ac:dyDescent="0.25">
      <c r="A2525" t="s">
        <v>440</v>
      </c>
      <c r="B2525">
        <v>2013</v>
      </c>
      <c r="C2525" t="s">
        <v>281</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cm="1">
        <f t="array" ref="W2525">AND(ISNUMBER(LifeExpectancyData[[#This Row],[Adult Mortality]:[Schooling]]),ISNUMBER(LifeExpectancyData[[#This Row],[Life expectancy]]), LifeExpectancyData[[#This Row],[Year]]=2013)</f>
        <v>0</v>
      </c>
    </row>
    <row r="2526" spans="1:23" hidden="1" x14ac:dyDescent="0.25">
      <c r="A2526" t="s">
        <v>440</v>
      </c>
      <c r="B2526">
        <v>2012</v>
      </c>
      <c r="C2526" t="s">
        <v>281</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cm="1">
        <f t="array" ref="W2526">AND(ISNUMBER(LifeExpectancyData[[#This Row],[Adult Mortality]:[Schooling]]),ISNUMBER(LifeExpectancyData[[#This Row],[Life expectancy]]), LifeExpectancyData[[#This Row],[Year]]=2013)</f>
        <v>0</v>
      </c>
    </row>
    <row r="2527" spans="1:23" hidden="1" x14ac:dyDescent="0.25">
      <c r="A2527" t="s">
        <v>440</v>
      </c>
      <c r="B2527">
        <v>2011</v>
      </c>
      <c r="C2527" t="s">
        <v>281</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cm="1">
        <f t="array" ref="W2527">AND(ISNUMBER(LifeExpectancyData[[#This Row],[Adult Mortality]:[Schooling]]),ISNUMBER(LifeExpectancyData[[#This Row],[Life expectancy]]), LifeExpectancyData[[#This Row],[Year]]=2013)</f>
        <v>0</v>
      </c>
    </row>
    <row r="2528" spans="1:23" hidden="1" x14ac:dyDescent="0.25">
      <c r="A2528" t="s">
        <v>440</v>
      </c>
      <c r="B2528">
        <v>2010</v>
      </c>
      <c r="C2528" t="s">
        <v>281</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cm="1">
        <f t="array" ref="W2528">AND(ISNUMBER(LifeExpectancyData[[#This Row],[Adult Mortality]:[Schooling]]),ISNUMBER(LifeExpectancyData[[#This Row],[Life expectancy]]), LifeExpectancyData[[#This Row],[Year]]=2013)</f>
        <v>0</v>
      </c>
    </row>
    <row r="2529" spans="1:23" hidden="1" x14ac:dyDescent="0.25">
      <c r="A2529" t="s">
        <v>440</v>
      </c>
      <c r="B2529">
        <v>2009</v>
      </c>
      <c r="C2529" t="s">
        <v>281</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cm="1">
        <f t="array" ref="W2529">AND(ISNUMBER(LifeExpectancyData[[#This Row],[Adult Mortality]:[Schooling]]),ISNUMBER(LifeExpectancyData[[#This Row],[Life expectancy]]), LifeExpectancyData[[#This Row],[Year]]=2013)</f>
        <v>0</v>
      </c>
    </row>
    <row r="2530" spans="1:23" hidden="1" x14ac:dyDescent="0.25">
      <c r="A2530" t="s">
        <v>440</v>
      </c>
      <c r="B2530">
        <v>2008</v>
      </c>
      <c r="C2530" t="s">
        <v>281</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cm="1">
        <f t="array" ref="W2530">AND(ISNUMBER(LifeExpectancyData[[#This Row],[Adult Mortality]:[Schooling]]),ISNUMBER(LifeExpectancyData[[#This Row],[Life expectancy]]), LifeExpectancyData[[#This Row],[Year]]=2013)</f>
        <v>0</v>
      </c>
    </row>
    <row r="2531" spans="1:23" hidden="1" x14ac:dyDescent="0.25">
      <c r="A2531" t="s">
        <v>440</v>
      </c>
      <c r="B2531">
        <v>2007</v>
      </c>
      <c r="C2531" t="s">
        <v>281</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cm="1">
        <f t="array" ref="W2531">AND(ISNUMBER(LifeExpectancyData[[#This Row],[Adult Mortality]:[Schooling]]),ISNUMBER(LifeExpectancyData[[#This Row],[Life expectancy]]), LifeExpectancyData[[#This Row],[Year]]=2013)</f>
        <v>0</v>
      </c>
    </row>
    <row r="2532" spans="1:23" hidden="1" x14ac:dyDescent="0.25">
      <c r="A2532" t="s">
        <v>440</v>
      </c>
      <c r="B2532">
        <v>2006</v>
      </c>
      <c r="C2532" t="s">
        <v>281</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cm="1">
        <f t="array" ref="W2532">AND(ISNUMBER(LifeExpectancyData[[#This Row],[Adult Mortality]:[Schooling]]),ISNUMBER(LifeExpectancyData[[#This Row],[Life expectancy]]), LifeExpectancyData[[#This Row],[Year]]=2013)</f>
        <v>0</v>
      </c>
    </row>
    <row r="2533" spans="1:23" hidden="1" x14ac:dyDescent="0.25">
      <c r="A2533" t="s">
        <v>440</v>
      </c>
      <c r="B2533">
        <v>2005</v>
      </c>
      <c r="C2533" t="s">
        <v>281</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cm="1">
        <f t="array" ref="W2533">AND(ISNUMBER(LifeExpectancyData[[#This Row],[Adult Mortality]:[Schooling]]),ISNUMBER(LifeExpectancyData[[#This Row],[Life expectancy]]), LifeExpectancyData[[#This Row],[Year]]=2013)</f>
        <v>0</v>
      </c>
    </row>
    <row r="2534" spans="1:23" hidden="1" x14ac:dyDescent="0.25">
      <c r="A2534" t="s">
        <v>440</v>
      </c>
      <c r="B2534">
        <v>2004</v>
      </c>
      <c r="C2534" t="s">
        <v>281</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cm="1">
        <f t="array" ref="W2534">AND(ISNUMBER(LifeExpectancyData[[#This Row],[Adult Mortality]:[Schooling]]),ISNUMBER(LifeExpectancyData[[#This Row],[Life expectancy]]), LifeExpectancyData[[#This Row],[Year]]=2013)</f>
        <v>0</v>
      </c>
    </row>
    <row r="2535" spans="1:23" hidden="1" x14ac:dyDescent="0.25">
      <c r="A2535" t="s">
        <v>440</v>
      </c>
      <c r="B2535">
        <v>2003</v>
      </c>
      <c r="C2535" t="s">
        <v>281</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cm="1">
        <f t="array" ref="W2535">AND(ISNUMBER(LifeExpectancyData[[#This Row],[Adult Mortality]:[Schooling]]),ISNUMBER(LifeExpectancyData[[#This Row],[Life expectancy]]), LifeExpectancyData[[#This Row],[Year]]=2013)</f>
        <v>0</v>
      </c>
    </row>
    <row r="2536" spans="1:23" hidden="1" x14ac:dyDescent="0.25">
      <c r="A2536" t="s">
        <v>440</v>
      </c>
      <c r="B2536">
        <v>2002</v>
      </c>
      <c r="C2536" t="s">
        <v>281</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cm="1">
        <f t="array" ref="W2536">AND(ISNUMBER(LifeExpectancyData[[#This Row],[Adult Mortality]:[Schooling]]),ISNUMBER(LifeExpectancyData[[#This Row],[Life expectancy]]), LifeExpectancyData[[#This Row],[Year]]=2013)</f>
        <v>0</v>
      </c>
    </row>
    <row r="2537" spans="1:23" hidden="1" x14ac:dyDescent="0.25">
      <c r="A2537" t="s">
        <v>440</v>
      </c>
      <c r="B2537">
        <v>2001</v>
      </c>
      <c r="C2537" t="s">
        <v>281</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cm="1">
        <f t="array" ref="W2537">AND(ISNUMBER(LifeExpectancyData[[#This Row],[Adult Mortality]:[Schooling]]),ISNUMBER(LifeExpectancyData[[#This Row],[Life expectancy]]), LifeExpectancyData[[#This Row],[Year]]=2013)</f>
        <v>0</v>
      </c>
    </row>
    <row r="2538" spans="1:23" hidden="1" x14ac:dyDescent="0.25">
      <c r="A2538" t="s">
        <v>440</v>
      </c>
      <c r="B2538">
        <v>2000</v>
      </c>
      <c r="C2538" t="s">
        <v>281</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cm="1">
        <f t="array" ref="W2538">AND(ISNUMBER(LifeExpectancyData[[#This Row],[Adult Mortality]:[Schooling]]),ISNUMBER(LifeExpectancyData[[#This Row],[Life expectancy]]), LifeExpectancyData[[#This Row],[Year]]=2013)</f>
        <v>0</v>
      </c>
    </row>
    <row r="2539" spans="1:23" hidden="1" x14ac:dyDescent="0.25">
      <c r="A2539" t="s">
        <v>441</v>
      </c>
      <c r="B2539">
        <v>2015</v>
      </c>
      <c r="C2539" t="s">
        <v>273</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cm="1">
        <f t="array" ref="W2539">AND(ISNUMBER(LifeExpectancyData[[#This Row],[Adult Mortality]:[Schooling]]),ISNUMBER(LifeExpectancyData[[#This Row],[Life expectancy]]), LifeExpectancyData[[#This Row],[Year]]=2013)</f>
        <v>0</v>
      </c>
    </row>
    <row r="2540" spans="1:23" hidden="1" x14ac:dyDescent="0.25">
      <c r="A2540" t="s">
        <v>441</v>
      </c>
      <c r="B2540">
        <v>2014</v>
      </c>
      <c r="C2540" t="s">
        <v>273</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cm="1">
        <f t="array" ref="W2540">AND(ISNUMBER(LifeExpectancyData[[#This Row],[Adult Mortality]:[Schooling]]),ISNUMBER(LifeExpectancyData[[#This Row],[Life expectancy]]), LifeExpectancyData[[#This Row],[Year]]=2013)</f>
        <v>0</v>
      </c>
    </row>
    <row r="2541" spans="1:23" hidden="1" x14ac:dyDescent="0.25">
      <c r="A2541" t="s">
        <v>441</v>
      </c>
      <c r="B2541">
        <v>2013</v>
      </c>
      <c r="C2541" t="s">
        <v>273</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cm="1">
        <f t="array" ref="W2541">AND(ISNUMBER(LifeExpectancyData[[#This Row],[Adult Mortality]:[Schooling]]),ISNUMBER(LifeExpectancyData[[#This Row],[Life expectancy]]), LifeExpectancyData[[#This Row],[Year]]=2013)</f>
        <v>0</v>
      </c>
    </row>
    <row r="2542" spans="1:23" hidden="1" x14ac:dyDescent="0.25">
      <c r="A2542" t="s">
        <v>441</v>
      </c>
      <c r="B2542">
        <v>2012</v>
      </c>
      <c r="C2542" t="s">
        <v>273</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cm="1">
        <f t="array" ref="W2542">AND(ISNUMBER(LifeExpectancyData[[#This Row],[Adult Mortality]:[Schooling]]),ISNUMBER(LifeExpectancyData[[#This Row],[Life expectancy]]), LifeExpectancyData[[#This Row],[Year]]=2013)</f>
        <v>0</v>
      </c>
    </row>
    <row r="2543" spans="1:23" hidden="1" x14ac:dyDescent="0.25">
      <c r="A2543" t="s">
        <v>441</v>
      </c>
      <c r="B2543">
        <v>2011</v>
      </c>
      <c r="C2543" t="s">
        <v>273</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cm="1">
        <f t="array" ref="W2543">AND(ISNUMBER(LifeExpectancyData[[#This Row],[Adult Mortality]:[Schooling]]),ISNUMBER(LifeExpectancyData[[#This Row],[Life expectancy]]), LifeExpectancyData[[#This Row],[Year]]=2013)</f>
        <v>0</v>
      </c>
    </row>
    <row r="2544" spans="1:23" hidden="1" x14ac:dyDescent="0.25">
      <c r="A2544" t="s">
        <v>441</v>
      </c>
      <c r="B2544">
        <v>2010</v>
      </c>
      <c r="C2544" t="s">
        <v>273</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cm="1">
        <f t="array" ref="W2544">AND(ISNUMBER(LifeExpectancyData[[#This Row],[Adult Mortality]:[Schooling]]),ISNUMBER(LifeExpectancyData[[#This Row],[Life expectancy]]), LifeExpectancyData[[#This Row],[Year]]=2013)</f>
        <v>0</v>
      </c>
    </row>
    <row r="2545" spans="1:23" hidden="1" x14ac:dyDescent="0.25">
      <c r="A2545" t="s">
        <v>441</v>
      </c>
      <c r="B2545">
        <v>2009</v>
      </c>
      <c r="C2545" t="s">
        <v>273</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cm="1">
        <f t="array" ref="W2545">AND(ISNUMBER(LifeExpectancyData[[#This Row],[Adult Mortality]:[Schooling]]),ISNUMBER(LifeExpectancyData[[#This Row],[Life expectancy]]), LifeExpectancyData[[#This Row],[Year]]=2013)</f>
        <v>0</v>
      </c>
    </row>
    <row r="2546" spans="1:23" hidden="1" x14ac:dyDescent="0.25">
      <c r="A2546" t="s">
        <v>441</v>
      </c>
      <c r="B2546">
        <v>2008</v>
      </c>
      <c r="C2546" t="s">
        <v>273</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cm="1">
        <f t="array" ref="W2546">AND(ISNUMBER(LifeExpectancyData[[#This Row],[Adult Mortality]:[Schooling]]),ISNUMBER(LifeExpectancyData[[#This Row],[Life expectancy]]), LifeExpectancyData[[#This Row],[Year]]=2013)</f>
        <v>0</v>
      </c>
    </row>
    <row r="2547" spans="1:23" x14ac:dyDescent="0.25">
      <c r="A2547" t="s">
        <v>441</v>
      </c>
      <c r="B2547">
        <v>2007</v>
      </c>
      <c r="C2547" t="s">
        <v>273</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cm="1">
        <f t="array" ref="W2547">AND(ISNUMBER(LifeExpectancyData[[#This Row],[Adult Mortality]:[Schooling]]),ISNUMBER(LifeExpectancyData[[#This Row],[Life expectancy]]), LifeExpectancyData[[#This Row],[Year]]=2013)</f>
        <v>0</v>
      </c>
    </row>
    <row r="2548" spans="1:23" x14ac:dyDescent="0.25">
      <c r="A2548" t="s">
        <v>441</v>
      </c>
      <c r="B2548">
        <v>2006</v>
      </c>
      <c r="C2548" t="s">
        <v>273</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cm="1">
        <f t="array" ref="W2548">AND(ISNUMBER(LifeExpectancyData[[#This Row],[Adult Mortality]:[Schooling]]),ISNUMBER(LifeExpectancyData[[#This Row],[Life expectancy]]), LifeExpectancyData[[#This Row],[Year]]=2013)</f>
        <v>0</v>
      </c>
    </row>
    <row r="2549" spans="1:23" x14ac:dyDescent="0.25">
      <c r="A2549" t="s">
        <v>441</v>
      </c>
      <c r="B2549">
        <v>2005</v>
      </c>
      <c r="C2549" t="s">
        <v>273</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cm="1">
        <f t="array" ref="W2549">AND(ISNUMBER(LifeExpectancyData[[#This Row],[Adult Mortality]:[Schooling]]),ISNUMBER(LifeExpectancyData[[#This Row],[Life expectancy]]), LifeExpectancyData[[#This Row],[Year]]=2013)</f>
        <v>0</v>
      </c>
    </row>
    <row r="2550" spans="1:23" x14ac:dyDescent="0.25">
      <c r="A2550" t="s">
        <v>441</v>
      </c>
      <c r="B2550">
        <v>2004</v>
      </c>
      <c r="C2550" t="s">
        <v>273</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cm="1">
        <f t="array" ref="W2550">AND(ISNUMBER(LifeExpectancyData[[#This Row],[Adult Mortality]:[Schooling]]),ISNUMBER(LifeExpectancyData[[#This Row],[Life expectancy]]), LifeExpectancyData[[#This Row],[Year]]=2013)</f>
        <v>0</v>
      </c>
    </row>
    <row r="2551" spans="1:23" x14ac:dyDescent="0.25">
      <c r="A2551" t="s">
        <v>441</v>
      </c>
      <c r="B2551">
        <v>2003</v>
      </c>
      <c r="C2551" t="s">
        <v>273</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cm="1">
        <f t="array" ref="W2551">AND(ISNUMBER(LifeExpectancyData[[#This Row],[Adult Mortality]:[Schooling]]),ISNUMBER(LifeExpectancyData[[#This Row],[Life expectancy]]), LifeExpectancyData[[#This Row],[Year]]=2013)</f>
        <v>0</v>
      </c>
    </row>
    <row r="2552" spans="1:23" x14ac:dyDescent="0.25">
      <c r="A2552" t="s">
        <v>441</v>
      </c>
      <c r="B2552">
        <v>2002</v>
      </c>
      <c r="C2552" t="s">
        <v>273</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cm="1">
        <f t="array" ref="W2552">AND(ISNUMBER(LifeExpectancyData[[#This Row],[Adult Mortality]:[Schooling]]),ISNUMBER(LifeExpectancyData[[#This Row],[Life expectancy]]), LifeExpectancyData[[#This Row],[Year]]=2013)</f>
        <v>0</v>
      </c>
    </row>
    <row r="2553" spans="1:23" x14ac:dyDescent="0.25">
      <c r="A2553" t="s">
        <v>441</v>
      </c>
      <c r="B2553">
        <v>2001</v>
      </c>
      <c r="C2553" t="s">
        <v>273</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cm="1">
        <f t="array" ref="W2553">AND(ISNUMBER(LifeExpectancyData[[#This Row],[Adult Mortality]:[Schooling]]),ISNUMBER(LifeExpectancyData[[#This Row],[Life expectancy]]), LifeExpectancyData[[#This Row],[Year]]=2013)</f>
        <v>0</v>
      </c>
    </row>
    <row r="2554" spans="1:23" x14ac:dyDescent="0.25">
      <c r="A2554" t="s">
        <v>441</v>
      </c>
      <c r="B2554">
        <v>2000</v>
      </c>
      <c r="C2554" t="s">
        <v>273</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cm="1">
        <f t="array" ref="W2554">AND(ISNUMBER(LifeExpectancyData[[#This Row],[Adult Mortality]:[Schooling]]),ISNUMBER(LifeExpectancyData[[#This Row],[Life expectancy]]), LifeExpectancyData[[#This Row],[Year]]=2013)</f>
        <v>0</v>
      </c>
    </row>
    <row r="2555" spans="1:23" hidden="1" x14ac:dyDescent="0.25">
      <c r="A2555" t="s">
        <v>442</v>
      </c>
      <c r="B2555">
        <v>2015</v>
      </c>
      <c r="C2555" t="s">
        <v>273</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cm="1">
        <f t="array" ref="W2555">AND(ISNUMBER(LifeExpectancyData[[#This Row],[Adult Mortality]:[Schooling]]),ISNUMBER(LifeExpectancyData[[#This Row],[Life expectancy]]), LifeExpectancyData[[#This Row],[Year]]=2013)</f>
        <v>0</v>
      </c>
    </row>
    <row r="2556" spans="1:23" x14ac:dyDescent="0.25">
      <c r="A2556" t="s">
        <v>442</v>
      </c>
      <c r="B2556">
        <v>2014</v>
      </c>
      <c r="C2556" t="s">
        <v>273</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cm="1">
        <f t="array" ref="W2556">AND(ISNUMBER(LifeExpectancyData[[#This Row],[Adult Mortality]:[Schooling]]),ISNUMBER(LifeExpectancyData[[#This Row],[Life expectancy]]), LifeExpectancyData[[#This Row],[Year]]=2013)</f>
        <v>0</v>
      </c>
    </row>
    <row r="2557" spans="1:23" x14ac:dyDescent="0.25">
      <c r="A2557" t="s">
        <v>442</v>
      </c>
      <c r="B2557">
        <v>2013</v>
      </c>
      <c r="C2557" t="s">
        <v>273</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cm="1">
        <f t="array" ref="W2557">AND(ISNUMBER(LifeExpectancyData[[#This Row],[Adult Mortality]:[Schooling]]),ISNUMBER(LifeExpectancyData[[#This Row],[Life expectancy]]), LifeExpectancyData[[#This Row],[Year]]=2013)</f>
        <v>1</v>
      </c>
    </row>
    <row r="2558" spans="1:23" x14ac:dyDescent="0.25">
      <c r="A2558" t="s">
        <v>442</v>
      </c>
      <c r="B2558">
        <v>2012</v>
      </c>
      <c r="C2558" t="s">
        <v>273</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cm="1">
        <f t="array" ref="W2558">AND(ISNUMBER(LifeExpectancyData[[#This Row],[Adult Mortality]:[Schooling]]),ISNUMBER(LifeExpectancyData[[#This Row],[Life expectancy]]), LifeExpectancyData[[#This Row],[Year]]=2013)</f>
        <v>0</v>
      </c>
    </row>
    <row r="2559" spans="1:23" x14ac:dyDescent="0.25">
      <c r="A2559" t="s">
        <v>442</v>
      </c>
      <c r="B2559">
        <v>2011</v>
      </c>
      <c r="C2559" t="s">
        <v>273</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cm="1">
        <f t="array" ref="W2559">AND(ISNUMBER(LifeExpectancyData[[#This Row],[Adult Mortality]:[Schooling]]),ISNUMBER(LifeExpectancyData[[#This Row],[Life expectancy]]), LifeExpectancyData[[#This Row],[Year]]=2013)</f>
        <v>0</v>
      </c>
    </row>
    <row r="2560" spans="1:23" x14ac:dyDescent="0.25">
      <c r="A2560" t="s">
        <v>442</v>
      </c>
      <c r="B2560">
        <v>2010</v>
      </c>
      <c r="C2560" t="s">
        <v>273</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cm="1">
        <f t="array" ref="W2560">AND(ISNUMBER(LifeExpectancyData[[#This Row],[Adult Mortality]:[Schooling]]),ISNUMBER(LifeExpectancyData[[#This Row],[Life expectancy]]), LifeExpectancyData[[#This Row],[Year]]=2013)</f>
        <v>0</v>
      </c>
    </row>
    <row r="2561" spans="1:23" x14ac:dyDescent="0.25">
      <c r="A2561" t="s">
        <v>442</v>
      </c>
      <c r="B2561">
        <v>2009</v>
      </c>
      <c r="C2561" t="s">
        <v>273</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cm="1">
        <f t="array" ref="W2561">AND(ISNUMBER(LifeExpectancyData[[#This Row],[Adult Mortality]:[Schooling]]),ISNUMBER(LifeExpectancyData[[#This Row],[Life expectancy]]), LifeExpectancyData[[#This Row],[Year]]=2013)</f>
        <v>0</v>
      </c>
    </row>
    <row r="2562" spans="1:23" x14ac:dyDescent="0.25">
      <c r="A2562" t="s">
        <v>442</v>
      </c>
      <c r="B2562">
        <v>2008</v>
      </c>
      <c r="C2562" t="s">
        <v>273</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cm="1">
        <f t="array" ref="W2562">AND(ISNUMBER(LifeExpectancyData[[#This Row],[Adult Mortality]:[Schooling]]),ISNUMBER(LifeExpectancyData[[#This Row],[Life expectancy]]), LifeExpectancyData[[#This Row],[Year]]=2013)</f>
        <v>0</v>
      </c>
    </row>
    <row r="2563" spans="1:23" x14ac:dyDescent="0.25">
      <c r="A2563" t="s">
        <v>442</v>
      </c>
      <c r="B2563">
        <v>2007</v>
      </c>
      <c r="C2563" t="s">
        <v>273</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cm="1">
        <f t="array" ref="W2563">AND(ISNUMBER(LifeExpectancyData[[#This Row],[Adult Mortality]:[Schooling]]),ISNUMBER(LifeExpectancyData[[#This Row],[Life expectancy]]), LifeExpectancyData[[#This Row],[Year]]=2013)</f>
        <v>0</v>
      </c>
    </row>
    <row r="2564" spans="1:23" x14ac:dyDescent="0.25">
      <c r="A2564" t="s">
        <v>442</v>
      </c>
      <c r="B2564">
        <v>2006</v>
      </c>
      <c r="C2564" t="s">
        <v>273</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cm="1">
        <f t="array" ref="W2564">AND(ISNUMBER(LifeExpectancyData[[#This Row],[Adult Mortality]:[Schooling]]),ISNUMBER(LifeExpectancyData[[#This Row],[Life expectancy]]), LifeExpectancyData[[#This Row],[Year]]=2013)</f>
        <v>0</v>
      </c>
    </row>
    <row r="2565" spans="1:23" x14ac:dyDescent="0.25">
      <c r="A2565" t="s">
        <v>442</v>
      </c>
      <c r="B2565">
        <v>2005</v>
      </c>
      <c r="C2565" t="s">
        <v>273</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cm="1">
        <f t="array" ref="W2565">AND(ISNUMBER(LifeExpectancyData[[#This Row],[Adult Mortality]:[Schooling]]),ISNUMBER(LifeExpectancyData[[#This Row],[Life expectancy]]), LifeExpectancyData[[#This Row],[Year]]=2013)</f>
        <v>0</v>
      </c>
    </row>
    <row r="2566" spans="1:23" x14ac:dyDescent="0.25">
      <c r="A2566" t="s">
        <v>442</v>
      </c>
      <c r="B2566">
        <v>2004</v>
      </c>
      <c r="C2566" t="s">
        <v>273</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cm="1">
        <f t="array" ref="W2566">AND(ISNUMBER(LifeExpectancyData[[#This Row],[Adult Mortality]:[Schooling]]),ISNUMBER(LifeExpectancyData[[#This Row],[Life expectancy]]), LifeExpectancyData[[#This Row],[Year]]=2013)</f>
        <v>0</v>
      </c>
    </row>
    <row r="2567" spans="1:23" x14ac:dyDescent="0.25">
      <c r="A2567" t="s">
        <v>442</v>
      </c>
      <c r="B2567">
        <v>2003</v>
      </c>
      <c r="C2567" t="s">
        <v>273</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cm="1">
        <f t="array" ref="W2567">AND(ISNUMBER(LifeExpectancyData[[#This Row],[Adult Mortality]:[Schooling]]),ISNUMBER(LifeExpectancyData[[#This Row],[Life expectancy]]), LifeExpectancyData[[#This Row],[Year]]=2013)</f>
        <v>0</v>
      </c>
    </row>
    <row r="2568" spans="1:23" x14ac:dyDescent="0.25">
      <c r="A2568" t="s">
        <v>442</v>
      </c>
      <c r="B2568">
        <v>2002</v>
      </c>
      <c r="C2568" t="s">
        <v>273</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cm="1">
        <f t="array" ref="W2568">AND(ISNUMBER(LifeExpectancyData[[#This Row],[Adult Mortality]:[Schooling]]),ISNUMBER(LifeExpectancyData[[#This Row],[Life expectancy]]), LifeExpectancyData[[#This Row],[Year]]=2013)</f>
        <v>0</v>
      </c>
    </row>
    <row r="2569" spans="1:23" hidden="1" x14ac:dyDescent="0.25">
      <c r="A2569" t="s">
        <v>442</v>
      </c>
      <c r="B2569">
        <v>2001</v>
      </c>
      <c r="C2569" t="s">
        <v>273</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cm="1">
        <f t="array" ref="W2569">AND(ISNUMBER(LifeExpectancyData[[#This Row],[Adult Mortality]:[Schooling]]),ISNUMBER(LifeExpectancyData[[#This Row],[Life expectancy]]), LifeExpectancyData[[#This Row],[Year]]=2013)</f>
        <v>0</v>
      </c>
    </row>
    <row r="2570" spans="1:23" hidden="1" x14ac:dyDescent="0.25">
      <c r="A2570" t="s">
        <v>442</v>
      </c>
      <c r="B2570">
        <v>2000</v>
      </c>
      <c r="C2570" t="s">
        <v>273</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cm="1">
        <f t="array" ref="W2570">AND(ISNUMBER(LifeExpectancyData[[#This Row],[Adult Mortality]:[Schooling]]),ISNUMBER(LifeExpectancyData[[#This Row],[Life expectancy]]), LifeExpectancyData[[#This Row],[Year]]=2013)</f>
        <v>0</v>
      </c>
    </row>
    <row r="2571" spans="1:23" hidden="1" x14ac:dyDescent="0.25">
      <c r="A2571" t="s">
        <v>443</v>
      </c>
      <c r="B2571">
        <v>2015</v>
      </c>
      <c r="C2571" t="s">
        <v>273</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cm="1">
        <f t="array" ref="W2571">AND(ISNUMBER(LifeExpectancyData[[#This Row],[Adult Mortality]:[Schooling]]),ISNUMBER(LifeExpectancyData[[#This Row],[Life expectancy]]), LifeExpectancyData[[#This Row],[Year]]=2013)</f>
        <v>0</v>
      </c>
    </row>
    <row r="2572" spans="1:23" x14ac:dyDescent="0.25">
      <c r="A2572" t="s">
        <v>443</v>
      </c>
      <c r="B2572">
        <v>2014</v>
      </c>
      <c r="C2572" t="s">
        <v>273</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cm="1">
        <f t="array" ref="W2572">AND(ISNUMBER(LifeExpectancyData[[#This Row],[Adult Mortality]:[Schooling]]),ISNUMBER(LifeExpectancyData[[#This Row],[Life expectancy]]), LifeExpectancyData[[#This Row],[Year]]=2013)</f>
        <v>0</v>
      </c>
    </row>
    <row r="2573" spans="1:23" x14ac:dyDescent="0.25">
      <c r="A2573" t="s">
        <v>443</v>
      </c>
      <c r="B2573">
        <v>2013</v>
      </c>
      <c r="C2573" t="s">
        <v>273</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cm="1">
        <f t="array" ref="W2573">AND(ISNUMBER(LifeExpectancyData[[#This Row],[Adult Mortality]:[Schooling]]),ISNUMBER(LifeExpectancyData[[#This Row],[Life expectancy]]), LifeExpectancyData[[#This Row],[Year]]=2013)</f>
        <v>1</v>
      </c>
    </row>
    <row r="2574" spans="1:23" x14ac:dyDescent="0.25">
      <c r="A2574" t="s">
        <v>443</v>
      </c>
      <c r="B2574">
        <v>2012</v>
      </c>
      <c r="C2574" t="s">
        <v>273</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cm="1">
        <f t="array" ref="W2574">AND(ISNUMBER(LifeExpectancyData[[#This Row],[Adult Mortality]:[Schooling]]),ISNUMBER(LifeExpectancyData[[#This Row],[Life expectancy]]), LifeExpectancyData[[#This Row],[Year]]=2013)</f>
        <v>0</v>
      </c>
    </row>
    <row r="2575" spans="1:23" x14ac:dyDescent="0.25">
      <c r="A2575" t="s">
        <v>443</v>
      </c>
      <c r="B2575">
        <v>2011</v>
      </c>
      <c r="C2575" t="s">
        <v>273</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cm="1">
        <f t="array" ref="W2575">AND(ISNUMBER(LifeExpectancyData[[#This Row],[Adult Mortality]:[Schooling]]),ISNUMBER(LifeExpectancyData[[#This Row],[Life expectancy]]), LifeExpectancyData[[#This Row],[Year]]=2013)</f>
        <v>0</v>
      </c>
    </row>
    <row r="2576" spans="1:23" x14ac:dyDescent="0.25">
      <c r="A2576" t="s">
        <v>443</v>
      </c>
      <c r="B2576">
        <v>2010</v>
      </c>
      <c r="C2576" t="s">
        <v>273</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cm="1">
        <f t="array" ref="W2576">AND(ISNUMBER(LifeExpectancyData[[#This Row],[Adult Mortality]:[Schooling]]),ISNUMBER(LifeExpectancyData[[#This Row],[Life expectancy]]), LifeExpectancyData[[#This Row],[Year]]=2013)</f>
        <v>0</v>
      </c>
    </row>
    <row r="2577" spans="1:23" x14ac:dyDescent="0.25">
      <c r="A2577" t="s">
        <v>443</v>
      </c>
      <c r="B2577">
        <v>2009</v>
      </c>
      <c r="C2577" t="s">
        <v>273</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cm="1">
        <f t="array" ref="W2577">AND(ISNUMBER(LifeExpectancyData[[#This Row],[Adult Mortality]:[Schooling]]),ISNUMBER(LifeExpectancyData[[#This Row],[Life expectancy]]), LifeExpectancyData[[#This Row],[Year]]=2013)</f>
        <v>0</v>
      </c>
    </row>
    <row r="2578" spans="1:23" x14ac:dyDescent="0.25">
      <c r="A2578" t="s">
        <v>443</v>
      </c>
      <c r="B2578">
        <v>2008</v>
      </c>
      <c r="C2578" t="s">
        <v>273</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cm="1">
        <f t="array" ref="W2578">AND(ISNUMBER(LifeExpectancyData[[#This Row],[Adult Mortality]:[Schooling]]),ISNUMBER(LifeExpectancyData[[#This Row],[Life expectancy]]), LifeExpectancyData[[#This Row],[Year]]=2013)</f>
        <v>0</v>
      </c>
    </row>
    <row r="2579" spans="1:23" x14ac:dyDescent="0.25">
      <c r="A2579" t="s">
        <v>443</v>
      </c>
      <c r="B2579">
        <v>2007</v>
      </c>
      <c r="C2579" t="s">
        <v>273</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cm="1">
        <f t="array" ref="W2579">AND(ISNUMBER(LifeExpectancyData[[#This Row],[Adult Mortality]:[Schooling]]),ISNUMBER(LifeExpectancyData[[#This Row],[Life expectancy]]), LifeExpectancyData[[#This Row],[Year]]=2013)</f>
        <v>0</v>
      </c>
    </row>
    <row r="2580" spans="1:23" x14ac:dyDescent="0.25">
      <c r="A2580" t="s">
        <v>443</v>
      </c>
      <c r="B2580">
        <v>2006</v>
      </c>
      <c r="C2580" t="s">
        <v>273</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cm="1">
        <f t="array" ref="W2580">AND(ISNUMBER(LifeExpectancyData[[#This Row],[Adult Mortality]:[Schooling]]),ISNUMBER(LifeExpectancyData[[#This Row],[Life expectancy]]), LifeExpectancyData[[#This Row],[Year]]=2013)</f>
        <v>0</v>
      </c>
    </row>
    <row r="2581" spans="1:23" x14ac:dyDescent="0.25">
      <c r="A2581" t="s">
        <v>443</v>
      </c>
      <c r="B2581">
        <v>2005</v>
      </c>
      <c r="C2581" t="s">
        <v>273</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cm="1">
        <f t="array" ref="W2581">AND(ISNUMBER(LifeExpectancyData[[#This Row],[Adult Mortality]:[Schooling]]),ISNUMBER(LifeExpectancyData[[#This Row],[Life expectancy]]), LifeExpectancyData[[#This Row],[Year]]=2013)</f>
        <v>0</v>
      </c>
    </row>
    <row r="2582" spans="1:23" x14ac:dyDescent="0.25">
      <c r="A2582" t="s">
        <v>443</v>
      </c>
      <c r="B2582">
        <v>2004</v>
      </c>
      <c r="C2582" t="s">
        <v>273</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cm="1">
        <f t="array" ref="W2582">AND(ISNUMBER(LifeExpectancyData[[#This Row],[Adult Mortality]:[Schooling]]),ISNUMBER(LifeExpectancyData[[#This Row],[Life expectancy]]), LifeExpectancyData[[#This Row],[Year]]=2013)</f>
        <v>0</v>
      </c>
    </row>
    <row r="2583" spans="1:23" x14ac:dyDescent="0.25">
      <c r="A2583" t="s">
        <v>443</v>
      </c>
      <c r="B2583">
        <v>2003</v>
      </c>
      <c r="C2583" t="s">
        <v>273</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cm="1">
        <f t="array" ref="W2583">AND(ISNUMBER(LifeExpectancyData[[#This Row],[Adult Mortality]:[Schooling]]),ISNUMBER(LifeExpectancyData[[#This Row],[Life expectancy]]), LifeExpectancyData[[#This Row],[Year]]=2013)</f>
        <v>0</v>
      </c>
    </row>
    <row r="2584" spans="1:23" x14ac:dyDescent="0.25">
      <c r="A2584" t="s">
        <v>443</v>
      </c>
      <c r="B2584">
        <v>2002</v>
      </c>
      <c r="C2584" t="s">
        <v>273</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cm="1">
        <f t="array" ref="W2584">AND(ISNUMBER(LifeExpectancyData[[#This Row],[Adult Mortality]:[Schooling]]),ISNUMBER(LifeExpectancyData[[#This Row],[Life expectancy]]), LifeExpectancyData[[#This Row],[Year]]=2013)</f>
        <v>0</v>
      </c>
    </row>
    <row r="2585" spans="1:23" x14ac:dyDescent="0.25">
      <c r="A2585" t="s">
        <v>443</v>
      </c>
      <c r="B2585">
        <v>2001</v>
      </c>
      <c r="C2585" t="s">
        <v>273</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cm="1">
        <f t="array" ref="W2585">AND(ISNUMBER(LifeExpectancyData[[#This Row],[Adult Mortality]:[Schooling]]),ISNUMBER(LifeExpectancyData[[#This Row],[Life expectancy]]), LifeExpectancyData[[#This Row],[Year]]=2013)</f>
        <v>0</v>
      </c>
    </row>
    <row r="2586" spans="1:23" x14ac:dyDescent="0.25">
      <c r="A2586" t="s">
        <v>443</v>
      </c>
      <c r="B2586">
        <v>2000</v>
      </c>
      <c r="C2586" t="s">
        <v>273</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cm="1">
        <f t="array" ref="W2586">AND(ISNUMBER(LifeExpectancyData[[#This Row],[Adult Mortality]:[Schooling]]),ISNUMBER(LifeExpectancyData[[#This Row],[Life expectancy]]), LifeExpectancyData[[#This Row],[Year]]=2013)</f>
        <v>0</v>
      </c>
    </row>
    <row r="2587" spans="1:23" hidden="1" x14ac:dyDescent="0.25">
      <c r="A2587" t="s">
        <v>444</v>
      </c>
      <c r="B2587">
        <v>2015</v>
      </c>
      <c r="C2587" t="s">
        <v>273</v>
      </c>
      <c r="D2587">
        <v>75.7</v>
      </c>
      <c r="E2587">
        <v>12</v>
      </c>
      <c r="F2587">
        <v>0</v>
      </c>
      <c r="H2587">
        <v>0</v>
      </c>
      <c r="I2587">
        <v>92</v>
      </c>
      <c r="J2587">
        <v>1</v>
      </c>
      <c r="K2587">
        <v>6.3</v>
      </c>
      <c r="L2587">
        <v>0</v>
      </c>
      <c r="M2587">
        <v>92</v>
      </c>
      <c r="O2587">
        <v>91</v>
      </c>
      <c r="P2587">
        <v>0.1</v>
      </c>
      <c r="S2587">
        <v>2.1</v>
      </c>
      <c r="T2587">
        <v>2.1</v>
      </c>
      <c r="U2587">
        <v>0.746</v>
      </c>
      <c r="V2587">
        <v>12.9</v>
      </c>
      <c r="W2587" t="b" cm="1">
        <f t="array" ref="W2587">AND(ISNUMBER(LifeExpectancyData[[#This Row],[Adult Mortality]:[Schooling]]),ISNUMBER(LifeExpectancyData[[#This Row],[Life expectancy]]), LifeExpectancyData[[#This Row],[Year]]=2013)</f>
        <v>0</v>
      </c>
    </row>
    <row r="2588" spans="1:23" hidden="1" x14ac:dyDescent="0.25">
      <c r="A2588" t="s">
        <v>444</v>
      </c>
      <c r="B2588">
        <v>2014</v>
      </c>
      <c r="C2588" t="s">
        <v>273</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cm="1">
        <f t="array" ref="W2588">AND(ISNUMBER(LifeExpectancyData[[#This Row],[Adult Mortality]:[Schooling]]),ISNUMBER(LifeExpectancyData[[#This Row],[Life expectancy]]), LifeExpectancyData[[#This Row],[Year]]=2013)</f>
        <v>0</v>
      </c>
    </row>
    <row r="2589" spans="1:23" hidden="1" x14ac:dyDescent="0.25">
      <c r="A2589" t="s">
        <v>444</v>
      </c>
      <c r="B2589">
        <v>2013</v>
      </c>
      <c r="C2589" t="s">
        <v>273</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cm="1">
        <f t="array" ref="W2589">AND(ISNUMBER(LifeExpectancyData[[#This Row],[Adult Mortality]:[Schooling]]),ISNUMBER(LifeExpectancyData[[#This Row],[Life expectancy]]), LifeExpectancyData[[#This Row],[Year]]=2013)</f>
        <v>0</v>
      </c>
    </row>
    <row r="2590" spans="1:23" hidden="1" x14ac:dyDescent="0.25">
      <c r="A2590" t="s">
        <v>444</v>
      </c>
      <c r="B2590">
        <v>2012</v>
      </c>
      <c r="C2590" t="s">
        <v>273</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cm="1">
        <f t="array" ref="W2590">AND(ISNUMBER(LifeExpectancyData[[#This Row],[Adult Mortality]:[Schooling]]),ISNUMBER(LifeExpectancyData[[#This Row],[Life expectancy]]), LifeExpectancyData[[#This Row],[Year]]=2013)</f>
        <v>0</v>
      </c>
    </row>
    <row r="2591" spans="1:23" hidden="1" x14ac:dyDescent="0.25">
      <c r="A2591" t="s">
        <v>444</v>
      </c>
      <c r="B2591">
        <v>2011</v>
      </c>
      <c r="C2591" t="s">
        <v>273</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cm="1">
        <f t="array" ref="W2591">AND(ISNUMBER(LifeExpectancyData[[#This Row],[Adult Mortality]:[Schooling]]),ISNUMBER(LifeExpectancyData[[#This Row],[Life expectancy]]), LifeExpectancyData[[#This Row],[Year]]=2013)</f>
        <v>0</v>
      </c>
    </row>
    <row r="2592" spans="1:23" hidden="1" x14ac:dyDescent="0.25">
      <c r="A2592" t="s">
        <v>444</v>
      </c>
      <c r="B2592">
        <v>2010</v>
      </c>
      <c r="C2592" t="s">
        <v>273</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cm="1">
        <f t="array" ref="W2592">AND(ISNUMBER(LifeExpectancyData[[#This Row],[Adult Mortality]:[Schooling]]),ISNUMBER(LifeExpectancyData[[#This Row],[Life expectancy]]), LifeExpectancyData[[#This Row],[Year]]=2013)</f>
        <v>0</v>
      </c>
    </row>
    <row r="2593" spans="1:23" hidden="1" x14ac:dyDescent="0.25">
      <c r="A2593" t="s">
        <v>444</v>
      </c>
      <c r="B2593">
        <v>2009</v>
      </c>
      <c r="C2593" t="s">
        <v>273</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cm="1">
        <f t="array" ref="W2593">AND(ISNUMBER(LifeExpectancyData[[#This Row],[Adult Mortality]:[Schooling]]),ISNUMBER(LifeExpectancyData[[#This Row],[Life expectancy]]), LifeExpectancyData[[#This Row],[Year]]=2013)</f>
        <v>0</v>
      </c>
    </row>
    <row r="2594" spans="1:23" hidden="1" x14ac:dyDescent="0.25">
      <c r="A2594" t="s">
        <v>444</v>
      </c>
      <c r="B2594">
        <v>2008</v>
      </c>
      <c r="C2594" t="s">
        <v>273</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cm="1">
        <f t="array" ref="W2594">AND(ISNUMBER(LifeExpectancyData[[#This Row],[Adult Mortality]:[Schooling]]),ISNUMBER(LifeExpectancyData[[#This Row],[Life expectancy]]), LifeExpectancyData[[#This Row],[Year]]=2013)</f>
        <v>0</v>
      </c>
    </row>
    <row r="2595" spans="1:23" hidden="1" x14ac:dyDescent="0.25">
      <c r="A2595" t="s">
        <v>444</v>
      </c>
      <c r="B2595">
        <v>2007</v>
      </c>
      <c r="C2595" t="s">
        <v>273</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cm="1">
        <f t="array" ref="W2595">AND(ISNUMBER(LifeExpectancyData[[#This Row],[Adult Mortality]:[Schooling]]),ISNUMBER(LifeExpectancyData[[#This Row],[Life expectancy]]), LifeExpectancyData[[#This Row],[Year]]=2013)</f>
        <v>0</v>
      </c>
    </row>
    <row r="2596" spans="1:23" hidden="1" x14ac:dyDescent="0.25">
      <c r="A2596" t="s">
        <v>444</v>
      </c>
      <c r="B2596">
        <v>2006</v>
      </c>
      <c r="C2596" t="s">
        <v>273</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cm="1">
        <f t="array" ref="W2596">AND(ISNUMBER(LifeExpectancyData[[#This Row],[Adult Mortality]:[Schooling]]),ISNUMBER(LifeExpectancyData[[#This Row],[Life expectancy]]), LifeExpectancyData[[#This Row],[Year]]=2013)</f>
        <v>0</v>
      </c>
    </row>
    <row r="2597" spans="1:23" hidden="1" x14ac:dyDescent="0.25">
      <c r="A2597" t="s">
        <v>444</v>
      </c>
      <c r="B2597">
        <v>2005</v>
      </c>
      <c r="C2597" t="s">
        <v>273</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cm="1">
        <f t="array" ref="W2597">AND(ISNUMBER(LifeExpectancyData[[#This Row],[Adult Mortality]:[Schooling]]),ISNUMBER(LifeExpectancyData[[#This Row],[Life expectancy]]), LifeExpectancyData[[#This Row],[Year]]=2013)</f>
        <v>0</v>
      </c>
    </row>
    <row r="2598" spans="1:23" hidden="1" x14ac:dyDescent="0.25">
      <c r="A2598" t="s">
        <v>444</v>
      </c>
      <c r="B2598">
        <v>2004</v>
      </c>
      <c r="C2598" t="s">
        <v>273</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cm="1">
        <f t="array" ref="W2598">AND(ISNUMBER(LifeExpectancyData[[#This Row],[Adult Mortality]:[Schooling]]),ISNUMBER(LifeExpectancyData[[#This Row],[Life expectancy]]), LifeExpectancyData[[#This Row],[Year]]=2013)</f>
        <v>0</v>
      </c>
    </row>
    <row r="2599" spans="1:23" hidden="1" x14ac:dyDescent="0.25">
      <c r="A2599" t="s">
        <v>444</v>
      </c>
      <c r="B2599">
        <v>2003</v>
      </c>
      <c r="C2599" t="s">
        <v>273</v>
      </c>
      <c r="D2599">
        <v>73.2</v>
      </c>
      <c r="E2599">
        <v>126</v>
      </c>
      <c r="F2599">
        <v>0</v>
      </c>
      <c r="G2599">
        <v>2.4</v>
      </c>
      <c r="H2599">
        <v>0</v>
      </c>
      <c r="J2599">
        <v>18</v>
      </c>
      <c r="K2599">
        <v>54.1</v>
      </c>
      <c r="L2599">
        <v>0</v>
      </c>
      <c r="M2599">
        <v>96</v>
      </c>
      <c r="N2599">
        <v>9.17</v>
      </c>
      <c r="O2599">
        <v>96</v>
      </c>
      <c r="P2599">
        <v>0.1</v>
      </c>
      <c r="S2599">
        <v>2.7</v>
      </c>
      <c r="T2599">
        <v>2.7</v>
      </c>
      <c r="U2599">
        <v>0</v>
      </c>
      <c r="V2599">
        <v>11.9</v>
      </c>
      <c r="W2599" t="b" cm="1">
        <f t="array" ref="W2599">AND(ISNUMBER(LifeExpectancyData[[#This Row],[Adult Mortality]:[Schooling]]),ISNUMBER(LifeExpectancyData[[#This Row],[Life expectancy]]), LifeExpectancyData[[#This Row],[Year]]=2013)</f>
        <v>0</v>
      </c>
    </row>
    <row r="2600" spans="1:23" hidden="1" x14ac:dyDescent="0.25">
      <c r="A2600" t="s">
        <v>444</v>
      </c>
      <c r="B2600">
        <v>2002</v>
      </c>
      <c r="C2600" t="s">
        <v>273</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cm="1">
        <f t="array" ref="W2600">AND(ISNUMBER(LifeExpectancyData[[#This Row],[Adult Mortality]:[Schooling]]),ISNUMBER(LifeExpectancyData[[#This Row],[Life expectancy]]), LifeExpectancyData[[#This Row],[Year]]=2013)</f>
        <v>0</v>
      </c>
    </row>
    <row r="2601" spans="1:23" hidden="1" x14ac:dyDescent="0.25">
      <c r="A2601" t="s">
        <v>444</v>
      </c>
      <c r="B2601">
        <v>2001</v>
      </c>
      <c r="C2601" t="s">
        <v>273</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cm="1">
        <f t="array" ref="W2601">AND(ISNUMBER(LifeExpectancyData[[#This Row],[Adult Mortality]:[Schooling]]),ISNUMBER(LifeExpectancyData[[#This Row],[Life expectancy]]), LifeExpectancyData[[#This Row],[Year]]=2013)</f>
        <v>0</v>
      </c>
    </row>
    <row r="2602" spans="1:23" hidden="1" x14ac:dyDescent="0.25">
      <c r="A2602" t="s">
        <v>444</v>
      </c>
      <c r="B2602">
        <v>2000</v>
      </c>
      <c r="C2602" t="s">
        <v>273</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cm="1">
        <f t="array" ref="W2602">AND(ISNUMBER(LifeExpectancyData[[#This Row],[Adult Mortality]:[Schooling]]),ISNUMBER(LifeExpectancyData[[#This Row],[Life expectancy]]), LifeExpectancyData[[#This Row],[Year]]=2013)</f>
        <v>0</v>
      </c>
    </row>
    <row r="2603" spans="1:23" hidden="1" x14ac:dyDescent="0.25">
      <c r="A2603" t="s">
        <v>445</v>
      </c>
      <c r="B2603">
        <v>2015</v>
      </c>
      <c r="C2603" t="s">
        <v>273</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cm="1">
        <f t="array" ref="W2603">AND(ISNUMBER(LifeExpectancyData[[#This Row],[Adult Mortality]:[Schooling]]),ISNUMBER(LifeExpectancyData[[#This Row],[Life expectancy]]), LifeExpectancyData[[#This Row],[Year]]=2013)</f>
        <v>0</v>
      </c>
    </row>
    <row r="2604" spans="1:23" x14ac:dyDescent="0.25">
      <c r="A2604" t="s">
        <v>445</v>
      </c>
      <c r="B2604">
        <v>2014</v>
      </c>
      <c r="C2604" t="s">
        <v>273</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cm="1">
        <f t="array" ref="W2604">AND(ISNUMBER(LifeExpectancyData[[#This Row],[Adult Mortality]:[Schooling]]),ISNUMBER(LifeExpectancyData[[#This Row],[Life expectancy]]), LifeExpectancyData[[#This Row],[Year]]=2013)</f>
        <v>0</v>
      </c>
    </row>
    <row r="2605" spans="1:23" x14ac:dyDescent="0.25">
      <c r="A2605" t="s">
        <v>445</v>
      </c>
      <c r="B2605">
        <v>2013</v>
      </c>
      <c r="C2605" t="s">
        <v>273</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cm="1">
        <f t="array" ref="W2605">AND(ISNUMBER(LifeExpectancyData[[#This Row],[Adult Mortality]:[Schooling]]),ISNUMBER(LifeExpectancyData[[#This Row],[Life expectancy]]), LifeExpectancyData[[#This Row],[Year]]=2013)</f>
        <v>1</v>
      </c>
    </row>
    <row r="2606" spans="1:23" x14ac:dyDescent="0.25">
      <c r="A2606" t="s">
        <v>445</v>
      </c>
      <c r="B2606">
        <v>2012</v>
      </c>
      <c r="C2606" t="s">
        <v>273</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cm="1">
        <f t="array" ref="W2606">AND(ISNUMBER(LifeExpectancyData[[#This Row],[Adult Mortality]:[Schooling]]),ISNUMBER(LifeExpectancyData[[#This Row],[Life expectancy]]), LifeExpectancyData[[#This Row],[Year]]=2013)</f>
        <v>0</v>
      </c>
    </row>
    <row r="2607" spans="1:23" x14ac:dyDescent="0.25">
      <c r="A2607" t="s">
        <v>445</v>
      </c>
      <c r="B2607">
        <v>2011</v>
      </c>
      <c r="C2607" t="s">
        <v>273</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cm="1">
        <f t="array" ref="W2607">AND(ISNUMBER(LifeExpectancyData[[#This Row],[Adult Mortality]:[Schooling]]),ISNUMBER(LifeExpectancyData[[#This Row],[Life expectancy]]), LifeExpectancyData[[#This Row],[Year]]=2013)</f>
        <v>0</v>
      </c>
    </row>
    <row r="2608" spans="1:23" x14ac:dyDescent="0.25">
      <c r="A2608" t="s">
        <v>445</v>
      </c>
      <c r="B2608">
        <v>2010</v>
      </c>
      <c r="C2608" t="s">
        <v>273</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cm="1">
        <f t="array" ref="W2608">AND(ISNUMBER(LifeExpectancyData[[#This Row],[Adult Mortality]:[Schooling]]),ISNUMBER(LifeExpectancyData[[#This Row],[Life expectancy]]), LifeExpectancyData[[#This Row],[Year]]=2013)</f>
        <v>0</v>
      </c>
    </row>
    <row r="2609" spans="1:23" x14ac:dyDescent="0.25">
      <c r="A2609" t="s">
        <v>445</v>
      </c>
      <c r="B2609">
        <v>2009</v>
      </c>
      <c r="C2609" t="s">
        <v>273</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cm="1">
        <f t="array" ref="W2609">AND(ISNUMBER(LifeExpectancyData[[#This Row],[Adult Mortality]:[Schooling]]),ISNUMBER(LifeExpectancyData[[#This Row],[Life expectancy]]), LifeExpectancyData[[#This Row],[Year]]=2013)</f>
        <v>0</v>
      </c>
    </row>
    <row r="2610" spans="1:23" x14ac:dyDescent="0.25">
      <c r="A2610" t="s">
        <v>445</v>
      </c>
      <c r="B2610">
        <v>2008</v>
      </c>
      <c r="C2610" t="s">
        <v>273</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cm="1">
        <f t="array" ref="W2610">AND(ISNUMBER(LifeExpectancyData[[#This Row],[Adult Mortality]:[Schooling]]),ISNUMBER(LifeExpectancyData[[#This Row],[Life expectancy]]), LifeExpectancyData[[#This Row],[Year]]=2013)</f>
        <v>0</v>
      </c>
    </row>
    <row r="2611" spans="1:23" hidden="1" x14ac:dyDescent="0.25">
      <c r="A2611" t="s">
        <v>445</v>
      </c>
      <c r="B2611">
        <v>2007</v>
      </c>
      <c r="C2611" t="s">
        <v>273</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cm="1">
        <f t="array" ref="W2611">AND(ISNUMBER(LifeExpectancyData[[#This Row],[Adult Mortality]:[Schooling]]),ISNUMBER(LifeExpectancyData[[#This Row],[Life expectancy]]), LifeExpectancyData[[#This Row],[Year]]=2013)</f>
        <v>0</v>
      </c>
    </row>
    <row r="2612" spans="1:23" hidden="1" x14ac:dyDescent="0.25">
      <c r="A2612" t="s">
        <v>445</v>
      </c>
      <c r="B2612">
        <v>2006</v>
      </c>
      <c r="C2612" t="s">
        <v>273</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cm="1">
        <f t="array" ref="W2612">AND(ISNUMBER(LifeExpectancyData[[#This Row],[Adult Mortality]:[Schooling]]),ISNUMBER(LifeExpectancyData[[#This Row],[Life expectancy]]), LifeExpectancyData[[#This Row],[Year]]=2013)</f>
        <v>0</v>
      </c>
    </row>
    <row r="2613" spans="1:23" hidden="1" x14ac:dyDescent="0.25">
      <c r="A2613" t="s">
        <v>445</v>
      </c>
      <c r="B2613">
        <v>2005</v>
      </c>
      <c r="C2613" t="s">
        <v>273</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cm="1">
        <f t="array" ref="W2613">AND(ISNUMBER(LifeExpectancyData[[#This Row],[Adult Mortality]:[Schooling]]),ISNUMBER(LifeExpectancyData[[#This Row],[Life expectancy]]), LifeExpectancyData[[#This Row],[Year]]=2013)</f>
        <v>0</v>
      </c>
    </row>
    <row r="2614" spans="1:23" hidden="1" x14ac:dyDescent="0.25">
      <c r="A2614" t="s">
        <v>445</v>
      </c>
      <c r="B2614">
        <v>2004</v>
      </c>
      <c r="C2614" t="s">
        <v>273</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cm="1">
        <f t="array" ref="W2614">AND(ISNUMBER(LifeExpectancyData[[#This Row],[Adult Mortality]:[Schooling]]),ISNUMBER(LifeExpectancyData[[#This Row],[Life expectancy]]), LifeExpectancyData[[#This Row],[Year]]=2013)</f>
        <v>0</v>
      </c>
    </row>
    <row r="2615" spans="1:23" hidden="1" x14ac:dyDescent="0.25">
      <c r="A2615" t="s">
        <v>445</v>
      </c>
      <c r="B2615">
        <v>2003</v>
      </c>
      <c r="C2615" t="s">
        <v>273</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cm="1">
        <f t="array" ref="W2615">AND(ISNUMBER(LifeExpectancyData[[#This Row],[Adult Mortality]:[Schooling]]),ISNUMBER(LifeExpectancyData[[#This Row],[Life expectancy]]), LifeExpectancyData[[#This Row],[Year]]=2013)</f>
        <v>0</v>
      </c>
    </row>
    <row r="2616" spans="1:23" hidden="1" x14ac:dyDescent="0.25">
      <c r="A2616" t="s">
        <v>445</v>
      </c>
      <c r="B2616">
        <v>2002</v>
      </c>
      <c r="C2616" t="s">
        <v>273</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cm="1">
        <f t="array" ref="W2616">AND(ISNUMBER(LifeExpectancyData[[#This Row],[Adult Mortality]:[Schooling]]),ISNUMBER(LifeExpectancyData[[#This Row],[Life expectancy]]), LifeExpectancyData[[#This Row],[Year]]=2013)</f>
        <v>0</v>
      </c>
    </row>
    <row r="2617" spans="1:23" hidden="1" x14ac:dyDescent="0.25">
      <c r="A2617" t="s">
        <v>445</v>
      </c>
      <c r="B2617">
        <v>2001</v>
      </c>
      <c r="C2617" t="s">
        <v>273</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cm="1">
        <f t="array" ref="W2617">AND(ISNUMBER(LifeExpectancyData[[#This Row],[Adult Mortality]:[Schooling]]),ISNUMBER(LifeExpectancyData[[#This Row],[Life expectancy]]), LifeExpectancyData[[#This Row],[Year]]=2013)</f>
        <v>0</v>
      </c>
    </row>
    <row r="2618" spans="1:23" hidden="1" x14ac:dyDescent="0.25">
      <c r="A2618" t="s">
        <v>445</v>
      </c>
      <c r="B2618">
        <v>2000</v>
      </c>
      <c r="C2618" t="s">
        <v>273</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cm="1">
        <f t="array" ref="W2618">AND(ISNUMBER(LifeExpectancyData[[#This Row],[Adult Mortality]:[Schooling]]),ISNUMBER(LifeExpectancyData[[#This Row],[Life expectancy]]), LifeExpectancyData[[#This Row],[Year]]=2013)</f>
        <v>0</v>
      </c>
    </row>
    <row r="2619" spans="1:23" hidden="1" x14ac:dyDescent="0.25">
      <c r="A2619" t="s">
        <v>446</v>
      </c>
      <c r="B2619">
        <v>2015</v>
      </c>
      <c r="C2619" t="s">
        <v>273</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cm="1">
        <f t="array" ref="W2619">AND(ISNUMBER(LifeExpectancyData[[#This Row],[Adult Mortality]:[Schooling]]),ISNUMBER(LifeExpectancyData[[#This Row],[Life expectancy]]), LifeExpectancyData[[#This Row],[Year]]=2013)</f>
        <v>0</v>
      </c>
    </row>
    <row r="2620" spans="1:23" x14ac:dyDescent="0.25">
      <c r="A2620" t="s">
        <v>446</v>
      </c>
      <c r="B2620">
        <v>2014</v>
      </c>
      <c r="C2620" t="s">
        <v>273</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cm="1">
        <f t="array" ref="W2620">AND(ISNUMBER(LifeExpectancyData[[#This Row],[Adult Mortality]:[Schooling]]),ISNUMBER(LifeExpectancyData[[#This Row],[Life expectancy]]), LifeExpectancyData[[#This Row],[Year]]=2013)</f>
        <v>0</v>
      </c>
    </row>
    <row r="2621" spans="1:23" x14ac:dyDescent="0.25">
      <c r="A2621" t="s">
        <v>446</v>
      </c>
      <c r="B2621">
        <v>2013</v>
      </c>
      <c r="C2621" t="s">
        <v>273</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cm="1">
        <f t="array" ref="W2621">AND(ISNUMBER(LifeExpectancyData[[#This Row],[Adult Mortality]:[Schooling]]),ISNUMBER(LifeExpectancyData[[#This Row],[Life expectancy]]), LifeExpectancyData[[#This Row],[Year]]=2013)</f>
        <v>1</v>
      </c>
    </row>
    <row r="2622" spans="1:23" x14ac:dyDescent="0.25">
      <c r="A2622" t="s">
        <v>446</v>
      </c>
      <c r="B2622">
        <v>2012</v>
      </c>
      <c r="C2622" t="s">
        <v>273</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cm="1">
        <f t="array" ref="W2622">AND(ISNUMBER(LifeExpectancyData[[#This Row],[Adult Mortality]:[Schooling]]),ISNUMBER(LifeExpectancyData[[#This Row],[Life expectancy]]), LifeExpectancyData[[#This Row],[Year]]=2013)</f>
        <v>0</v>
      </c>
    </row>
    <row r="2623" spans="1:23" x14ac:dyDescent="0.25">
      <c r="A2623" t="s">
        <v>446</v>
      </c>
      <c r="B2623">
        <v>2011</v>
      </c>
      <c r="C2623" t="s">
        <v>273</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cm="1">
        <f t="array" ref="W2623">AND(ISNUMBER(LifeExpectancyData[[#This Row],[Adult Mortality]:[Schooling]]),ISNUMBER(LifeExpectancyData[[#This Row],[Life expectancy]]), LifeExpectancyData[[#This Row],[Year]]=2013)</f>
        <v>0</v>
      </c>
    </row>
    <row r="2624" spans="1:23" x14ac:dyDescent="0.25">
      <c r="A2624" t="s">
        <v>446</v>
      </c>
      <c r="B2624">
        <v>2010</v>
      </c>
      <c r="C2624" t="s">
        <v>273</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cm="1">
        <f t="array" ref="W2624">AND(ISNUMBER(LifeExpectancyData[[#This Row],[Adult Mortality]:[Schooling]]),ISNUMBER(LifeExpectancyData[[#This Row],[Life expectancy]]), LifeExpectancyData[[#This Row],[Year]]=2013)</f>
        <v>0</v>
      </c>
    </row>
    <row r="2625" spans="1:23" x14ac:dyDescent="0.25">
      <c r="A2625" t="s">
        <v>446</v>
      </c>
      <c r="B2625">
        <v>2009</v>
      </c>
      <c r="C2625" t="s">
        <v>273</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cm="1">
        <f t="array" ref="W2625">AND(ISNUMBER(LifeExpectancyData[[#This Row],[Adult Mortality]:[Schooling]]),ISNUMBER(LifeExpectancyData[[#This Row],[Life expectancy]]), LifeExpectancyData[[#This Row],[Year]]=2013)</f>
        <v>0</v>
      </c>
    </row>
    <row r="2626" spans="1:23" x14ac:dyDescent="0.25">
      <c r="A2626" t="s">
        <v>446</v>
      </c>
      <c r="B2626">
        <v>2008</v>
      </c>
      <c r="C2626" t="s">
        <v>273</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cm="1">
        <f t="array" ref="W2626">AND(ISNUMBER(LifeExpectancyData[[#This Row],[Adult Mortality]:[Schooling]]),ISNUMBER(LifeExpectancyData[[#This Row],[Life expectancy]]), LifeExpectancyData[[#This Row],[Year]]=2013)</f>
        <v>0</v>
      </c>
    </row>
    <row r="2627" spans="1:23" hidden="1" x14ac:dyDescent="0.25">
      <c r="A2627" t="s">
        <v>446</v>
      </c>
      <c r="B2627">
        <v>2007</v>
      </c>
      <c r="C2627" t="s">
        <v>273</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cm="1">
        <f t="array" ref="W2627">AND(ISNUMBER(LifeExpectancyData[[#This Row],[Adult Mortality]:[Schooling]]),ISNUMBER(LifeExpectancyData[[#This Row],[Life expectancy]]), LifeExpectancyData[[#This Row],[Year]]=2013)</f>
        <v>0</v>
      </c>
    </row>
    <row r="2628" spans="1:23" hidden="1" x14ac:dyDescent="0.25">
      <c r="A2628" t="s">
        <v>446</v>
      </c>
      <c r="B2628">
        <v>2006</v>
      </c>
      <c r="C2628" t="s">
        <v>273</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cm="1">
        <f t="array" ref="W2628">AND(ISNUMBER(LifeExpectancyData[[#This Row],[Adult Mortality]:[Schooling]]),ISNUMBER(LifeExpectancyData[[#This Row],[Life expectancy]]), LifeExpectancyData[[#This Row],[Year]]=2013)</f>
        <v>0</v>
      </c>
    </row>
    <row r="2629" spans="1:23" hidden="1" x14ac:dyDescent="0.25">
      <c r="A2629" t="s">
        <v>446</v>
      </c>
      <c r="B2629">
        <v>2005</v>
      </c>
      <c r="C2629" t="s">
        <v>273</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cm="1">
        <f t="array" ref="W2629">AND(ISNUMBER(LifeExpectancyData[[#This Row],[Adult Mortality]:[Schooling]]),ISNUMBER(LifeExpectancyData[[#This Row],[Life expectancy]]), LifeExpectancyData[[#This Row],[Year]]=2013)</f>
        <v>0</v>
      </c>
    </row>
    <row r="2630" spans="1:23" hidden="1" x14ac:dyDescent="0.25">
      <c r="A2630" t="s">
        <v>446</v>
      </c>
      <c r="B2630">
        <v>2004</v>
      </c>
      <c r="C2630" t="s">
        <v>273</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cm="1">
        <f t="array" ref="W2630">AND(ISNUMBER(LifeExpectancyData[[#This Row],[Adult Mortality]:[Schooling]]),ISNUMBER(LifeExpectancyData[[#This Row],[Life expectancy]]), LifeExpectancyData[[#This Row],[Year]]=2013)</f>
        <v>0</v>
      </c>
    </row>
    <row r="2631" spans="1:23" hidden="1" x14ac:dyDescent="0.25">
      <c r="A2631" t="s">
        <v>446</v>
      </c>
      <c r="B2631">
        <v>2003</v>
      </c>
      <c r="C2631" t="s">
        <v>273</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cm="1">
        <f t="array" ref="W2631">AND(ISNUMBER(LifeExpectancyData[[#This Row],[Adult Mortality]:[Schooling]]),ISNUMBER(LifeExpectancyData[[#This Row],[Life expectancy]]), LifeExpectancyData[[#This Row],[Year]]=2013)</f>
        <v>0</v>
      </c>
    </row>
    <row r="2632" spans="1:23" hidden="1" x14ac:dyDescent="0.25">
      <c r="A2632" t="s">
        <v>446</v>
      </c>
      <c r="B2632">
        <v>2002</v>
      </c>
      <c r="C2632" t="s">
        <v>273</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cm="1">
        <f t="array" ref="W2632">AND(ISNUMBER(LifeExpectancyData[[#This Row],[Adult Mortality]:[Schooling]]),ISNUMBER(LifeExpectancyData[[#This Row],[Life expectancy]]), LifeExpectancyData[[#This Row],[Year]]=2013)</f>
        <v>0</v>
      </c>
    </row>
    <row r="2633" spans="1:23" hidden="1" x14ac:dyDescent="0.25">
      <c r="A2633" t="s">
        <v>446</v>
      </c>
      <c r="B2633">
        <v>2001</v>
      </c>
      <c r="C2633" t="s">
        <v>273</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cm="1">
        <f t="array" ref="W2633">AND(ISNUMBER(LifeExpectancyData[[#This Row],[Adult Mortality]:[Schooling]]),ISNUMBER(LifeExpectancyData[[#This Row],[Life expectancy]]), LifeExpectancyData[[#This Row],[Year]]=2013)</f>
        <v>0</v>
      </c>
    </row>
    <row r="2634" spans="1:23" hidden="1" x14ac:dyDescent="0.25">
      <c r="A2634" t="s">
        <v>446</v>
      </c>
      <c r="B2634">
        <v>2000</v>
      </c>
      <c r="C2634" t="s">
        <v>273</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cm="1">
        <f t="array" ref="W2634">AND(ISNUMBER(LifeExpectancyData[[#This Row],[Adult Mortality]:[Schooling]]),ISNUMBER(LifeExpectancyData[[#This Row],[Life expectancy]]), LifeExpectancyData[[#This Row],[Year]]=2013)</f>
        <v>0</v>
      </c>
    </row>
    <row r="2635" spans="1:23" hidden="1" x14ac:dyDescent="0.25">
      <c r="A2635" t="s">
        <v>447</v>
      </c>
      <c r="B2635">
        <v>2015</v>
      </c>
      <c r="C2635" t="s">
        <v>273</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cm="1">
        <f t="array" ref="W2635">AND(ISNUMBER(LifeExpectancyData[[#This Row],[Adult Mortality]:[Schooling]]),ISNUMBER(LifeExpectancyData[[#This Row],[Life expectancy]]), LifeExpectancyData[[#This Row],[Year]]=2013)</f>
        <v>0</v>
      </c>
    </row>
    <row r="2636" spans="1:23" x14ac:dyDescent="0.25">
      <c r="A2636" t="s">
        <v>447</v>
      </c>
      <c r="B2636">
        <v>2014</v>
      </c>
      <c r="C2636" t="s">
        <v>273</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cm="1">
        <f t="array" ref="W2636">AND(ISNUMBER(LifeExpectancyData[[#This Row],[Adult Mortality]:[Schooling]]),ISNUMBER(LifeExpectancyData[[#This Row],[Life expectancy]]), LifeExpectancyData[[#This Row],[Year]]=2013)</f>
        <v>0</v>
      </c>
    </row>
    <row r="2637" spans="1:23" x14ac:dyDescent="0.25">
      <c r="A2637" t="s">
        <v>447</v>
      </c>
      <c r="B2637">
        <v>2013</v>
      </c>
      <c r="C2637" t="s">
        <v>273</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cm="1">
        <f t="array" ref="W2637">AND(ISNUMBER(LifeExpectancyData[[#This Row],[Adult Mortality]:[Schooling]]),ISNUMBER(LifeExpectancyData[[#This Row],[Life expectancy]]), LifeExpectancyData[[#This Row],[Year]]=2013)</f>
        <v>1</v>
      </c>
    </row>
    <row r="2638" spans="1:23" x14ac:dyDescent="0.25">
      <c r="A2638" t="s">
        <v>447</v>
      </c>
      <c r="B2638">
        <v>2012</v>
      </c>
      <c r="C2638" t="s">
        <v>273</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cm="1">
        <f t="array" ref="W2638">AND(ISNUMBER(LifeExpectancyData[[#This Row],[Adult Mortality]:[Schooling]]),ISNUMBER(LifeExpectancyData[[#This Row],[Life expectancy]]), LifeExpectancyData[[#This Row],[Year]]=2013)</f>
        <v>0</v>
      </c>
    </row>
    <row r="2639" spans="1:23" x14ac:dyDescent="0.25">
      <c r="A2639" t="s">
        <v>447</v>
      </c>
      <c r="B2639">
        <v>2011</v>
      </c>
      <c r="C2639" t="s">
        <v>273</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cm="1">
        <f t="array" ref="W2639">AND(ISNUMBER(LifeExpectancyData[[#This Row],[Adult Mortality]:[Schooling]]),ISNUMBER(LifeExpectancyData[[#This Row],[Life expectancy]]), LifeExpectancyData[[#This Row],[Year]]=2013)</f>
        <v>0</v>
      </c>
    </row>
    <row r="2640" spans="1:23" x14ac:dyDescent="0.25">
      <c r="A2640" t="s">
        <v>447</v>
      </c>
      <c r="B2640">
        <v>2010</v>
      </c>
      <c r="C2640" t="s">
        <v>273</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cm="1">
        <f t="array" ref="W2640">AND(ISNUMBER(LifeExpectancyData[[#This Row],[Adult Mortality]:[Schooling]]),ISNUMBER(LifeExpectancyData[[#This Row],[Life expectancy]]), LifeExpectancyData[[#This Row],[Year]]=2013)</f>
        <v>0</v>
      </c>
    </row>
    <row r="2641" spans="1:23" x14ac:dyDescent="0.25">
      <c r="A2641" t="s">
        <v>447</v>
      </c>
      <c r="B2641">
        <v>2009</v>
      </c>
      <c r="C2641" t="s">
        <v>273</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cm="1">
        <f t="array" ref="W2641">AND(ISNUMBER(LifeExpectancyData[[#This Row],[Adult Mortality]:[Schooling]]),ISNUMBER(LifeExpectancyData[[#This Row],[Life expectancy]]), LifeExpectancyData[[#This Row],[Year]]=2013)</f>
        <v>0</v>
      </c>
    </row>
    <row r="2642" spans="1:23" x14ac:dyDescent="0.25">
      <c r="A2642" t="s">
        <v>447</v>
      </c>
      <c r="B2642">
        <v>2008</v>
      </c>
      <c r="C2642" t="s">
        <v>273</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cm="1">
        <f t="array" ref="W2642">AND(ISNUMBER(LifeExpectancyData[[#This Row],[Adult Mortality]:[Schooling]]),ISNUMBER(LifeExpectancyData[[#This Row],[Life expectancy]]), LifeExpectancyData[[#This Row],[Year]]=2013)</f>
        <v>0</v>
      </c>
    </row>
    <row r="2643" spans="1:23" x14ac:dyDescent="0.25">
      <c r="A2643" t="s">
        <v>447</v>
      </c>
      <c r="B2643">
        <v>2007</v>
      </c>
      <c r="C2643" t="s">
        <v>273</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cm="1">
        <f t="array" ref="W2643">AND(ISNUMBER(LifeExpectancyData[[#This Row],[Adult Mortality]:[Schooling]]),ISNUMBER(LifeExpectancyData[[#This Row],[Life expectancy]]), LifeExpectancyData[[#This Row],[Year]]=2013)</f>
        <v>0</v>
      </c>
    </row>
    <row r="2644" spans="1:23" x14ac:dyDescent="0.25">
      <c r="A2644" t="s">
        <v>447</v>
      </c>
      <c r="B2644">
        <v>2006</v>
      </c>
      <c r="C2644" t="s">
        <v>273</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cm="1">
        <f t="array" ref="W2644">AND(ISNUMBER(LifeExpectancyData[[#This Row],[Adult Mortality]:[Schooling]]),ISNUMBER(LifeExpectancyData[[#This Row],[Life expectancy]]), LifeExpectancyData[[#This Row],[Year]]=2013)</f>
        <v>0</v>
      </c>
    </row>
    <row r="2645" spans="1:23" x14ac:dyDescent="0.25">
      <c r="A2645" t="s">
        <v>447</v>
      </c>
      <c r="B2645">
        <v>2005</v>
      </c>
      <c r="C2645" t="s">
        <v>273</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cm="1">
        <f t="array" ref="W2645">AND(ISNUMBER(LifeExpectancyData[[#This Row],[Adult Mortality]:[Schooling]]),ISNUMBER(LifeExpectancyData[[#This Row],[Life expectancy]]), LifeExpectancyData[[#This Row],[Year]]=2013)</f>
        <v>0</v>
      </c>
    </row>
    <row r="2646" spans="1:23" x14ac:dyDescent="0.25">
      <c r="A2646" t="s">
        <v>447</v>
      </c>
      <c r="B2646">
        <v>2004</v>
      </c>
      <c r="C2646" t="s">
        <v>273</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cm="1">
        <f t="array" ref="W2646">AND(ISNUMBER(LifeExpectancyData[[#This Row],[Adult Mortality]:[Schooling]]),ISNUMBER(LifeExpectancyData[[#This Row],[Life expectancy]]), LifeExpectancyData[[#This Row],[Year]]=2013)</f>
        <v>0</v>
      </c>
    </row>
    <row r="2647" spans="1:23" x14ac:dyDescent="0.25">
      <c r="A2647" t="s">
        <v>447</v>
      </c>
      <c r="B2647">
        <v>2003</v>
      </c>
      <c r="C2647" t="s">
        <v>273</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cm="1">
        <f t="array" ref="W2647">AND(ISNUMBER(LifeExpectancyData[[#This Row],[Adult Mortality]:[Schooling]]),ISNUMBER(LifeExpectancyData[[#This Row],[Life expectancy]]), LifeExpectancyData[[#This Row],[Year]]=2013)</f>
        <v>0</v>
      </c>
    </row>
    <row r="2648" spans="1:23" x14ac:dyDescent="0.25">
      <c r="A2648" t="s">
        <v>447</v>
      </c>
      <c r="B2648">
        <v>2002</v>
      </c>
      <c r="C2648" t="s">
        <v>273</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cm="1">
        <f t="array" ref="W2648">AND(ISNUMBER(LifeExpectancyData[[#This Row],[Adult Mortality]:[Schooling]]),ISNUMBER(LifeExpectancyData[[#This Row],[Life expectancy]]), LifeExpectancyData[[#This Row],[Year]]=2013)</f>
        <v>0</v>
      </c>
    </row>
    <row r="2649" spans="1:23" x14ac:dyDescent="0.25">
      <c r="A2649" t="s">
        <v>447</v>
      </c>
      <c r="B2649">
        <v>2001</v>
      </c>
      <c r="C2649" t="s">
        <v>273</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cm="1">
        <f t="array" ref="W2649">AND(ISNUMBER(LifeExpectancyData[[#This Row],[Adult Mortality]:[Schooling]]),ISNUMBER(LifeExpectancyData[[#This Row],[Life expectancy]]), LifeExpectancyData[[#This Row],[Year]]=2013)</f>
        <v>0</v>
      </c>
    </row>
    <row r="2650" spans="1:23" x14ac:dyDescent="0.25">
      <c r="A2650" t="s">
        <v>447</v>
      </c>
      <c r="B2650">
        <v>2000</v>
      </c>
      <c r="C2650" t="s">
        <v>273</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cm="1">
        <f t="array" ref="W2650">AND(ISNUMBER(LifeExpectancyData[[#This Row],[Adult Mortality]:[Schooling]]),ISNUMBER(LifeExpectancyData[[#This Row],[Life expectancy]]), LifeExpectancyData[[#This Row],[Year]]=2013)</f>
        <v>0</v>
      </c>
    </row>
    <row r="2651" spans="1:23" hidden="1" x14ac:dyDescent="0.25">
      <c r="A2651" t="s">
        <v>448</v>
      </c>
      <c r="B2651">
        <v>2015</v>
      </c>
      <c r="C2651" t="s">
        <v>273</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cm="1">
        <f t="array" ref="W2651">AND(ISNUMBER(LifeExpectancyData[[#This Row],[Adult Mortality]:[Schooling]]),ISNUMBER(LifeExpectancyData[[#This Row],[Life expectancy]]), LifeExpectancyData[[#This Row],[Year]]=2013)</f>
        <v>0</v>
      </c>
    </row>
    <row r="2652" spans="1:23" x14ac:dyDescent="0.25">
      <c r="A2652" t="s">
        <v>448</v>
      </c>
      <c r="B2652">
        <v>2014</v>
      </c>
      <c r="C2652" t="s">
        <v>273</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cm="1">
        <f t="array" ref="W2652">AND(ISNUMBER(LifeExpectancyData[[#This Row],[Adult Mortality]:[Schooling]]),ISNUMBER(LifeExpectancyData[[#This Row],[Life expectancy]]), LifeExpectancyData[[#This Row],[Year]]=2013)</f>
        <v>0</v>
      </c>
    </row>
    <row r="2653" spans="1:23" x14ac:dyDescent="0.25">
      <c r="A2653" t="s">
        <v>448</v>
      </c>
      <c r="B2653">
        <v>2013</v>
      </c>
      <c r="C2653" t="s">
        <v>273</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cm="1">
        <f t="array" ref="W2653">AND(ISNUMBER(LifeExpectancyData[[#This Row],[Adult Mortality]:[Schooling]]),ISNUMBER(LifeExpectancyData[[#This Row],[Life expectancy]]), LifeExpectancyData[[#This Row],[Year]]=2013)</f>
        <v>1</v>
      </c>
    </row>
    <row r="2654" spans="1:23" x14ac:dyDescent="0.25">
      <c r="A2654" t="s">
        <v>448</v>
      </c>
      <c r="B2654">
        <v>2012</v>
      </c>
      <c r="C2654" t="s">
        <v>273</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cm="1">
        <f t="array" ref="W2654">AND(ISNUMBER(LifeExpectancyData[[#This Row],[Adult Mortality]:[Schooling]]),ISNUMBER(LifeExpectancyData[[#This Row],[Life expectancy]]), LifeExpectancyData[[#This Row],[Year]]=2013)</f>
        <v>0</v>
      </c>
    </row>
    <row r="2655" spans="1:23" x14ac:dyDescent="0.25">
      <c r="A2655" t="s">
        <v>448</v>
      </c>
      <c r="B2655">
        <v>2011</v>
      </c>
      <c r="C2655" t="s">
        <v>273</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cm="1">
        <f t="array" ref="W2655">AND(ISNUMBER(LifeExpectancyData[[#This Row],[Adult Mortality]:[Schooling]]),ISNUMBER(LifeExpectancyData[[#This Row],[Life expectancy]]), LifeExpectancyData[[#This Row],[Year]]=2013)</f>
        <v>0</v>
      </c>
    </row>
    <row r="2656" spans="1:23" x14ac:dyDescent="0.25">
      <c r="A2656" t="s">
        <v>448</v>
      </c>
      <c r="B2656">
        <v>2010</v>
      </c>
      <c r="C2656" t="s">
        <v>273</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cm="1">
        <f t="array" ref="W2656">AND(ISNUMBER(LifeExpectancyData[[#This Row],[Adult Mortality]:[Schooling]]),ISNUMBER(LifeExpectancyData[[#This Row],[Life expectancy]]), LifeExpectancyData[[#This Row],[Year]]=2013)</f>
        <v>0</v>
      </c>
    </row>
    <row r="2657" spans="1:23" x14ac:dyDescent="0.25">
      <c r="A2657" t="s">
        <v>448</v>
      </c>
      <c r="B2657">
        <v>2009</v>
      </c>
      <c r="C2657" t="s">
        <v>273</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cm="1">
        <f t="array" ref="W2657">AND(ISNUMBER(LifeExpectancyData[[#This Row],[Adult Mortality]:[Schooling]]),ISNUMBER(LifeExpectancyData[[#This Row],[Life expectancy]]), LifeExpectancyData[[#This Row],[Year]]=2013)</f>
        <v>0</v>
      </c>
    </row>
    <row r="2658" spans="1:23" x14ac:dyDescent="0.25">
      <c r="A2658" t="s">
        <v>448</v>
      </c>
      <c r="B2658">
        <v>2008</v>
      </c>
      <c r="C2658" t="s">
        <v>273</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cm="1">
        <f t="array" ref="W2658">AND(ISNUMBER(LifeExpectancyData[[#This Row],[Adult Mortality]:[Schooling]]),ISNUMBER(LifeExpectancyData[[#This Row],[Life expectancy]]), LifeExpectancyData[[#This Row],[Year]]=2013)</f>
        <v>0</v>
      </c>
    </row>
    <row r="2659" spans="1:23" x14ac:dyDescent="0.25">
      <c r="A2659" t="s">
        <v>448</v>
      </c>
      <c r="B2659">
        <v>2007</v>
      </c>
      <c r="C2659" t="s">
        <v>273</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cm="1">
        <f t="array" ref="W2659">AND(ISNUMBER(LifeExpectancyData[[#This Row],[Adult Mortality]:[Schooling]]),ISNUMBER(LifeExpectancyData[[#This Row],[Life expectancy]]), LifeExpectancyData[[#This Row],[Year]]=2013)</f>
        <v>0</v>
      </c>
    </row>
    <row r="2660" spans="1:23" x14ac:dyDescent="0.25">
      <c r="A2660" t="s">
        <v>448</v>
      </c>
      <c r="B2660">
        <v>2006</v>
      </c>
      <c r="C2660" t="s">
        <v>273</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cm="1">
        <f t="array" ref="W2660">AND(ISNUMBER(LifeExpectancyData[[#This Row],[Adult Mortality]:[Schooling]]),ISNUMBER(LifeExpectancyData[[#This Row],[Life expectancy]]), LifeExpectancyData[[#This Row],[Year]]=2013)</f>
        <v>0</v>
      </c>
    </row>
    <row r="2661" spans="1:23" x14ac:dyDescent="0.25">
      <c r="A2661" t="s">
        <v>448</v>
      </c>
      <c r="B2661">
        <v>2005</v>
      </c>
      <c r="C2661" t="s">
        <v>273</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cm="1">
        <f t="array" ref="W2661">AND(ISNUMBER(LifeExpectancyData[[#This Row],[Adult Mortality]:[Schooling]]),ISNUMBER(LifeExpectancyData[[#This Row],[Life expectancy]]), LifeExpectancyData[[#This Row],[Year]]=2013)</f>
        <v>0</v>
      </c>
    </row>
    <row r="2662" spans="1:23" x14ac:dyDescent="0.25">
      <c r="A2662" t="s">
        <v>448</v>
      </c>
      <c r="B2662">
        <v>2004</v>
      </c>
      <c r="C2662" t="s">
        <v>273</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cm="1">
        <f t="array" ref="W2662">AND(ISNUMBER(LifeExpectancyData[[#This Row],[Adult Mortality]:[Schooling]]),ISNUMBER(LifeExpectancyData[[#This Row],[Life expectancy]]), LifeExpectancyData[[#This Row],[Year]]=2013)</f>
        <v>0</v>
      </c>
    </row>
    <row r="2663" spans="1:23" x14ac:dyDescent="0.25">
      <c r="A2663" t="s">
        <v>448</v>
      </c>
      <c r="B2663">
        <v>2003</v>
      </c>
      <c r="C2663" t="s">
        <v>273</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cm="1">
        <f t="array" ref="W2663">AND(ISNUMBER(LifeExpectancyData[[#This Row],[Adult Mortality]:[Schooling]]),ISNUMBER(LifeExpectancyData[[#This Row],[Life expectancy]]), LifeExpectancyData[[#This Row],[Year]]=2013)</f>
        <v>0</v>
      </c>
    </row>
    <row r="2664" spans="1:23" x14ac:dyDescent="0.25">
      <c r="A2664" t="s">
        <v>448</v>
      </c>
      <c r="B2664">
        <v>2002</v>
      </c>
      <c r="C2664" t="s">
        <v>273</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cm="1">
        <f t="array" ref="W2664">AND(ISNUMBER(LifeExpectancyData[[#This Row],[Adult Mortality]:[Schooling]]),ISNUMBER(LifeExpectancyData[[#This Row],[Life expectancy]]), LifeExpectancyData[[#This Row],[Year]]=2013)</f>
        <v>0</v>
      </c>
    </row>
    <row r="2665" spans="1:23" hidden="1" x14ac:dyDescent="0.25">
      <c r="A2665" t="s">
        <v>448</v>
      </c>
      <c r="B2665">
        <v>2001</v>
      </c>
      <c r="C2665" t="s">
        <v>273</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cm="1">
        <f t="array" ref="W2665">AND(ISNUMBER(LifeExpectancyData[[#This Row],[Adult Mortality]:[Schooling]]),ISNUMBER(LifeExpectancyData[[#This Row],[Life expectancy]]), LifeExpectancyData[[#This Row],[Year]]=2013)</f>
        <v>0</v>
      </c>
    </row>
    <row r="2666" spans="1:23" hidden="1" x14ac:dyDescent="0.25">
      <c r="A2666" t="s">
        <v>448</v>
      </c>
      <c r="B2666">
        <v>2000</v>
      </c>
      <c r="C2666" t="s">
        <v>273</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cm="1">
        <f t="array" ref="W2666">AND(ISNUMBER(LifeExpectancyData[[#This Row],[Adult Mortality]:[Schooling]]),ISNUMBER(LifeExpectancyData[[#This Row],[Life expectancy]]), LifeExpectancyData[[#This Row],[Year]]=2013)</f>
        <v>0</v>
      </c>
    </row>
    <row r="2667" spans="1:23" hidden="1" x14ac:dyDescent="0.25">
      <c r="A2667" t="s">
        <v>449</v>
      </c>
      <c r="B2667">
        <v>2015</v>
      </c>
      <c r="C2667" t="s">
        <v>273</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cm="1">
        <f t="array" ref="W2667">AND(ISNUMBER(LifeExpectancyData[[#This Row],[Adult Mortality]:[Schooling]]),ISNUMBER(LifeExpectancyData[[#This Row],[Life expectancy]]), LifeExpectancyData[[#This Row],[Year]]=2013)</f>
        <v>0</v>
      </c>
    </row>
    <row r="2668" spans="1:23" x14ac:dyDescent="0.25">
      <c r="A2668" t="s">
        <v>449</v>
      </c>
      <c r="B2668">
        <v>2014</v>
      </c>
      <c r="C2668" t="s">
        <v>273</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cm="1">
        <f t="array" ref="W2668">AND(ISNUMBER(LifeExpectancyData[[#This Row],[Adult Mortality]:[Schooling]]),ISNUMBER(LifeExpectancyData[[#This Row],[Life expectancy]]), LifeExpectancyData[[#This Row],[Year]]=2013)</f>
        <v>0</v>
      </c>
    </row>
    <row r="2669" spans="1:23" x14ac:dyDescent="0.25">
      <c r="A2669" t="s">
        <v>449</v>
      </c>
      <c r="B2669">
        <v>2013</v>
      </c>
      <c r="C2669" t="s">
        <v>273</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cm="1">
        <f t="array" ref="W2669">AND(ISNUMBER(LifeExpectancyData[[#This Row],[Adult Mortality]:[Schooling]]),ISNUMBER(LifeExpectancyData[[#This Row],[Life expectancy]]), LifeExpectancyData[[#This Row],[Year]]=2013)</f>
        <v>1</v>
      </c>
    </row>
    <row r="2670" spans="1:23" x14ac:dyDescent="0.25">
      <c r="A2670" t="s">
        <v>449</v>
      </c>
      <c r="B2670">
        <v>2012</v>
      </c>
      <c r="C2670" t="s">
        <v>273</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cm="1">
        <f t="array" ref="W2670">AND(ISNUMBER(LifeExpectancyData[[#This Row],[Adult Mortality]:[Schooling]]),ISNUMBER(LifeExpectancyData[[#This Row],[Life expectancy]]), LifeExpectancyData[[#This Row],[Year]]=2013)</f>
        <v>0</v>
      </c>
    </row>
    <row r="2671" spans="1:23" x14ac:dyDescent="0.25">
      <c r="A2671" t="s">
        <v>449</v>
      </c>
      <c r="B2671">
        <v>2011</v>
      </c>
      <c r="C2671" t="s">
        <v>273</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cm="1">
        <f t="array" ref="W2671">AND(ISNUMBER(LifeExpectancyData[[#This Row],[Adult Mortality]:[Schooling]]),ISNUMBER(LifeExpectancyData[[#This Row],[Life expectancy]]), LifeExpectancyData[[#This Row],[Year]]=2013)</f>
        <v>0</v>
      </c>
    </row>
    <row r="2672" spans="1:23" x14ac:dyDescent="0.25">
      <c r="A2672" t="s">
        <v>449</v>
      </c>
      <c r="B2672">
        <v>2010</v>
      </c>
      <c r="C2672" t="s">
        <v>273</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cm="1">
        <f t="array" ref="W2672">AND(ISNUMBER(LifeExpectancyData[[#This Row],[Adult Mortality]:[Schooling]]),ISNUMBER(LifeExpectancyData[[#This Row],[Life expectancy]]), LifeExpectancyData[[#This Row],[Year]]=2013)</f>
        <v>0</v>
      </c>
    </row>
    <row r="2673" spans="1:23" x14ac:dyDescent="0.25">
      <c r="A2673" t="s">
        <v>449</v>
      </c>
      <c r="B2673">
        <v>2009</v>
      </c>
      <c r="C2673" t="s">
        <v>273</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cm="1">
        <f t="array" ref="W2673">AND(ISNUMBER(LifeExpectancyData[[#This Row],[Adult Mortality]:[Schooling]]),ISNUMBER(LifeExpectancyData[[#This Row],[Life expectancy]]), LifeExpectancyData[[#This Row],[Year]]=2013)</f>
        <v>0</v>
      </c>
    </row>
    <row r="2674" spans="1:23" x14ac:dyDescent="0.25">
      <c r="A2674" t="s">
        <v>449</v>
      </c>
      <c r="B2674">
        <v>2008</v>
      </c>
      <c r="C2674" t="s">
        <v>273</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cm="1">
        <f t="array" ref="W2674">AND(ISNUMBER(LifeExpectancyData[[#This Row],[Adult Mortality]:[Schooling]]),ISNUMBER(LifeExpectancyData[[#This Row],[Life expectancy]]), LifeExpectancyData[[#This Row],[Year]]=2013)</f>
        <v>0</v>
      </c>
    </row>
    <row r="2675" spans="1:23" x14ac:dyDescent="0.25">
      <c r="A2675" t="s">
        <v>449</v>
      </c>
      <c r="B2675">
        <v>2007</v>
      </c>
      <c r="C2675" t="s">
        <v>273</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cm="1">
        <f t="array" ref="W2675">AND(ISNUMBER(LifeExpectancyData[[#This Row],[Adult Mortality]:[Schooling]]),ISNUMBER(LifeExpectancyData[[#This Row],[Life expectancy]]), LifeExpectancyData[[#This Row],[Year]]=2013)</f>
        <v>0</v>
      </c>
    </row>
    <row r="2676" spans="1:23" x14ac:dyDescent="0.25">
      <c r="A2676" t="s">
        <v>449</v>
      </c>
      <c r="B2676">
        <v>2006</v>
      </c>
      <c r="C2676" t="s">
        <v>273</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cm="1">
        <f t="array" ref="W2676">AND(ISNUMBER(LifeExpectancyData[[#This Row],[Adult Mortality]:[Schooling]]),ISNUMBER(LifeExpectancyData[[#This Row],[Life expectancy]]), LifeExpectancyData[[#This Row],[Year]]=2013)</f>
        <v>0</v>
      </c>
    </row>
    <row r="2677" spans="1:23" x14ac:dyDescent="0.25">
      <c r="A2677" t="s">
        <v>449</v>
      </c>
      <c r="B2677">
        <v>2005</v>
      </c>
      <c r="C2677" t="s">
        <v>273</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cm="1">
        <f t="array" ref="W2677">AND(ISNUMBER(LifeExpectancyData[[#This Row],[Adult Mortality]:[Schooling]]),ISNUMBER(LifeExpectancyData[[#This Row],[Life expectancy]]), LifeExpectancyData[[#This Row],[Year]]=2013)</f>
        <v>0</v>
      </c>
    </row>
    <row r="2678" spans="1:23" x14ac:dyDescent="0.25">
      <c r="A2678" t="s">
        <v>449</v>
      </c>
      <c r="B2678">
        <v>2004</v>
      </c>
      <c r="C2678" t="s">
        <v>273</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cm="1">
        <f t="array" ref="W2678">AND(ISNUMBER(LifeExpectancyData[[#This Row],[Adult Mortality]:[Schooling]]),ISNUMBER(LifeExpectancyData[[#This Row],[Life expectancy]]), LifeExpectancyData[[#This Row],[Year]]=2013)</f>
        <v>0</v>
      </c>
    </row>
    <row r="2679" spans="1:23" x14ac:dyDescent="0.25">
      <c r="A2679" t="s">
        <v>449</v>
      </c>
      <c r="B2679">
        <v>2003</v>
      </c>
      <c r="C2679" t="s">
        <v>273</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cm="1">
        <f t="array" ref="W2679">AND(ISNUMBER(LifeExpectancyData[[#This Row],[Adult Mortality]:[Schooling]]),ISNUMBER(LifeExpectancyData[[#This Row],[Life expectancy]]), LifeExpectancyData[[#This Row],[Year]]=2013)</f>
        <v>0</v>
      </c>
    </row>
    <row r="2680" spans="1:23" x14ac:dyDescent="0.25">
      <c r="A2680" t="s">
        <v>449</v>
      </c>
      <c r="B2680">
        <v>2002</v>
      </c>
      <c r="C2680" t="s">
        <v>273</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cm="1">
        <f t="array" ref="W2680">AND(ISNUMBER(LifeExpectancyData[[#This Row],[Adult Mortality]:[Schooling]]),ISNUMBER(LifeExpectancyData[[#This Row],[Life expectancy]]), LifeExpectancyData[[#This Row],[Year]]=2013)</f>
        <v>0</v>
      </c>
    </row>
    <row r="2681" spans="1:23" x14ac:dyDescent="0.25">
      <c r="A2681" t="s">
        <v>449</v>
      </c>
      <c r="B2681">
        <v>2001</v>
      </c>
      <c r="C2681" t="s">
        <v>273</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cm="1">
        <f t="array" ref="W2681">AND(ISNUMBER(LifeExpectancyData[[#This Row],[Adult Mortality]:[Schooling]]),ISNUMBER(LifeExpectancyData[[#This Row],[Life expectancy]]), LifeExpectancyData[[#This Row],[Year]]=2013)</f>
        <v>0</v>
      </c>
    </row>
    <row r="2682" spans="1:23" x14ac:dyDescent="0.25">
      <c r="A2682" t="s">
        <v>449</v>
      </c>
      <c r="B2682">
        <v>2000</v>
      </c>
      <c r="C2682" t="s">
        <v>273</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cm="1">
        <f t="array" ref="W2682">AND(ISNUMBER(LifeExpectancyData[[#This Row],[Adult Mortality]:[Schooling]]),ISNUMBER(LifeExpectancyData[[#This Row],[Life expectancy]]), LifeExpectancyData[[#This Row],[Year]]=2013)</f>
        <v>0</v>
      </c>
    </row>
    <row r="2683" spans="1:23" hidden="1" x14ac:dyDescent="0.25">
      <c r="A2683" t="s">
        <v>450</v>
      </c>
      <c r="B2683">
        <v>2015</v>
      </c>
      <c r="C2683" t="s">
        <v>273</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cm="1">
        <f t="array" ref="W2683">AND(ISNUMBER(LifeExpectancyData[[#This Row],[Adult Mortality]:[Schooling]]),ISNUMBER(LifeExpectancyData[[#This Row],[Life expectancy]]), LifeExpectancyData[[#This Row],[Year]]=2013)</f>
        <v>0</v>
      </c>
    </row>
    <row r="2684" spans="1:23" x14ac:dyDescent="0.25">
      <c r="A2684" t="s">
        <v>450</v>
      </c>
      <c r="B2684">
        <v>2014</v>
      </c>
      <c r="C2684" t="s">
        <v>273</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cm="1">
        <f t="array" ref="W2684">AND(ISNUMBER(LifeExpectancyData[[#This Row],[Adult Mortality]:[Schooling]]),ISNUMBER(LifeExpectancyData[[#This Row],[Life expectancy]]), LifeExpectancyData[[#This Row],[Year]]=2013)</f>
        <v>0</v>
      </c>
    </row>
    <row r="2685" spans="1:23" x14ac:dyDescent="0.25">
      <c r="A2685" t="s">
        <v>450</v>
      </c>
      <c r="B2685">
        <v>2013</v>
      </c>
      <c r="C2685" t="s">
        <v>273</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cm="1">
        <f t="array" ref="W2685">AND(ISNUMBER(LifeExpectancyData[[#This Row],[Adult Mortality]:[Schooling]]),ISNUMBER(LifeExpectancyData[[#This Row],[Life expectancy]]), LifeExpectancyData[[#This Row],[Year]]=2013)</f>
        <v>1</v>
      </c>
    </row>
    <row r="2686" spans="1:23" x14ac:dyDescent="0.25">
      <c r="A2686" t="s">
        <v>450</v>
      </c>
      <c r="B2686">
        <v>2012</v>
      </c>
      <c r="C2686" t="s">
        <v>273</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cm="1">
        <f t="array" ref="W2686">AND(ISNUMBER(LifeExpectancyData[[#This Row],[Adult Mortality]:[Schooling]]),ISNUMBER(LifeExpectancyData[[#This Row],[Life expectancy]]), LifeExpectancyData[[#This Row],[Year]]=2013)</f>
        <v>0</v>
      </c>
    </row>
    <row r="2687" spans="1:23" x14ac:dyDescent="0.25">
      <c r="A2687" t="s">
        <v>450</v>
      </c>
      <c r="B2687">
        <v>2011</v>
      </c>
      <c r="C2687" t="s">
        <v>273</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cm="1">
        <f t="array" ref="W2687">AND(ISNUMBER(LifeExpectancyData[[#This Row],[Adult Mortality]:[Schooling]]),ISNUMBER(LifeExpectancyData[[#This Row],[Life expectancy]]), LifeExpectancyData[[#This Row],[Year]]=2013)</f>
        <v>0</v>
      </c>
    </row>
    <row r="2688" spans="1:23" x14ac:dyDescent="0.25">
      <c r="A2688" t="s">
        <v>450</v>
      </c>
      <c r="B2688">
        <v>2010</v>
      </c>
      <c r="C2688" t="s">
        <v>273</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cm="1">
        <f t="array" ref="W2688">AND(ISNUMBER(LifeExpectancyData[[#This Row],[Adult Mortality]:[Schooling]]),ISNUMBER(LifeExpectancyData[[#This Row],[Life expectancy]]), LifeExpectancyData[[#This Row],[Year]]=2013)</f>
        <v>0</v>
      </c>
    </row>
    <row r="2689" spans="1:23" x14ac:dyDescent="0.25">
      <c r="A2689" t="s">
        <v>450</v>
      </c>
      <c r="B2689">
        <v>2009</v>
      </c>
      <c r="C2689" t="s">
        <v>273</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cm="1">
        <f t="array" ref="W2689">AND(ISNUMBER(LifeExpectancyData[[#This Row],[Adult Mortality]:[Schooling]]),ISNUMBER(LifeExpectancyData[[#This Row],[Life expectancy]]), LifeExpectancyData[[#This Row],[Year]]=2013)</f>
        <v>0</v>
      </c>
    </row>
    <row r="2690" spans="1:23" x14ac:dyDescent="0.25">
      <c r="A2690" t="s">
        <v>450</v>
      </c>
      <c r="B2690">
        <v>2008</v>
      </c>
      <c r="C2690" t="s">
        <v>273</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cm="1">
        <f t="array" ref="W2690">AND(ISNUMBER(LifeExpectancyData[[#This Row],[Adult Mortality]:[Schooling]]),ISNUMBER(LifeExpectancyData[[#This Row],[Life expectancy]]), LifeExpectancyData[[#This Row],[Year]]=2013)</f>
        <v>0</v>
      </c>
    </row>
    <row r="2691" spans="1:23" x14ac:dyDescent="0.25">
      <c r="A2691" t="s">
        <v>450</v>
      </c>
      <c r="B2691">
        <v>2007</v>
      </c>
      <c r="C2691" t="s">
        <v>273</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cm="1">
        <f t="array" ref="W2691">AND(ISNUMBER(LifeExpectancyData[[#This Row],[Adult Mortality]:[Schooling]]),ISNUMBER(LifeExpectancyData[[#This Row],[Life expectancy]]), LifeExpectancyData[[#This Row],[Year]]=2013)</f>
        <v>0</v>
      </c>
    </row>
    <row r="2692" spans="1:23" x14ac:dyDescent="0.25">
      <c r="A2692" t="s">
        <v>450</v>
      </c>
      <c r="B2692">
        <v>2006</v>
      </c>
      <c r="C2692" t="s">
        <v>273</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cm="1">
        <f t="array" ref="W2692">AND(ISNUMBER(LifeExpectancyData[[#This Row],[Adult Mortality]:[Schooling]]),ISNUMBER(LifeExpectancyData[[#This Row],[Life expectancy]]), LifeExpectancyData[[#This Row],[Year]]=2013)</f>
        <v>0</v>
      </c>
    </row>
    <row r="2693" spans="1:23" x14ac:dyDescent="0.25">
      <c r="A2693" t="s">
        <v>450</v>
      </c>
      <c r="B2693">
        <v>2005</v>
      </c>
      <c r="C2693" t="s">
        <v>273</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cm="1">
        <f t="array" ref="W2693">AND(ISNUMBER(LifeExpectancyData[[#This Row],[Adult Mortality]:[Schooling]]),ISNUMBER(LifeExpectancyData[[#This Row],[Life expectancy]]), LifeExpectancyData[[#This Row],[Year]]=2013)</f>
        <v>0</v>
      </c>
    </row>
    <row r="2694" spans="1:23" x14ac:dyDescent="0.25">
      <c r="A2694" t="s">
        <v>450</v>
      </c>
      <c r="B2694">
        <v>2004</v>
      </c>
      <c r="C2694" t="s">
        <v>273</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cm="1">
        <f t="array" ref="W2694">AND(ISNUMBER(LifeExpectancyData[[#This Row],[Adult Mortality]:[Schooling]]),ISNUMBER(LifeExpectancyData[[#This Row],[Life expectancy]]), LifeExpectancyData[[#This Row],[Year]]=2013)</f>
        <v>0</v>
      </c>
    </row>
    <row r="2695" spans="1:23" x14ac:dyDescent="0.25">
      <c r="A2695" t="s">
        <v>450</v>
      </c>
      <c r="B2695">
        <v>2003</v>
      </c>
      <c r="C2695" t="s">
        <v>273</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cm="1">
        <f t="array" ref="W2695">AND(ISNUMBER(LifeExpectancyData[[#This Row],[Adult Mortality]:[Schooling]]),ISNUMBER(LifeExpectancyData[[#This Row],[Life expectancy]]), LifeExpectancyData[[#This Row],[Year]]=2013)</f>
        <v>0</v>
      </c>
    </row>
    <row r="2696" spans="1:23" x14ac:dyDescent="0.25">
      <c r="A2696" t="s">
        <v>450</v>
      </c>
      <c r="B2696">
        <v>2002</v>
      </c>
      <c r="C2696" t="s">
        <v>273</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cm="1">
        <f t="array" ref="W2696">AND(ISNUMBER(LifeExpectancyData[[#This Row],[Adult Mortality]:[Schooling]]),ISNUMBER(LifeExpectancyData[[#This Row],[Life expectancy]]), LifeExpectancyData[[#This Row],[Year]]=2013)</f>
        <v>0</v>
      </c>
    </row>
    <row r="2697" spans="1:23" x14ac:dyDescent="0.25">
      <c r="A2697" t="s">
        <v>450</v>
      </c>
      <c r="B2697">
        <v>2001</v>
      </c>
      <c r="C2697" t="s">
        <v>273</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cm="1">
        <f t="array" ref="W2697">AND(ISNUMBER(LifeExpectancyData[[#This Row],[Adult Mortality]:[Schooling]]),ISNUMBER(LifeExpectancyData[[#This Row],[Life expectancy]]), LifeExpectancyData[[#This Row],[Year]]=2013)</f>
        <v>0</v>
      </c>
    </row>
    <row r="2698" spans="1:23" x14ac:dyDescent="0.25">
      <c r="A2698" t="s">
        <v>450</v>
      </c>
      <c r="B2698">
        <v>2000</v>
      </c>
      <c r="C2698" t="s">
        <v>273</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cm="1">
        <f t="array" ref="W2698">AND(ISNUMBER(LifeExpectancyData[[#This Row],[Adult Mortality]:[Schooling]]),ISNUMBER(LifeExpectancyData[[#This Row],[Life expectancy]]), LifeExpectancyData[[#This Row],[Year]]=2013)</f>
        <v>0</v>
      </c>
    </row>
    <row r="2699" spans="1:23" hidden="1" x14ac:dyDescent="0.25">
      <c r="A2699" t="s">
        <v>451</v>
      </c>
      <c r="B2699">
        <v>2015</v>
      </c>
      <c r="C2699" t="s">
        <v>273</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cm="1">
        <f t="array" ref="W2699">AND(ISNUMBER(LifeExpectancyData[[#This Row],[Adult Mortality]:[Schooling]]),ISNUMBER(LifeExpectancyData[[#This Row],[Life expectancy]]), LifeExpectancyData[[#This Row],[Year]]=2013)</f>
        <v>0</v>
      </c>
    </row>
    <row r="2700" spans="1:23" x14ac:dyDescent="0.25">
      <c r="A2700" t="s">
        <v>451</v>
      </c>
      <c r="B2700">
        <v>2014</v>
      </c>
      <c r="C2700" t="s">
        <v>273</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cm="1">
        <f t="array" ref="W2700">AND(ISNUMBER(LifeExpectancyData[[#This Row],[Adult Mortality]:[Schooling]]),ISNUMBER(LifeExpectancyData[[#This Row],[Life expectancy]]), LifeExpectancyData[[#This Row],[Year]]=2013)</f>
        <v>0</v>
      </c>
    </row>
    <row r="2701" spans="1:23" x14ac:dyDescent="0.25">
      <c r="A2701" t="s">
        <v>451</v>
      </c>
      <c r="B2701">
        <v>2013</v>
      </c>
      <c r="C2701" t="s">
        <v>273</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cm="1">
        <f t="array" ref="W2701">AND(ISNUMBER(LifeExpectancyData[[#This Row],[Adult Mortality]:[Schooling]]),ISNUMBER(LifeExpectancyData[[#This Row],[Life expectancy]]), LifeExpectancyData[[#This Row],[Year]]=2013)</f>
        <v>1</v>
      </c>
    </row>
    <row r="2702" spans="1:23" x14ac:dyDescent="0.25">
      <c r="A2702" t="s">
        <v>451</v>
      </c>
      <c r="B2702">
        <v>2012</v>
      </c>
      <c r="C2702" t="s">
        <v>273</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cm="1">
        <f t="array" ref="W2702">AND(ISNUMBER(LifeExpectancyData[[#This Row],[Adult Mortality]:[Schooling]]),ISNUMBER(LifeExpectancyData[[#This Row],[Life expectancy]]), LifeExpectancyData[[#This Row],[Year]]=2013)</f>
        <v>0</v>
      </c>
    </row>
    <row r="2703" spans="1:23" x14ac:dyDescent="0.25">
      <c r="A2703" t="s">
        <v>451</v>
      </c>
      <c r="B2703">
        <v>2011</v>
      </c>
      <c r="C2703" t="s">
        <v>273</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cm="1">
        <f t="array" ref="W2703">AND(ISNUMBER(LifeExpectancyData[[#This Row],[Adult Mortality]:[Schooling]]),ISNUMBER(LifeExpectancyData[[#This Row],[Life expectancy]]), LifeExpectancyData[[#This Row],[Year]]=2013)</f>
        <v>0</v>
      </c>
    </row>
    <row r="2704" spans="1:23" x14ac:dyDescent="0.25">
      <c r="A2704" t="s">
        <v>451</v>
      </c>
      <c r="B2704">
        <v>2010</v>
      </c>
      <c r="C2704" t="s">
        <v>273</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cm="1">
        <f t="array" ref="W2704">AND(ISNUMBER(LifeExpectancyData[[#This Row],[Adult Mortality]:[Schooling]]),ISNUMBER(LifeExpectancyData[[#This Row],[Life expectancy]]), LifeExpectancyData[[#This Row],[Year]]=2013)</f>
        <v>0</v>
      </c>
    </row>
    <row r="2705" spans="1:23" x14ac:dyDescent="0.25">
      <c r="A2705" t="s">
        <v>451</v>
      </c>
      <c r="B2705">
        <v>2009</v>
      </c>
      <c r="C2705" t="s">
        <v>273</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cm="1">
        <f t="array" ref="W2705">AND(ISNUMBER(LifeExpectancyData[[#This Row],[Adult Mortality]:[Schooling]]),ISNUMBER(LifeExpectancyData[[#This Row],[Life expectancy]]), LifeExpectancyData[[#This Row],[Year]]=2013)</f>
        <v>0</v>
      </c>
    </row>
    <row r="2706" spans="1:23" x14ac:dyDescent="0.25">
      <c r="A2706" t="s">
        <v>451</v>
      </c>
      <c r="B2706">
        <v>2008</v>
      </c>
      <c r="C2706" t="s">
        <v>273</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cm="1">
        <f t="array" ref="W2706">AND(ISNUMBER(LifeExpectancyData[[#This Row],[Adult Mortality]:[Schooling]]),ISNUMBER(LifeExpectancyData[[#This Row],[Life expectancy]]), LifeExpectancyData[[#This Row],[Year]]=2013)</f>
        <v>0</v>
      </c>
    </row>
    <row r="2707" spans="1:23" x14ac:dyDescent="0.25">
      <c r="A2707" t="s">
        <v>451</v>
      </c>
      <c r="B2707">
        <v>2007</v>
      </c>
      <c r="C2707" t="s">
        <v>273</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cm="1">
        <f t="array" ref="W2707">AND(ISNUMBER(LifeExpectancyData[[#This Row],[Adult Mortality]:[Schooling]]),ISNUMBER(LifeExpectancyData[[#This Row],[Life expectancy]]), LifeExpectancyData[[#This Row],[Year]]=2013)</f>
        <v>0</v>
      </c>
    </row>
    <row r="2708" spans="1:23" x14ac:dyDescent="0.25">
      <c r="A2708" t="s">
        <v>451</v>
      </c>
      <c r="B2708">
        <v>2006</v>
      </c>
      <c r="C2708" t="s">
        <v>273</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cm="1">
        <f t="array" ref="W2708">AND(ISNUMBER(LifeExpectancyData[[#This Row],[Adult Mortality]:[Schooling]]),ISNUMBER(LifeExpectancyData[[#This Row],[Life expectancy]]), LifeExpectancyData[[#This Row],[Year]]=2013)</f>
        <v>0</v>
      </c>
    </row>
    <row r="2709" spans="1:23" x14ac:dyDescent="0.25">
      <c r="A2709" t="s">
        <v>451</v>
      </c>
      <c r="B2709">
        <v>2005</v>
      </c>
      <c r="C2709" t="s">
        <v>273</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cm="1">
        <f t="array" ref="W2709">AND(ISNUMBER(LifeExpectancyData[[#This Row],[Adult Mortality]:[Schooling]]),ISNUMBER(LifeExpectancyData[[#This Row],[Life expectancy]]), LifeExpectancyData[[#This Row],[Year]]=2013)</f>
        <v>0</v>
      </c>
    </row>
    <row r="2710" spans="1:23" x14ac:dyDescent="0.25">
      <c r="A2710" t="s">
        <v>451</v>
      </c>
      <c r="B2710">
        <v>2004</v>
      </c>
      <c r="C2710" t="s">
        <v>273</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cm="1">
        <f t="array" ref="W2710">AND(ISNUMBER(LifeExpectancyData[[#This Row],[Adult Mortality]:[Schooling]]),ISNUMBER(LifeExpectancyData[[#This Row],[Life expectancy]]), LifeExpectancyData[[#This Row],[Year]]=2013)</f>
        <v>0</v>
      </c>
    </row>
    <row r="2711" spans="1:23" x14ac:dyDescent="0.25">
      <c r="A2711" t="s">
        <v>451</v>
      </c>
      <c r="B2711">
        <v>2003</v>
      </c>
      <c r="C2711" t="s">
        <v>273</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cm="1">
        <f t="array" ref="W2711">AND(ISNUMBER(LifeExpectancyData[[#This Row],[Adult Mortality]:[Schooling]]),ISNUMBER(LifeExpectancyData[[#This Row],[Life expectancy]]), LifeExpectancyData[[#This Row],[Year]]=2013)</f>
        <v>0</v>
      </c>
    </row>
    <row r="2712" spans="1:23" x14ac:dyDescent="0.25">
      <c r="A2712" t="s">
        <v>451</v>
      </c>
      <c r="B2712">
        <v>2002</v>
      </c>
      <c r="C2712" t="s">
        <v>273</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cm="1">
        <f t="array" ref="W2712">AND(ISNUMBER(LifeExpectancyData[[#This Row],[Adult Mortality]:[Schooling]]),ISNUMBER(LifeExpectancyData[[#This Row],[Life expectancy]]), LifeExpectancyData[[#This Row],[Year]]=2013)</f>
        <v>0</v>
      </c>
    </row>
    <row r="2713" spans="1:23" hidden="1" x14ac:dyDescent="0.25">
      <c r="A2713" t="s">
        <v>451</v>
      </c>
      <c r="B2713">
        <v>2001</v>
      </c>
      <c r="C2713" t="s">
        <v>273</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cm="1">
        <f t="array" ref="W2713">AND(ISNUMBER(LifeExpectancyData[[#This Row],[Adult Mortality]:[Schooling]]),ISNUMBER(LifeExpectancyData[[#This Row],[Life expectancy]]), LifeExpectancyData[[#This Row],[Year]]=2013)</f>
        <v>0</v>
      </c>
    </row>
    <row r="2714" spans="1:23" hidden="1" x14ac:dyDescent="0.25">
      <c r="A2714" t="s">
        <v>451</v>
      </c>
      <c r="B2714">
        <v>2000</v>
      </c>
      <c r="C2714" t="s">
        <v>273</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cm="1">
        <f t="array" ref="W2714">AND(ISNUMBER(LifeExpectancyData[[#This Row],[Adult Mortality]:[Schooling]]),ISNUMBER(LifeExpectancyData[[#This Row],[Life expectancy]]), LifeExpectancyData[[#This Row],[Year]]=2013)</f>
        <v>0</v>
      </c>
    </row>
    <row r="2715" spans="1:23" hidden="1" x14ac:dyDescent="0.25">
      <c r="A2715" t="s">
        <v>452</v>
      </c>
      <c r="B2715">
        <v>2013</v>
      </c>
      <c r="C2715" t="s">
        <v>273</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cm="1">
        <f t="array" ref="W2715">AND(ISNUMBER(LifeExpectancyData[[#This Row],[Adult Mortality]:[Schooling]]),ISNUMBER(LifeExpectancyData[[#This Row],[Life expectancy]]), LifeExpectancyData[[#This Row],[Year]]=2013)</f>
        <v>0</v>
      </c>
    </row>
    <row r="2716" spans="1:23" hidden="1" x14ac:dyDescent="0.25">
      <c r="A2716" t="s">
        <v>453</v>
      </c>
      <c r="B2716">
        <v>2015</v>
      </c>
      <c r="C2716" t="s">
        <v>273</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cm="1">
        <f t="array" ref="W2716">AND(ISNUMBER(LifeExpectancyData[[#This Row],[Adult Mortality]:[Schooling]]),ISNUMBER(LifeExpectancyData[[#This Row],[Life expectancy]]), LifeExpectancyData[[#This Row],[Year]]=2013)</f>
        <v>0</v>
      </c>
    </row>
    <row r="2717" spans="1:23" x14ac:dyDescent="0.25">
      <c r="A2717" t="s">
        <v>453</v>
      </c>
      <c r="B2717">
        <v>2014</v>
      </c>
      <c r="C2717" t="s">
        <v>273</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cm="1">
        <f t="array" ref="W2717">AND(ISNUMBER(LifeExpectancyData[[#This Row],[Adult Mortality]:[Schooling]]),ISNUMBER(LifeExpectancyData[[#This Row],[Life expectancy]]), LifeExpectancyData[[#This Row],[Year]]=2013)</f>
        <v>0</v>
      </c>
    </row>
    <row r="2718" spans="1:23" x14ac:dyDescent="0.25">
      <c r="A2718" t="s">
        <v>453</v>
      </c>
      <c r="B2718">
        <v>2013</v>
      </c>
      <c r="C2718" t="s">
        <v>273</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cm="1">
        <f t="array" ref="W2718">AND(ISNUMBER(LifeExpectancyData[[#This Row],[Adult Mortality]:[Schooling]]),ISNUMBER(LifeExpectancyData[[#This Row],[Life expectancy]]), LifeExpectancyData[[#This Row],[Year]]=2013)</f>
        <v>1</v>
      </c>
    </row>
    <row r="2719" spans="1:23" x14ac:dyDescent="0.25">
      <c r="A2719" t="s">
        <v>453</v>
      </c>
      <c r="B2719">
        <v>2012</v>
      </c>
      <c r="C2719" t="s">
        <v>273</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cm="1">
        <f t="array" ref="W2719">AND(ISNUMBER(LifeExpectancyData[[#This Row],[Adult Mortality]:[Schooling]]),ISNUMBER(LifeExpectancyData[[#This Row],[Life expectancy]]), LifeExpectancyData[[#This Row],[Year]]=2013)</f>
        <v>0</v>
      </c>
    </row>
    <row r="2720" spans="1:23" x14ac:dyDescent="0.25">
      <c r="A2720" t="s">
        <v>453</v>
      </c>
      <c r="B2720">
        <v>2011</v>
      </c>
      <c r="C2720" t="s">
        <v>273</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cm="1">
        <f t="array" ref="W2720">AND(ISNUMBER(LifeExpectancyData[[#This Row],[Adult Mortality]:[Schooling]]),ISNUMBER(LifeExpectancyData[[#This Row],[Life expectancy]]), LifeExpectancyData[[#This Row],[Year]]=2013)</f>
        <v>0</v>
      </c>
    </row>
    <row r="2721" spans="1:23" x14ac:dyDescent="0.25">
      <c r="A2721" t="s">
        <v>453</v>
      </c>
      <c r="B2721">
        <v>2010</v>
      </c>
      <c r="C2721" t="s">
        <v>273</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cm="1">
        <f t="array" ref="W2721">AND(ISNUMBER(LifeExpectancyData[[#This Row],[Adult Mortality]:[Schooling]]),ISNUMBER(LifeExpectancyData[[#This Row],[Life expectancy]]), LifeExpectancyData[[#This Row],[Year]]=2013)</f>
        <v>0</v>
      </c>
    </row>
    <row r="2722" spans="1:23" x14ac:dyDescent="0.25">
      <c r="A2722" t="s">
        <v>453</v>
      </c>
      <c r="B2722">
        <v>2009</v>
      </c>
      <c r="C2722" t="s">
        <v>273</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cm="1">
        <f t="array" ref="W2722">AND(ISNUMBER(LifeExpectancyData[[#This Row],[Adult Mortality]:[Schooling]]),ISNUMBER(LifeExpectancyData[[#This Row],[Life expectancy]]), LifeExpectancyData[[#This Row],[Year]]=2013)</f>
        <v>0</v>
      </c>
    </row>
    <row r="2723" spans="1:23" x14ac:dyDescent="0.25">
      <c r="A2723" t="s">
        <v>453</v>
      </c>
      <c r="B2723">
        <v>2008</v>
      </c>
      <c r="C2723" t="s">
        <v>273</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cm="1">
        <f t="array" ref="W2723">AND(ISNUMBER(LifeExpectancyData[[#This Row],[Adult Mortality]:[Schooling]]),ISNUMBER(LifeExpectancyData[[#This Row],[Life expectancy]]), LifeExpectancyData[[#This Row],[Year]]=2013)</f>
        <v>0</v>
      </c>
    </row>
    <row r="2724" spans="1:23" x14ac:dyDescent="0.25">
      <c r="A2724" t="s">
        <v>453</v>
      </c>
      <c r="B2724">
        <v>2007</v>
      </c>
      <c r="C2724" t="s">
        <v>273</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cm="1">
        <f t="array" ref="W2724">AND(ISNUMBER(LifeExpectancyData[[#This Row],[Adult Mortality]:[Schooling]]),ISNUMBER(LifeExpectancyData[[#This Row],[Life expectancy]]), LifeExpectancyData[[#This Row],[Year]]=2013)</f>
        <v>0</v>
      </c>
    </row>
    <row r="2725" spans="1:23" x14ac:dyDescent="0.25">
      <c r="A2725" t="s">
        <v>453</v>
      </c>
      <c r="B2725">
        <v>2006</v>
      </c>
      <c r="C2725" t="s">
        <v>273</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cm="1">
        <f t="array" ref="W2725">AND(ISNUMBER(LifeExpectancyData[[#This Row],[Adult Mortality]:[Schooling]]),ISNUMBER(LifeExpectancyData[[#This Row],[Life expectancy]]), LifeExpectancyData[[#This Row],[Year]]=2013)</f>
        <v>0</v>
      </c>
    </row>
    <row r="2726" spans="1:23" x14ac:dyDescent="0.25">
      <c r="A2726" t="s">
        <v>453</v>
      </c>
      <c r="B2726">
        <v>2005</v>
      </c>
      <c r="C2726" t="s">
        <v>273</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cm="1">
        <f t="array" ref="W2726">AND(ISNUMBER(LifeExpectancyData[[#This Row],[Adult Mortality]:[Schooling]]),ISNUMBER(LifeExpectancyData[[#This Row],[Life expectancy]]), LifeExpectancyData[[#This Row],[Year]]=2013)</f>
        <v>0</v>
      </c>
    </row>
    <row r="2727" spans="1:23" x14ac:dyDescent="0.25">
      <c r="A2727" t="s">
        <v>453</v>
      </c>
      <c r="B2727">
        <v>2004</v>
      </c>
      <c r="C2727" t="s">
        <v>273</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cm="1">
        <f t="array" ref="W2727">AND(ISNUMBER(LifeExpectancyData[[#This Row],[Adult Mortality]:[Schooling]]),ISNUMBER(LifeExpectancyData[[#This Row],[Life expectancy]]), LifeExpectancyData[[#This Row],[Year]]=2013)</f>
        <v>0</v>
      </c>
    </row>
    <row r="2728" spans="1:23" x14ac:dyDescent="0.25">
      <c r="A2728" t="s">
        <v>453</v>
      </c>
      <c r="B2728">
        <v>2003</v>
      </c>
      <c r="C2728" t="s">
        <v>273</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cm="1">
        <f t="array" ref="W2728">AND(ISNUMBER(LifeExpectancyData[[#This Row],[Adult Mortality]:[Schooling]]),ISNUMBER(LifeExpectancyData[[#This Row],[Life expectancy]]), LifeExpectancyData[[#This Row],[Year]]=2013)</f>
        <v>0</v>
      </c>
    </row>
    <row r="2729" spans="1:23" x14ac:dyDescent="0.25">
      <c r="A2729" t="s">
        <v>453</v>
      </c>
      <c r="B2729">
        <v>2002</v>
      </c>
      <c r="C2729" t="s">
        <v>273</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cm="1">
        <f t="array" ref="W2729">AND(ISNUMBER(LifeExpectancyData[[#This Row],[Adult Mortality]:[Schooling]]),ISNUMBER(LifeExpectancyData[[#This Row],[Life expectancy]]), LifeExpectancyData[[#This Row],[Year]]=2013)</f>
        <v>0</v>
      </c>
    </row>
    <row r="2730" spans="1:23" hidden="1" x14ac:dyDescent="0.25">
      <c r="A2730" t="s">
        <v>453</v>
      </c>
      <c r="B2730">
        <v>2001</v>
      </c>
      <c r="C2730" t="s">
        <v>273</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cm="1">
        <f t="array" ref="W2730">AND(ISNUMBER(LifeExpectancyData[[#This Row],[Adult Mortality]:[Schooling]]),ISNUMBER(LifeExpectancyData[[#This Row],[Life expectancy]]), LifeExpectancyData[[#This Row],[Year]]=2013)</f>
        <v>0</v>
      </c>
    </row>
    <row r="2731" spans="1:23" hidden="1" x14ac:dyDescent="0.25">
      <c r="A2731" t="s">
        <v>453</v>
      </c>
      <c r="B2731">
        <v>2000</v>
      </c>
      <c r="C2731" t="s">
        <v>273</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cm="1">
        <f t="array" ref="W2731">AND(ISNUMBER(LifeExpectancyData[[#This Row],[Adult Mortality]:[Schooling]]),ISNUMBER(LifeExpectancyData[[#This Row],[Life expectancy]]), LifeExpectancyData[[#This Row],[Year]]=2013)</f>
        <v>0</v>
      </c>
    </row>
    <row r="2732" spans="1:23" hidden="1" x14ac:dyDescent="0.25">
      <c r="A2732" t="s">
        <v>454</v>
      </c>
      <c r="B2732">
        <v>2015</v>
      </c>
      <c r="C2732" t="s">
        <v>273</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cm="1">
        <f t="array" ref="W2732">AND(ISNUMBER(LifeExpectancyData[[#This Row],[Adult Mortality]:[Schooling]]),ISNUMBER(LifeExpectancyData[[#This Row],[Life expectancy]]), LifeExpectancyData[[#This Row],[Year]]=2013)</f>
        <v>0</v>
      </c>
    </row>
    <row r="2733" spans="1:23" x14ac:dyDescent="0.25">
      <c r="A2733" t="s">
        <v>454</v>
      </c>
      <c r="B2733">
        <v>2014</v>
      </c>
      <c r="C2733" t="s">
        <v>273</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cm="1">
        <f t="array" ref="W2733">AND(ISNUMBER(LifeExpectancyData[[#This Row],[Adult Mortality]:[Schooling]]),ISNUMBER(LifeExpectancyData[[#This Row],[Life expectancy]]), LifeExpectancyData[[#This Row],[Year]]=2013)</f>
        <v>0</v>
      </c>
    </row>
    <row r="2734" spans="1:23" x14ac:dyDescent="0.25">
      <c r="A2734" t="s">
        <v>454</v>
      </c>
      <c r="B2734">
        <v>2013</v>
      </c>
      <c r="C2734" t="s">
        <v>273</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cm="1">
        <f t="array" ref="W2734">AND(ISNUMBER(LifeExpectancyData[[#This Row],[Adult Mortality]:[Schooling]]),ISNUMBER(LifeExpectancyData[[#This Row],[Life expectancy]]), LifeExpectancyData[[#This Row],[Year]]=2013)</f>
        <v>1</v>
      </c>
    </row>
    <row r="2735" spans="1:23" x14ac:dyDescent="0.25">
      <c r="A2735" t="s">
        <v>454</v>
      </c>
      <c r="B2735">
        <v>2012</v>
      </c>
      <c r="C2735" t="s">
        <v>273</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cm="1">
        <f t="array" ref="W2735">AND(ISNUMBER(LifeExpectancyData[[#This Row],[Adult Mortality]:[Schooling]]),ISNUMBER(LifeExpectancyData[[#This Row],[Life expectancy]]), LifeExpectancyData[[#This Row],[Year]]=2013)</f>
        <v>0</v>
      </c>
    </row>
    <row r="2736" spans="1:23" x14ac:dyDescent="0.25">
      <c r="A2736" t="s">
        <v>454</v>
      </c>
      <c r="B2736">
        <v>2011</v>
      </c>
      <c r="C2736" t="s">
        <v>273</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cm="1">
        <f t="array" ref="W2736">AND(ISNUMBER(LifeExpectancyData[[#This Row],[Adult Mortality]:[Schooling]]),ISNUMBER(LifeExpectancyData[[#This Row],[Life expectancy]]), LifeExpectancyData[[#This Row],[Year]]=2013)</f>
        <v>0</v>
      </c>
    </row>
    <row r="2737" spans="1:23" x14ac:dyDescent="0.25">
      <c r="A2737" t="s">
        <v>454</v>
      </c>
      <c r="B2737">
        <v>2010</v>
      </c>
      <c r="C2737" t="s">
        <v>273</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cm="1">
        <f t="array" ref="W2737">AND(ISNUMBER(LifeExpectancyData[[#This Row],[Adult Mortality]:[Schooling]]),ISNUMBER(LifeExpectancyData[[#This Row],[Life expectancy]]), LifeExpectancyData[[#This Row],[Year]]=2013)</f>
        <v>0</v>
      </c>
    </row>
    <row r="2738" spans="1:23" x14ac:dyDescent="0.25">
      <c r="A2738" t="s">
        <v>454</v>
      </c>
      <c r="B2738">
        <v>2009</v>
      </c>
      <c r="C2738" t="s">
        <v>273</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cm="1">
        <f t="array" ref="W2738">AND(ISNUMBER(LifeExpectancyData[[#This Row],[Adult Mortality]:[Schooling]]),ISNUMBER(LifeExpectancyData[[#This Row],[Life expectancy]]), LifeExpectancyData[[#This Row],[Year]]=2013)</f>
        <v>0</v>
      </c>
    </row>
    <row r="2739" spans="1:23" x14ac:dyDescent="0.25">
      <c r="A2739" t="s">
        <v>454</v>
      </c>
      <c r="B2739">
        <v>2008</v>
      </c>
      <c r="C2739" t="s">
        <v>273</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cm="1">
        <f t="array" ref="W2739">AND(ISNUMBER(LifeExpectancyData[[#This Row],[Adult Mortality]:[Schooling]]),ISNUMBER(LifeExpectancyData[[#This Row],[Life expectancy]]), LifeExpectancyData[[#This Row],[Year]]=2013)</f>
        <v>0</v>
      </c>
    </row>
    <row r="2740" spans="1:23" x14ac:dyDescent="0.25">
      <c r="A2740" t="s">
        <v>454</v>
      </c>
      <c r="B2740">
        <v>2007</v>
      </c>
      <c r="C2740" t="s">
        <v>273</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cm="1">
        <f t="array" ref="W2740">AND(ISNUMBER(LifeExpectancyData[[#This Row],[Adult Mortality]:[Schooling]]),ISNUMBER(LifeExpectancyData[[#This Row],[Life expectancy]]), LifeExpectancyData[[#This Row],[Year]]=2013)</f>
        <v>0</v>
      </c>
    </row>
    <row r="2741" spans="1:23" x14ac:dyDescent="0.25">
      <c r="A2741" t="s">
        <v>454</v>
      </c>
      <c r="B2741">
        <v>2006</v>
      </c>
      <c r="C2741" t="s">
        <v>273</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cm="1">
        <f t="array" ref="W2741">AND(ISNUMBER(LifeExpectancyData[[#This Row],[Adult Mortality]:[Schooling]]),ISNUMBER(LifeExpectancyData[[#This Row],[Life expectancy]]), LifeExpectancyData[[#This Row],[Year]]=2013)</f>
        <v>0</v>
      </c>
    </row>
    <row r="2742" spans="1:23" x14ac:dyDescent="0.25">
      <c r="A2742" t="s">
        <v>454</v>
      </c>
      <c r="B2742">
        <v>2005</v>
      </c>
      <c r="C2742" t="s">
        <v>273</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cm="1">
        <f t="array" ref="W2742">AND(ISNUMBER(LifeExpectancyData[[#This Row],[Adult Mortality]:[Schooling]]),ISNUMBER(LifeExpectancyData[[#This Row],[Life expectancy]]), LifeExpectancyData[[#This Row],[Year]]=2013)</f>
        <v>0</v>
      </c>
    </row>
    <row r="2743" spans="1:23" x14ac:dyDescent="0.25">
      <c r="A2743" t="s">
        <v>454</v>
      </c>
      <c r="B2743">
        <v>2004</v>
      </c>
      <c r="C2743" t="s">
        <v>273</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cm="1">
        <f t="array" ref="W2743">AND(ISNUMBER(LifeExpectancyData[[#This Row],[Adult Mortality]:[Schooling]]),ISNUMBER(LifeExpectancyData[[#This Row],[Life expectancy]]), LifeExpectancyData[[#This Row],[Year]]=2013)</f>
        <v>0</v>
      </c>
    </row>
    <row r="2744" spans="1:23" x14ac:dyDescent="0.25">
      <c r="A2744" t="s">
        <v>454</v>
      </c>
      <c r="B2744">
        <v>2003</v>
      </c>
      <c r="C2744" t="s">
        <v>273</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cm="1">
        <f t="array" ref="W2744">AND(ISNUMBER(LifeExpectancyData[[#This Row],[Adult Mortality]:[Schooling]]),ISNUMBER(LifeExpectancyData[[#This Row],[Life expectancy]]), LifeExpectancyData[[#This Row],[Year]]=2013)</f>
        <v>0</v>
      </c>
    </row>
    <row r="2745" spans="1:23" x14ac:dyDescent="0.25">
      <c r="A2745" t="s">
        <v>454</v>
      </c>
      <c r="B2745">
        <v>2002</v>
      </c>
      <c r="C2745" t="s">
        <v>273</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cm="1">
        <f t="array" ref="W2745">AND(ISNUMBER(LifeExpectancyData[[#This Row],[Adult Mortality]:[Schooling]]),ISNUMBER(LifeExpectancyData[[#This Row],[Life expectancy]]), LifeExpectancyData[[#This Row],[Year]]=2013)</f>
        <v>0</v>
      </c>
    </row>
    <row r="2746" spans="1:23" x14ac:dyDescent="0.25">
      <c r="A2746" t="s">
        <v>454</v>
      </c>
      <c r="B2746">
        <v>2001</v>
      </c>
      <c r="C2746" t="s">
        <v>273</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cm="1">
        <f t="array" ref="W2746">AND(ISNUMBER(LifeExpectancyData[[#This Row],[Adult Mortality]:[Schooling]]),ISNUMBER(LifeExpectancyData[[#This Row],[Life expectancy]]), LifeExpectancyData[[#This Row],[Year]]=2013)</f>
        <v>0</v>
      </c>
    </row>
    <row r="2747" spans="1:23" x14ac:dyDescent="0.25">
      <c r="A2747" t="s">
        <v>454</v>
      </c>
      <c r="B2747">
        <v>2000</v>
      </c>
      <c r="C2747" t="s">
        <v>273</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cm="1">
        <f t="array" ref="W2747">AND(ISNUMBER(LifeExpectancyData[[#This Row],[Adult Mortality]:[Schooling]]),ISNUMBER(LifeExpectancyData[[#This Row],[Life expectancy]]), LifeExpectancyData[[#This Row],[Year]]=2013)</f>
        <v>0</v>
      </c>
    </row>
    <row r="2748" spans="1:23" hidden="1" x14ac:dyDescent="0.25">
      <c r="A2748" t="s">
        <v>455</v>
      </c>
      <c r="B2748">
        <v>2015</v>
      </c>
      <c r="C2748" t="s">
        <v>273</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cm="1">
        <f t="array" ref="W2748">AND(ISNUMBER(LifeExpectancyData[[#This Row],[Adult Mortality]:[Schooling]]),ISNUMBER(LifeExpectancyData[[#This Row],[Life expectancy]]), LifeExpectancyData[[#This Row],[Year]]=2013)</f>
        <v>0</v>
      </c>
    </row>
    <row r="2749" spans="1:23" hidden="1" x14ac:dyDescent="0.25">
      <c r="A2749" t="s">
        <v>455</v>
      </c>
      <c r="B2749">
        <v>2014</v>
      </c>
      <c r="C2749" t="s">
        <v>273</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cm="1">
        <f t="array" ref="W2749">AND(ISNUMBER(LifeExpectancyData[[#This Row],[Adult Mortality]:[Schooling]]),ISNUMBER(LifeExpectancyData[[#This Row],[Life expectancy]]), LifeExpectancyData[[#This Row],[Year]]=2013)</f>
        <v>0</v>
      </c>
    </row>
    <row r="2750" spans="1:23" hidden="1" x14ac:dyDescent="0.25">
      <c r="A2750" t="s">
        <v>455</v>
      </c>
      <c r="B2750">
        <v>2013</v>
      </c>
      <c r="C2750" t="s">
        <v>273</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cm="1">
        <f t="array" ref="W2750">AND(ISNUMBER(LifeExpectancyData[[#This Row],[Adult Mortality]:[Schooling]]),ISNUMBER(LifeExpectancyData[[#This Row],[Life expectancy]]), LifeExpectancyData[[#This Row],[Year]]=2013)</f>
        <v>0</v>
      </c>
    </row>
    <row r="2751" spans="1:23" hidden="1" x14ac:dyDescent="0.25">
      <c r="A2751" t="s">
        <v>455</v>
      </c>
      <c r="B2751">
        <v>2012</v>
      </c>
      <c r="C2751" t="s">
        <v>273</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cm="1">
        <f t="array" ref="W2751">AND(ISNUMBER(LifeExpectancyData[[#This Row],[Adult Mortality]:[Schooling]]),ISNUMBER(LifeExpectancyData[[#This Row],[Life expectancy]]), LifeExpectancyData[[#This Row],[Year]]=2013)</f>
        <v>0</v>
      </c>
    </row>
    <row r="2752" spans="1:23" hidden="1" x14ac:dyDescent="0.25">
      <c r="A2752" t="s">
        <v>455</v>
      </c>
      <c r="B2752">
        <v>2011</v>
      </c>
      <c r="C2752" t="s">
        <v>273</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cm="1">
        <f t="array" ref="W2752">AND(ISNUMBER(LifeExpectancyData[[#This Row],[Adult Mortality]:[Schooling]]),ISNUMBER(LifeExpectancyData[[#This Row],[Life expectancy]]), LifeExpectancyData[[#This Row],[Year]]=2013)</f>
        <v>0</v>
      </c>
    </row>
    <row r="2753" spans="1:23" hidden="1" x14ac:dyDescent="0.25">
      <c r="A2753" t="s">
        <v>455</v>
      </c>
      <c r="B2753">
        <v>2010</v>
      </c>
      <c r="C2753" t="s">
        <v>273</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cm="1">
        <f t="array" ref="W2753">AND(ISNUMBER(LifeExpectancyData[[#This Row],[Adult Mortality]:[Schooling]]),ISNUMBER(LifeExpectancyData[[#This Row],[Life expectancy]]), LifeExpectancyData[[#This Row],[Year]]=2013)</f>
        <v>0</v>
      </c>
    </row>
    <row r="2754" spans="1:23" hidden="1" x14ac:dyDescent="0.25">
      <c r="A2754" t="s">
        <v>455</v>
      </c>
      <c r="B2754">
        <v>2009</v>
      </c>
      <c r="C2754" t="s">
        <v>273</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cm="1">
        <f t="array" ref="W2754">AND(ISNUMBER(LifeExpectancyData[[#This Row],[Adult Mortality]:[Schooling]]),ISNUMBER(LifeExpectancyData[[#This Row],[Life expectancy]]), LifeExpectancyData[[#This Row],[Year]]=2013)</f>
        <v>0</v>
      </c>
    </row>
    <row r="2755" spans="1:23" hidden="1" x14ac:dyDescent="0.25">
      <c r="A2755" t="s">
        <v>455</v>
      </c>
      <c r="B2755">
        <v>2008</v>
      </c>
      <c r="C2755" t="s">
        <v>273</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cm="1">
        <f t="array" ref="W2755">AND(ISNUMBER(LifeExpectancyData[[#This Row],[Adult Mortality]:[Schooling]]),ISNUMBER(LifeExpectancyData[[#This Row],[Life expectancy]]), LifeExpectancyData[[#This Row],[Year]]=2013)</f>
        <v>0</v>
      </c>
    </row>
    <row r="2756" spans="1:23" hidden="1" x14ac:dyDescent="0.25">
      <c r="A2756" t="s">
        <v>455</v>
      </c>
      <c r="B2756">
        <v>2007</v>
      </c>
      <c r="C2756" t="s">
        <v>273</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cm="1">
        <f t="array" ref="W2756">AND(ISNUMBER(LifeExpectancyData[[#This Row],[Adult Mortality]:[Schooling]]),ISNUMBER(LifeExpectancyData[[#This Row],[Life expectancy]]), LifeExpectancyData[[#This Row],[Year]]=2013)</f>
        <v>0</v>
      </c>
    </row>
    <row r="2757" spans="1:23" hidden="1" x14ac:dyDescent="0.25">
      <c r="A2757" t="s">
        <v>455</v>
      </c>
      <c r="B2757">
        <v>2006</v>
      </c>
      <c r="C2757" t="s">
        <v>273</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cm="1">
        <f t="array" ref="W2757">AND(ISNUMBER(LifeExpectancyData[[#This Row],[Adult Mortality]:[Schooling]]),ISNUMBER(LifeExpectancyData[[#This Row],[Life expectancy]]), LifeExpectancyData[[#This Row],[Year]]=2013)</f>
        <v>0</v>
      </c>
    </row>
    <row r="2758" spans="1:23" hidden="1" x14ac:dyDescent="0.25">
      <c r="A2758" t="s">
        <v>455</v>
      </c>
      <c r="B2758">
        <v>2005</v>
      </c>
      <c r="C2758" t="s">
        <v>273</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cm="1">
        <f t="array" ref="W2758">AND(ISNUMBER(LifeExpectancyData[[#This Row],[Adult Mortality]:[Schooling]]),ISNUMBER(LifeExpectancyData[[#This Row],[Life expectancy]]), LifeExpectancyData[[#This Row],[Year]]=2013)</f>
        <v>0</v>
      </c>
    </row>
    <row r="2759" spans="1:23" hidden="1" x14ac:dyDescent="0.25">
      <c r="A2759" t="s">
        <v>455</v>
      </c>
      <c r="B2759">
        <v>2004</v>
      </c>
      <c r="C2759" t="s">
        <v>273</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cm="1">
        <f t="array" ref="W2759">AND(ISNUMBER(LifeExpectancyData[[#This Row],[Adult Mortality]:[Schooling]]),ISNUMBER(LifeExpectancyData[[#This Row],[Life expectancy]]), LifeExpectancyData[[#This Row],[Year]]=2013)</f>
        <v>0</v>
      </c>
    </row>
    <row r="2760" spans="1:23" hidden="1" x14ac:dyDescent="0.25">
      <c r="A2760" t="s">
        <v>455</v>
      </c>
      <c r="B2760">
        <v>2003</v>
      </c>
      <c r="C2760" t="s">
        <v>273</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cm="1">
        <f t="array" ref="W2760">AND(ISNUMBER(LifeExpectancyData[[#This Row],[Adult Mortality]:[Schooling]]),ISNUMBER(LifeExpectancyData[[#This Row],[Life expectancy]]), LifeExpectancyData[[#This Row],[Year]]=2013)</f>
        <v>0</v>
      </c>
    </row>
    <row r="2761" spans="1:23" hidden="1" x14ac:dyDescent="0.25">
      <c r="A2761" t="s">
        <v>455</v>
      </c>
      <c r="B2761">
        <v>2002</v>
      </c>
      <c r="C2761" t="s">
        <v>273</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cm="1">
        <f t="array" ref="W2761">AND(ISNUMBER(LifeExpectancyData[[#This Row],[Adult Mortality]:[Schooling]]),ISNUMBER(LifeExpectancyData[[#This Row],[Life expectancy]]), LifeExpectancyData[[#This Row],[Year]]=2013)</f>
        <v>0</v>
      </c>
    </row>
    <row r="2762" spans="1:23" hidden="1" x14ac:dyDescent="0.25">
      <c r="A2762" t="s">
        <v>455</v>
      </c>
      <c r="B2762">
        <v>2001</v>
      </c>
      <c r="C2762" t="s">
        <v>273</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cm="1">
        <f t="array" ref="W2762">AND(ISNUMBER(LifeExpectancyData[[#This Row],[Adult Mortality]:[Schooling]]),ISNUMBER(LifeExpectancyData[[#This Row],[Life expectancy]]), LifeExpectancyData[[#This Row],[Year]]=2013)</f>
        <v>0</v>
      </c>
    </row>
    <row r="2763" spans="1:23" hidden="1" x14ac:dyDescent="0.25">
      <c r="A2763" t="s">
        <v>455</v>
      </c>
      <c r="B2763">
        <v>2000</v>
      </c>
      <c r="C2763" t="s">
        <v>273</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cm="1">
        <f t="array" ref="W2763">AND(ISNUMBER(LifeExpectancyData[[#This Row],[Adult Mortality]:[Schooling]]),ISNUMBER(LifeExpectancyData[[#This Row],[Life expectancy]]), LifeExpectancyData[[#This Row],[Year]]=2013)</f>
        <v>0</v>
      </c>
    </row>
    <row r="2764" spans="1:23" hidden="1" x14ac:dyDescent="0.25">
      <c r="A2764" t="s">
        <v>456</v>
      </c>
      <c r="B2764">
        <v>2015</v>
      </c>
      <c r="C2764" t="s">
        <v>281</v>
      </c>
      <c r="D2764">
        <v>81.2</v>
      </c>
      <c r="E2764">
        <v>69</v>
      </c>
      <c r="F2764">
        <v>3</v>
      </c>
      <c r="G2764">
        <v>10.66</v>
      </c>
      <c r="H2764">
        <v>0</v>
      </c>
      <c r="J2764">
        <v>91</v>
      </c>
      <c r="K2764">
        <v>66.599999999999994</v>
      </c>
      <c r="L2764">
        <v>4</v>
      </c>
      <c r="M2764">
        <v>96</v>
      </c>
      <c r="O2764">
        <v>96</v>
      </c>
      <c r="P2764">
        <v>0.1</v>
      </c>
      <c r="S2764">
        <v>0.8</v>
      </c>
      <c r="T2764">
        <v>0.6</v>
      </c>
      <c r="W2764" t="b" cm="1">
        <f t="array" ref="W2764">AND(ISNUMBER(LifeExpectancyData[[#This Row],[Adult Mortality]:[Schooling]]),ISNUMBER(LifeExpectancyData[[#This Row],[Life expectancy]]), LifeExpectancyData[[#This Row],[Year]]=2013)</f>
        <v>0</v>
      </c>
    </row>
    <row r="2765" spans="1:23" hidden="1" x14ac:dyDescent="0.25">
      <c r="A2765" t="s">
        <v>456</v>
      </c>
      <c r="B2765">
        <v>2014</v>
      </c>
      <c r="C2765" t="s">
        <v>281</v>
      </c>
      <c r="D2765">
        <v>81</v>
      </c>
      <c r="E2765">
        <v>71</v>
      </c>
      <c r="F2765">
        <v>3</v>
      </c>
      <c r="G2765">
        <v>10.37</v>
      </c>
      <c r="H2765">
        <v>0</v>
      </c>
      <c r="J2765">
        <v>133</v>
      </c>
      <c r="K2765">
        <v>66</v>
      </c>
      <c r="L2765">
        <v>4</v>
      </c>
      <c r="M2765">
        <v>95</v>
      </c>
      <c r="N2765">
        <v>9.1199999999999992</v>
      </c>
      <c r="O2765">
        <v>95</v>
      </c>
      <c r="P2765">
        <v>0.1</v>
      </c>
      <c r="S2765">
        <v>0.8</v>
      </c>
      <c r="T2765">
        <v>0.5</v>
      </c>
      <c r="W2765" t="b" cm="1">
        <f t="array" ref="W2765">AND(ISNUMBER(LifeExpectancyData[[#This Row],[Adult Mortality]:[Schooling]]),ISNUMBER(LifeExpectancyData[[#This Row],[Life expectancy]]), LifeExpectancyData[[#This Row],[Year]]=2013)</f>
        <v>0</v>
      </c>
    </row>
    <row r="2766" spans="1:23" hidden="1" x14ac:dyDescent="0.25">
      <c r="A2766" t="s">
        <v>456</v>
      </c>
      <c r="B2766">
        <v>2013</v>
      </c>
      <c r="C2766" t="s">
        <v>281</v>
      </c>
      <c r="D2766">
        <v>87</v>
      </c>
      <c r="E2766">
        <v>72</v>
      </c>
      <c r="F2766">
        <v>3</v>
      </c>
      <c r="G2766">
        <v>10.32</v>
      </c>
      <c r="H2766">
        <v>0</v>
      </c>
      <c r="J2766">
        <v>1919</v>
      </c>
      <c r="K2766">
        <v>65.400000000000006</v>
      </c>
      <c r="L2766">
        <v>4</v>
      </c>
      <c r="M2766">
        <v>95</v>
      </c>
      <c r="N2766">
        <v>9.34</v>
      </c>
      <c r="O2766">
        <v>95</v>
      </c>
      <c r="P2766">
        <v>0.1</v>
      </c>
      <c r="S2766">
        <v>0.8</v>
      </c>
      <c r="T2766">
        <v>0.5</v>
      </c>
      <c r="W2766" t="b" cm="1">
        <f t="array" ref="W2766">AND(ISNUMBER(LifeExpectancyData[[#This Row],[Adult Mortality]:[Schooling]]),ISNUMBER(LifeExpectancyData[[#This Row],[Life expectancy]]), LifeExpectancyData[[#This Row],[Year]]=2013)</f>
        <v>0</v>
      </c>
    </row>
    <row r="2767" spans="1:23" hidden="1" x14ac:dyDescent="0.25">
      <c r="A2767" t="s">
        <v>456</v>
      </c>
      <c r="B2767">
        <v>2012</v>
      </c>
      <c r="C2767" t="s">
        <v>281</v>
      </c>
      <c r="D2767">
        <v>86</v>
      </c>
      <c r="E2767">
        <v>72</v>
      </c>
      <c r="F2767">
        <v>3</v>
      </c>
      <c r="G2767">
        <v>10.42</v>
      </c>
      <c r="H2767">
        <v>0</v>
      </c>
      <c r="J2767">
        <v>2092</v>
      </c>
      <c r="K2767">
        <v>64.8</v>
      </c>
      <c r="L2767">
        <v>4</v>
      </c>
      <c r="M2767">
        <v>95</v>
      </c>
      <c r="N2767">
        <v>9.41</v>
      </c>
      <c r="O2767">
        <v>95</v>
      </c>
      <c r="P2767">
        <v>0.1</v>
      </c>
      <c r="S2767">
        <v>0.8</v>
      </c>
      <c r="T2767">
        <v>0.5</v>
      </c>
      <c r="W2767" t="b" cm="1">
        <f t="array" ref="W2767">AND(ISNUMBER(LifeExpectancyData[[#This Row],[Adult Mortality]:[Schooling]]),ISNUMBER(LifeExpectancyData[[#This Row],[Life expectancy]]), LifeExpectancyData[[#This Row],[Year]]=2013)</f>
        <v>0</v>
      </c>
    </row>
    <row r="2768" spans="1:23" hidden="1" x14ac:dyDescent="0.25">
      <c r="A2768" t="s">
        <v>456</v>
      </c>
      <c r="B2768">
        <v>2011</v>
      </c>
      <c r="C2768" t="s">
        <v>281</v>
      </c>
      <c r="D2768">
        <v>86</v>
      </c>
      <c r="E2768">
        <v>74</v>
      </c>
      <c r="F2768">
        <v>3</v>
      </c>
      <c r="G2768">
        <v>10.68</v>
      </c>
      <c r="H2768">
        <v>0</v>
      </c>
      <c r="J2768">
        <v>1112</v>
      </c>
      <c r="K2768">
        <v>64.2</v>
      </c>
      <c r="L2768">
        <v>4</v>
      </c>
      <c r="M2768">
        <v>95</v>
      </c>
      <c r="N2768">
        <v>9.34</v>
      </c>
      <c r="O2768">
        <v>95</v>
      </c>
      <c r="P2768">
        <v>0.1</v>
      </c>
      <c r="S2768">
        <v>0.8</v>
      </c>
      <c r="T2768">
        <v>0.5</v>
      </c>
      <c r="W2768" t="b" cm="1">
        <f t="array" ref="W2768">AND(ISNUMBER(LifeExpectancyData[[#This Row],[Adult Mortality]:[Schooling]]),ISNUMBER(LifeExpectancyData[[#This Row],[Life expectancy]]), LifeExpectancyData[[#This Row],[Year]]=2013)</f>
        <v>0</v>
      </c>
    </row>
    <row r="2769" spans="1:23" hidden="1" x14ac:dyDescent="0.25">
      <c r="A2769" t="s">
        <v>456</v>
      </c>
      <c r="B2769">
        <v>2010</v>
      </c>
      <c r="C2769" t="s">
        <v>281</v>
      </c>
      <c r="D2769">
        <v>82</v>
      </c>
      <c r="E2769">
        <v>77</v>
      </c>
      <c r="F2769">
        <v>3</v>
      </c>
      <c r="G2769">
        <v>10.88</v>
      </c>
      <c r="H2769">
        <v>0</v>
      </c>
      <c r="J2769">
        <v>443</v>
      </c>
      <c r="K2769">
        <v>63.6</v>
      </c>
      <c r="L2769">
        <v>4</v>
      </c>
      <c r="M2769">
        <v>94</v>
      </c>
      <c r="N2769">
        <v>9.51</v>
      </c>
      <c r="O2769">
        <v>94</v>
      </c>
      <c r="P2769">
        <v>0.1</v>
      </c>
      <c r="S2769">
        <v>0.8</v>
      </c>
      <c r="T2769">
        <v>0.5</v>
      </c>
      <c r="W2769" t="b" cm="1">
        <f t="array" ref="W2769">AND(ISNUMBER(LifeExpectancyData[[#This Row],[Adult Mortality]:[Schooling]]),ISNUMBER(LifeExpectancyData[[#This Row],[Life expectancy]]), LifeExpectancyData[[#This Row],[Year]]=2013)</f>
        <v>0</v>
      </c>
    </row>
    <row r="2770" spans="1:23" hidden="1" x14ac:dyDescent="0.25">
      <c r="A2770" t="s">
        <v>456</v>
      </c>
      <c r="B2770">
        <v>2009</v>
      </c>
      <c r="C2770" t="s">
        <v>281</v>
      </c>
      <c r="D2770">
        <v>81</v>
      </c>
      <c r="E2770">
        <v>78</v>
      </c>
      <c r="F2770">
        <v>4</v>
      </c>
      <c r="G2770">
        <v>10.79</v>
      </c>
      <c r="H2770">
        <v>0</v>
      </c>
      <c r="J2770">
        <v>1212</v>
      </c>
      <c r="K2770">
        <v>63.1</v>
      </c>
      <c r="L2770">
        <v>4</v>
      </c>
      <c r="M2770">
        <v>93</v>
      </c>
      <c r="N2770">
        <v>9.81</v>
      </c>
      <c r="O2770">
        <v>93</v>
      </c>
      <c r="P2770">
        <v>0.1</v>
      </c>
      <c r="S2770">
        <v>0.8</v>
      </c>
      <c r="T2770">
        <v>0.5</v>
      </c>
      <c r="W2770" t="b" cm="1">
        <f t="array" ref="W2770">AND(ISNUMBER(LifeExpectancyData[[#This Row],[Adult Mortality]:[Schooling]]),ISNUMBER(LifeExpectancyData[[#This Row],[Life expectancy]]), LifeExpectancyData[[#This Row],[Year]]=2013)</f>
        <v>0</v>
      </c>
    </row>
    <row r="2771" spans="1:23" hidden="1" x14ac:dyDescent="0.25">
      <c r="A2771" t="s">
        <v>456</v>
      </c>
      <c r="B2771">
        <v>2008</v>
      </c>
      <c r="C2771" t="s">
        <v>281</v>
      </c>
      <c r="D2771">
        <v>79.599999999999994</v>
      </c>
      <c r="E2771">
        <v>8</v>
      </c>
      <c r="F2771">
        <v>4</v>
      </c>
      <c r="G2771">
        <v>11.47</v>
      </c>
      <c r="H2771">
        <v>0</v>
      </c>
      <c r="J2771">
        <v>1445</v>
      </c>
      <c r="K2771">
        <v>62.5</v>
      </c>
      <c r="L2771">
        <v>4</v>
      </c>
      <c r="M2771">
        <v>92</v>
      </c>
      <c r="N2771">
        <v>8.85</v>
      </c>
      <c r="O2771">
        <v>92</v>
      </c>
      <c r="P2771">
        <v>0.1</v>
      </c>
      <c r="S2771">
        <v>0.8</v>
      </c>
      <c r="T2771">
        <v>0.5</v>
      </c>
      <c r="W2771" t="b" cm="1">
        <f t="array" ref="W2771">AND(ISNUMBER(LifeExpectancyData[[#This Row],[Adult Mortality]:[Schooling]]),ISNUMBER(LifeExpectancyData[[#This Row],[Life expectancy]]), LifeExpectancyData[[#This Row],[Year]]=2013)</f>
        <v>0</v>
      </c>
    </row>
    <row r="2772" spans="1:23" hidden="1" x14ac:dyDescent="0.25">
      <c r="A2772" t="s">
        <v>456</v>
      </c>
      <c r="B2772">
        <v>2007</v>
      </c>
      <c r="C2772" t="s">
        <v>281</v>
      </c>
      <c r="D2772">
        <v>79.5</v>
      </c>
      <c r="E2772">
        <v>8</v>
      </c>
      <c r="F2772">
        <v>4</v>
      </c>
      <c r="G2772">
        <v>11.84</v>
      </c>
      <c r="H2772">
        <v>0</v>
      </c>
      <c r="J2772">
        <v>1022</v>
      </c>
      <c r="K2772">
        <v>61.9</v>
      </c>
      <c r="L2772">
        <v>4</v>
      </c>
      <c r="M2772">
        <v>92</v>
      </c>
      <c r="N2772">
        <v>8.42</v>
      </c>
      <c r="O2772">
        <v>92</v>
      </c>
      <c r="P2772">
        <v>0.1</v>
      </c>
      <c r="S2772">
        <v>0.7</v>
      </c>
      <c r="T2772">
        <v>0.5</v>
      </c>
      <c r="W2772" t="b" cm="1">
        <f t="array" ref="W2772">AND(ISNUMBER(LifeExpectancyData[[#This Row],[Adult Mortality]:[Schooling]]),ISNUMBER(LifeExpectancyData[[#This Row],[Life expectancy]]), LifeExpectancyData[[#This Row],[Year]]=2013)</f>
        <v>0</v>
      </c>
    </row>
    <row r="2773" spans="1:23" hidden="1" x14ac:dyDescent="0.25">
      <c r="A2773" t="s">
        <v>456</v>
      </c>
      <c r="B2773">
        <v>2006</v>
      </c>
      <c r="C2773" t="s">
        <v>281</v>
      </c>
      <c r="D2773">
        <v>79.3</v>
      </c>
      <c r="E2773">
        <v>82</v>
      </c>
      <c r="F2773">
        <v>4</v>
      </c>
      <c r="G2773">
        <v>11.61</v>
      </c>
      <c r="H2773">
        <v>0</v>
      </c>
      <c r="J2773">
        <v>764</v>
      </c>
      <c r="K2773">
        <v>61.3</v>
      </c>
      <c r="L2773">
        <v>4</v>
      </c>
      <c r="M2773">
        <v>92</v>
      </c>
      <c r="N2773">
        <v>8.36</v>
      </c>
      <c r="O2773">
        <v>92</v>
      </c>
      <c r="P2773">
        <v>0.1</v>
      </c>
      <c r="S2773">
        <v>0.7</v>
      </c>
      <c r="T2773">
        <v>0.5</v>
      </c>
      <c r="W2773" t="b" cm="1">
        <f t="array" ref="W2773">AND(ISNUMBER(LifeExpectancyData[[#This Row],[Adult Mortality]:[Schooling]]),ISNUMBER(LifeExpectancyData[[#This Row],[Life expectancy]]), LifeExpectancyData[[#This Row],[Year]]=2013)</f>
        <v>0</v>
      </c>
    </row>
    <row r="2774" spans="1:23" hidden="1" x14ac:dyDescent="0.25">
      <c r="A2774" t="s">
        <v>456</v>
      </c>
      <c r="B2774">
        <v>2005</v>
      </c>
      <c r="C2774" t="s">
        <v>281</v>
      </c>
      <c r="D2774">
        <v>79</v>
      </c>
      <c r="E2774">
        <v>82</v>
      </c>
      <c r="F2774">
        <v>4</v>
      </c>
      <c r="G2774">
        <v>12.05</v>
      </c>
      <c r="H2774">
        <v>0</v>
      </c>
      <c r="J2774">
        <v>79</v>
      </c>
      <c r="K2774">
        <v>6.7</v>
      </c>
      <c r="L2774">
        <v>4</v>
      </c>
      <c r="M2774">
        <v>91</v>
      </c>
      <c r="N2774">
        <v>8.24</v>
      </c>
      <c r="O2774">
        <v>91</v>
      </c>
      <c r="P2774">
        <v>0.1</v>
      </c>
      <c r="S2774">
        <v>0.7</v>
      </c>
      <c r="T2774">
        <v>0.5</v>
      </c>
      <c r="W2774" t="b" cm="1">
        <f t="array" ref="W2774">AND(ISNUMBER(LifeExpectancyData[[#This Row],[Adult Mortality]:[Schooling]]),ISNUMBER(LifeExpectancyData[[#This Row],[Life expectancy]]), LifeExpectancyData[[#This Row],[Year]]=2013)</f>
        <v>0</v>
      </c>
    </row>
    <row r="2775" spans="1:23" hidden="1" x14ac:dyDescent="0.25">
      <c r="A2775" t="s">
        <v>456</v>
      </c>
      <c r="B2775">
        <v>2004</v>
      </c>
      <c r="C2775" t="s">
        <v>281</v>
      </c>
      <c r="D2775">
        <v>78.8</v>
      </c>
      <c r="E2775">
        <v>83</v>
      </c>
      <c r="F2775">
        <v>4</v>
      </c>
      <c r="G2775">
        <v>12.22</v>
      </c>
      <c r="H2775">
        <v>0</v>
      </c>
      <c r="J2775">
        <v>189</v>
      </c>
      <c r="K2775">
        <v>6.1</v>
      </c>
      <c r="L2775">
        <v>4</v>
      </c>
      <c r="M2775">
        <v>92</v>
      </c>
      <c r="N2775">
        <v>7.98</v>
      </c>
      <c r="O2775">
        <v>92</v>
      </c>
      <c r="P2775">
        <v>0.1</v>
      </c>
      <c r="S2775">
        <v>0.7</v>
      </c>
      <c r="T2775">
        <v>0.5</v>
      </c>
      <c r="W2775" t="b" cm="1">
        <f t="array" ref="W2775">AND(ISNUMBER(LifeExpectancyData[[#This Row],[Adult Mortality]:[Schooling]]),ISNUMBER(LifeExpectancyData[[#This Row],[Life expectancy]]), LifeExpectancyData[[#This Row],[Year]]=2013)</f>
        <v>0</v>
      </c>
    </row>
    <row r="2776" spans="1:23" hidden="1" x14ac:dyDescent="0.25">
      <c r="A2776" t="s">
        <v>456</v>
      </c>
      <c r="B2776">
        <v>2003</v>
      </c>
      <c r="C2776" t="s">
        <v>281</v>
      </c>
      <c r="D2776">
        <v>78.3</v>
      </c>
      <c r="E2776">
        <v>86</v>
      </c>
      <c r="F2776">
        <v>4</v>
      </c>
      <c r="G2776">
        <v>11.85</v>
      </c>
      <c r="H2776">
        <v>0</v>
      </c>
      <c r="J2776">
        <v>460</v>
      </c>
      <c r="K2776">
        <v>59.5</v>
      </c>
      <c r="L2776">
        <v>4</v>
      </c>
      <c r="M2776">
        <v>91</v>
      </c>
      <c r="N2776">
        <v>7.81</v>
      </c>
      <c r="O2776">
        <v>91</v>
      </c>
      <c r="P2776">
        <v>0.1</v>
      </c>
      <c r="S2776">
        <v>0.7</v>
      </c>
      <c r="T2776">
        <v>0.5</v>
      </c>
      <c r="W2776" t="b" cm="1">
        <f t="array" ref="W2776">AND(ISNUMBER(LifeExpectancyData[[#This Row],[Adult Mortality]:[Schooling]]),ISNUMBER(LifeExpectancyData[[#This Row],[Life expectancy]]), LifeExpectancyData[[#This Row],[Year]]=2013)</f>
        <v>0</v>
      </c>
    </row>
    <row r="2777" spans="1:23" hidden="1" x14ac:dyDescent="0.25">
      <c r="A2777" t="s">
        <v>456</v>
      </c>
      <c r="B2777">
        <v>2002</v>
      </c>
      <c r="C2777" t="s">
        <v>281</v>
      </c>
      <c r="D2777">
        <v>78.2</v>
      </c>
      <c r="E2777">
        <v>87</v>
      </c>
      <c r="F2777">
        <v>4</v>
      </c>
      <c r="G2777">
        <v>11.44</v>
      </c>
      <c r="H2777">
        <v>0</v>
      </c>
      <c r="J2777">
        <v>314</v>
      </c>
      <c r="K2777">
        <v>58.8</v>
      </c>
      <c r="L2777">
        <v>4</v>
      </c>
      <c r="M2777">
        <v>91</v>
      </c>
      <c r="N2777">
        <v>7.57</v>
      </c>
      <c r="O2777">
        <v>91</v>
      </c>
      <c r="P2777">
        <v>0.1</v>
      </c>
      <c r="S2777">
        <v>0.7</v>
      </c>
      <c r="T2777">
        <v>0.5</v>
      </c>
      <c r="W2777" t="b" cm="1">
        <f t="array" ref="W2777">AND(ISNUMBER(LifeExpectancyData[[#This Row],[Adult Mortality]:[Schooling]]),ISNUMBER(LifeExpectancyData[[#This Row],[Life expectancy]]), LifeExpectancyData[[#This Row],[Year]]=2013)</f>
        <v>0</v>
      </c>
    </row>
    <row r="2778" spans="1:23" hidden="1" x14ac:dyDescent="0.25">
      <c r="A2778" t="s">
        <v>456</v>
      </c>
      <c r="B2778">
        <v>2001</v>
      </c>
      <c r="C2778" t="s">
        <v>281</v>
      </c>
      <c r="D2778">
        <v>78</v>
      </c>
      <c r="E2778">
        <v>88</v>
      </c>
      <c r="F2778">
        <v>4</v>
      </c>
      <c r="G2778">
        <v>10.91</v>
      </c>
      <c r="H2778">
        <v>0</v>
      </c>
      <c r="J2778">
        <v>73</v>
      </c>
      <c r="K2778">
        <v>58.2</v>
      </c>
      <c r="L2778">
        <v>4</v>
      </c>
      <c r="M2778">
        <v>91</v>
      </c>
      <c r="N2778">
        <v>7.31</v>
      </c>
      <c r="O2778">
        <v>91</v>
      </c>
      <c r="P2778">
        <v>0.1</v>
      </c>
      <c r="S2778">
        <v>0.7</v>
      </c>
      <c r="T2778">
        <v>0.5</v>
      </c>
      <c r="W2778" t="b" cm="1">
        <f t="array" ref="W2778">AND(ISNUMBER(LifeExpectancyData[[#This Row],[Adult Mortality]:[Schooling]]),ISNUMBER(LifeExpectancyData[[#This Row],[Life expectancy]]), LifeExpectancyData[[#This Row],[Year]]=2013)</f>
        <v>0</v>
      </c>
    </row>
    <row r="2779" spans="1:23" hidden="1" x14ac:dyDescent="0.25">
      <c r="A2779" t="s">
        <v>456</v>
      </c>
      <c r="B2779">
        <v>2000</v>
      </c>
      <c r="C2779" t="s">
        <v>281</v>
      </c>
      <c r="D2779">
        <v>77.8</v>
      </c>
      <c r="E2779">
        <v>89</v>
      </c>
      <c r="F2779">
        <v>4</v>
      </c>
      <c r="G2779">
        <v>10.59</v>
      </c>
      <c r="H2779">
        <v>0</v>
      </c>
      <c r="J2779">
        <v>104</v>
      </c>
      <c r="K2779">
        <v>57.5</v>
      </c>
      <c r="L2779">
        <v>5</v>
      </c>
      <c r="M2779">
        <v>91</v>
      </c>
      <c r="N2779">
        <v>6.94</v>
      </c>
      <c r="O2779">
        <v>91</v>
      </c>
      <c r="P2779">
        <v>0.1</v>
      </c>
      <c r="S2779">
        <v>0.7</v>
      </c>
      <c r="T2779">
        <v>0.5</v>
      </c>
      <c r="W2779" t="b" cm="1">
        <f t="array" ref="W2779">AND(ISNUMBER(LifeExpectancyData[[#This Row],[Adult Mortality]:[Schooling]]),ISNUMBER(LifeExpectancyData[[#This Row],[Life expectancy]]), LifeExpectancyData[[#This Row],[Year]]=2013)</f>
        <v>0</v>
      </c>
    </row>
    <row r="2780" spans="1:23" hidden="1" x14ac:dyDescent="0.25">
      <c r="A2780" t="s">
        <v>457</v>
      </c>
      <c r="B2780">
        <v>2015</v>
      </c>
      <c r="C2780" t="s">
        <v>273</v>
      </c>
      <c r="D2780">
        <v>61.8</v>
      </c>
      <c r="E2780">
        <v>279</v>
      </c>
      <c r="F2780">
        <v>85</v>
      </c>
      <c r="H2780">
        <v>0</v>
      </c>
      <c r="I2780">
        <v>98</v>
      </c>
      <c r="J2780">
        <v>30</v>
      </c>
      <c r="K2780">
        <v>23.8</v>
      </c>
      <c r="L2780">
        <v>119</v>
      </c>
      <c r="M2780">
        <v>96</v>
      </c>
      <c r="O2780">
        <v>98</v>
      </c>
      <c r="P2780">
        <v>1.4</v>
      </c>
      <c r="S2780">
        <v>6.7</v>
      </c>
      <c r="T2780">
        <v>6.5</v>
      </c>
      <c r="W2780" t="b" cm="1">
        <f t="array" ref="W2780">AND(ISNUMBER(LifeExpectancyData[[#This Row],[Adult Mortality]:[Schooling]]),ISNUMBER(LifeExpectancyData[[#This Row],[Life expectancy]]), LifeExpectancyData[[#This Row],[Year]]=2013)</f>
        <v>0</v>
      </c>
    </row>
    <row r="2781" spans="1:23" hidden="1" x14ac:dyDescent="0.25">
      <c r="A2781" t="s">
        <v>457</v>
      </c>
      <c r="B2781">
        <v>2014</v>
      </c>
      <c r="C2781" t="s">
        <v>273</v>
      </c>
      <c r="D2781">
        <v>67</v>
      </c>
      <c r="E2781">
        <v>34</v>
      </c>
      <c r="F2781">
        <v>86</v>
      </c>
      <c r="G2781">
        <v>0.01</v>
      </c>
      <c r="H2781">
        <v>0</v>
      </c>
      <c r="I2781">
        <v>97</v>
      </c>
      <c r="J2781">
        <v>88</v>
      </c>
      <c r="K2781">
        <v>23.2</v>
      </c>
      <c r="L2781">
        <v>121</v>
      </c>
      <c r="M2781">
        <v>97</v>
      </c>
      <c r="N2781">
        <v>5.58</v>
      </c>
      <c r="O2781">
        <v>97</v>
      </c>
      <c r="P2781">
        <v>1.4</v>
      </c>
      <c r="S2781">
        <v>6.8</v>
      </c>
      <c r="T2781">
        <v>6.6</v>
      </c>
      <c r="W2781" t="b" cm="1">
        <f t="array" ref="W2781">AND(ISNUMBER(LifeExpectancyData[[#This Row],[Adult Mortality]:[Schooling]]),ISNUMBER(LifeExpectancyData[[#This Row],[Life expectancy]]), LifeExpectancyData[[#This Row],[Year]]=2013)</f>
        <v>0</v>
      </c>
    </row>
    <row r="2782" spans="1:23" hidden="1" x14ac:dyDescent="0.25">
      <c r="A2782" t="s">
        <v>457</v>
      </c>
      <c r="B2782">
        <v>2013</v>
      </c>
      <c r="C2782" t="s">
        <v>273</v>
      </c>
      <c r="D2782">
        <v>59.7</v>
      </c>
      <c r="E2782">
        <v>323</v>
      </c>
      <c r="F2782">
        <v>86</v>
      </c>
      <c r="G2782">
        <v>4.2</v>
      </c>
      <c r="H2782">
        <v>0</v>
      </c>
      <c r="I2782">
        <v>91</v>
      </c>
      <c r="J2782">
        <v>185</v>
      </c>
      <c r="K2782">
        <v>22.5</v>
      </c>
      <c r="L2782">
        <v>124</v>
      </c>
      <c r="M2782">
        <v>91</v>
      </c>
      <c r="N2782">
        <v>5.57</v>
      </c>
      <c r="O2782">
        <v>91</v>
      </c>
      <c r="P2782">
        <v>2.1</v>
      </c>
      <c r="S2782">
        <v>6.8</v>
      </c>
      <c r="T2782">
        <v>6.7</v>
      </c>
      <c r="W2782" t="b" cm="1">
        <f t="array" ref="W2782">AND(ISNUMBER(LifeExpectancyData[[#This Row],[Adult Mortality]:[Schooling]]),ISNUMBER(LifeExpectancyData[[#This Row],[Life expectancy]]), LifeExpectancyData[[#This Row],[Year]]=2013)</f>
        <v>0</v>
      </c>
    </row>
    <row r="2783" spans="1:23" hidden="1" x14ac:dyDescent="0.25">
      <c r="A2783" t="s">
        <v>457</v>
      </c>
      <c r="B2783">
        <v>2012</v>
      </c>
      <c r="C2783" t="s">
        <v>273</v>
      </c>
      <c r="D2783">
        <v>58.6</v>
      </c>
      <c r="E2783">
        <v>348</v>
      </c>
      <c r="F2783">
        <v>87</v>
      </c>
      <c r="G2783">
        <v>3.98</v>
      </c>
      <c r="H2783">
        <v>0</v>
      </c>
      <c r="I2783">
        <v>92</v>
      </c>
      <c r="J2783">
        <v>1668</v>
      </c>
      <c r="K2783">
        <v>21.9</v>
      </c>
      <c r="L2783">
        <v>126</v>
      </c>
      <c r="M2783">
        <v>9</v>
      </c>
      <c r="N2783">
        <v>5.72</v>
      </c>
      <c r="O2783">
        <v>92</v>
      </c>
      <c r="P2783">
        <v>2.4</v>
      </c>
      <c r="S2783">
        <v>6.9</v>
      </c>
      <c r="T2783">
        <v>6.8</v>
      </c>
      <c r="W2783" t="b" cm="1">
        <f t="array" ref="W2783">AND(ISNUMBER(LifeExpectancyData[[#This Row],[Adult Mortality]:[Schooling]]),ISNUMBER(LifeExpectancyData[[#This Row],[Life expectancy]]), LifeExpectancyData[[#This Row],[Year]]=2013)</f>
        <v>0</v>
      </c>
    </row>
    <row r="2784" spans="1:23" hidden="1" x14ac:dyDescent="0.25">
      <c r="A2784" t="s">
        <v>457</v>
      </c>
      <c r="B2784">
        <v>2011</v>
      </c>
      <c r="C2784" t="s">
        <v>273</v>
      </c>
      <c r="D2784">
        <v>58.3</v>
      </c>
      <c r="E2784">
        <v>348</v>
      </c>
      <c r="F2784">
        <v>88</v>
      </c>
      <c r="G2784">
        <v>4.04</v>
      </c>
      <c r="H2784">
        <v>0</v>
      </c>
      <c r="I2784">
        <v>9</v>
      </c>
      <c r="J2784">
        <v>1622</v>
      </c>
      <c r="K2784">
        <v>21.3</v>
      </c>
      <c r="L2784">
        <v>128</v>
      </c>
      <c r="M2784">
        <v>88</v>
      </c>
      <c r="N2784">
        <v>5.72</v>
      </c>
      <c r="O2784">
        <v>9</v>
      </c>
      <c r="P2784">
        <v>3.1</v>
      </c>
      <c r="S2784">
        <v>7</v>
      </c>
      <c r="T2784">
        <v>6.9</v>
      </c>
      <c r="W2784" t="b" cm="1">
        <f t="array" ref="W2784">AND(ISNUMBER(LifeExpectancyData[[#This Row],[Adult Mortality]:[Schooling]]),ISNUMBER(LifeExpectancyData[[#This Row],[Life expectancy]]), LifeExpectancyData[[#This Row],[Year]]=2013)</f>
        <v>0</v>
      </c>
    </row>
    <row r="2785" spans="1:23" hidden="1" x14ac:dyDescent="0.25">
      <c r="A2785" t="s">
        <v>457</v>
      </c>
      <c r="B2785">
        <v>2010</v>
      </c>
      <c r="C2785" t="s">
        <v>273</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cm="1">
        <f t="array" ref="W2785">AND(ISNUMBER(LifeExpectancyData[[#This Row],[Adult Mortality]:[Schooling]]),ISNUMBER(LifeExpectancyData[[#This Row],[Life expectancy]]), LifeExpectancyData[[#This Row],[Year]]=2013)</f>
        <v>0</v>
      </c>
    </row>
    <row r="2786" spans="1:23" hidden="1" x14ac:dyDescent="0.25">
      <c r="A2786" t="s">
        <v>457</v>
      </c>
      <c r="B2786">
        <v>2009</v>
      </c>
      <c r="C2786" t="s">
        <v>273</v>
      </c>
      <c r="D2786">
        <v>56.9</v>
      </c>
      <c r="E2786">
        <v>368</v>
      </c>
      <c r="F2786">
        <v>91</v>
      </c>
      <c r="G2786">
        <v>3.97</v>
      </c>
      <c r="H2786">
        <v>0</v>
      </c>
      <c r="I2786">
        <v>85</v>
      </c>
      <c r="J2786">
        <v>1574</v>
      </c>
      <c r="K2786">
        <v>2.2000000000000002</v>
      </c>
      <c r="L2786">
        <v>135</v>
      </c>
      <c r="M2786">
        <v>88</v>
      </c>
      <c r="N2786">
        <v>3.97</v>
      </c>
      <c r="O2786">
        <v>85</v>
      </c>
      <c r="P2786">
        <v>6.4</v>
      </c>
      <c r="S2786">
        <v>7.2</v>
      </c>
      <c r="T2786">
        <v>7.2</v>
      </c>
      <c r="W2786" t="b" cm="1">
        <f t="array" ref="W2786">AND(ISNUMBER(LifeExpectancyData[[#This Row],[Adult Mortality]:[Schooling]]),ISNUMBER(LifeExpectancyData[[#This Row],[Life expectancy]]), LifeExpectancyData[[#This Row],[Year]]=2013)</f>
        <v>0</v>
      </c>
    </row>
    <row r="2787" spans="1:23" hidden="1" x14ac:dyDescent="0.25">
      <c r="A2787" t="s">
        <v>457</v>
      </c>
      <c r="B2787">
        <v>2008</v>
      </c>
      <c r="C2787" t="s">
        <v>273</v>
      </c>
      <c r="D2787">
        <v>56.2</v>
      </c>
      <c r="E2787">
        <v>376</v>
      </c>
      <c r="F2787">
        <v>92</v>
      </c>
      <c r="G2787">
        <v>3.44</v>
      </c>
      <c r="H2787">
        <v>0</v>
      </c>
      <c r="I2787">
        <v>86</v>
      </c>
      <c r="J2787">
        <v>3413</v>
      </c>
      <c r="K2787">
        <v>19.600000000000001</v>
      </c>
      <c r="L2787">
        <v>138</v>
      </c>
      <c r="M2787">
        <v>89</v>
      </c>
      <c r="N2787">
        <v>4.21</v>
      </c>
      <c r="O2787">
        <v>86</v>
      </c>
      <c r="P2787">
        <v>7.4</v>
      </c>
      <c r="S2787">
        <v>7.3</v>
      </c>
      <c r="T2787">
        <v>7.3</v>
      </c>
      <c r="W2787" t="b" cm="1">
        <f t="array" ref="W2787">AND(ISNUMBER(LifeExpectancyData[[#This Row],[Adult Mortality]:[Schooling]]),ISNUMBER(LifeExpectancyData[[#This Row],[Life expectancy]]), LifeExpectancyData[[#This Row],[Year]]=2013)</f>
        <v>0</v>
      </c>
    </row>
    <row r="2788" spans="1:23" hidden="1" x14ac:dyDescent="0.25">
      <c r="A2788" t="s">
        <v>457</v>
      </c>
      <c r="B2788">
        <v>2007</v>
      </c>
      <c r="C2788" t="s">
        <v>273</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cm="1">
        <f t="array" ref="W2788">AND(ISNUMBER(LifeExpectancyData[[#This Row],[Adult Mortality]:[Schooling]]),ISNUMBER(LifeExpectancyData[[#This Row],[Life expectancy]]), LifeExpectancyData[[#This Row],[Year]]=2013)</f>
        <v>0</v>
      </c>
    </row>
    <row r="2789" spans="1:23" hidden="1" x14ac:dyDescent="0.25">
      <c r="A2789" t="s">
        <v>457</v>
      </c>
      <c r="B2789">
        <v>2006</v>
      </c>
      <c r="C2789" t="s">
        <v>273</v>
      </c>
      <c r="D2789">
        <v>53.1</v>
      </c>
      <c r="E2789">
        <v>437</v>
      </c>
      <c r="F2789">
        <v>96</v>
      </c>
      <c r="G2789">
        <v>4.07</v>
      </c>
      <c r="H2789">
        <v>0</v>
      </c>
      <c r="I2789">
        <v>9</v>
      </c>
      <c r="J2789">
        <v>2362</v>
      </c>
      <c r="K2789">
        <v>18.600000000000001</v>
      </c>
      <c r="L2789">
        <v>145</v>
      </c>
      <c r="M2789">
        <v>91</v>
      </c>
      <c r="N2789">
        <v>6.86</v>
      </c>
      <c r="O2789">
        <v>9</v>
      </c>
      <c r="P2789">
        <v>9.4</v>
      </c>
      <c r="S2789">
        <v>7.6</v>
      </c>
      <c r="T2789">
        <v>7.5</v>
      </c>
      <c r="W2789" t="b" cm="1">
        <f t="array" ref="W2789">AND(ISNUMBER(LifeExpectancyData[[#This Row],[Adult Mortality]:[Schooling]]),ISNUMBER(LifeExpectancyData[[#This Row],[Life expectancy]]), LifeExpectancyData[[#This Row],[Year]]=2013)</f>
        <v>0</v>
      </c>
    </row>
    <row r="2790" spans="1:23" hidden="1" x14ac:dyDescent="0.25">
      <c r="A2790" t="s">
        <v>457</v>
      </c>
      <c r="B2790">
        <v>2005</v>
      </c>
      <c r="C2790" t="s">
        <v>273</v>
      </c>
      <c r="D2790">
        <v>52.2</v>
      </c>
      <c r="E2790">
        <v>449</v>
      </c>
      <c r="F2790">
        <v>97</v>
      </c>
      <c r="G2790">
        <v>3.94</v>
      </c>
      <c r="H2790">
        <v>0</v>
      </c>
      <c r="I2790">
        <v>9</v>
      </c>
      <c r="J2790">
        <v>23</v>
      </c>
      <c r="K2790">
        <v>18.100000000000001</v>
      </c>
      <c r="L2790">
        <v>149</v>
      </c>
      <c r="M2790">
        <v>91</v>
      </c>
      <c r="N2790">
        <v>4.66</v>
      </c>
      <c r="O2790">
        <v>9</v>
      </c>
      <c r="P2790">
        <v>10</v>
      </c>
      <c r="S2790">
        <v>7.7</v>
      </c>
      <c r="T2790">
        <v>7.6</v>
      </c>
      <c r="W2790" t="b" cm="1">
        <f t="array" ref="W2790">AND(ISNUMBER(LifeExpectancyData[[#This Row],[Adult Mortality]:[Schooling]]),ISNUMBER(LifeExpectancyData[[#This Row],[Life expectancy]]), LifeExpectancyData[[#This Row],[Year]]=2013)</f>
        <v>0</v>
      </c>
    </row>
    <row r="2791" spans="1:23" hidden="1" x14ac:dyDescent="0.25">
      <c r="A2791" t="s">
        <v>457</v>
      </c>
      <c r="B2791">
        <v>2004</v>
      </c>
      <c r="C2791" t="s">
        <v>273</v>
      </c>
      <c r="D2791">
        <v>51.5</v>
      </c>
      <c r="E2791">
        <v>454</v>
      </c>
      <c r="F2791">
        <v>100</v>
      </c>
      <c r="G2791">
        <v>3.81</v>
      </c>
      <c r="H2791">
        <v>0</v>
      </c>
      <c r="I2791">
        <v>95</v>
      </c>
      <c r="J2791">
        <v>1419</v>
      </c>
      <c r="K2791">
        <v>17.7</v>
      </c>
      <c r="L2791">
        <v>154</v>
      </c>
      <c r="M2791">
        <v>95</v>
      </c>
      <c r="N2791">
        <v>4.0999999999999996</v>
      </c>
      <c r="O2791">
        <v>95</v>
      </c>
      <c r="P2791">
        <v>10.8</v>
      </c>
      <c r="S2791">
        <v>7.8</v>
      </c>
      <c r="T2791">
        <v>7.8</v>
      </c>
      <c r="W2791" t="b" cm="1">
        <f t="array" ref="W2791">AND(ISNUMBER(LifeExpectancyData[[#This Row],[Adult Mortality]:[Schooling]]),ISNUMBER(LifeExpectancyData[[#This Row],[Life expectancy]]), LifeExpectancyData[[#This Row],[Year]]=2013)</f>
        <v>0</v>
      </c>
    </row>
    <row r="2792" spans="1:23" hidden="1" x14ac:dyDescent="0.25">
      <c r="A2792" t="s">
        <v>457</v>
      </c>
      <c r="B2792">
        <v>2003</v>
      </c>
      <c r="C2792" t="s">
        <v>273</v>
      </c>
      <c r="D2792">
        <v>58</v>
      </c>
      <c r="E2792">
        <v>459</v>
      </c>
      <c r="F2792">
        <v>103</v>
      </c>
      <c r="G2792">
        <v>2.34</v>
      </c>
      <c r="H2792">
        <v>0</v>
      </c>
      <c r="I2792">
        <v>95</v>
      </c>
      <c r="J2792">
        <v>1673</v>
      </c>
      <c r="K2792">
        <v>17.2</v>
      </c>
      <c r="L2792">
        <v>160</v>
      </c>
      <c r="M2792">
        <v>97</v>
      </c>
      <c r="N2792">
        <v>4.5999999999999996</v>
      </c>
      <c r="O2792">
        <v>95</v>
      </c>
      <c r="P2792">
        <v>11.5</v>
      </c>
      <c r="S2792">
        <v>7.9</v>
      </c>
      <c r="T2792">
        <v>7.9</v>
      </c>
      <c r="W2792" t="b" cm="1">
        <f t="array" ref="W2792">AND(ISNUMBER(LifeExpectancyData[[#This Row],[Adult Mortality]:[Schooling]]),ISNUMBER(LifeExpectancyData[[#This Row],[Life expectancy]]), LifeExpectancyData[[#This Row],[Year]]=2013)</f>
        <v>0</v>
      </c>
    </row>
    <row r="2793" spans="1:23" hidden="1" x14ac:dyDescent="0.25">
      <c r="A2793" t="s">
        <v>457</v>
      </c>
      <c r="B2793">
        <v>2002</v>
      </c>
      <c r="C2793" t="s">
        <v>273</v>
      </c>
      <c r="D2793">
        <v>52</v>
      </c>
      <c r="E2793">
        <v>46</v>
      </c>
      <c r="F2793">
        <v>106</v>
      </c>
      <c r="G2793">
        <v>3.37</v>
      </c>
      <c r="H2793">
        <v>0</v>
      </c>
      <c r="I2793">
        <v>89</v>
      </c>
      <c r="J2793">
        <v>5131</v>
      </c>
      <c r="K2793">
        <v>16.8</v>
      </c>
      <c r="L2793">
        <v>166</v>
      </c>
      <c r="M2793">
        <v>91</v>
      </c>
      <c r="N2793">
        <v>3.59</v>
      </c>
      <c r="O2793">
        <v>89</v>
      </c>
      <c r="P2793">
        <v>12.1</v>
      </c>
      <c r="S2793">
        <v>8</v>
      </c>
      <c r="T2793">
        <v>8</v>
      </c>
      <c r="W2793" t="b" cm="1">
        <f t="array" ref="W2793">AND(ISNUMBER(LifeExpectancyData[[#This Row],[Adult Mortality]:[Schooling]]),ISNUMBER(LifeExpectancyData[[#This Row],[Life expectancy]]), LifeExpectancyData[[#This Row],[Year]]=2013)</f>
        <v>0</v>
      </c>
    </row>
    <row r="2794" spans="1:23" hidden="1" x14ac:dyDescent="0.25">
      <c r="A2794" t="s">
        <v>457</v>
      </c>
      <c r="B2794">
        <v>2001</v>
      </c>
      <c r="C2794" t="s">
        <v>273</v>
      </c>
      <c r="D2794">
        <v>49.6</v>
      </c>
      <c r="E2794">
        <v>46</v>
      </c>
      <c r="F2794">
        <v>110</v>
      </c>
      <c r="G2794">
        <v>4.09</v>
      </c>
      <c r="H2794">
        <v>0</v>
      </c>
      <c r="J2794">
        <v>11847</v>
      </c>
      <c r="K2794">
        <v>16.399999999999999</v>
      </c>
      <c r="L2794">
        <v>173</v>
      </c>
      <c r="M2794">
        <v>65</v>
      </c>
      <c r="N2794">
        <v>3.28</v>
      </c>
      <c r="O2794">
        <v>87</v>
      </c>
      <c r="P2794">
        <v>12.5</v>
      </c>
      <c r="S2794">
        <v>8.1999999999999993</v>
      </c>
      <c r="T2794">
        <v>8.1</v>
      </c>
      <c r="W2794" t="b" cm="1">
        <f t="array" ref="W2794">AND(ISNUMBER(LifeExpectancyData[[#This Row],[Adult Mortality]:[Schooling]]),ISNUMBER(LifeExpectancyData[[#This Row],[Life expectancy]]), LifeExpectancyData[[#This Row],[Year]]=2013)</f>
        <v>0</v>
      </c>
    </row>
    <row r="2795" spans="1:23" hidden="1" x14ac:dyDescent="0.25">
      <c r="A2795" t="s">
        <v>457</v>
      </c>
      <c r="B2795">
        <v>2000</v>
      </c>
      <c r="C2795" t="s">
        <v>273</v>
      </c>
      <c r="D2795">
        <v>49.2</v>
      </c>
      <c r="E2795">
        <v>457</v>
      </c>
      <c r="F2795">
        <v>114</v>
      </c>
      <c r="G2795">
        <v>3.89</v>
      </c>
      <c r="H2795">
        <v>0</v>
      </c>
      <c r="J2795">
        <v>14649</v>
      </c>
      <c r="K2795">
        <v>16</v>
      </c>
      <c r="L2795">
        <v>181</v>
      </c>
      <c r="M2795">
        <v>64</v>
      </c>
      <c r="N2795">
        <v>2.64</v>
      </c>
      <c r="O2795">
        <v>79</v>
      </c>
      <c r="P2795">
        <v>12.8</v>
      </c>
      <c r="S2795">
        <v>8.3000000000000007</v>
      </c>
      <c r="T2795">
        <v>8.3000000000000007</v>
      </c>
      <c r="W2795" t="b" cm="1">
        <f t="array" ref="W2795">AND(ISNUMBER(LifeExpectancyData[[#This Row],[Adult Mortality]:[Schooling]]),ISNUMBER(LifeExpectancyData[[#This Row],[Life expectancy]]), LifeExpectancyData[[#This Row],[Year]]=2013)</f>
        <v>0</v>
      </c>
    </row>
    <row r="2796" spans="1:23" hidden="1" x14ac:dyDescent="0.25">
      <c r="A2796" t="s">
        <v>458</v>
      </c>
      <c r="B2796">
        <v>2015</v>
      </c>
      <c r="C2796" t="s">
        <v>281</v>
      </c>
      <c r="D2796">
        <v>79.3</v>
      </c>
      <c r="E2796">
        <v>13</v>
      </c>
      <c r="F2796">
        <v>23</v>
      </c>
      <c r="H2796">
        <v>0</v>
      </c>
      <c r="I2796">
        <v>92</v>
      </c>
      <c r="J2796">
        <v>188</v>
      </c>
      <c r="K2796">
        <v>69.599999999999994</v>
      </c>
      <c r="L2796">
        <v>26</v>
      </c>
      <c r="M2796">
        <v>93</v>
      </c>
      <c r="O2796">
        <v>95</v>
      </c>
      <c r="P2796">
        <v>0.1</v>
      </c>
      <c r="S2796">
        <v>0.8</v>
      </c>
      <c r="T2796">
        <v>0.6</v>
      </c>
      <c r="W2796" t="b" cm="1">
        <f t="array" ref="W2796">AND(ISNUMBER(LifeExpectancyData[[#This Row],[Adult Mortality]:[Schooling]]),ISNUMBER(LifeExpectancyData[[#This Row],[Life expectancy]]), LifeExpectancyData[[#This Row],[Year]]=2013)</f>
        <v>0</v>
      </c>
    </row>
    <row r="2797" spans="1:23" hidden="1" x14ac:dyDescent="0.25">
      <c r="A2797" t="s">
        <v>458</v>
      </c>
      <c r="B2797">
        <v>2014</v>
      </c>
      <c r="C2797" t="s">
        <v>281</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cm="1">
        <f t="array" ref="W2797">AND(ISNUMBER(LifeExpectancyData[[#This Row],[Adult Mortality]:[Schooling]]),ISNUMBER(LifeExpectancyData[[#This Row],[Life expectancy]]), LifeExpectancyData[[#This Row],[Year]]=2013)</f>
        <v>0</v>
      </c>
    </row>
    <row r="2798" spans="1:23" hidden="1" x14ac:dyDescent="0.25">
      <c r="A2798" t="s">
        <v>458</v>
      </c>
      <c r="B2798">
        <v>2013</v>
      </c>
      <c r="C2798" t="s">
        <v>281</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cm="1">
        <f t="array" ref="W2798">AND(ISNUMBER(LifeExpectancyData[[#This Row],[Adult Mortality]:[Schooling]]),ISNUMBER(LifeExpectancyData[[#This Row],[Life expectancy]]), LifeExpectancyData[[#This Row],[Year]]=2013)</f>
        <v>0</v>
      </c>
    </row>
    <row r="2799" spans="1:23" hidden="1" x14ac:dyDescent="0.25">
      <c r="A2799" t="s">
        <v>458</v>
      </c>
      <c r="B2799">
        <v>2012</v>
      </c>
      <c r="C2799" t="s">
        <v>281</v>
      </c>
      <c r="D2799">
        <v>78.8</v>
      </c>
      <c r="E2799">
        <v>16</v>
      </c>
      <c r="F2799">
        <v>24</v>
      </c>
      <c r="G2799">
        <v>8.82</v>
      </c>
      <c r="H2799">
        <v>0</v>
      </c>
      <c r="I2799">
        <v>9</v>
      </c>
      <c r="J2799">
        <v>55</v>
      </c>
      <c r="K2799">
        <v>68</v>
      </c>
      <c r="L2799">
        <v>28</v>
      </c>
      <c r="M2799">
        <v>93</v>
      </c>
      <c r="N2799">
        <v>17.2</v>
      </c>
      <c r="O2799">
        <v>94</v>
      </c>
      <c r="P2799">
        <v>0.1</v>
      </c>
      <c r="S2799">
        <v>0.7</v>
      </c>
      <c r="T2799">
        <v>0.6</v>
      </c>
      <c r="W2799" t="b" cm="1">
        <f t="array" ref="W2799">AND(ISNUMBER(LifeExpectancyData[[#This Row],[Adult Mortality]:[Schooling]]),ISNUMBER(LifeExpectancyData[[#This Row],[Life expectancy]]), LifeExpectancyData[[#This Row],[Year]]=2013)</f>
        <v>0</v>
      </c>
    </row>
    <row r="2800" spans="1:23" hidden="1" x14ac:dyDescent="0.25">
      <c r="A2800" t="s">
        <v>458</v>
      </c>
      <c r="B2800">
        <v>2011</v>
      </c>
      <c r="C2800" t="s">
        <v>281</v>
      </c>
      <c r="D2800">
        <v>78.7</v>
      </c>
      <c r="E2800">
        <v>16</v>
      </c>
      <c r="F2800">
        <v>25</v>
      </c>
      <c r="G2800">
        <v>8.67</v>
      </c>
      <c r="H2800">
        <v>0</v>
      </c>
      <c r="I2800">
        <v>91</v>
      </c>
      <c r="J2800">
        <v>220</v>
      </c>
      <c r="K2800">
        <v>67.5</v>
      </c>
      <c r="L2800">
        <v>29</v>
      </c>
      <c r="M2800">
        <v>94</v>
      </c>
      <c r="N2800">
        <v>17.600000000000001</v>
      </c>
      <c r="O2800">
        <v>96</v>
      </c>
      <c r="P2800">
        <v>0.1</v>
      </c>
      <c r="S2800">
        <v>0.7</v>
      </c>
      <c r="T2800">
        <v>0.6</v>
      </c>
      <c r="W2800" t="b" cm="1">
        <f t="array" ref="W2800">AND(ISNUMBER(LifeExpectancyData[[#This Row],[Adult Mortality]:[Schooling]]),ISNUMBER(LifeExpectancyData[[#This Row],[Life expectancy]]), LifeExpectancyData[[#This Row],[Year]]=2013)</f>
        <v>0</v>
      </c>
    </row>
    <row r="2801" spans="1:23" hidden="1" x14ac:dyDescent="0.25">
      <c r="A2801" t="s">
        <v>458</v>
      </c>
      <c r="B2801">
        <v>2010</v>
      </c>
      <c r="C2801" t="s">
        <v>281</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cm="1">
        <f t="array" ref="W2801">AND(ISNUMBER(LifeExpectancyData[[#This Row],[Adult Mortality]:[Schooling]]),ISNUMBER(LifeExpectancyData[[#This Row],[Life expectancy]]), LifeExpectancyData[[#This Row],[Year]]=2013)</f>
        <v>0</v>
      </c>
    </row>
    <row r="2802" spans="1:23" hidden="1" x14ac:dyDescent="0.25">
      <c r="A2802" t="s">
        <v>458</v>
      </c>
      <c r="B2802">
        <v>2009</v>
      </c>
      <c r="C2802" t="s">
        <v>281</v>
      </c>
      <c r="D2802">
        <v>78.5</v>
      </c>
      <c r="E2802">
        <v>18</v>
      </c>
      <c r="F2802">
        <v>26</v>
      </c>
      <c r="G2802">
        <v>8.7100000000000009</v>
      </c>
      <c r="H2802">
        <v>0</v>
      </c>
      <c r="I2802">
        <v>92</v>
      </c>
      <c r="J2802">
        <v>71</v>
      </c>
      <c r="K2802">
        <v>66.3</v>
      </c>
      <c r="L2802">
        <v>31</v>
      </c>
      <c r="M2802">
        <v>93</v>
      </c>
      <c r="N2802">
        <v>17</v>
      </c>
      <c r="O2802">
        <v>95</v>
      </c>
      <c r="P2802">
        <v>0.1</v>
      </c>
      <c r="S2802">
        <v>0.7</v>
      </c>
      <c r="T2802">
        <v>0.6</v>
      </c>
      <c r="W2802" t="b" cm="1">
        <f t="array" ref="W2802">AND(ISNUMBER(LifeExpectancyData[[#This Row],[Adult Mortality]:[Schooling]]),ISNUMBER(LifeExpectancyData[[#This Row],[Life expectancy]]), LifeExpectancyData[[#This Row],[Year]]=2013)</f>
        <v>0</v>
      </c>
    </row>
    <row r="2803" spans="1:23" hidden="1" x14ac:dyDescent="0.25">
      <c r="A2803" t="s">
        <v>458</v>
      </c>
      <c r="B2803">
        <v>2008</v>
      </c>
      <c r="C2803" t="s">
        <v>281</v>
      </c>
      <c r="D2803">
        <v>78.2</v>
      </c>
      <c r="E2803">
        <v>18</v>
      </c>
      <c r="F2803">
        <v>27</v>
      </c>
      <c r="G2803">
        <v>8.74</v>
      </c>
      <c r="H2803">
        <v>0</v>
      </c>
      <c r="I2803">
        <v>94</v>
      </c>
      <c r="J2803">
        <v>140</v>
      </c>
      <c r="K2803">
        <v>65.7</v>
      </c>
      <c r="L2803">
        <v>31</v>
      </c>
      <c r="M2803">
        <v>94</v>
      </c>
      <c r="N2803">
        <v>16.2</v>
      </c>
      <c r="O2803">
        <v>96</v>
      </c>
      <c r="P2803">
        <v>0.1</v>
      </c>
      <c r="S2803">
        <v>0.7</v>
      </c>
      <c r="T2803">
        <v>0.6</v>
      </c>
      <c r="W2803" t="b" cm="1">
        <f t="array" ref="W2803">AND(ISNUMBER(LifeExpectancyData[[#This Row],[Adult Mortality]:[Schooling]]),ISNUMBER(LifeExpectancyData[[#This Row],[Life expectancy]]), LifeExpectancyData[[#This Row],[Year]]=2013)</f>
        <v>0</v>
      </c>
    </row>
    <row r="2804" spans="1:23" hidden="1" x14ac:dyDescent="0.25">
      <c r="A2804" t="s">
        <v>458</v>
      </c>
      <c r="B2804">
        <v>2007</v>
      </c>
      <c r="C2804" t="s">
        <v>281</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cm="1">
        <f t="array" ref="W2804">AND(ISNUMBER(LifeExpectancyData[[#This Row],[Adult Mortality]:[Schooling]]),ISNUMBER(LifeExpectancyData[[#This Row],[Life expectancy]]), LifeExpectancyData[[#This Row],[Year]]=2013)</f>
        <v>0</v>
      </c>
    </row>
    <row r="2805" spans="1:23" hidden="1" x14ac:dyDescent="0.25">
      <c r="A2805" t="s">
        <v>458</v>
      </c>
      <c r="B2805">
        <v>2006</v>
      </c>
      <c r="C2805" t="s">
        <v>281</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cm="1">
        <f t="array" ref="W2805">AND(ISNUMBER(LifeExpectancyData[[#This Row],[Adult Mortality]:[Schooling]]),ISNUMBER(LifeExpectancyData[[#This Row],[Life expectancy]]), LifeExpectancyData[[#This Row],[Year]]=2013)</f>
        <v>0</v>
      </c>
    </row>
    <row r="2806" spans="1:23" hidden="1" x14ac:dyDescent="0.25">
      <c r="A2806" t="s">
        <v>458</v>
      </c>
      <c r="B2806">
        <v>2005</v>
      </c>
      <c r="C2806" t="s">
        <v>281</v>
      </c>
      <c r="D2806">
        <v>77.5</v>
      </c>
      <c r="E2806">
        <v>112</v>
      </c>
      <c r="F2806">
        <v>28</v>
      </c>
      <c r="G2806">
        <v>8.52</v>
      </c>
      <c r="H2806">
        <v>0</v>
      </c>
      <c r="I2806">
        <v>93</v>
      </c>
      <c r="J2806">
        <v>66</v>
      </c>
      <c r="K2806">
        <v>63.8</v>
      </c>
      <c r="L2806">
        <v>33</v>
      </c>
      <c r="M2806">
        <v>92</v>
      </c>
      <c r="N2806">
        <v>15.15</v>
      </c>
      <c r="O2806">
        <v>96</v>
      </c>
      <c r="P2806">
        <v>0.1</v>
      </c>
      <c r="S2806">
        <v>0.7</v>
      </c>
      <c r="T2806">
        <v>0.6</v>
      </c>
      <c r="W2806" t="b" cm="1">
        <f t="array" ref="W2806">AND(ISNUMBER(LifeExpectancyData[[#This Row],[Adult Mortality]:[Schooling]]),ISNUMBER(LifeExpectancyData[[#This Row],[Life expectancy]]), LifeExpectancyData[[#This Row],[Year]]=2013)</f>
        <v>0</v>
      </c>
    </row>
    <row r="2807" spans="1:23" hidden="1" x14ac:dyDescent="0.25">
      <c r="A2807" t="s">
        <v>458</v>
      </c>
      <c r="B2807">
        <v>2004</v>
      </c>
      <c r="C2807" t="s">
        <v>281</v>
      </c>
      <c r="D2807">
        <v>77.5</v>
      </c>
      <c r="E2807">
        <v>111</v>
      </c>
      <c r="F2807">
        <v>28</v>
      </c>
      <c r="G2807">
        <v>8.48</v>
      </c>
      <c r="H2807">
        <v>0</v>
      </c>
      <c r="I2807">
        <v>92</v>
      </c>
      <c r="J2807">
        <v>37</v>
      </c>
      <c r="K2807">
        <v>63.1</v>
      </c>
      <c r="L2807">
        <v>33</v>
      </c>
      <c r="M2807">
        <v>92</v>
      </c>
      <c r="N2807">
        <v>15.14</v>
      </c>
      <c r="O2807">
        <v>96</v>
      </c>
      <c r="P2807">
        <v>0.1</v>
      </c>
      <c r="S2807">
        <v>0.7</v>
      </c>
      <c r="T2807">
        <v>0.6</v>
      </c>
      <c r="W2807" t="b" cm="1">
        <f t="array" ref="W2807">AND(ISNUMBER(LifeExpectancyData[[#This Row],[Adult Mortality]:[Schooling]]),ISNUMBER(LifeExpectancyData[[#This Row],[Life expectancy]]), LifeExpectancyData[[#This Row],[Year]]=2013)</f>
        <v>0</v>
      </c>
    </row>
    <row r="2808" spans="1:23" hidden="1" x14ac:dyDescent="0.25">
      <c r="A2808" t="s">
        <v>458</v>
      </c>
      <c r="B2808">
        <v>2003</v>
      </c>
      <c r="C2808" t="s">
        <v>281</v>
      </c>
      <c r="D2808">
        <v>77.2</v>
      </c>
      <c r="E2808">
        <v>114</v>
      </c>
      <c r="F2808">
        <v>28</v>
      </c>
      <c r="G2808">
        <v>8.4</v>
      </c>
      <c r="H2808">
        <v>0</v>
      </c>
      <c r="I2808">
        <v>92</v>
      </c>
      <c r="J2808">
        <v>56</v>
      </c>
      <c r="K2808">
        <v>62.4</v>
      </c>
      <c r="L2808">
        <v>33</v>
      </c>
      <c r="M2808">
        <v>91</v>
      </c>
      <c r="N2808">
        <v>15.6</v>
      </c>
      <c r="O2808">
        <v>96</v>
      </c>
      <c r="P2808">
        <v>0.1</v>
      </c>
      <c r="S2808">
        <v>0.7</v>
      </c>
      <c r="T2808">
        <v>0.6</v>
      </c>
      <c r="W2808" t="b" cm="1">
        <f t="array" ref="W2808">AND(ISNUMBER(LifeExpectancyData[[#This Row],[Adult Mortality]:[Schooling]]),ISNUMBER(LifeExpectancyData[[#This Row],[Life expectancy]]), LifeExpectancyData[[#This Row],[Year]]=2013)</f>
        <v>0</v>
      </c>
    </row>
    <row r="2809" spans="1:23" hidden="1" x14ac:dyDescent="0.25">
      <c r="A2809" t="s">
        <v>458</v>
      </c>
      <c r="B2809">
        <v>2002</v>
      </c>
      <c r="C2809" t="s">
        <v>281</v>
      </c>
      <c r="D2809">
        <v>77</v>
      </c>
      <c r="E2809">
        <v>115</v>
      </c>
      <c r="F2809">
        <v>28</v>
      </c>
      <c r="G2809">
        <v>8.33</v>
      </c>
      <c r="H2809">
        <v>0</v>
      </c>
      <c r="I2809">
        <v>88</v>
      </c>
      <c r="J2809">
        <v>41</v>
      </c>
      <c r="K2809">
        <v>61.7</v>
      </c>
      <c r="L2809">
        <v>33</v>
      </c>
      <c r="M2809">
        <v>9</v>
      </c>
      <c r="N2809">
        <v>14.55</v>
      </c>
      <c r="O2809">
        <v>94</v>
      </c>
      <c r="P2809">
        <v>0.1</v>
      </c>
      <c r="S2809">
        <v>0.8</v>
      </c>
      <c r="T2809">
        <v>0.6</v>
      </c>
      <c r="W2809" t="b" cm="1">
        <f t="array" ref="W2809">AND(ISNUMBER(LifeExpectancyData[[#This Row],[Adult Mortality]:[Schooling]]),ISNUMBER(LifeExpectancyData[[#This Row],[Life expectancy]]), LifeExpectancyData[[#This Row],[Year]]=2013)</f>
        <v>0</v>
      </c>
    </row>
    <row r="2810" spans="1:23" hidden="1" x14ac:dyDescent="0.25">
      <c r="A2810" t="s">
        <v>458</v>
      </c>
      <c r="B2810">
        <v>2001</v>
      </c>
      <c r="C2810" t="s">
        <v>281</v>
      </c>
      <c r="D2810">
        <v>76.900000000000006</v>
      </c>
      <c r="E2810">
        <v>115</v>
      </c>
      <c r="F2810">
        <v>28</v>
      </c>
      <c r="G2810">
        <v>8.25</v>
      </c>
      <c r="H2810">
        <v>0</v>
      </c>
      <c r="I2810">
        <v>89</v>
      </c>
      <c r="J2810">
        <v>116</v>
      </c>
      <c r="K2810">
        <v>6.9</v>
      </c>
      <c r="L2810">
        <v>33</v>
      </c>
      <c r="M2810">
        <v>89</v>
      </c>
      <c r="N2810">
        <v>13.73</v>
      </c>
      <c r="O2810">
        <v>94</v>
      </c>
      <c r="P2810">
        <v>0.1</v>
      </c>
      <c r="S2810">
        <v>0.8</v>
      </c>
      <c r="T2810">
        <v>0.6</v>
      </c>
      <c r="W2810" t="b" cm="1">
        <f t="array" ref="W2810">AND(ISNUMBER(LifeExpectancyData[[#This Row],[Adult Mortality]:[Schooling]]),ISNUMBER(LifeExpectancyData[[#This Row],[Life expectancy]]), LifeExpectancyData[[#This Row],[Year]]=2013)</f>
        <v>0</v>
      </c>
    </row>
    <row r="2811" spans="1:23" hidden="1" x14ac:dyDescent="0.25">
      <c r="A2811" t="s">
        <v>458</v>
      </c>
      <c r="B2811">
        <v>2000</v>
      </c>
      <c r="C2811" t="s">
        <v>281</v>
      </c>
      <c r="D2811">
        <v>76.8</v>
      </c>
      <c r="E2811">
        <v>114</v>
      </c>
      <c r="F2811">
        <v>28</v>
      </c>
      <c r="G2811">
        <v>8.2100000000000009</v>
      </c>
      <c r="H2811">
        <v>0</v>
      </c>
      <c r="I2811">
        <v>9</v>
      </c>
      <c r="J2811">
        <v>85</v>
      </c>
      <c r="K2811">
        <v>6.1</v>
      </c>
      <c r="L2811">
        <v>33</v>
      </c>
      <c r="M2811">
        <v>9</v>
      </c>
      <c r="N2811">
        <v>13.7</v>
      </c>
      <c r="O2811">
        <v>94</v>
      </c>
      <c r="P2811">
        <v>0.1</v>
      </c>
      <c r="S2811">
        <v>0.8</v>
      </c>
      <c r="T2811">
        <v>0.7</v>
      </c>
      <c r="W2811" t="b" cm="1">
        <f t="array" ref="W2811">AND(ISNUMBER(LifeExpectancyData[[#This Row],[Adult Mortality]:[Schooling]]),ISNUMBER(LifeExpectancyData[[#This Row],[Life expectancy]]), LifeExpectancyData[[#This Row],[Year]]=2013)</f>
        <v>0</v>
      </c>
    </row>
    <row r="2812" spans="1:23" hidden="1" x14ac:dyDescent="0.25">
      <c r="A2812" t="s">
        <v>459</v>
      </c>
      <c r="B2812">
        <v>2015</v>
      </c>
      <c r="C2812" t="s">
        <v>273</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cm="1">
        <f t="array" ref="W2812">AND(ISNUMBER(LifeExpectancyData[[#This Row],[Adult Mortality]:[Schooling]]),ISNUMBER(LifeExpectancyData[[#This Row],[Life expectancy]]), LifeExpectancyData[[#This Row],[Year]]=2013)</f>
        <v>0</v>
      </c>
    </row>
    <row r="2813" spans="1:23" x14ac:dyDescent="0.25">
      <c r="A2813" t="s">
        <v>459</v>
      </c>
      <c r="B2813">
        <v>2014</v>
      </c>
      <c r="C2813" t="s">
        <v>273</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cm="1">
        <f t="array" ref="W2813">AND(ISNUMBER(LifeExpectancyData[[#This Row],[Adult Mortality]:[Schooling]]),ISNUMBER(LifeExpectancyData[[#This Row],[Life expectancy]]), LifeExpectancyData[[#This Row],[Year]]=2013)</f>
        <v>0</v>
      </c>
    </row>
    <row r="2814" spans="1:23" x14ac:dyDescent="0.25">
      <c r="A2814" t="s">
        <v>459</v>
      </c>
      <c r="B2814">
        <v>2013</v>
      </c>
      <c r="C2814" t="s">
        <v>273</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cm="1">
        <f t="array" ref="W2814">AND(ISNUMBER(LifeExpectancyData[[#This Row],[Adult Mortality]:[Schooling]]),ISNUMBER(LifeExpectancyData[[#This Row],[Life expectancy]]), LifeExpectancyData[[#This Row],[Year]]=2013)</f>
        <v>1</v>
      </c>
    </row>
    <row r="2815" spans="1:23" x14ac:dyDescent="0.25">
      <c r="A2815" t="s">
        <v>459</v>
      </c>
      <c r="B2815">
        <v>2012</v>
      </c>
      <c r="C2815" t="s">
        <v>273</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cm="1">
        <f t="array" ref="W2815">AND(ISNUMBER(LifeExpectancyData[[#This Row],[Adult Mortality]:[Schooling]]),ISNUMBER(LifeExpectancyData[[#This Row],[Life expectancy]]), LifeExpectancyData[[#This Row],[Year]]=2013)</f>
        <v>0</v>
      </c>
    </row>
    <row r="2816" spans="1:23" x14ac:dyDescent="0.25">
      <c r="A2816" t="s">
        <v>459</v>
      </c>
      <c r="B2816">
        <v>2011</v>
      </c>
      <c r="C2816" t="s">
        <v>273</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cm="1">
        <f t="array" ref="W2816">AND(ISNUMBER(LifeExpectancyData[[#This Row],[Adult Mortality]:[Schooling]]),ISNUMBER(LifeExpectancyData[[#This Row],[Life expectancy]]), LifeExpectancyData[[#This Row],[Year]]=2013)</f>
        <v>0</v>
      </c>
    </row>
    <row r="2817" spans="1:23" x14ac:dyDescent="0.25">
      <c r="A2817" t="s">
        <v>459</v>
      </c>
      <c r="B2817">
        <v>2010</v>
      </c>
      <c r="C2817" t="s">
        <v>273</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cm="1">
        <f t="array" ref="W2817">AND(ISNUMBER(LifeExpectancyData[[#This Row],[Adult Mortality]:[Schooling]]),ISNUMBER(LifeExpectancyData[[#This Row],[Life expectancy]]), LifeExpectancyData[[#This Row],[Year]]=2013)</f>
        <v>0</v>
      </c>
    </row>
    <row r="2818" spans="1:23" x14ac:dyDescent="0.25">
      <c r="A2818" t="s">
        <v>459</v>
      </c>
      <c r="B2818">
        <v>2009</v>
      </c>
      <c r="C2818" t="s">
        <v>273</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cm="1">
        <f t="array" ref="W2818">AND(ISNUMBER(LifeExpectancyData[[#This Row],[Adult Mortality]:[Schooling]]),ISNUMBER(LifeExpectancyData[[#This Row],[Life expectancy]]), LifeExpectancyData[[#This Row],[Year]]=2013)</f>
        <v>0</v>
      </c>
    </row>
    <row r="2819" spans="1:23" x14ac:dyDescent="0.25">
      <c r="A2819" t="s">
        <v>459</v>
      </c>
      <c r="B2819">
        <v>2008</v>
      </c>
      <c r="C2819" t="s">
        <v>273</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cm="1">
        <f t="array" ref="W2819">AND(ISNUMBER(LifeExpectancyData[[#This Row],[Adult Mortality]:[Schooling]]),ISNUMBER(LifeExpectancyData[[#This Row],[Life expectancy]]), LifeExpectancyData[[#This Row],[Year]]=2013)</f>
        <v>0</v>
      </c>
    </row>
    <row r="2820" spans="1:23" x14ac:dyDescent="0.25">
      <c r="A2820" t="s">
        <v>459</v>
      </c>
      <c r="B2820">
        <v>2007</v>
      </c>
      <c r="C2820" t="s">
        <v>273</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cm="1">
        <f t="array" ref="W2820">AND(ISNUMBER(LifeExpectancyData[[#This Row],[Adult Mortality]:[Schooling]]),ISNUMBER(LifeExpectancyData[[#This Row],[Life expectancy]]), LifeExpectancyData[[#This Row],[Year]]=2013)</f>
        <v>0</v>
      </c>
    </row>
    <row r="2821" spans="1:23" x14ac:dyDescent="0.25">
      <c r="A2821" t="s">
        <v>459</v>
      </c>
      <c r="B2821">
        <v>2006</v>
      </c>
      <c r="C2821" t="s">
        <v>273</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cm="1">
        <f t="array" ref="W2821">AND(ISNUMBER(LifeExpectancyData[[#This Row],[Adult Mortality]:[Schooling]]),ISNUMBER(LifeExpectancyData[[#This Row],[Life expectancy]]), LifeExpectancyData[[#This Row],[Year]]=2013)</f>
        <v>0</v>
      </c>
    </row>
    <row r="2822" spans="1:23" x14ac:dyDescent="0.25">
      <c r="A2822" t="s">
        <v>459</v>
      </c>
      <c r="B2822">
        <v>2005</v>
      </c>
      <c r="C2822" t="s">
        <v>273</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cm="1">
        <f t="array" ref="W2822">AND(ISNUMBER(LifeExpectancyData[[#This Row],[Adult Mortality]:[Schooling]]),ISNUMBER(LifeExpectancyData[[#This Row],[Life expectancy]]), LifeExpectancyData[[#This Row],[Year]]=2013)</f>
        <v>0</v>
      </c>
    </row>
    <row r="2823" spans="1:23" x14ac:dyDescent="0.25">
      <c r="A2823" t="s">
        <v>459</v>
      </c>
      <c r="B2823">
        <v>2004</v>
      </c>
      <c r="C2823" t="s">
        <v>273</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cm="1">
        <f t="array" ref="W2823">AND(ISNUMBER(LifeExpectancyData[[#This Row],[Adult Mortality]:[Schooling]]),ISNUMBER(LifeExpectancyData[[#This Row],[Life expectancy]]), LifeExpectancyData[[#This Row],[Year]]=2013)</f>
        <v>0</v>
      </c>
    </row>
    <row r="2824" spans="1:23" x14ac:dyDescent="0.25">
      <c r="A2824" t="s">
        <v>459</v>
      </c>
      <c r="B2824">
        <v>2003</v>
      </c>
      <c r="C2824" t="s">
        <v>273</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cm="1">
        <f t="array" ref="W2824">AND(ISNUMBER(LifeExpectancyData[[#This Row],[Adult Mortality]:[Schooling]]),ISNUMBER(LifeExpectancyData[[#This Row],[Life expectancy]]), LifeExpectancyData[[#This Row],[Year]]=2013)</f>
        <v>0</v>
      </c>
    </row>
    <row r="2825" spans="1:23" x14ac:dyDescent="0.25">
      <c r="A2825" t="s">
        <v>459</v>
      </c>
      <c r="B2825">
        <v>2002</v>
      </c>
      <c r="C2825" t="s">
        <v>273</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cm="1">
        <f t="array" ref="W2825">AND(ISNUMBER(LifeExpectancyData[[#This Row],[Adult Mortality]:[Schooling]]),ISNUMBER(LifeExpectancyData[[#This Row],[Life expectancy]]), LifeExpectancyData[[#This Row],[Year]]=2013)</f>
        <v>0</v>
      </c>
    </row>
    <row r="2826" spans="1:23" x14ac:dyDescent="0.25">
      <c r="A2826" t="s">
        <v>459</v>
      </c>
      <c r="B2826">
        <v>2001</v>
      </c>
      <c r="C2826" t="s">
        <v>273</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cm="1">
        <f t="array" ref="W2826">AND(ISNUMBER(LifeExpectancyData[[#This Row],[Adult Mortality]:[Schooling]]),ISNUMBER(LifeExpectancyData[[#This Row],[Life expectancy]]), LifeExpectancyData[[#This Row],[Year]]=2013)</f>
        <v>0</v>
      </c>
    </row>
    <row r="2827" spans="1:23" x14ac:dyDescent="0.25">
      <c r="A2827" t="s">
        <v>459</v>
      </c>
      <c r="B2827">
        <v>2000</v>
      </c>
      <c r="C2827" t="s">
        <v>273</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cm="1">
        <f t="array" ref="W2827">AND(ISNUMBER(LifeExpectancyData[[#This Row],[Adult Mortality]:[Schooling]]),ISNUMBER(LifeExpectancyData[[#This Row],[Life expectancy]]), LifeExpectancyData[[#This Row],[Year]]=2013)</f>
        <v>0</v>
      </c>
    </row>
    <row r="2828" spans="1:23" hidden="1" x14ac:dyDescent="0.25">
      <c r="A2828" t="s">
        <v>460</v>
      </c>
      <c r="B2828">
        <v>2015</v>
      </c>
      <c r="C2828" t="s">
        <v>273</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cm="1">
        <f t="array" ref="W2828">AND(ISNUMBER(LifeExpectancyData[[#This Row],[Adult Mortality]:[Schooling]]),ISNUMBER(LifeExpectancyData[[#This Row],[Life expectancy]]), LifeExpectancyData[[#This Row],[Year]]=2013)</f>
        <v>0</v>
      </c>
    </row>
    <row r="2829" spans="1:23" x14ac:dyDescent="0.25">
      <c r="A2829" t="s">
        <v>460</v>
      </c>
      <c r="B2829">
        <v>2014</v>
      </c>
      <c r="C2829" t="s">
        <v>273</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cm="1">
        <f t="array" ref="W2829">AND(ISNUMBER(LifeExpectancyData[[#This Row],[Adult Mortality]:[Schooling]]),ISNUMBER(LifeExpectancyData[[#This Row],[Life expectancy]]), LifeExpectancyData[[#This Row],[Year]]=2013)</f>
        <v>0</v>
      </c>
    </row>
    <row r="2830" spans="1:23" x14ac:dyDescent="0.25">
      <c r="A2830" t="s">
        <v>460</v>
      </c>
      <c r="B2830">
        <v>2013</v>
      </c>
      <c r="C2830" t="s">
        <v>273</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cm="1">
        <f t="array" ref="W2830">AND(ISNUMBER(LifeExpectancyData[[#This Row],[Adult Mortality]:[Schooling]]),ISNUMBER(LifeExpectancyData[[#This Row],[Life expectancy]]), LifeExpectancyData[[#This Row],[Year]]=2013)</f>
        <v>1</v>
      </c>
    </row>
    <row r="2831" spans="1:23" x14ac:dyDescent="0.25">
      <c r="A2831" t="s">
        <v>460</v>
      </c>
      <c r="B2831">
        <v>2012</v>
      </c>
      <c r="C2831" t="s">
        <v>273</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cm="1">
        <f t="array" ref="W2831">AND(ISNUMBER(LifeExpectancyData[[#This Row],[Adult Mortality]:[Schooling]]),ISNUMBER(LifeExpectancyData[[#This Row],[Life expectancy]]), LifeExpectancyData[[#This Row],[Year]]=2013)</f>
        <v>0</v>
      </c>
    </row>
    <row r="2832" spans="1:23" x14ac:dyDescent="0.25">
      <c r="A2832" t="s">
        <v>460</v>
      </c>
      <c r="B2832">
        <v>2011</v>
      </c>
      <c r="C2832" t="s">
        <v>273</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cm="1">
        <f t="array" ref="W2832">AND(ISNUMBER(LifeExpectancyData[[#This Row],[Adult Mortality]:[Schooling]]),ISNUMBER(LifeExpectancyData[[#This Row],[Life expectancy]]), LifeExpectancyData[[#This Row],[Year]]=2013)</f>
        <v>0</v>
      </c>
    </row>
    <row r="2833" spans="1:23" x14ac:dyDescent="0.25">
      <c r="A2833" t="s">
        <v>460</v>
      </c>
      <c r="B2833">
        <v>2010</v>
      </c>
      <c r="C2833" t="s">
        <v>273</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cm="1">
        <f t="array" ref="W2833">AND(ISNUMBER(LifeExpectancyData[[#This Row],[Adult Mortality]:[Schooling]]),ISNUMBER(LifeExpectancyData[[#This Row],[Life expectancy]]), LifeExpectancyData[[#This Row],[Year]]=2013)</f>
        <v>0</v>
      </c>
    </row>
    <row r="2834" spans="1:23" x14ac:dyDescent="0.25">
      <c r="A2834" t="s">
        <v>460</v>
      </c>
      <c r="B2834">
        <v>2009</v>
      </c>
      <c r="C2834" t="s">
        <v>273</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cm="1">
        <f t="array" ref="W2834">AND(ISNUMBER(LifeExpectancyData[[#This Row],[Adult Mortality]:[Schooling]]),ISNUMBER(LifeExpectancyData[[#This Row],[Life expectancy]]), LifeExpectancyData[[#This Row],[Year]]=2013)</f>
        <v>0</v>
      </c>
    </row>
    <row r="2835" spans="1:23" x14ac:dyDescent="0.25">
      <c r="A2835" t="s">
        <v>460</v>
      </c>
      <c r="B2835">
        <v>2008</v>
      </c>
      <c r="C2835" t="s">
        <v>273</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cm="1">
        <f t="array" ref="W2835">AND(ISNUMBER(LifeExpectancyData[[#This Row],[Adult Mortality]:[Schooling]]),ISNUMBER(LifeExpectancyData[[#This Row],[Life expectancy]]), LifeExpectancyData[[#This Row],[Year]]=2013)</f>
        <v>0</v>
      </c>
    </row>
    <row r="2836" spans="1:23" x14ac:dyDescent="0.25">
      <c r="A2836" t="s">
        <v>460</v>
      </c>
      <c r="B2836">
        <v>2007</v>
      </c>
      <c r="C2836" t="s">
        <v>273</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cm="1">
        <f t="array" ref="W2836">AND(ISNUMBER(LifeExpectancyData[[#This Row],[Adult Mortality]:[Schooling]]),ISNUMBER(LifeExpectancyData[[#This Row],[Life expectancy]]), LifeExpectancyData[[#This Row],[Year]]=2013)</f>
        <v>0</v>
      </c>
    </row>
    <row r="2837" spans="1:23" x14ac:dyDescent="0.25">
      <c r="A2837" t="s">
        <v>460</v>
      </c>
      <c r="B2837">
        <v>2006</v>
      </c>
      <c r="C2837" t="s">
        <v>273</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cm="1">
        <f t="array" ref="W2837">AND(ISNUMBER(LifeExpectancyData[[#This Row],[Adult Mortality]:[Schooling]]),ISNUMBER(LifeExpectancyData[[#This Row],[Life expectancy]]), LifeExpectancyData[[#This Row],[Year]]=2013)</f>
        <v>0</v>
      </c>
    </row>
    <row r="2838" spans="1:23" x14ac:dyDescent="0.25">
      <c r="A2838" t="s">
        <v>460</v>
      </c>
      <c r="B2838">
        <v>2005</v>
      </c>
      <c r="C2838" t="s">
        <v>273</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cm="1">
        <f t="array" ref="W2838">AND(ISNUMBER(LifeExpectancyData[[#This Row],[Adult Mortality]:[Schooling]]),ISNUMBER(LifeExpectancyData[[#This Row],[Life expectancy]]), LifeExpectancyData[[#This Row],[Year]]=2013)</f>
        <v>0</v>
      </c>
    </row>
    <row r="2839" spans="1:23" x14ac:dyDescent="0.25">
      <c r="A2839" t="s">
        <v>460</v>
      </c>
      <c r="B2839">
        <v>2004</v>
      </c>
      <c r="C2839" t="s">
        <v>273</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cm="1">
        <f t="array" ref="W2839">AND(ISNUMBER(LifeExpectancyData[[#This Row],[Adult Mortality]:[Schooling]]),ISNUMBER(LifeExpectancyData[[#This Row],[Life expectancy]]), LifeExpectancyData[[#This Row],[Year]]=2013)</f>
        <v>0</v>
      </c>
    </row>
    <row r="2840" spans="1:23" x14ac:dyDescent="0.25">
      <c r="A2840" t="s">
        <v>460</v>
      </c>
      <c r="B2840">
        <v>2003</v>
      </c>
      <c r="C2840" t="s">
        <v>273</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cm="1">
        <f t="array" ref="W2840">AND(ISNUMBER(LifeExpectancyData[[#This Row],[Adult Mortality]:[Schooling]]),ISNUMBER(LifeExpectancyData[[#This Row],[Life expectancy]]), LifeExpectancyData[[#This Row],[Year]]=2013)</f>
        <v>0</v>
      </c>
    </row>
    <row r="2841" spans="1:23" x14ac:dyDescent="0.25">
      <c r="A2841" t="s">
        <v>460</v>
      </c>
      <c r="B2841">
        <v>2002</v>
      </c>
      <c r="C2841" t="s">
        <v>273</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cm="1">
        <f t="array" ref="W2841">AND(ISNUMBER(LifeExpectancyData[[#This Row],[Adult Mortality]:[Schooling]]),ISNUMBER(LifeExpectancyData[[#This Row],[Life expectancy]]), LifeExpectancyData[[#This Row],[Year]]=2013)</f>
        <v>0</v>
      </c>
    </row>
    <row r="2842" spans="1:23" hidden="1" x14ac:dyDescent="0.25">
      <c r="A2842" t="s">
        <v>460</v>
      </c>
      <c r="B2842">
        <v>2001</v>
      </c>
      <c r="C2842" t="s">
        <v>273</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cm="1">
        <f t="array" ref="W2842">AND(ISNUMBER(LifeExpectancyData[[#This Row],[Adult Mortality]:[Schooling]]),ISNUMBER(LifeExpectancyData[[#This Row],[Life expectancy]]), LifeExpectancyData[[#This Row],[Year]]=2013)</f>
        <v>0</v>
      </c>
    </row>
    <row r="2843" spans="1:23" hidden="1" x14ac:dyDescent="0.25">
      <c r="A2843" t="s">
        <v>460</v>
      </c>
      <c r="B2843">
        <v>2000</v>
      </c>
      <c r="C2843" t="s">
        <v>273</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cm="1">
        <f t="array" ref="W2843">AND(ISNUMBER(LifeExpectancyData[[#This Row],[Adult Mortality]:[Schooling]]),ISNUMBER(LifeExpectancyData[[#This Row],[Life expectancy]]), LifeExpectancyData[[#This Row],[Year]]=2013)</f>
        <v>0</v>
      </c>
    </row>
    <row r="2844" spans="1:23" hidden="1" x14ac:dyDescent="0.25">
      <c r="A2844" t="s">
        <v>461</v>
      </c>
      <c r="B2844">
        <v>2015</v>
      </c>
      <c r="C2844" t="s">
        <v>273</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cm="1">
        <f t="array" ref="W2844">AND(ISNUMBER(LifeExpectancyData[[#This Row],[Adult Mortality]:[Schooling]]),ISNUMBER(LifeExpectancyData[[#This Row],[Life expectancy]]), LifeExpectancyData[[#This Row],[Year]]=2013)</f>
        <v>0</v>
      </c>
    </row>
    <row r="2845" spans="1:23" x14ac:dyDescent="0.25">
      <c r="A2845" t="s">
        <v>461</v>
      </c>
      <c r="B2845">
        <v>2014</v>
      </c>
      <c r="C2845" t="s">
        <v>273</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cm="1">
        <f t="array" ref="W2845">AND(ISNUMBER(LifeExpectancyData[[#This Row],[Adult Mortality]:[Schooling]]),ISNUMBER(LifeExpectancyData[[#This Row],[Life expectancy]]), LifeExpectancyData[[#This Row],[Year]]=2013)</f>
        <v>0</v>
      </c>
    </row>
    <row r="2846" spans="1:23" x14ac:dyDescent="0.25">
      <c r="A2846" t="s">
        <v>461</v>
      </c>
      <c r="B2846">
        <v>2013</v>
      </c>
      <c r="C2846" t="s">
        <v>273</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cm="1">
        <f t="array" ref="W2846">AND(ISNUMBER(LifeExpectancyData[[#This Row],[Adult Mortality]:[Schooling]]),ISNUMBER(LifeExpectancyData[[#This Row],[Life expectancy]]), LifeExpectancyData[[#This Row],[Year]]=2013)</f>
        <v>1</v>
      </c>
    </row>
    <row r="2847" spans="1:23" x14ac:dyDescent="0.25">
      <c r="A2847" t="s">
        <v>461</v>
      </c>
      <c r="B2847">
        <v>2012</v>
      </c>
      <c r="C2847" t="s">
        <v>273</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cm="1">
        <f t="array" ref="W2847">AND(ISNUMBER(LifeExpectancyData[[#This Row],[Adult Mortality]:[Schooling]]),ISNUMBER(LifeExpectancyData[[#This Row],[Life expectancy]]), LifeExpectancyData[[#This Row],[Year]]=2013)</f>
        <v>0</v>
      </c>
    </row>
    <row r="2848" spans="1:23" x14ac:dyDescent="0.25">
      <c r="A2848" t="s">
        <v>461</v>
      </c>
      <c r="B2848">
        <v>2011</v>
      </c>
      <c r="C2848" t="s">
        <v>273</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cm="1">
        <f t="array" ref="W2848">AND(ISNUMBER(LifeExpectancyData[[#This Row],[Adult Mortality]:[Schooling]]),ISNUMBER(LifeExpectancyData[[#This Row],[Life expectancy]]), LifeExpectancyData[[#This Row],[Year]]=2013)</f>
        <v>0</v>
      </c>
    </row>
    <row r="2849" spans="1:23" x14ac:dyDescent="0.25">
      <c r="A2849" t="s">
        <v>461</v>
      </c>
      <c r="B2849">
        <v>2010</v>
      </c>
      <c r="C2849" t="s">
        <v>273</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cm="1">
        <f t="array" ref="W2849">AND(ISNUMBER(LifeExpectancyData[[#This Row],[Adult Mortality]:[Schooling]]),ISNUMBER(LifeExpectancyData[[#This Row],[Life expectancy]]), LifeExpectancyData[[#This Row],[Year]]=2013)</f>
        <v>0</v>
      </c>
    </row>
    <row r="2850" spans="1:23" x14ac:dyDescent="0.25">
      <c r="A2850" t="s">
        <v>461</v>
      </c>
      <c r="B2850">
        <v>2009</v>
      </c>
      <c r="C2850" t="s">
        <v>273</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cm="1">
        <f t="array" ref="W2850">AND(ISNUMBER(LifeExpectancyData[[#This Row],[Adult Mortality]:[Schooling]]),ISNUMBER(LifeExpectancyData[[#This Row],[Life expectancy]]), LifeExpectancyData[[#This Row],[Year]]=2013)</f>
        <v>0</v>
      </c>
    </row>
    <row r="2851" spans="1:23" x14ac:dyDescent="0.25">
      <c r="A2851" t="s">
        <v>461</v>
      </c>
      <c r="B2851">
        <v>2008</v>
      </c>
      <c r="C2851" t="s">
        <v>273</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cm="1">
        <f t="array" ref="W2851">AND(ISNUMBER(LifeExpectancyData[[#This Row],[Adult Mortality]:[Schooling]]),ISNUMBER(LifeExpectancyData[[#This Row],[Life expectancy]]), LifeExpectancyData[[#This Row],[Year]]=2013)</f>
        <v>0</v>
      </c>
    </row>
    <row r="2852" spans="1:23" x14ac:dyDescent="0.25">
      <c r="A2852" t="s">
        <v>461</v>
      </c>
      <c r="B2852">
        <v>2007</v>
      </c>
      <c r="C2852" t="s">
        <v>273</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cm="1">
        <f t="array" ref="W2852">AND(ISNUMBER(LifeExpectancyData[[#This Row],[Adult Mortality]:[Schooling]]),ISNUMBER(LifeExpectancyData[[#This Row],[Life expectancy]]), LifeExpectancyData[[#This Row],[Year]]=2013)</f>
        <v>0</v>
      </c>
    </row>
    <row r="2853" spans="1:23" x14ac:dyDescent="0.25">
      <c r="A2853" t="s">
        <v>461</v>
      </c>
      <c r="B2853">
        <v>2006</v>
      </c>
      <c r="C2853" t="s">
        <v>273</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cm="1">
        <f t="array" ref="W2853">AND(ISNUMBER(LifeExpectancyData[[#This Row],[Adult Mortality]:[Schooling]]),ISNUMBER(LifeExpectancyData[[#This Row],[Life expectancy]]), LifeExpectancyData[[#This Row],[Year]]=2013)</f>
        <v>0</v>
      </c>
    </row>
    <row r="2854" spans="1:23" x14ac:dyDescent="0.25">
      <c r="A2854" t="s">
        <v>461</v>
      </c>
      <c r="B2854">
        <v>2005</v>
      </c>
      <c r="C2854" t="s">
        <v>273</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cm="1">
        <f t="array" ref="W2854">AND(ISNUMBER(LifeExpectancyData[[#This Row],[Adult Mortality]:[Schooling]]),ISNUMBER(LifeExpectancyData[[#This Row],[Life expectancy]]), LifeExpectancyData[[#This Row],[Year]]=2013)</f>
        <v>0</v>
      </c>
    </row>
    <row r="2855" spans="1:23" x14ac:dyDescent="0.25">
      <c r="A2855" t="s">
        <v>461</v>
      </c>
      <c r="B2855">
        <v>2004</v>
      </c>
      <c r="C2855" t="s">
        <v>273</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cm="1">
        <f t="array" ref="W2855">AND(ISNUMBER(LifeExpectancyData[[#This Row],[Adult Mortality]:[Schooling]]),ISNUMBER(LifeExpectancyData[[#This Row],[Life expectancy]]), LifeExpectancyData[[#This Row],[Year]]=2013)</f>
        <v>0</v>
      </c>
    </row>
    <row r="2856" spans="1:23" x14ac:dyDescent="0.25">
      <c r="A2856" t="s">
        <v>461</v>
      </c>
      <c r="B2856">
        <v>2003</v>
      </c>
      <c r="C2856" t="s">
        <v>273</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cm="1">
        <f t="array" ref="W2856">AND(ISNUMBER(LifeExpectancyData[[#This Row],[Adult Mortality]:[Schooling]]),ISNUMBER(LifeExpectancyData[[#This Row],[Life expectancy]]), LifeExpectancyData[[#This Row],[Year]]=2013)</f>
        <v>0</v>
      </c>
    </row>
    <row r="2857" spans="1:23" x14ac:dyDescent="0.25">
      <c r="A2857" t="s">
        <v>461</v>
      </c>
      <c r="B2857">
        <v>2002</v>
      </c>
      <c r="C2857" t="s">
        <v>273</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cm="1">
        <f t="array" ref="W2857">AND(ISNUMBER(LifeExpectancyData[[#This Row],[Adult Mortality]:[Schooling]]),ISNUMBER(LifeExpectancyData[[#This Row],[Life expectancy]]), LifeExpectancyData[[#This Row],[Year]]=2013)</f>
        <v>0</v>
      </c>
    </row>
    <row r="2858" spans="1:23" x14ac:dyDescent="0.25">
      <c r="A2858" t="s">
        <v>461</v>
      </c>
      <c r="B2858">
        <v>2001</v>
      </c>
      <c r="C2858" t="s">
        <v>273</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cm="1">
        <f t="array" ref="W2858">AND(ISNUMBER(LifeExpectancyData[[#This Row],[Adult Mortality]:[Schooling]]),ISNUMBER(LifeExpectancyData[[#This Row],[Life expectancy]]), LifeExpectancyData[[#This Row],[Year]]=2013)</f>
        <v>0</v>
      </c>
    </row>
    <row r="2859" spans="1:23" x14ac:dyDescent="0.25">
      <c r="A2859" t="s">
        <v>461</v>
      </c>
      <c r="B2859">
        <v>2000</v>
      </c>
      <c r="C2859" t="s">
        <v>273</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cm="1">
        <f t="array" ref="W2859">AND(ISNUMBER(LifeExpectancyData[[#This Row],[Adult Mortality]:[Schooling]]),ISNUMBER(LifeExpectancyData[[#This Row],[Life expectancy]]), LifeExpectancyData[[#This Row],[Year]]=2013)</f>
        <v>0</v>
      </c>
    </row>
    <row r="2860" spans="1:23" hidden="1" x14ac:dyDescent="0.25">
      <c r="A2860" t="s">
        <v>462</v>
      </c>
      <c r="B2860">
        <v>2015</v>
      </c>
      <c r="C2860" t="s">
        <v>273</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cm="1">
        <f t="array" ref="W2860">AND(ISNUMBER(LifeExpectancyData[[#This Row],[Adult Mortality]:[Schooling]]),ISNUMBER(LifeExpectancyData[[#This Row],[Life expectancy]]), LifeExpectancyData[[#This Row],[Year]]=2013)</f>
        <v>0</v>
      </c>
    </row>
    <row r="2861" spans="1:23" hidden="1" x14ac:dyDescent="0.25">
      <c r="A2861" t="s">
        <v>462</v>
      </c>
      <c r="B2861">
        <v>2014</v>
      </c>
      <c r="C2861" t="s">
        <v>273</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cm="1">
        <f t="array" ref="W2861">AND(ISNUMBER(LifeExpectancyData[[#This Row],[Adult Mortality]:[Schooling]]),ISNUMBER(LifeExpectancyData[[#This Row],[Life expectancy]]), LifeExpectancyData[[#This Row],[Year]]=2013)</f>
        <v>0</v>
      </c>
    </row>
    <row r="2862" spans="1:23" hidden="1" x14ac:dyDescent="0.25">
      <c r="A2862" t="s">
        <v>462</v>
      </c>
      <c r="B2862">
        <v>2013</v>
      </c>
      <c r="C2862" t="s">
        <v>273</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cm="1">
        <f t="array" ref="W2862">AND(ISNUMBER(LifeExpectancyData[[#This Row],[Adult Mortality]:[Schooling]]),ISNUMBER(LifeExpectancyData[[#This Row],[Life expectancy]]), LifeExpectancyData[[#This Row],[Year]]=2013)</f>
        <v>0</v>
      </c>
    </row>
    <row r="2863" spans="1:23" hidden="1" x14ac:dyDescent="0.25">
      <c r="A2863" t="s">
        <v>462</v>
      </c>
      <c r="B2863">
        <v>2012</v>
      </c>
      <c r="C2863" t="s">
        <v>273</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cm="1">
        <f t="array" ref="W2863">AND(ISNUMBER(LifeExpectancyData[[#This Row],[Adult Mortality]:[Schooling]]),ISNUMBER(LifeExpectancyData[[#This Row],[Life expectancy]]), LifeExpectancyData[[#This Row],[Year]]=2013)</f>
        <v>0</v>
      </c>
    </row>
    <row r="2864" spans="1:23" hidden="1" x14ac:dyDescent="0.25">
      <c r="A2864" t="s">
        <v>462</v>
      </c>
      <c r="B2864">
        <v>2011</v>
      </c>
      <c r="C2864" t="s">
        <v>273</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cm="1">
        <f t="array" ref="W2864">AND(ISNUMBER(LifeExpectancyData[[#This Row],[Adult Mortality]:[Schooling]]),ISNUMBER(LifeExpectancyData[[#This Row],[Life expectancy]]), LifeExpectancyData[[#This Row],[Year]]=2013)</f>
        <v>0</v>
      </c>
    </row>
    <row r="2865" spans="1:23" hidden="1" x14ac:dyDescent="0.25">
      <c r="A2865" t="s">
        <v>462</v>
      </c>
      <c r="B2865">
        <v>2010</v>
      </c>
      <c r="C2865" t="s">
        <v>273</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cm="1">
        <f t="array" ref="W2865">AND(ISNUMBER(LifeExpectancyData[[#This Row],[Adult Mortality]:[Schooling]]),ISNUMBER(LifeExpectancyData[[#This Row],[Life expectancy]]), LifeExpectancyData[[#This Row],[Year]]=2013)</f>
        <v>0</v>
      </c>
    </row>
    <row r="2866" spans="1:23" hidden="1" x14ac:dyDescent="0.25">
      <c r="A2866" t="s">
        <v>462</v>
      </c>
      <c r="B2866">
        <v>2009</v>
      </c>
      <c r="C2866" t="s">
        <v>273</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cm="1">
        <f t="array" ref="W2866">AND(ISNUMBER(LifeExpectancyData[[#This Row],[Adult Mortality]:[Schooling]]),ISNUMBER(LifeExpectancyData[[#This Row],[Life expectancy]]), LifeExpectancyData[[#This Row],[Year]]=2013)</f>
        <v>0</v>
      </c>
    </row>
    <row r="2867" spans="1:23" hidden="1" x14ac:dyDescent="0.25">
      <c r="A2867" t="s">
        <v>462</v>
      </c>
      <c r="B2867">
        <v>2008</v>
      </c>
      <c r="C2867" t="s">
        <v>273</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cm="1">
        <f t="array" ref="W2867">AND(ISNUMBER(LifeExpectancyData[[#This Row],[Adult Mortality]:[Schooling]]),ISNUMBER(LifeExpectancyData[[#This Row],[Life expectancy]]), LifeExpectancyData[[#This Row],[Year]]=2013)</f>
        <v>0</v>
      </c>
    </row>
    <row r="2868" spans="1:23" hidden="1" x14ac:dyDescent="0.25">
      <c r="A2868" t="s">
        <v>462</v>
      </c>
      <c r="B2868">
        <v>2007</v>
      </c>
      <c r="C2868" t="s">
        <v>273</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cm="1">
        <f t="array" ref="W2868">AND(ISNUMBER(LifeExpectancyData[[#This Row],[Adult Mortality]:[Schooling]]),ISNUMBER(LifeExpectancyData[[#This Row],[Life expectancy]]), LifeExpectancyData[[#This Row],[Year]]=2013)</f>
        <v>0</v>
      </c>
    </row>
    <row r="2869" spans="1:23" hidden="1" x14ac:dyDescent="0.25">
      <c r="A2869" t="s">
        <v>462</v>
      </c>
      <c r="B2869">
        <v>2006</v>
      </c>
      <c r="C2869" t="s">
        <v>273</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cm="1">
        <f t="array" ref="W2869">AND(ISNUMBER(LifeExpectancyData[[#This Row],[Adult Mortality]:[Schooling]]),ISNUMBER(LifeExpectancyData[[#This Row],[Life expectancy]]), LifeExpectancyData[[#This Row],[Year]]=2013)</f>
        <v>0</v>
      </c>
    </row>
    <row r="2870" spans="1:23" hidden="1" x14ac:dyDescent="0.25">
      <c r="A2870" t="s">
        <v>462</v>
      </c>
      <c r="B2870">
        <v>2005</v>
      </c>
      <c r="C2870" t="s">
        <v>273</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cm="1">
        <f t="array" ref="W2870">AND(ISNUMBER(LifeExpectancyData[[#This Row],[Adult Mortality]:[Schooling]]),ISNUMBER(LifeExpectancyData[[#This Row],[Life expectancy]]), LifeExpectancyData[[#This Row],[Year]]=2013)</f>
        <v>0</v>
      </c>
    </row>
    <row r="2871" spans="1:23" hidden="1" x14ac:dyDescent="0.25">
      <c r="A2871" t="s">
        <v>462</v>
      </c>
      <c r="B2871">
        <v>2004</v>
      </c>
      <c r="C2871" t="s">
        <v>273</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cm="1">
        <f t="array" ref="W2871">AND(ISNUMBER(LifeExpectancyData[[#This Row],[Adult Mortality]:[Schooling]]),ISNUMBER(LifeExpectancyData[[#This Row],[Life expectancy]]), LifeExpectancyData[[#This Row],[Year]]=2013)</f>
        <v>0</v>
      </c>
    </row>
    <row r="2872" spans="1:23" hidden="1" x14ac:dyDescent="0.25">
      <c r="A2872" t="s">
        <v>462</v>
      </c>
      <c r="B2872">
        <v>2003</v>
      </c>
      <c r="C2872" t="s">
        <v>273</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cm="1">
        <f t="array" ref="W2872">AND(ISNUMBER(LifeExpectancyData[[#This Row],[Adult Mortality]:[Schooling]]),ISNUMBER(LifeExpectancyData[[#This Row],[Life expectancy]]), LifeExpectancyData[[#This Row],[Year]]=2013)</f>
        <v>0</v>
      </c>
    </row>
    <row r="2873" spans="1:23" hidden="1" x14ac:dyDescent="0.25">
      <c r="A2873" t="s">
        <v>462</v>
      </c>
      <c r="B2873">
        <v>2002</v>
      </c>
      <c r="C2873" t="s">
        <v>273</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cm="1">
        <f t="array" ref="W2873">AND(ISNUMBER(LifeExpectancyData[[#This Row],[Adult Mortality]:[Schooling]]),ISNUMBER(LifeExpectancyData[[#This Row],[Life expectancy]]), LifeExpectancyData[[#This Row],[Year]]=2013)</f>
        <v>0</v>
      </c>
    </row>
    <row r="2874" spans="1:23" hidden="1" x14ac:dyDescent="0.25">
      <c r="A2874" t="s">
        <v>462</v>
      </c>
      <c r="B2874">
        <v>2001</v>
      </c>
      <c r="C2874" t="s">
        <v>273</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cm="1">
        <f t="array" ref="W2874">AND(ISNUMBER(LifeExpectancyData[[#This Row],[Adult Mortality]:[Schooling]]),ISNUMBER(LifeExpectancyData[[#This Row],[Life expectancy]]), LifeExpectancyData[[#This Row],[Year]]=2013)</f>
        <v>0</v>
      </c>
    </row>
    <row r="2875" spans="1:23" hidden="1" x14ac:dyDescent="0.25">
      <c r="A2875" t="s">
        <v>462</v>
      </c>
      <c r="B2875">
        <v>2000</v>
      </c>
      <c r="C2875" t="s">
        <v>273</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cm="1">
        <f t="array" ref="W2875">AND(ISNUMBER(LifeExpectancyData[[#This Row],[Adult Mortality]:[Schooling]]),ISNUMBER(LifeExpectancyData[[#This Row],[Life expectancy]]), LifeExpectancyData[[#This Row],[Year]]=2013)</f>
        <v>0</v>
      </c>
    </row>
    <row r="2876" spans="1:23" hidden="1" x14ac:dyDescent="0.25">
      <c r="A2876" t="s">
        <v>463</v>
      </c>
      <c r="B2876">
        <v>2015</v>
      </c>
      <c r="C2876" t="s">
        <v>273</v>
      </c>
      <c r="D2876">
        <v>76</v>
      </c>
      <c r="E2876">
        <v>127</v>
      </c>
      <c r="F2876">
        <v>28</v>
      </c>
      <c r="H2876">
        <v>0</v>
      </c>
      <c r="I2876">
        <v>97</v>
      </c>
      <c r="J2876">
        <v>256</v>
      </c>
      <c r="K2876">
        <v>17.5</v>
      </c>
      <c r="L2876">
        <v>35</v>
      </c>
      <c r="M2876">
        <v>97</v>
      </c>
      <c r="O2876">
        <v>97</v>
      </c>
      <c r="P2876">
        <v>0.1</v>
      </c>
      <c r="S2876">
        <v>14.2</v>
      </c>
      <c r="T2876">
        <v>14.5</v>
      </c>
      <c r="U2876">
        <v>0.67800000000000005</v>
      </c>
      <c r="V2876">
        <v>12.6</v>
      </c>
      <c r="W2876" t="b" cm="1">
        <f t="array" ref="W2876">AND(ISNUMBER(LifeExpectancyData[[#This Row],[Adult Mortality]:[Schooling]]),ISNUMBER(LifeExpectancyData[[#This Row],[Life expectancy]]), LifeExpectancyData[[#This Row],[Year]]=2013)</f>
        <v>0</v>
      </c>
    </row>
    <row r="2877" spans="1:23" hidden="1" x14ac:dyDescent="0.25">
      <c r="A2877" t="s">
        <v>463</v>
      </c>
      <c r="B2877">
        <v>2014</v>
      </c>
      <c r="C2877" t="s">
        <v>273</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cm="1">
        <f t="array" ref="W2877">AND(ISNUMBER(LifeExpectancyData[[#This Row],[Adult Mortality]:[Schooling]]),ISNUMBER(LifeExpectancyData[[#This Row],[Life expectancy]]), LifeExpectancyData[[#This Row],[Year]]=2013)</f>
        <v>0</v>
      </c>
    </row>
    <row r="2878" spans="1:23" hidden="1" x14ac:dyDescent="0.25">
      <c r="A2878" t="s">
        <v>463</v>
      </c>
      <c r="B2878">
        <v>2013</v>
      </c>
      <c r="C2878" t="s">
        <v>273</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cm="1">
        <f t="array" ref="W2878">AND(ISNUMBER(LifeExpectancyData[[#This Row],[Adult Mortality]:[Schooling]]),ISNUMBER(LifeExpectancyData[[#This Row],[Life expectancy]]), LifeExpectancyData[[#This Row],[Year]]=2013)</f>
        <v>0</v>
      </c>
    </row>
    <row r="2879" spans="1:23" hidden="1" x14ac:dyDescent="0.25">
      <c r="A2879" t="s">
        <v>463</v>
      </c>
      <c r="B2879">
        <v>2012</v>
      </c>
      <c r="C2879" t="s">
        <v>273</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cm="1">
        <f t="array" ref="W2879">AND(ISNUMBER(LifeExpectancyData[[#This Row],[Adult Mortality]:[Schooling]]),ISNUMBER(LifeExpectancyData[[#This Row],[Life expectancy]]), LifeExpectancyData[[#This Row],[Year]]=2013)</f>
        <v>0</v>
      </c>
    </row>
    <row r="2880" spans="1:23" hidden="1" x14ac:dyDescent="0.25">
      <c r="A2880" t="s">
        <v>463</v>
      </c>
      <c r="B2880">
        <v>2011</v>
      </c>
      <c r="C2880" t="s">
        <v>273</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cm="1">
        <f t="array" ref="W2880">AND(ISNUMBER(LifeExpectancyData[[#This Row],[Adult Mortality]:[Schooling]]),ISNUMBER(LifeExpectancyData[[#This Row],[Life expectancy]]), LifeExpectancyData[[#This Row],[Year]]=2013)</f>
        <v>0</v>
      </c>
    </row>
    <row r="2881" spans="1:23" hidden="1" x14ac:dyDescent="0.25">
      <c r="A2881" t="s">
        <v>463</v>
      </c>
      <c r="B2881">
        <v>2010</v>
      </c>
      <c r="C2881" t="s">
        <v>273</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cm="1">
        <f t="array" ref="W2881">AND(ISNUMBER(LifeExpectancyData[[#This Row],[Adult Mortality]:[Schooling]]),ISNUMBER(LifeExpectancyData[[#This Row],[Life expectancy]]), LifeExpectancyData[[#This Row],[Year]]=2013)</f>
        <v>0</v>
      </c>
    </row>
    <row r="2882" spans="1:23" hidden="1" x14ac:dyDescent="0.25">
      <c r="A2882" t="s">
        <v>463</v>
      </c>
      <c r="B2882">
        <v>2009</v>
      </c>
      <c r="C2882" t="s">
        <v>273</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cm="1">
        <f t="array" ref="W2882">AND(ISNUMBER(LifeExpectancyData[[#This Row],[Adult Mortality]:[Schooling]]),ISNUMBER(LifeExpectancyData[[#This Row],[Life expectancy]]), LifeExpectancyData[[#This Row],[Year]]=2013)</f>
        <v>0</v>
      </c>
    </row>
    <row r="2883" spans="1:23" hidden="1" x14ac:dyDescent="0.25">
      <c r="A2883" t="s">
        <v>463</v>
      </c>
      <c r="B2883">
        <v>2008</v>
      </c>
      <c r="C2883" t="s">
        <v>273</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cm="1">
        <f t="array" ref="W2883">AND(ISNUMBER(LifeExpectancyData[[#This Row],[Adult Mortality]:[Schooling]]),ISNUMBER(LifeExpectancyData[[#This Row],[Life expectancy]]), LifeExpectancyData[[#This Row],[Year]]=2013)</f>
        <v>0</v>
      </c>
    </row>
    <row r="2884" spans="1:23" hidden="1" x14ac:dyDescent="0.25">
      <c r="A2884" t="s">
        <v>463</v>
      </c>
      <c r="B2884">
        <v>2007</v>
      </c>
      <c r="C2884" t="s">
        <v>273</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cm="1">
        <f t="array" ref="W2884">AND(ISNUMBER(LifeExpectancyData[[#This Row],[Adult Mortality]:[Schooling]]),ISNUMBER(LifeExpectancyData[[#This Row],[Life expectancy]]), LifeExpectancyData[[#This Row],[Year]]=2013)</f>
        <v>0</v>
      </c>
    </row>
    <row r="2885" spans="1:23" hidden="1" x14ac:dyDescent="0.25">
      <c r="A2885" t="s">
        <v>463</v>
      </c>
      <c r="B2885">
        <v>2006</v>
      </c>
      <c r="C2885" t="s">
        <v>273</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cm="1">
        <f t="array" ref="W2885">AND(ISNUMBER(LifeExpectancyData[[#This Row],[Adult Mortality]:[Schooling]]),ISNUMBER(LifeExpectancyData[[#This Row],[Life expectancy]]), LifeExpectancyData[[#This Row],[Year]]=2013)</f>
        <v>0</v>
      </c>
    </row>
    <row r="2886" spans="1:23" hidden="1" x14ac:dyDescent="0.25">
      <c r="A2886" t="s">
        <v>463</v>
      </c>
      <c r="B2886">
        <v>2005</v>
      </c>
      <c r="C2886" t="s">
        <v>273</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cm="1">
        <f t="array" ref="W2886">AND(ISNUMBER(LifeExpectancyData[[#This Row],[Adult Mortality]:[Schooling]]),ISNUMBER(LifeExpectancyData[[#This Row],[Life expectancy]]), LifeExpectancyData[[#This Row],[Year]]=2013)</f>
        <v>0</v>
      </c>
    </row>
    <row r="2887" spans="1:23" hidden="1" x14ac:dyDescent="0.25">
      <c r="A2887" t="s">
        <v>463</v>
      </c>
      <c r="B2887">
        <v>2004</v>
      </c>
      <c r="C2887" t="s">
        <v>273</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cm="1">
        <f t="array" ref="W2887">AND(ISNUMBER(LifeExpectancyData[[#This Row],[Adult Mortality]:[Schooling]]),ISNUMBER(LifeExpectancyData[[#This Row],[Life expectancy]]), LifeExpectancyData[[#This Row],[Year]]=2013)</f>
        <v>0</v>
      </c>
    </row>
    <row r="2888" spans="1:23" hidden="1" x14ac:dyDescent="0.25">
      <c r="A2888" t="s">
        <v>463</v>
      </c>
      <c r="B2888">
        <v>2003</v>
      </c>
      <c r="C2888" t="s">
        <v>273</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cm="1">
        <f t="array" ref="W2888">AND(ISNUMBER(LifeExpectancyData[[#This Row],[Adult Mortality]:[Schooling]]),ISNUMBER(LifeExpectancyData[[#This Row],[Life expectancy]]), LifeExpectancyData[[#This Row],[Year]]=2013)</f>
        <v>0</v>
      </c>
    </row>
    <row r="2889" spans="1:23" hidden="1" x14ac:dyDescent="0.25">
      <c r="A2889" t="s">
        <v>463</v>
      </c>
      <c r="B2889">
        <v>2002</v>
      </c>
      <c r="C2889" t="s">
        <v>273</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cm="1">
        <f t="array" ref="W2889">AND(ISNUMBER(LifeExpectancyData[[#This Row],[Adult Mortality]:[Schooling]]),ISNUMBER(LifeExpectancyData[[#This Row],[Life expectancy]]), LifeExpectancyData[[#This Row],[Year]]=2013)</f>
        <v>0</v>
      </c>
    </row>
    <row r="2890" spans="1:23" hidden="1" x14ac:dyDescent="0.25">
      <c r="A2890" t="s">
        <v>463</v>
      </c>
      <c r="B2890">
        <v>2001</v>
      </c>
      <c r="C2890" t="s">
        <v>273</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cm="1">
        <f t="array" ref="W2890">AND(ISNUMBER(LifeExpectancyData[[#This Row],[Adult Mortality]:[Schooling]]),ISNUMBER(LifeExpectancyData[[#This Row],[Life expectancy]]), LifeExpectancyData[[#This Row],[Year]]=2013)</f>
        <v>0</v>
      </c>
    </row>
    <row r="2891" spans="1:23" hidden="1" x14ac:dyDescent="0.25">
      <c r="A2891" t="s">
        <v>463</v>
      </c>
      <c r="B2891">
        <v>2000</v>
      </c>
      <c r="C2891" t="s">
        <v>273</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cm="1">
        <f t="array" ref="W2891">AND(ISNUMBER(LifeExpectancyData[[#This Row],[Adult Mortality]:[Schooling]]),ISNUMBER(LifeExpectancyData[[#This Row],[Life expectancy]]), LifeExpectancyData[[#This Row],[Year]]=2013)</f>
        <v>0</v>
      </c>
    </row>
    <row r="2892" spans="1:23" hidden="1" x14ac:dyDescent="0.25">
      <c r="A2892" t="s">
        <v>464</v>
      </c>
      <c r="B2892">
        <v>2015</v>
      </c>
      <c r="C2892" t="s">
        <v>273</v>
      </c>
      <c r="D2892">
        <v>65.7</v>
      </c>
      <c r="E2892">
        <v>224</v>
      </c>
      <c r="F2892">
        <v>37</v>
      </c>
      <c r="H2892">
        <v>0</v>
      </c>
      <c r="I2892">
        <v>69</v>
      </c>
      <c r="J2892">
        <v>468</v>
      </c>
      <c r="K2892">
        <v>41.3</v>
      </c>
      <c r="L2892">
        <v>47</v>
      </c>
      <c r="M2892">
        <v>63</v>
      </c>
      <c r="O2892">
        <v>69</v>
      </c>
      <c r="P2892">
        <v>0.1</v>
      </c>
      <c r="S2892">
        <v>13.6</v>
      </c>
      <c r="T2892">
        <v>13.4</v>
      </c>
      <c r="U2892">
        <v>0.499</v>
      </c>
      <c r="V2892">
        <v>9</v>
      </c>
      <c r="W2892" t="b" cm="1">
        <f t="array" ref="W2892">AND(ISNUMBER(LifeExpectancyData[[#This Row],[Adult Mortality]:[Schooling]]),ISNUMBER(LifeExpectancyData[[#This Row],[Life expectancy]]), LifeExpectancyData[[#This Row],[Year]]=2013)</f>
        <v>0</v>
      </c>
    </row>
    <row r="2893" spans="1:23" hidden="1" x14ac:dyDescent="0.25">
      <c r="A2893" t="s">
        <v>464</v>
      </c>
      <c r="B2893">
        <v>2014</v>
      </c>
      <c r="C2893" t="s">
        <v>273</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cm="1">
        <f t="array" ref="W2893">AND(ISNUMBER(LifeExpectancyData[[#This Row],[Adult Mortality]:[Schooling]]),ISNUMBER(LifeExpectancyData[[#This Row],[Life expectancy]]), LifeExpectancyData[[#This Row],[Year]]=2013)</f>
        <v>0</v>
      </c>
    </row>
    <row r="2894" spans="1:23" hidden="1" x14ac:dyDescent="0.25">
      <c r="A2894" t="s">
        <v>464</v>
      </c>
      <c r="B2894">
        <v>2013</v>
      </c>
      <c r="C2894" t="s">
        <v>273</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cm="1">
        <f t="array" ref="W2894">AND(ISNUMBER(LifeExpectancyData[[#This Row],[Adult Mortality]:[Schooling]]),ISNUMBER(LifeExpectancyData[[#This Row],[Life expectancy]]), LifeExpectancyData[[#This Row],[Year]]=2013)</f>
        <v>0</v>
      </c>
    </row>
    <row r="2895" spans="1:23" hidden="1" x14ac:dyDescent="0.25">
      <c r="A2895" t="s">
        <v>464</v>
      </c>
      <c r="B2895">
        <v>2012</v>
      </c>
      <c r="C2895" t="s">
        <v>273</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cm="1">
        <f t="array" ref="W2895">AND(ISNUMBER(LifeExpectancyData[[#This Row],[Adult Mortality]:[Schooling]]),ISNUMBER(LifeExpectancyData[[#This Row],[Life expectancy]]), LifeExpectancyData[[#This Row],[Year]]=2013)</f>
        <v>0</v>
      </c>
    </row>
    <row r="2896" spans="1:23" hidden="1" x14ac:dyDescent="0.25">
      <c r="A2896" t="s">
        <v>464</v>
      </c>
      <c r="B2896">
        <v>2011</v>
      </c>
      <c r="C2896" t="s">
        <v>273</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cm="1">
        <f t="array" ref="W2896">AND(ISNUMBER(LifeExpectancyData[[#This Row],[Adult Mortality]:[Schooling]]),ISNUMBER(LifeExpectancyData[[#This Row],[Life expectancy]]), LifeExpectancyData[[#This Row],[Year]]=2013)</f>
        <v>0</v>
      </c>
    </row>
    <row r="2897" spans="1:23" hidden="1" x14ac:dyDescent="0.25">
      <c r="A2897" t="s">
        <v>464</v>
      </c>
      <c r="B2897">
        <v>2010</v>
      </c>
      <c r="C2897" t="s">
        <v>273</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cm="1">
        <f t="array" ref="W2897">AND(ISNUMBER(LifeExpectancyData[[#This Row],[Adult Mortality]:[Schooling]]),ISNUMBER(LifeExpectancyData[[#This Row],[Life expectancy]]), LifeExpectancyData[[#This Row],[Year]]=2013)</f>
        <v>0</v>
      </c>
    </row>
    <row r="2898" spans="1:23" hidden="1" x14ac:dyDescent="0.25">
      <c r="A2898" t="s">
        <v>464</v>
      </c>
      <c r="B2898">
        <v>2009</v>
      </c>
      <c r="C2898" t="s">
        <v>273</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cm="1">
        <f t="array" ref="W2898">AND(ISNUMBER(LifeExpectancyData[[#This Row],[Adult Mortality]:[Schooling]]),ISNUMBER(LifeExpectancyData[[#This Row],[Life expectancy]]), LifeExpectancyData[[#This Row],[Year]]=2013)</f>
        <v>0</v>
      </c>
    </row>
    <row r="2899" spans="1:23" hidden="1" x14ac:dyDescent="0.25">
      <c r="A2899" t="s">
        <v>464</v>
      </c>
      <c r="B2899">
        <v>2008</v>
      </c>
      <c r="C2899" t="s">
        <v>273</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cm="1">
        <f t="array" ref="W2899">AND(ISNUMBER(LifeExpectancyData[[#This Row],[Adult Mortality]:[Schooling]]),ISNUMBER(LifeExpectancyData[[#This Row],[Life expectancy]]), LifeExpectancyData[[#This Row],[Year]]=2013)</f>
        <v>0</v>
      </c>
    </row>
    <row r="2900" spans="1:23" hidden="1" x14ac:dyDescent="0.25">
      <c r="A2900" t="s">
        <v>464</v>
      </c>
      <c r="B2900">
        <v>2007</v>
      </c>
      <c r="C2900" t="s">
        <v>273</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cm="1">
        <f t="array" ref="W2900">AND(ISNUMBER(LifeExpectancyData[[#This Row],[Adult Mortality]:[Schooling]]),ISNUMBER(LifeExpectancyData[[#This Row],[Life expectancy]]), LifeExpectancyData[[#This Row],[Year]]=2013)</f>
        <v>0</v>
      </c>
    </row>
    <row r="2901" spans="1:23" hidden="1" x14ac:dyDescent="0.25">
      <c r="A2901" t="s">
        <v>464</v>
      </c>
      <c r="B2901">
        <v>2006</v>
      </c>
      <c r="C2901" t="s">
        <v>273</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cm="1">
        <f t="array" ref="W2901">AND(ISNUMBER(LifeExpectancyData[[#This Row],[Adult Mortality]:[Schooling]]),ISNUMBER(LifeExpectancyData[[#This Row],[Life expectancy]]), LifeExpectancyData[[#This Row],[Year]]=2013)</f>
        <v>0</v>
      </c>
    </row>
    <row r="2902" spans="1:23" hidden="1" x14ac:dyDescent="0.25">
      <c r="A2902" t="s">
        <v>464</v>
      </c>
      <c r="B2902">
        <v>2005</v>
      </c>
      <c r="C2902" t="s">
        <v>273</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cm="1">
        <f t="array" ref="W2902">AND(ISNUMBER(LifeExpectancyData[[#This Row],[Adult Mortality]:[Schooling]]),ISNUMBER(LifeExpectancyData[[#This Row],[Life expectancy]]), LifeExpectancyData[[#This Row],[Year]]=2013)</f>
        <v>0</v>
      </c>
    </row>
    <row r="2903" spans="1:23" hidden="1" x14ac:dyDescent="0.25">
      <c r="A2903" t="s">
        <v>464</v>
      </c>
      <c r="B2903">
        <v>2004</v>
      </c>
      <c r="C2903" t="s">
        <v>273</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cm="1">
        <f t="array" ref="W2903">AND(ISNUMBER(LifeExpectancyData[[#This Row],[Adult Mortality]:[Schooling]]),ISNUMBER(LifeExpectancyData[[#This Row],[Life expectancy]]), LifeExpectancyData[[#This Row],[Year]]=2013)</f>
        <v>0</v>
      </c>
    </row>
    <row r="2904" spans="1:23" hidden="1" x14ac:dyDescent="0.25">
      <c r="A2904" t="s">
        <v>464</v>
      </c>
      <c r="B2904">
        <v>2003</v>
      </c>
      <c r="C2904" t="s">
        <v>273</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cm="1">
        <f t="array" ref="W2904">AND(ISNUMBER(LifeExpectancyData[[#This Row],[Adult Mortality]:[Schooling]]),ISNUMBER(LifeExpectancyData[[#This Row],[Life expectancy]]), LifeExpectancyData[[#This Row],[Year]]=2013)</f>
        <v>0</v>
      </c>
    </row>
    <row r="2905" spans="1:23" hidden="1" x14ac:dyDescent="0.25">
      <c r="A2905" t="s">
        <v>464</v>
      </c>
      <c r="B2905">
        <v>2002</v>
      </c>
      <c r="C2905" t="s">
        <v>273</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cm="1">
        <f t="array" ref="W2905">AND(ISNUMBER(LifeExpectancyData[[#This Row],[Adult Mortality]:[Schooling]]),ISNUMBER(LifeExpectancyData[[#This Row],[Life expectancy]]), LifeExpectancyData[[#This Row],[Year]]=2013)</f>
        <v>0</v>
      </c>
    </row>
    <row r="2906" spans="1:23" hidden="1" x14ac:dyDescent="0.25">
      <c r="A2906" t="s">
        <v>464</v>
      </c>
      <c r="B2906">
        <v>2001</v>
      </c>
      <c r="C2906" t="s">
        <v>273</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cm="1">
        <f t="array" ref="W2906">AND(ISNUMBER(LifeExpectancyData[[#This Row],[Adult Mortality]:[Schooling]]),ISNUMBER(LifeExpectancyData[[#This Row],[Life expectancy]]), LifeExpectancyData[[#This Row],[Year]]=2013)</f>
        <v>0</v>
      </c>
    </row>
    <row r="2907" spans="1:23" hidden="1" x14ac:dyDescent="0.25">
      <c r="A2907" t="s">
        <v>464</v>
      </c>
      <c r="B2907">
        <v>2000</v>
      </c>
      <c r="C2907" t="s">
        <v>273</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cm="1">
        <f t="array" ref="W2907">AND(ISNUMBER(LifeExpectancyData[[#This Row],[Adult Mortality]:[Schooling]]),ISNUMBER(LifeExpectancyData[[#This Row],[Life expectancy]]), LifeExpectancyData[[#This Row],[Year]]=2013)</f>
        <v>0</v>
      </c>
    </row>
    <row r="2908" spans="1:23" hidden="1" x14ac:dyDescent="0.25">
      <c r="A2908" t="s">
        <v>465</v>
      </c>
      <c r="B2908">
        <v>2015</v>
      </c>
      <c r="C2908" t="s">
        <v>273</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cm="1">
        <f t="array" ref="W2908">AND(ISNUMBER(LifeExpectancyData[[#This Row],[Adult Mortality]:[Schooling]]),ISNUMBER(LifeExpectancyData[[#This Row],[Life expectancy]]), LifeExpectancyData[[#This Row],[Year]]=2013)</f>
        <v>0</v>
      </c>
    </row>
    <row r="2909" spans="1:23" x14ac:dyDescent="0.25">
      <c r="A2909" t="s">
        <v>465</v>
      </c>
      <c r="B2909">
        <v>2014</v>
      </c>
      <c r="C2909" t="s">
        <v>273</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cm="1">
        <f t="array" ref="W2909">AND(ISNUMBER(LifeExpectancyData[[#This Row],[Adult Mortality]:[Schooling]]),ISNUMBER(LifeExpectancyData[[#This Row],[Life expectancy]]), LifeExpectancyData[[#This Row],[Year]]=2013)</f>
        <v>0</v>
      </c>
    </row>
    <row r="2910" spans="1:23" x14ac:dyDescent="0.25">
      <c r="A2910" t="s">
        <v>465</v>
      </c>
      <c r="B2910">
        <v>2013</v>
      </c>
      <c r="C2910" t="s">
        <v>273</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cm="1">
        <f t="array" ref="W2910">AND(ISNUMBER(LifeExpectancyData[[#This Row],[Adult Mortality]:[Schooling]]),ISNUMBER(LifeExpectancyData[[#This Row],[Life expectancy]]), LifeExpectancyData[[#This Row],[Year]]=2013)</f>
        <v>1</v>
      </c>
    </row>
    <row r="2911" spans="1:23" x14ac:dyDescent="0.25">
      <c r="A2911" t="s">
        <v>465</v>
      </c>
      <c r="B2911">
        <v>2012</v>
      </c>
      <c r="C2911" t="s">
        <v>273</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cm="1">
        <f t="array" ref="W2911">AND(ISNUMBER(LifeExpectancyData[[#This Row],[Adult Mortality]:[Schooling]]),ISNUMBER(LifeExpectancyData[[#This Row],[Life expectancy]]), LifeExpectancyData[[#This Row],[Year]]=2013)</f>
        <v>0</v>
      </c>
    </row>
    <row r="2912" spans="1:23" x14ac:dyDescent="0.25">
      <c r="A2912" t="s">
        <v>465</v>
      </c>
      <c r="B2912">
        <v>2011</v>
      </c>
      <c r="C2912" t="s">
        <v>273</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cm="1">
        <f t="array" ref="W2912">AND(ISNUMBER(LifeExpectancyData[[#This Row],[Adult Mortality]:[Schooling]]),ISNUMBER(LifeExpectancyData[[#This Row],[Life expectancy]]), LifeExpectancyData[[#This Row],[Year]]=2013)</f>
        <v>0</v>
      </c>
    </row>
    <row r="2913" spans="1:23" x14ac:dyDescent="0.25">
      <c r="A2913" t="s">
        <v>465</v>
      </c>
      <c r="B2913">
        <v>2010</v>
      </c>
      <c r="C2913" t="s">
        <v>273</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cm="1">
        <f t="array" ref="W2913">AND(ISNUMBER(LifeExpectancyData[[#This Row],[Adult Mortality]:[Schooling]]),ISNUMBER(LifeExpectancyData[[#This Row],[Life expectancy]]), LifeExpectancyData[[#This Row],[Year]]=2013)</f>
        <v>0</v>
      </c>
    </row>
    <row r="2914" spans="1:23" x14ac:dyDescent="0.25">
      <c r="A2914" t="s">
        <v>465</v>
      </c>
      <c r="B2914">
        <v>2009</v>
      </c>
      <c r="C2914" t="s">
        <v>273</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cm="1">
        <f t="array" ref="W2914">AND(ISNUMBER(LifeExpectancyData[[#This Row],[Adult Mortality]:[Schooling]]),ISNUMBER(LifeExpectancyData[[#This Row],[Life expectancy]]), LifeExpectancyData[[#This Row],[Year]]=2013)</f>
        <v>0</v>
      </c>
    </row>
    <row r="2915" spans="1:23" x14ac:dyDescent="0.25">
      <c r="A2915" t="s">
        <v>465</v>
      </c>
      <c r="B2915">
        <v>2008</v>
      </c>
      <c r="C2915" t="s">
        <v>273</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cm="1">
        <f t="array" ref="W2915">AND(ISNUMBER(LifeExpectancyData[[#This Row],[Adult Mortality]:[Schooling]]),ISNUMBER(LifeExpectancyData[[#This Row],[Life expectancy]]), LifeExpectancyData[[#This Row],[Year]]=2013)</f>
        <v>0</v>
      </c>
    </row>
    <row r="2916" spans="1:23" x14ac:dyDescent="0.25">
      <c r="A2916" t="s">
        <v>465</v>
      </c>
      <c r="B2916">
        <v>2007</v>
      </c>
      <c r="C2916" t="s">
        <v>273</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cm="1">
        <f t="array" ref="W2916">AND(ISNUMBER(LifeExpectancyData[[#This Row],[Adult Mortality]:[Schooling]]),ISNUMBER(LifeExpectancyData[[#This Row],[Life expectancy]]), LifeExpectancyData[[#This Row],[Year]]=2013)</f>
        <v>0</v>
      </c>
    </row>
    <row r="2917" spans="1:23" x14ac:dyDescent="0.25">
      <c r="A2917" t="s">
        <v>465</v>
      </c>
      <c r="B2917">
        <v>2006</v>
      </c>
      <c r="C2917" t="s">
        <v>273</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cm="1">
        <f t="array" ref="W2917">AND(ISNUMBER(LifeExpectancyData[[#This Row],[Adult Mortality]:[Schooling]]),ISNUMBER(LifeExpectancyData[[#This Row],[Life expectancy]]), LifeExpectancyData[[#This Row],[Year]]=2013)</f>
        <v>0</v>
      </c>
    </row>
    <row r="2918" spans="1:23" x14ac:dyDescent="0.25">
      <c r="A2918" t="s">
        <v>465</v>
      </c>
      <c r="B2918">
        <v>2005</v>
      </c>
      <c r="C2918" t="s">
        <v>273</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cm="1">
        <f t="array" ref="W2918">AND(ISNUMBER(LifeExpectancyData[[#This Row],[Adult Mortality]:[Schooling]]),ISNUMBER(LifeExpectancyData[[#This Row],[Life expectancy]]), LifeExpectancyData[[#This Row],[Year]]=2013)</f>
        <v>0</v>
      </c>
    </row>
    <row r="2919" spans="1:23" hidden="1" x14ac:dyDescent="0.25">
      <c r="A2919" t="s">
        <v>465</v>
      </c>
      <c r="B2919">
        <v>2004</v>
      </c>
      <c r="C2919" t="s">
        <v>273</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cm="1">
        <f t="array" ref="W2919">AND(ISNUMBER(LifeExpectancyData[[#This Row],[Adult Mortality]:[Schooling]]),ISNUMBER(LifeExpectancyData[[#This Row],[Life expectancy]]), LifeExpectancyData[[#This Row],[Year]]=2013)</f>
        <v>0</v>
      </c>
    </row>
    <row r="2920" spans="1:23" hidden="1" x14ac:dyDescent="0.25">
      <c r="A2920" t="s">
        <v>465</v>
      </c>
      <c r="B2920">
        <v>2003</v>
      </c>
      <c r="C2920" t="s">
        <v>273</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cm="1">
        <f t="array" ref="W2920">AND(ISNUMBER(LifeExpectancyData[[#This Row],[Adult Mortality]:[Schooling]]),ISNUMBER(LifeExpectancyData[[#This Row],[Life expectancy]]), LifeExpectancyData[[#This Row],[Year]]=2013)</f>
        <v>0</v>
      </c>
    </row>
    <row r="2921" spans="1:23" hidden="1" x14ac:dyDescent="0.25">
      <c r="A2921" t="s">
        <v>465</v>
      </c>
      <c r="B2921">
        <v>2002</v>
      </c>
      <c r="C2921" t="s">
        <v>273</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cm="1">
        <f t="array" ref="W2921">AND(ISNUMBER(LifeExpectancyData[[#This Row],[Adult Mortality]:[Schooling]]),ISNUMBER(LifeExpectancyData[[#This Row],[Life expectancy]]), LifeExpectancyData[[#This Row],[Year]]=2013)</f>
        <v>0</v>
      </c>
    </row>
    <row r="2922" spans="1:23" hidden="1" x14ac:dyDescent="0.25">
      <c r="A2922" t="s">
        <v>465</v>
      </c>
      <c r="B2922">
        <v>2001</v>
      </c>
      <c r="C2922" t="s">
        <v>273</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cm="1">
        <f t="array" ref="W2922">AND(ISNUMBER(LifeExpectancyData[[#This Row],[Adult Mortality]:[Schooling]]),ISNUMBER(LifeExpectancyData[[#This Row],[Life expectancy]]), LifeExpectancyData[[#This Row],[Year]]=2013)</f>
        <v>0</v>
      </c>
    </row>
    <row r="2923" spans="1:23" hidden="1" x14ac:dyDescent="0.25">
      <c r="A2923" t="s">
        <v>465</v>
      </c>
      <c r="B2923">
        <v>2000</v>
      </c>
      <c r="C2923" t="s">
        <v>273</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cm="1">
        <f t="array" ref="W2923">AND(ISNUMBER(LifeExpectancyData[[#This Row],[Adult Mortality]:[Schooling]]),ISNUMBER(LifeExpectancyData[[#This Row],[Life expectancy]]), LifeExpectancyData[[#This Row],[Year]]=2013)</f>
        <v>0</v>
      </c>
    </row>
    <row r="2924" spans="1:23" hidden="1" x14ac:dyDescent="0.25">
      <c r="A2924" t="s">
        <v>466</v>
      </c>
      <c r="B2924">
        <v>2015</v>
      </c>
      <c r="C2924" t="s">
        <v>273</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cm="1">
        <f t="array" ref="W2924">AND(ISNUMBER(LifeExpectancyData[[#This Row],[Adult Mortality]:[Schooling]]),ISNUMBER(LifeExpectancyData[[#This Row],[Life expectancy]]), LifeExpectancyData[[#This Row],[Year]]=2013)</f>
        <v>0</v>
      </c>
    </row>
    <row r="2925" spans="1:23" x14ac:dyDescent="0.25">
      <c r="A2925" t="s">
        <v>466</v>
      </c>
      <c r="B2925">
        <v>2014</v>
      </c>
      <c r="C2925" t="s">
        <v>273</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cm="1">
        <f t="array" ref="W2925">AND(ISNUMBER(LifeExpectancyData[[#This Row],[Adult Mortality]:[Schooling]]),ISNUMBER(LifeExpectancyData[[#This Row],[Life expectancy]]), LifeExpectancyData[[#This Row],[Year]]=2013)</f>
        <v>0</v>
      </c>
    </row>
    <row r="2926" spans="1:23" x14ac:dyDescent="0.25">
      <c r="A2926" t="s">
        <v>466</v>
      </c>
      <c r="B2926">
        <v>2013</v>
      </c>
      <c r="C2926" t="s">
        <v>273</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cm="1">
        <f t="array" ref="W2926">AND(ISNUMBER(LifeExpectancyData[[#This Row],[Adult Mortality]:[Schooling]]),ISNUMBER(LifeExpectancyData[[#This Row],[Life expectancy]]), LifeExpectancyData[[#This Row],[Year]]=2013)</f>
        <v>1</v>
      </c>
    </row>
    <row r="2927" spans="1:23" x14ac:dyDescent="0.25">
      <c r="A2927" t="s">
        <v>466</v>
      </c>
      <c r="B2927">
        <v>2012</v>
      </c>
      <c r="C2927" t="s">
        <v>273</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cm="1">
        <f t="array" ref="W2927">AND(ISNUMBER(LifeExpectancyData[[#This Row],[Adult Mortality]:[Schooling]]),ISNUMBER(LifeExpectancyData[[#This Row],[Life expectancy]]), LifeExpectancyData[[#This Row],[Year]]=2013)</f>
        <v>0</v>
      </c>
    </row>
    <row r="2928" spans="1:23" x14ac:dyDescent="0.25">
      <c r="A2928" t="s">
        <v>466</v>
      </c>
      <c r="B2928">
        <v>2011</v>
      </c>
      <c r="C2928" t="s">
        <v>273</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cm="1">
        <f t="array" ref="W2928">AND(ISNUMBER(LifeExpectancyData[[#This Row],[Adult Mortality]:[Schooling]]),ISNUMBER(LifeExpectancyData[[#This Row],[Life expectancy]]), LifeExpectancyData[[#This Row],[Year]]=2013)</f>
        <v>0</v>
      </c>
    </row>
    <row r="2929" spans="1:23" x14ac:dyDescent="0.25">
      <c r="A2929" t="s">
        <v>466</v>
      </c>
      <c r="B2929">
        <v>2010</v>
      </c>
      <c r="C2929" t="s">
        <v>273</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cm="1">
        <f t="array" ref="W2929">AND(ISNUMBER(LifeExpectancyData[[#This Row],[Adult Mortality]:[Schooling]]),ISNUMBER(LifeExpectancyData[[#This Row],[Life expectancy]]), LifeExpectancyData[[#This Row],[Year]]=2013)</f>
        <v>0</v>
      </c>
    </row>
    <row r="2930" spans="1:23" x14ac:dyDescent="0.25">
      <c r="A2930" t="s">
        <v>466</v>
      </c>
      <c r="B2930">
        <v>2009</v>
      </c>
      <c r="C2930" t="s">
        <v>273</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cm="1">
        <f t="array" ref="W2930">AND(ISNUMBER(LifeExpectancyData[[#This Row],[Adult Mortality]:[Schooling]]),ISNUMBER(LifeExpectancyData[[#This Row],[Life expectancy]]), LifeExpectancyData[[#This Row],[Year]]=2013)</f>
        <v>0</v>
      </c>
    </row>
    <row r="2931" spans="1:23" x14ac:dyDescent="0.25">
      <c r="A2931" t="s">
        <v>466</v>
      </c>
      <c r="B2931">
        <v>2008</v>
      </c>
      <c r="C2931" t="s">
        <v>273</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cm="1">
        <f t="array" ref="W2931">AND(ISNUMBER(LifeExpectancyData[[#This Row],[Adult Mortality]:[Schooling]]),ISNUMBER(LifeExpectancyData[[#This Row],[Life expectancy]]), LifeExpectancyData[[#This Row],[Year]]=2013)</f>
        <v>0</v>
      </c>
    </row>
    <row r="2932" spans="1:23" x14ac:dyDescent="0.25">
      <c r="A2932" t="s">
        <v>466</v>
      </c>
      <c r="B2932">
        <v>2007</v>
      </c>
      <c r="C2932" t="s">
        <v>273</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cm="1">
        <f t="array" ref="W2932">AND(ISNUMBER(LifeExpectancyData[[#This Row],[Adult Mortality]:[Schooling]]),ISNUMBER(LifeExpectancyData[[#This Row],[Life expectancy]]), LifeExpectancyData[[#This Row],[Year]]=2013)</f>
        <v>0</v>
      </c>
    </row>
    <row r="2933" spans="1:23" x14ac:dyDescent="0.25">
      <c r="A2933" t="s">
        <v>466</v>
      </c>
      <c r="B2933">
        <v>2006</v>
      </c>
      <c r="C2933" t="s">
        <v>273</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cm="1">
        <f t="array" ref="W2933">AND(ISNUMBER(LifeExpectancyData[[#This Row],[Adult Mortality]:[Schooling]]),ISNUMBER(LifeExpectancyData[[#This Row],[Life expectancy]]), LifeExpectancyData[[#This Row],[Year]]=2013)</f>
        <v>0</v>
      </c>
    </row>
    <row r="2934" spans="1:23" x14ac:dyDescent="0.25">
      <c r="A2934" t="s">
        <v>466</v>
      </c>
      <c r="B2934">
        <v>2005</v>
      </c>
      <c r="C2934" t="s">
        <v>273</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cm="1">
        <f t="array" ref="W2934">AND(ISNUMBER(LifeExpectancyData[[#This Row],[Adult Mortality]:[Schooling]]),ISNUMBER(LifeExpectancyData[[#This Row],[Life expectancy]]), LifeExpectancyData[[#This Row],[Year]]=2013)</f>
        <v>0</v>
      </c>
    </row>
    <row r="2935" spans="1:23" x14ac:dyDescent="0.25">
      <c r="A2935" t="s">
        <v>466</v>
      </c>
      <c r="B2935">
        <v>2004</v>
      </c>
      <c r="C2935" t="s">
        <v>273</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cm="1">
        <f t="array" ref="W2935">AND(ISNUMBER(LifeExpectancyData[[#This Row],[Adult Mortality]:[Schooling]]),ISNUMBER(LifeExpectancyData[[#This Row],[Life expectancy]]), LifeExpectancyData[[#This Row],[Year]]=2013)</f>
        <v>0</v>
      </c>
    </row>
    <row r="2936" spans="1:23" x14ac:dyDescent="0.25">
      <c r="A2936" t="s">
        <v>466</v>
      </c>
      <c r="B2936">
        <v>2003</v>
      </c>
      <c r="C2936" t="s">
        <v>273</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cm="1">
        <f t="array" ref="W2936">AND(ISNUMBER(LifeExpectancyData[[#This Row],[Adult Mortality]:[Schooling]]),ISNUMBER(LifeExpectancyData[[#This Row],[Life expectancy]]), LifeExpectancyData[[#This Row],[Year]]=2013)</f>
        <v>0</v>
      </c>
    </row>
    <row r="2937" spans="1:23" x14ac:dyDescent="0.25">
      <c r="A2937" t="s">
        <v>466</v>
      </c>
      <c r="B2937">
        <v>2002</v>
      </c>
      <c r="C2937" t="s">
        <v>273</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cm="1">
        <f t="array" ref="W2937">AND(ISNUMBER(LifeExpectancyData[[#This Row],[Adult Mortality]:[Schooling]]),ISNUMBER(LifeExpectancyData[[#This Row],[Life expectancy]]), LifeExpectancyData[[#This Row],[Year]]=2013)</f>
        <v>0</v>
      </c>
    </row>
    <row r="2938" spans="1:23" x14ac:dyDescent="0.25">
      <c r="A2938" t="s">
        <v>466</v>
      </c>
      <c r="B2938">
        <v>2001</v>
      </c>
      <c r="C2938" t="s">
        <v>273</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cm="1">
        <f t="array" ref="W2938">AND(ISNUMBER(LifeExpectancyData[[#This Row],[Adult Mortality]:[Schooling]]),ISNUMBER(LifeExpectancyData[[#This Row],[Life expectancy]]), LifeExpectancyData[[#This Row],[Year]]=2013)</f>
        <v>0</v>
      </c>
    </row>
    <row r="2939" spans="1:23" x14ac:dyDescent="0.25">
      <c r="A2939" t="s">
        <v>466</v>
      </c>
      <c r="B2939">
        <v>2000</v>
      </c>
      <c r="C2939" t="s">
        <v>273</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cm="1">
        <f t="array" ref="W2939">AND(ISNUMBER(LifeExpectancyData[[#This Row],[Adult Mortality]:[Schooling]]),ISNUMBER(LifeExpectancyData[[#This Row],[Life expectancy]]), LifeExpectancyData[[#This Row],[Year]]=2013)</f>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9D0C8-8BD6-41CC-8CC9-4F53486804ED}">
  <dimension ref="A1:A12"/>
  <sheetViews>
    <sheetView workbookViewId="0">
      <selection activeCell="A13" sqref="A13"/>
    </sheetView>
  </sheetViews>
  <sheetFormatPr defaultRowHeight="15" x14ac:dyDescent="0.25"/>
  <cols>
    <col min="1" max="1" width="206.42578125" bestFit="1" customWidth="1"/>
  </cols>
  <sheetData>
    <row r="1" spans="1:1" x14ac:dyDescent="0.25">
      <c r="A1" s="20" t="s">
        <v>526</v>
      </c>
    </row>
    <row r="2" spans="1:1" x14ac:dyDescent="0.25">
      <c r="A2" t="s">
        <v>530</v>
      </c>
    </row>
    <row r="3" spans="1:1" x14ac:dyDescent="0.25">
      <c r="A3" t="s">
        <v>527</v>
      </c>
    </row>
    <row r="5" spans="1:1" x14ac:dyDescent="0.25">
      <c r="A5" s="20" t="s">
        <v>524</v>
      </c>
    </row>
    <row r="6" spans="1:1" x14ac:dyDescent="0.25">
      <c r="A6" t="s">
        <v>529</v>
      </c>
    </row>
    <row r="7" spans="1:1" x14ac:dyDescent="0.25">
      <c r="A7" t="s">
        <v>528</v>
      </c>
    </row>
    <row r="8" spans="1:1" x14ac:dyDescent="0.25">
      <c r="A8" s="20" t="s">
        <v>525</v>
      </c>
    </row>
    <row r="9" spans="1:1" ht="60" x14ac:dyDescent="0.25">
      <c r="A9" s="2" t="s">
        <v>532</v>
      </c>
    </row>
    <row r="11" spans="1:1" x14ac:dyDescent="0.25">
      <c r="A11" t="s">
        <v>525</v>
      </c>
    </row>
    <row r="12" spans="1:1" x14ac:dyDescent="0.25">
      <c r="A12" t="s">
        <v>533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2810-D099-4032-AC23-13C6D91749E0}">
  <dimension ref="A1:AN132"/>
  <sheetViews>
    <sheetView tabSelected="1" zoomScaleNormal="100" workbookViewId="0">
      <pane ySplit="2" topLeftCell="A3" activePane="bottomLeft" state="frozenSplit"/>
      <selection pane="bottomLeft" activeCell="AE2" sqref="AE2:AG1048576"/>
    </sheetView>
  </sheetViews>
  <sheetFormatPr defaultRowHeight="15" x14ac:dyDescent="0.25"/>
  <cols>
    <col min="1" max="1" width="28.7109375" customWidth="1"/>
    <col min="2" max="2" width="14.7109375" customWidth="1"/>
    <col min="3" max="3" width="6" bestFit="1" customWidth="1"/>
    <col min="4" max="4" width="28.7109375" customWidth="1"/>
    <col min="5" max="5" width="10.7109375" customWidth="1"/>
    <col min="6" max="6" width="11.7109375" customWidth="1"/>
    <col min="7" max="10" width="10.7109375" customWidth="1"/>
    <col min="11" max="11" width="2.7109375" customWidth="1"/>
    <col min="12" max="12" width="22.7109375" customWidth="1"/>
    <col min="13" max="14" width="14.7109375" customWidth="1"/>
    <col min="15" max="15" width="20.7109375" customWidth="1"/>
    <col min="16" max="16" width="14.7109375" customWidth="1"/>
    <col min="17" max="17" width="16.7109375" customWidth="1"/>
    <col min="18" max="18" width="14.7109375" customWidth="1"/>
    <col min="19" max="19" width="2.7109375" customWidth="1"/>
    <col min="20" max="20" width="31.140625" bestFit="1" customWidth="1"/>
    <col min="21" max="21" width="14.7109375" customWidth="1"/>
    <col min="22" max="22" width="2.7109375" customWidth="1"/>
    <col min="23" max="23" width="17.85546875" bestFit="1" customWidth="1"/>
    <col min="24" max="24" width="14.7109375" customWidth="1"/>
    <col min="25" max="25" width="12.7109375" customWidth="1"/>
    <col min="26" max="26" width="18.7109375" customWidth="1"/>
    <col min="27" max="28" width="12.7109375" customWidth="1"/>
    <col min="29" max="29" width="14.7109375" customWidth="1"/>
    <col min="30" max="30" width="16.7109375" customWidth="1"/>
    <col min="31" max="31" width="22.7109375" customWidth="1"/>
    <col min="32" max="32" width="14.7109375" customWidth="1"/>
    <col min="33" max="33" width="22.7109375" customWidth="1"/>
    <col min="34" max="34" width="15.7109375" bestFit="1" customWidth="1"/>
    <col min="35" max="35" width="3.28515625" customWidth="1"/>
    <col min="36" max="36" width="22.7109375" customWidth="1"/>
    <col min="37" max="37" width="26.7109375" customWidth="1"/>
  </cols>
  <sheetData>
    <row r="1" spans="1:40" x14ac:dyDescent="0.25">
      <c r="A1" s="18" t="s">
        <v>467</v>
      </c>
      <c r="B1" s="3" t="s">
        <v>468</v>
      </c>
      <c r="D1" s="18" t="s">
        <v>470</v>
      </c>
      <c r="L1" s="18" t="s">
        <v>473</v>
      </c>
      <c r="T1" s="19" t="s">
        <v>499</v>
      </c>
      <c r="U1" s="8"/>
      <c r="W1" s="18" t="s">
        <v>508</v>
      </c>
    </row>
    <row r="2" spans="1:40" x14ac:dyDescent="0.25">
      <c r="A2" t="s">
        <v>469</v>
      </c>
      <c r="B2" s="15" t="b">
        <v>1</v>
      </c>
      <c r="D2" s="3"/>
      <c r="E2" s="3" t="s">
        <v>471</v>
      </c>
      <c r="F2" s="3" t="s">
        <v>472</v>
      </c>
      <c r="G2" s="3" t="s">
        <v>227</v>
      </c>
      <c r="H2" s="3" t="s">
        <v>232</v>
      </c>
      <c r="I2" s="3" t="s">
        <v>118</v>
      </c>
      <c r="J2" s="3" t="s">
        <v>123</v>
      </c>
      <c r="T2" s="14" t="s">
        <v>500</v>
      </c>
      <c r="U2" s="9"/>
      <c r="W2" s="3" t="s">
        <v>509</v>
      </c>
      <c r="X2" s="3" t="s">
        <v>510</v>
      </c>
      <c r="Y2" s="3" t="s">
        <v>163</v>
      </c>
      <c r="Z2" s="3" t="s">
        <v>511</v>
      </c>
      <c r="AA2" s="3" t="s">
        <v>512</v>
      </c>
      <c r="AB2" s="3" t="s">
        <v>513</v>
      </c>
      <c r="AC2" s="3" t="s">
        <v>515</v>
      </c>
      <c r="AD2" s="3" t="s">
        <v>516</v>
      </c>
      <c r="AE2" s="3" t="s">
        <v>517</v>
      </c>
      <c r="AF2" s="3" t="s">
        <v>514</v>
      </c>
      <c r="AG2" s="3" t="s">
        <v>518</v>
      </c>
      <c r="AH2" s="3" t="s">
        <v>520</v>
      </c>
      <c r="AI2" s="3"/>
      <c r="AJ2" s="3" t="s">
        <v>535</v>
      </c>
      <c r="AK2" s="3" t="s">
        <v>519</v>
      </c>
    </row>
    <row r="3" spans="1:40" x14ac:dyDescent="0.25">
      <c r="A3" t="str" cm="1">
        <f t="array" aca="1" ref="A3:A20" ca="1">Coefficient_Name_Col(All_Xs)</f>
        <v>Adult Mortality</v>
      </c>
      <c r="B3" s="15" t="b">
        <v>1</v>
      </c>
      <c r="C3" t="b" cm="1">
        <f t="array" ref="C3:C21">_xlfn.VSTACK(Allow_Intercept,Ind_Var_Filter)</f>
        <v>1</v>
      </c>
      <c r="D3" t="str" cm="1">
        <f t="array" aca="1" ref="D3:D20" ca="1">Coefficient_Name_Col(All_Xs,Ind_Var_Filter)</f>
        <v>Adult Mortality</v>
      </c>
      <c r="E3" s="4" cm="1">
        <f t="array" ref="E3:E20">Pearson_R(x_s,y,fil)</f>
        <v>-0.68887055402070607</v>
      </c>
      <c r="F3" s="4" cm="1">
        <f t="array" ref="F3:F20">Spearman_R(x_s,y,fil)</f>
        <v>-0.67053392805709722</v>
      </c>
      <c r="G3" s="5" cm="1">
        <f t="array" ref="G3:G20">Skewness(x_s,fil)</f>
        <v>0.76806452252970459</v>
      </c>
      <c r="H3" s="5" cm="1">
        <f t="array" ref="H3:H20">Kurtosis(x_s,fil)</f>
        <v>0.34265934313100876</v>
      </c>
      <c r="I3" s="5" cm="1">
        <f t="array" ref="I3:I20">VIF(x_s,Allow_Intercept,fil)</f>
        <v>2.4697612222944714</v>
      </c>
      <c r="J3" s="4" cm="1">
        <f t="array" ref="J3:J20">Tolerance(x_s,Allow_Intercept,fil)</f>
        <v>0.40489744149070994</v>
      </c>
      <c r="L3" s="19" t="s">
        <v>474</v>
      </c>
      <c r="M3" s="8"/>
      <c r="O3" s="19" t="s">
        <v>479</v>
      </c>
      <c r="P3" s="8"/>
      <c r="T3" s="12" t="s">
        <v>501</v>
      </c>
      <c r="U3" cm="1">
        <f t="array" aca="1" ref="U3:U8" ca="1">Prediction_Interval(x_s,y,pred_input,Allow_Intercept,fil,alpha)</f>
        <v>70.387692307692333</v>
      </c>
      <c r="W3" cm="1">
        <f t="array" ref="W3:W132">_xlfn.SEQUENCE(Observations(y,fil))</f>
        <v>1</v>
      </c>
      <c r="X3" cm="1">
        <f t="array" ref="X3:X132">Predictions(x_s,y,Allow_Intercept,fil)</f>
        <v>62.346610789814491</v>
      </c>
      <c r="Y3" cm="1">
        <f t="array" ref="Y3:Y132">Residuals(x_s,y,Allow_Intercept,fil)</f>
        <v>-2.4466107898144926</v>
      </c>
      <c r="Z3" cm="1">
        <f t="array" ref="Z3:Z132">LOOCV_prediction(x_s,y,Allow_Intercept,fil)</f>
        <v>62.796406234490853</v>
      </c>
      <c r="AA3" cm="1">
        <f t="array" ref="AA3:AA132">Rank_Fraction(y,fil)</f>
        <v>0.14615384615384616</v>
      </c>
      <c r="AB3" cm="1">
        <f t="array" ref="AB3:AB132">Y_Ranked(y,fil)</f>
        <v>49.9</v>
      </c>
      <c r="AC3" cm="1">
        <f t="array" ref="AC3:AC132">Scaled_Residuals(x_s,y,Allow_Intercept,fil)</f>
        <v>-0.79385211069859474</v>
      </c>
      <c r="AD3" cm="1">
        <f t="array" ref="AD3:AD132">Scaled_Residuals_Ranked(x_s,y,Allow_Intercept,fil)</f>
        <v>-3.1203518214942876</v>
      </c>
      <c r="AE3" cm="1">
        <f t="array" ref="AE3:AE132">Hat_diagonal(x_s,Allow_Intercept,fil)</f>
        <v>0.15529432277838975</v>
      </c>
      <c r="AF3" cm="1">
        <f t="array" ref="AF3:AF132">Normal_Scores(y,fil)</f>
        <v>-1.0700087179328286</v>
      </c>
      <c r="AG3" cm="1">
        <f t="array" ref="AG3:AG132">Studentized_Residuals(x_s,y,Allow_Intercept,fil)</f>
        <v>-0.86374768678628122</v>
      </c>
      <c r="AH3" cm="1">
        <f t="array" ref="AH3:AH132">Cooks_Distance(x_s,y,Allow_Intercept,fil)</f>
        <v>7.2188889289019212E-3</v>
      </c>
      <c r="AJ3" cm="1">
        <f t="array" ref="AJ3:AJ132">_xlfn._xlws.SORT(Normal_Scores(y,fil))</f>
        <v>-2.6652851060249758</v>
      </c>
      <c r="AK3" cm="1">
        <f t="array" ref="AK3:AK132">Studentized_Residuals_Ranked(x_s,y,Allow_Intercept,fil)</f>
        <v>-3.3552398517483932</v>
      </c>
    </row>
    <row r="4" spans="1:40" x14ac:dyDescent="0.25">
      <c r="A4" t="str">
        <f ca="1"/>
        <v>infant deaths</v>
      </c>
      <c r="B4" s="15" t="b">
        <v>1</v>
      </c>
      <c r="C4" t="b">
        <v>1</v>
      </c>
      <c r="D4" t="str">
        <f ca="1"/>
        <v>infant deaths</v>
      </c>
      <c r="E4" s="4">
        <v>-0.20254766481454656</v>
      </c>
      <c r="F4" s="4">
        <v>-0.55265781348598852</v>
      </c>
      <c r="G4" s="5">
        <v>7.3524318544630782</v>
      </c>
      <c r="H4" s="5">
        <v>62.049336684382133</v>
      </c>
      <c r="I4" s="5">
        <v>307.53463292387607</v>
      </c>
      <c r="J4" s="4">
        <v>3.2516662936220571E-3</v>
      </c>
      <c r="L4" s="12" t="s">
        <v>475</v>
      </c>
      <c r="M4" s="9" cm="1">
        <f t="array" ref="M4">Multiple_R(x_s,y,Allow_Intercept,fil)</f>
        <v>0.93857609475562187</v>
      </c>
      <c r="O4" s="12" t="s">
        <v>61</v>
      </c>
      <c r="P4" s="9" cm="1">
        <f t="array" ref="P4">PRESS(x_s,y,Allow_Intercept,fil)</f>
        <v>1555.3204737930444</v>
      </c>
      <c r="T4" s="12" t="s">
        <v>502</v>
      </c>
      <c r="U4">
        <f ca="1"/>
        <v>3.093778767164705</v>
      </c>
      <c r="W4">
        <v>2</v>
      </c>
      <c r="X4">
        <v>75.121527692903271</v>
      </c>
      <c r="Y4">
        <v>2.0784723070967317</v>
      </c>
      <c r="Z4">
        <v>75.066649951564628</v>
      </c>
      <c r="AA4">
        <v>0.83076923076923082</v>
      </c>
      <c r="AB4">
        <v>51.1</v>
      </c>
      <c r="AC4">
        <v>0.67440217090779064</v>
      </c>
      <c r="AD4">
        <v>-2.5085011819516705</v>
      </c>
      <c r="AE4">
        <v>2.5723739701735915E-2</v>
      </c>
      <c r="AF4">
        <v>0.94207577499577577</v>
      </c>
      <c r="AG4">
        <v>0.68324726104203637</v>
      </c>
      <c r="AH4">
        <v>6.4871536391468117E-4</v>
      </c>
      <c r="AJ4">
        <v>-2.2721587607241531</v>
      </c>
      <c r="AK4">
        <v>-2.6574646063263492</v>
      </c>
    </row>
    <row r="5" spans="1:40" x14ac:dyDescent="0.25">
      <c r="A5" t="str">
        <f ca="1"/>
        <v>Alcohol</v>
      </c>
      <c r="B5" s="15" t="b">
        <v>1</v>
      </c>
      <c r="C5" t="b">
        <v>1</v>
      </c>
      <c r="D5" t="str">
        <f ca="1"/>
        <v>Alcohol</v>
      </c>
      <c r="E5" s="4">
        <v>0.51786402591494285</v>
      </c>
      <c r="F5" s="4">
        <v>0.57084230798069313</v>
      </c>
      <c r="G5" s="5">
        <v>0.73471973909537491</v>
      </c>
      <c r="H5" s="5">
        <v>-0.66072814637500699</v>
      </c>
      <c r="I5" s="5">
        <v>2.0661154190675424</v>
      </c>
      <c r="J5" s="4">
        <v>0.48400006639092291</v>
      </c>
      <c r="L5" s="12" t="s">
        <v>476</v>
      </c>
      <c r="M5" s="9" cm="1">
        <f t="array" ref="M5">R_squared(x_s,y,Allow_Intercept,fil)</f>
        <v>0.88092508564671401</v>
      </c>
      <c r="O5" s="12" t="s">
        <v>480</v>
      </c>
      <c r="P5" s="9" cm="1">
        <f t="array" ref="P5">1-PRESS(x_s,y,Allow_Intercept,fil)/SS_Total(y,Allow_Intercept,fil)</f>
        <v>0.8243425304209272</v>
      </c>
      <c r="T5" s="12" t="s">
        <v>503</v>
      </c>
      <c r="U5">
        <f ca="1"/>
        <v>1.9815667570749009</v>
      </c>
      <c r="W5">
        <v>3</v>
      </c>
      <c r="X5">
        <v>75.649036230530285</v>
      </c>
      <c r="Y5">
        <v>-0.34903623053028809</v>
      </c>
      <c r="Z5">
        <v>75.667279927458978</v>
      </c>
      <c r="AA5">
        <v>0.74615384615384617</v>
      </c>
      <c r="AB5">
        <v>52.1</v>
      </c>
      <c r="AC5">
        <v>-0.11325182962090981</v>
      </c>
      <c r="AD5">
        <v>-1.9727933331309906</v>
      </c>
      <c r="AE5">
        <v>4.9672458429496108E-2</v>
      </c>
      <c r="AF5">
        <v>0.60353348574052101</v>
      </c>
      <c r="AG5">
        <v>-0.11617389999754073</v>
      </c>
      <c r="AH5">
        <v>3.712836939340739E-5</v>
      </c>
      <c r="AJ5">
        <v>-2.0699018308950512</v>
      </c>
      <c r="AK5">
        <v>-2.01890232471803</v>
      </c>
    </row>
    <row r="6" spans="1:40" x14ac:dyDescent="0.25">
      <c r="A6" t="str">
        <f ca="1"/>
        <v>percentage expenditure</v>
      </c>
      <c r="B6" s="15" t="b">
        <v>1</v>
      </c>
      <c r="C6" t="b">
        <v>1</v>
      </c>
      <c r="D6" t="str">
        <f ca="1"/>
        <v>percentage expenditure</v>
      </c>
      <c r="E6" s="4">
        <v>0.38024915766145889</v>
      </c>
      <c r="F6" s="4">
        <v>0.60757616433575512</v>
      </c>
      <c r="G6" s="5">
        <v>5.3614654422781047</v>
      </c>
      <c r="H6" s="5">
        <v>31.913745878952113</v>
      </c>
      <c r="I6" s="5">
        <v>9.4058434082771498</v>
      </c>
      <c r="J6" s="4">
        <v>0.10631688798050785</v>
      </c>
      <c r="L6" s="12" t="s">
        <v>477</v>
      </c>
      <c r="M6" s="9" cm="1">
        <f t="array" ref="M6">Adjusted_R2(x_s,y,Allow_Intercept,fil)</f>
        <v>0.86161564007591085</v>
      </c>
      <c r="O6" s="12" t="s">
        <v>481</v>
      </c>
      <c r="P6" s="9" cm="1">
        <f t="array" ref="P6">(DF_Regression(x_s)+IF(Allow_Intercept,1,0))/Observations(y,fil)</f>
        <v>0.14615384615384616</v>
      </c>
      <c r="T6" s="12" t="s">
        <v>497</v>
      </c>
      <c r="U6">
        <f ca="1"/>
        <v>64.25716314893458</v>
      </c>
      <c r="W6">
        <v>4</v>
      </c>
      <c r="X6">
        <v>58.831069773971478</v>
      </c>
      <c r="Y6">
        <v>-7.7310697739714769</v>
      </c>
      <c r="Z6">
        <v>59.776527567005999</v>
      </c>
      <c r="AA6">
        <v>1.5384615384615385E-2</v>
      </c>
      <c r="AB6">
        <v>52.2</v>
      </c>
      <c r="AC6">
        <v>-2.5085011819516705</v>
      </c>
      <c r="AD6">
        <v>-1.7818207621933051</v>
      </c>
      <c r="AE6">
        <v>0.10896730123117293</v>
      </c>
      <c r="AF6">
        <v>-2.2721587607241531</v>
      </c>
      <c r="AG6">
        <v>-2.6574646063263492</v>
      </c>
      <c r="AH6">
        <v>4.5455237388424857E-2</v>
      </c>
      <c r="AJ6">
        <v>-1.9280721392467048</v>
      </c>
      <c r="AK6">
        <v>-1.9507246994361684</v>
      </c>
      <c r="AN6" s="17"/>
    </row>
    <row r="7" spans="1:40" x14ac:dyDescent="0.25">
      <c r="A7" t="str">
        <f ca="1"/>
        <v>Hepatitis B</v>
      </c>
      <c r="B7" s="15" t="b">
        <v>1</v>
      </c>
      <c r="C7" t="b">
        <v>1</v>
      </c>
      <c r="D7" t="str">
        <f ca="1"/>
        <v>Hepatitis B</v>
      </c>
      <c r="E7" s="4">
        <v>0.18119016406722524</v>
      </c>
      <c r="F7" s="4">
        <v>0.30276769597946285</v>
      </c>
      <c r="G7" s="5">
        <v>-2.1191242133978743</v>
      </c>
      <c r="H7" s="5">
        <v>3.7126808813631653</v>
      </c>
      <c r="I7" s="5">
        <v>2.8547500898653069</v>
      </c>
      <c r="J7" s="4">
        <v>0.3502933596709974</v>
      </c>
      <c r="L7" s="12" t="s">
        <v>478</v>
      </c>
      <c r="M7" s="9" cm="1">
        <f t="array" ref="M7">SE_Regression(x_s,y,Allow_Intercept,fil)</f>
        <v>3.081947829881639</v>
      </c>
      <c r="O7" s="12" t="s">
        <v>65</v>
      </c>
      <c r="P7" s="9" cm="1">
        <f t="array" ref="P7">AIC(x_s,y,Allow_Intercept,fil)</f>
        <v>310.1055180544231</v>
      </c>
      <c r="T7" s="12" t="s">
        <v>498</v>
      </c>
      <c r="U7">
        <f ca="1"/>
        <v>76.518221466450086</v>
      </c>
      <c r="W7">
        <v>5</v>
      </c>
      <c r="X7">
        <v>76.801572810781153</v>
      </c>
      <c r="Y7">
        <v>-0.80157281078115261</v>
      </c>
      <c r="Z7">
        <v>76.89045647529845</v>
      </c>
      <c r="AA7">
        <v>0.7846153846153846</v>
      </c>
      <c r="AB7">
        <v>53.2</v>
      </c>
      <c r="AC7">
        <v>-0.26008643073362364</v>
      </c>
      <c r="AD7">
        <v>-1.6717735047977862</v>
      </c>
      <c r="AE7">
        <v>9.9818089915637148E-2</v>
      </c>
      <c r="AF7">
        <v>0.74901833610770818</v>
      </c>
      <c r="AG7">
        <v>-0.27412746763438262</v>
      </c>
      <c r="AH7">
        <v>4.3856147739951973E-4</v>
      </c>
      <c r="AJ7">
        <v>-1.8169108227999393</v>
      </c>
      <c r="AK7">
        <v>-1.8536811738783288</v>
      </c>
    </row>
    <row r="8" spans="1:40" x14ac:dyDescent="0.25">
      <c r="A8" t="str">
        <f ca="1"/>
        <v>Measles</v>
      </c>
      <c r="B8" s="15" t="b">
        <v>1</v>
      </c>
      <c r="C8" t="b">
        <v>1</v>
      </c>
      <c r="D8" t="str">
        <f ca="1"/>
        <v>Measles</v>
      </c>
      <c r="E8" s="4">
        <v>-0.16989532355475689</v>
      </c>
      <c r="F8" s="4">
        <v>-0.1840571455590318</v>
      </c>
      <c r="G8" s="5">
        <v>7.309378282288896</v>
      </c>
      <c r="H8" s="5">
        <v>62.105345068883032</v>
      </c>
      <c r="I8" s="5">
        <v>3.3447894833930611</v>
      </c>
      <c r="J8" s="4">
        <v>0.29897247792873594</v>
      </c>
      <c r="L8" s="13" t="s">
        <v>5</v>
      </c>
      <c r="M8" s="10" cm="1">
        <f t="array" ref="M8">Observations(y,fil)</f>
        <v>130</v>
      </c>
      <c r="O8" s="12" t="s">
        <v>69</v>
      </c>
      <c r="P8" s="9" cm="1">
        <f t="array" ref="P8">BIC(x_s,y,Allow_Intercept,fil)</f>
        <v>364.58867261307915</v>
      </c>
      <c r="T8" s="13" t="s">
        <v>504</v>
      </c>
      <c r="U8">
        <f ca="1"/>
        <v>0.95</v>
      </c>
      <c r="W8">
        <v>6</v>
      </c>
      <c r="X8">
        <v>73.690156375157358</v>
      </c>
      <c r="Y8">
        <v>0.70984362484264807</v>
      </c>
      <c r="Z8">
        <v>73.664921946077015</v>
      </c>
      <c r="AA8">
        <v>0.65384615384615385</v>
      </c>
      <c r="AB8">
        <v>54</v>
      </c>
      <c r="AC8">
        <v>0.23032305023473074</v>
      </c>
      <c r="AD8">
        <v>-1.5734559185638421</v>
      </c>
      <c r="AE8">
        <v>3.432891098525935E-2</v>
      </c>
      <c r="AF8">
        <v>0.36463402147370944</v>
      </c>
      <c r="AG8">
        <v>0.23438120823335945</v>
      </c>
      <c r="AH8">
        <v>1.0278335122546478E-4</v>
      </c>
      <c r="AJ8">
        <v>-1.7245123876414932</v>
      </c>
      <c r="AK8">
        <v>-1.6518561172458917</v>
      </c>
    </row>
    <row r="9" spans="1:40" x14ac:dyDescent="0.25">
      <c r="A9" t="str">
        <f ca="1"/>
        <v>BMI</v>
      </c>
      <c r="B9" s="15" t="b">
        <v>1</v>
      </c>
      <c r="C9" t="b">
        <v>1</v>
      </c>
      <c r="D9" t="str">
        <f ca="1"/>
        <v>BMI</v>
      </c>
      <c r="E9" s="4">
        <v>0.55146933460103043</v>
      </c>
      <c r="F9" s="4">
        <v>0.59379831225075974</v>
      </c>
      <c r="G9" s="5">
        <v>-0.20096104025635744</v>
      </c>
      <c r="H9" s="5">
        <v>-1.2990540822466983</v>
      </c>
      <c r="I9" s="5">
        <v>1.9461204537016097</v>
      </c>
      <c r="J9" s="4">
        <v>0.51384280870074328</v>
      </c>
      <c r="O9" s="12" t="s">
        <v>73</v>
      </c>
      <c r="P9" s="9" cm="1">
        <f t="array" ref="P9">AICc(x_s,y,Allow_Intercept,fil)</f>
        <v>317.01460896351404</v>
      </c>
      <c r="W9">
        <v>7</v>
      </c>
      <c r="X9">
        <v>84.551235875492324</v>
      </c>
      <c r="Y9">
        <v>-2.0512358754923241</v>
      </c>
      <c r="Z9">
        <v>85.910568745384609</v>
      </c>
      <c r="AA9">
        <v>0.96923076923076923</v>
      </c>
      <c r="AB9">
        <v>55.3</v>
      </c>
      <c r="AC9">
        <v>-0.66556476251939056</v>
      </c>
      <c r="AD9">
        <v>-1.4788024589955311</v>
      </c>
      <c r="AE9">
        <v>0.39856486450590212</v>
      </c>
      <c r="AF9">
        <v>1.8169108227999393</v>
      </c>
      <c r="AG9">
        <v>-0.85821464811470638</v>
      </c>
      <c r="AH9">
        <v>2.5689074594622139E-2</v>
      </c>
      <c r="AJ9">
        <v>-1.6448536269514726</v>
      </c>
      <c r="AK9">
        <v>-1.5604282204735105</v>
      </c>
    </row>
    <row r="10" spans="1:40" x14ac:dyDescent="0.25">
      <c r="A10" t="str">
        <f ca="1"/>
        <v>under-five deaths</v>
      </c>
      <c r="B10" s="15" t="b">
        <v>1</v>
      </c>
      <c r="C10" t="b">
        <v>1</v>
      </c>
      <c r="D10" t="str">
        <f ca="1"/>
        <v>under-five deaths</v>
      </c>
      <c r="E10" s="4">
        <v>-0.22576417217785466</v>
      </c>
      <c r="F10" s="4">
        <v>-0.57775374618084463</v>
      </c>
      <c r="G10" s="5">
        <v>7.1132716496560384</v>
      </c>
      <c r="H10" s="5">
        <v>57.197443449785254</v>
      </c>
      <c r="I10" s="5">
        <v>325.94118128750574</v>
      </c>
      <c r="J10" s="4">
        <v>3.06803821490087E-3</v>
      </c>
      <c r="O10" s="13" t="s">
        <v>482</v>
      </c>
      <c r="P10" s="10" cm="1">
        <f t="array" ref="P10">QQ_Correlation(x_s,y,Allow_Intercept,fil)</f>
        <v>0.98546530156451184</v>
      </c>
      <c r="T10" s="18" t="s">
        <v>467</v>
      </c>
      <c r="W10">
        <v>8</v>
      </c>
      <c r="X10">
        <v>81.707718427445215</v>
      </c>
      <c r="Y10">
        <v>-0.60771842744522075</v>
      </c>
      <c r="Z10">
        <v>81.767193459265854</v>
      </c>
      <c r="AA10">
        <v>0.9</v>
      </c>
      <c r="AB10">
        <v>56.4</v>
      </c>
      <c r="AC10">
        <v>-0.19718647459018149</v>
      </c>
      <c r="AD10">
        <v>-1.4136446709589916</v>
      </c>
      <c r="AE10">
        <v>8.9142108626309502E-2</v>
      </c>
      <c r="AF10">
        <v>1.2183870521704052</v>
      </c>
      <c r="AG10">
        <v>-0.20661022463039402</v>
      </c>
      <c r="AH10">
        <v>2.1987826251525618E-4</v>
      </c>
      <c r="AJ10">
        <v>-1.5744449652170427</v>
      </c>
      <c r="AK10">
        <v>-1.4621485521146045</v>
      </c>
    </row>
    <row r="11" spans="1:40" x14ac:dyDescent="0.25">
      <c r="A11" t="str">
        <f ca="1"/>
        <v>Polio</v>
      </c>
      <c r="B11" s="15" t="b">
        <v>1</v>
      </c>
      <c r="C11" t="b">
        <v>1</v>
      </c>
      <c r="D11" t="str">
        <f ca="1"/>
        <v>Polio</v>
      </c>
      <c r="E11" s="4">
        <v>0.41120557279182401</v>
      </c>
      <c r="F11" s="4">
        <v>0.48023866403120907</v>
      </c>
      <c r="G11" s="5">
        <v>-2.3095148614389114</v>
      </c>
      <c r="H11" s="5">
        <v>4.794436847262844</v>
      </c>
      <c r="I11" s="5">
        <v>1.7960779809750405</v>
      </c>
      <c r="J11" s="4">
        <v>0.55676869857127698</v>
      </c>
      <c r="O11" s="21" t="s">
        <v>534</v>
      </c>
      <c r="P11" cm="1">
        <f t="array" ref="P11">Durbin_Watson(x_s,y,Allow_Intercept,fil)</f>
        <v>2.2027990740454424</v>
      </c>
      <c r="T11" s="3" t="s">
        <v>505</v>
      </c>
      <c r="U11" s="3" t="s">
        <v>506</v>
      </c>
      <c r="W11">
        <v>9</v>
      </c>
      <c r="X11">
        <v>74.484776938056655</v>
      </c>
      <c r="Y11">
        <v>-2.2847769380566518</v>
      </c>
      <c r="Z11">
        <v>74.823665804275791</v>
      </c>
      <c r="AA11">
        <v>0.52307692307692311</v>
      </c>
      <c r="AB11">
        <v>56.7</v>
      </c>
      <c r="AC11">
        <v>-0.74134186046374373</v>
      </c>
      <c r="AD11">
        <v>-1.2158644468055955</v>
      </c>
      <c r="AE11">
        <v>0.1291661711132755</v>
      </c>
      <c r="AF11">
        <v>4.8223073555922237E-2</v>
      </c>
      <c r="AG11">
        <v>-0.79442129615532109</v>
      </c>
      <c r="AH11">
        <v>4.9267627492067326E-3</v>
      </c>
      <c r="AJ11">
        <v>-1.5110754421113992</v>
      </c>
      <c r="AK11">
        <v>-1.3108607463788147</v>
      </c>
    </row>
    <row r="12" spans="1:40" x14ac:dyDescent="0.25">
      <c r="A12" t="str">
        <f ca="1"/>
        <v>Total expenditure</v>
      </c>
      <c r="B12" s="15" t="b">
        <v>1</v>
      </c>
      <c r="C12" t="b">
        <v>1</v>
      </c>
      <c r="D12" t="str">
        <f ca="1"/>
        <v>Total expenditure</v>
      </c>
      <c r="E12" s="4">
        <v>0.2720686055209916</v>
      </c>
      <c r="F12" s="4">
        <v>0.33687636271935156</v>
      </c>
      <c r="G12" s="5">
        <v>0.18354482048854093</v>
      </c>
      <c r="H12" s="5">
        <v>-0.26791161962982057</v>
      </c>
      <c r="I12" s="5">
        <v>1.2395166135122064</v>
      </c>
      <c r="J12" s="4">
        <v>0.80676611277235799</v>
      </c>
      <c r="L12" s="3" t="s">
        <v>483</v>
      </c>
      <c r="M12" s="15">
        <v>0.05</v>
      </c>
      <c r="T12" t="s">
        <v>507</v>
      </c>
      <c r="U12" s="15">
        <f>IF(Allow_Intercept,1,0)</f>
        <v>1</v>
      </c>
      <c r="W12">
        <v>10</v>
      </c>
      <c r="X12">
        <v>70.476428606990581</v>
      </c>
      <c r="Y12">
        <v>0.52357139300941924</v>
      </c>
      <c r="Z12">
        <v>70.16641627206964</v>
      </c>
      <c r="AA12">
        <v>0.48461538461538461</v>
      </c>
      <c r="AB12">
        <v>57.3</v>
      </c>
      <c r="AC12">
        <v>0.16988327574303125</v>
      </c>
      <c r="AD12">
        <v>-1.1717363629998929</v>
      </c>
      <c r="AE12">
        <v>0.37190305488645875</v>
      </c>
      <c r="AF12">
        <v>-8.6877064104115193E-2</v>
      </c>
      <c r="AG12">
        <v>0.21435681033288975</v>
      </c>
      <c r="AH12">
        <v>1.4319374112926728E-3</v>
      </c>
      <c r="AJ12">
        <v>-1.4532518306335287</v>
      </c>
      <c r="AK12">
        <v>-1.2948361879522281</v>
      </c>
    </row>
    <row r="13" spans="1:40" x14ac:dyDescent="0.25">
      <c r="A13" t="str">
        <f ca="1"/>
        <v>Diphtheria</v>
      </c>
      <c r="B13" s="15" t="b">
        <v>1</v>
      </c>
      <c r="C13" t="b">
        <v>1</v>
      </c>
      <c r="D13" t="str">
        <f ca="1"/>
        <v>Diphtheria</v>
      </c>
      <c r="E13" s="4">
        <v>0.43500188575365423</v>
      </c>
      <c r="F13" s="4">
        <v>0.51856159765870524</v>
      </c>
      <c r="G13" s="5">
        <v>-2.8497896550533448</v>
      </c>
      <c r="H13" s="5">
        <v>9.4624756550393734</v>
      </c>
      <c r="I13" s="5">
        <v>3.2409148463499871</v>
      </c>
      <c r="J13" s="4">
        <v>0.30855485176546038</v>
      </c>
      <c r="L13" s="19" t="s">
        <v>484</v>
      </c>
      <c r="M13" s="6"/>
      <c r="N13" s="6"/>
      <c r="O13" s="6"/>
      <c r="P13" s="6"/>
      <c r="Q13" s="8"/>
      <c r="T13" t="str" cm="1">
        <f t="array" aca="1" ref="T13:T30" ca="1">Coefficient_Name_Col(All_Xs)</f>
        <v>Adult Mortality</v>
      </c>
      <c r="U13" s="16">
        <f t="shared" ref="U13:U30" ca="1" si="0">AVERAGE(_xlfn._xlws.FILTER(INDIRECT("LifeExpectancyData["&amp;T13&amp;"]"),fil))</f>
        <v>155.5</v>
      </c>
      <c r="W13">
        <v>11</v>
      </c>
      <c r="X13">
        <v>76.257592029324911</v>
      </c>
      <c r="Y13">
        <v>-4.5575920293249084</v>
      </c>
      <c r="Z13">
        <v>76.77461046480731</v>
      </c>
      <c r="AA13">
        <v>0.51538461538461533</v>
      </c>
      <c r="AB13">
        <v>57.6</v>
      </c>
      <c r="AC13">
        <v>-1.4788024589955311</v>
      </c>
      <c r="AD13">
        <v>-1.1624740003225282</v>
      </c>
      <c r="AE13">
        <v>0.10188337391962407</v>
      </c>
      <c r="AF13">
        <v>2.8926667506702412E-2</v>
      </c>
      <c r="AG13">
        <v>-1.5604282204735105</v>
      </c>
      <c r="AH13">
        <v>1.4537996942708822E-2</v>
      </c>
      <c r="AJ13">
        <v>-1.3999160421463073</v>
      </c>
      <c r="AK13">
        <v>-1.1959044266465113</v>
      </c>
    </row>
    <row r="14" spans="1:40" x14ac:dyDescent="0.25">
      <c r="A14" t="str">
        <f ca="1"/>
        <v>HIV/AIDS</v>
      </c>
      <c r="B14" s="15" t="b">
        <v>1</v>
      </c>
      <c r="C14" t="b">
        <v>1</v>
      </c>
      <c r="D14" t="str">
        <f ca="1"/>
        <v>HIV/AIDS</v>
      </c>
      <c r="E14" s="4">
        <v>-0.62576665909629758</v>
      </c>
      <c r="F14" s="4">
        <v>-0.78659067809622008</v>
      </c>
      <c r="G14" s="5">
        <v>2.9972911080632403</v>
      </c>
      <c r="H14" s="5">
        <v>9.7595502007176194</v>
      </c>
      <c r="I14" s="5">
        <v>2.2939262282648722</v>
      </c>
      <c r="J14" s="4">
        <v>0.4359338097617903</v>
      </c>
      <c r="L14" s="14"/>
      <c r="M14" s="3" t="s">
        <v>485</v>
      </c>
      <c r="N14" s="3" t="s">
        <v>486</v>
      </c>
      <c r="O14" s="3" t="s">
        <v>487</v>
      </c>
      <c r="P14" s="3" t="s">
        <v>488</v>
      </c>
      <c r="Q14" s="11" t="s">
        <v>489</v>
      </c>
      <c r="T14" t="str">
        <f ca="1"/>
        <v>infant deaths</v>
      </c>
      <c r="U14" s="16">
        <f t="shared" ca="1" si="0"/>
        <v>29.715384615384615</v>
      </c>
      <c r="W14">
        <v>12</v>
      </c>
      <c r="X14">
        <v>78.090042520880559</v>
      </c>
      <c r="Y14">
        <v>8.9099574791194414</v>
      </c>
      <c r="Z14">
        <v>77.058731348527061</v>
      </c>
      <c r="AA14">
        <v>1</v>
      </c>
      <c r="AB14">
        <v>58</v>
      </c>
      <c r="AC14">
        <v>2.8910150239180474</v>
      </c>
      <c r="AD14">
        <v>-1.1396862487685391</v>
      </c>
      <c r="AE14">
        <v>0.10374039858591841</v>
      </c>
      <c r="AF14">
        <v>2.6652851060249771</v>
      </c>
      <c r="AG14">
        <v>3.053749704841874</v>
      </c>
      <c r="AH14">
        <v>5.6810337081120127E-2</v>
      </c>
      <c r="AJ14">
        <v>-1.3502896938319295</v>
      </c>
      <c r="AK14">
        <v>-1.174862384262666</v>
      </c>
    </row>
    <row r="15" spans="1:40" x14ac:dyDescent="0.25">
      <c r="A15" t="str">
        <f ca="1"/>
        <v>GDP</v>
      </c>
      <c r="B15" s="15" t="b">
        <v>1</v>
      </c>
      <c r="C15" t="b">
        <v>1</v>
      </c>
      <c r="D15" t="str">
        <f ca="1"/>
        <v>GDP</v>
      </c>
      <c r="E15" s="4">
        <v>0.41024307669462801</v>
      </c>
      <c r="F15" s="4">
        <v>0.60226645881727781</v>
      </c>
      <c r="G15" s="5">
        <v>4.9858527371340795</v>
      </c>
      <c r="H15" s="5">
        <v>30.558040996048732</v>
      </c>
      <c r="I15" s="5">
        <v>9.9937822257304028</v>
      </c>
      <c r="J15" s="4">
        <v>0.10006221642746616</v>
      </c>
      <c r="L15" s="12" t="s">
        <v>490</v>
      </c>
      <c r="M15" cm="1">
        <f t="array" ref="M15">DF_Regression(x_s)</f>
        <v>18</v>
      </c>
      <c r="N15" cm="1">
        <f t="array" ref="N15">SS_Regression(x_s,y,Allow_Intercept,fil)</f>
        <v>7799.9576383938565</v>
      </c>
      <c r="O15" cm="1">
        <f t="array" ref="O15">MS_Regression(x_s,y,Allow_Intercept,fil)</f>
        <v>433.33097991076983</v>
      </c>
      <c r="P15" cm="1">
        <f t="array" ref="P15">F_Stat(x_s,y,Allow_Intercept,fil)</f>
        <v>45.621459322411496</v>
      </c>
      <c r="Q15" s="9" cm="1">
        <f t="array" ref="Q15">P_Value_F(x_s,y,Allow_Intercept,fil)</f>
        <v>7.8173513321005384E-43</v>
      </c>
      <c r="T15" t="str">
        <f ca="1"/>
        <v>Alcohol</v>
      </c>
      <c r="U15" s="16">
        <f t="shared" ca="1" si="0"/>
        <v>3.8367692307692285</v>
      </c>
      <c r="W15">
        <v>13</v>
      </c>
      <c r="X15">
        <v>73.411230341140921</v>
      </c>
      <c r="Y15">
        <v>-3.6112303411409243</v>
      </c>
      <c r="Z15">
        <v>73.561736074569453</v>
      </c>
      <c r="AA15">
        <v>0.45384615384615384</v>
      </c>
      <c r="AB15">
        <v>58.1</v>
      </c>
      <c r="AC15">
        <v>-1.1717363629998929</v>
      </c>
      <c r="AD15">
        <v>-1.0501568517501008</v>
      </c>
      <c r="AE15">
        <v>4.0009647259945033E-2</v>
      </c>
      <c r="AF15">
        <v>-0.12566134685507402</v>
      </c>
      <c r="AG15">
        <v>-1.1959044266465113</v>
      </c>
      <c r="AH15">
        <v>3.1371638340005059E-3</v>
      </c>
      <c r="AJ15">
        <v>-1.3037826721034875</v>
      </c>
      <c r="AK15">
        <v>-1.1722566424263086</v>
      </c>
    </row>
    <row r="16" spans="1:40" x14ac:dyDescent="0.25">
      <c r="A16" t="str">
        <f ca="1"/>
        <v>Population</v>
      </c>
      <c r="B16" s="15" t="b">
        <v>1</v>
      </c>
      <c r="C16" t="b">
        <v>1</v>
      </c>
      <c r="D16" t="str">
        <f ca="1"/>
        <v>Population</v>
      </c>
      <c r="E16" s="4">
        <v>-5.5111638937585958E-2</v>
      </c>
      <c r="F16" s="4">
        <v>-0.11214294710783888</v>
      </c>
      <c r="G16" s="5">
        <v>3.7648041219673103</v>
      </c>
      <c r="H16" s="5">
        <v>15.904819136740961</v>
      </c>
      <c r="I16" s="5">
        <v>1.9116264646707661</v>
      </c>
      <c r="J16" s="4">
        <v>0.52311474991649431</v>
      </c>
      <c r="L16" s="12" t="s">
        <v>491</v>
      </c>
      <c r="M16" cm="1">
        <f t="array" ref="M16">DF_Residual(x_s,y,Allow_Intercept,fil)</f>
        <v>111</v>
      </c>
      <c r="N16" cm="1">
        <f t="array" ref="N16">SS_Residual(x_s,y,Allow_Intercept,fil)</f>
        <v>1054.3226692984479</v>
      </c>
      <c r="O16" cm="1">
        <f t="array" ref="O16">MS_Residual(x_s,y,Allow_Intercept,fil)</f>
        <v>9.4984024261121434</v>
      </c>
      <c r="Q16" s="9"/>
      <c r="T16" t="str">
        <f ca="1"/>
        <v>percentage expenditure</v>
      </c>
      <c r="U16" s="16">
        <f t="shared" ca="1" si="0"/>
        <v>762.53537534603049</v>
      </c>
      <c r="W16">
        <v>14</v>
      </c>
      <c r="X16">
        <v>60.204667965313185</v>
      </c>
      <c r="Y16">
        <v>-0.70466796531318465</v>
      </c>
      <c r="Z16">
        <v>60.234955794388682</v>
      </c>
      <c r="AA16">
        <v>0.13846153846153847</v>
      </c>
      <c r="AB16">
        <v>58.6</v>
      </c>
      <c r="AC16">
        <v>-0.22864370333622655</v>
      </c>
      <c r="AD16">
        <v>-1.0059443198981366</v>
      </c>
      <c r="AE16">
        <v>4.1210409260990725E-2</v>
      </c>
      <c r="AF16">
        <v>-1.1048357439621104</v>
      </c>
      <c r="AG16">
        <v>-0.23350575600802045</v>
      </c>
      <c r="AH16">
        <v>1.2334603607872574E-4</v>
      </c>
      <c r="AJ16">
        <v>-1.2599363963454768</v>
      </c>
      <c r="AK16">
        <v>-1.1465070038224379</v>
      </c>
    </row>
    <row r="17" spans="1:37" x14ac:dyDescent="0.25">
      <c r="A17" t="str">
        <f ca="1"/>
        <v>thinness 1-19 years</v>
      </c>
      <c r="B17" s="15" t="b">
        <v>1</v>
      </c>
      <c r="C17" t="b">
        <v>1</v>
      </c>
      <c r="D17" t="str">
        <f ca="1"/>
        <v>thinness 1-19 years</v>
      </c>
      <c r="E17" s="4">
        <v>-0.43413921468912076</v>
      </c>
      <c r="F17" s="4">
        <v>-0.62561413085806339</v>
      </c>
      <c r="G17" s="5">
        <v>1.9491737103861979</v>
      </c>
      <c r="H17" s="5">
        <v>5.114782192526965</v>
      </c>
      <c r="I17" s="5">
        <v>8.5084021349041148</v>
      </c>
      <c r="J17" s="4">
        <v>0.11753088113897305</v>
      </c>
      <c r="L17" s="13" t="s">
        <v>492</v>
      </c>
      <c r="M17" s="7" cm="1">
        <f t="array" ref="M17">DF_Total(y,Allow_Intercept,fil)</f>
        <v>129</v>
      </c>
      <c r="N17" s="7" cm="1">
        <f t="array" ref="N17">SS_Total(y,Allow_Intercept,fil)</f>
        <v>8854.2803076923046</v>
      </c>
      <c r="O17" s="7"/>
      <c r="P17" s="7"/>
      <c r="Q17" s="10"/>
      <c r="T17" t="str">
        <f ca="1"/>
        <v>Hepatitis B</v>
      </c>
      <c r="U17" s="16">
        <f t="shared" ca="1" si="0"/>
        <v>81.761538461538464</v>
      </c>
      <c r="W17">
        <v>15</v>
      </c>
      <c r="X17">
        <v>65.335047654628028</v>
      </c>
      <c r="Y17">
        <v>3.7649523453719667</v>
      </c>
      <c r="Z17">
        <v>64.806506366564491</v>
      </c>
      <c r="AA17">
        <v>0.40769230769230769</v>
      </c>
      <c r="AB17">
        <v>58.8</v>
      </c>
      <c r="AC17">
        <v>1.2216145610474394</v>
      </c>
      <c r="AD17">
        <v>-0.9444267147030021</v>
      </c>
      <c r="AE17">
        <v>0.12310284658338047</v>
      </c>
      <c r="AF17">
        <v>-0.26331513869093232</v>
      </c>
      <c r="AG17">
        <v>1.304547420878035</v>
      </c>
      <c r="AH17">
        <v>1.2574350891671752E-2</v>
      </c>
      <c r="AJ17">
        <v>-1.2183870521704045</v>
      </c>
      <c r="AK17">
        <v>-1.0773729081769121</v>
      </c>
    </row>
    <row r="18" spans="1:37" x14ac:dyDescent="0.25">
      <c r="A18" t="str">
        <f ca="1"/>
        <v>thinness 5-9 years</v>
      </c>
      <c r="B18" s="15" t="b">
        <v>1</v>
      </c>
      <c r="C18" t="b">
        <v>1</v>
      </c>
      <c r="D18" t="str">
        <f ca="1"/>
        <v>thinness 5-9 years</v>
      </c>
      <c r="E18" s="4">
        <v>-0.42952447225887086</v>
      </c>
      <c r="F18" s="4">
        <v>-0.62725480138927814</v>
      </c>
      <c r="G18" s="5">
        <v>1.9912257926002594</v>
      </c>
      <c r="H18" s="5">
        <v>5.8825765877772209</v>
      </c>
      <c r="I18" s="5">
        <v>7.3410251277015144</v>
      </c>
      <c r="J18" s="4">
        <v>0.13622075699298164</v>
      </c>
      <c r="T18" t="str">
        <f ca="1"/>
        <v>Measles</v>
      </c>
      <c r="U18" s="16">
        <f t="shared" ca="1" si="0"/>
        <v>1370.4846153846154</v>
      </c>
      <c r="W18">
        <v>16</v>
      </c>
      <c r="X18">
        <v>76.101115630136746</v>
      </c>
      <c r="Y18">
        <v>0.8988843698632536</v>
      </c>
      <c r="Z18">
        <v>76.054015333653211</v>
      </c>
      <c r="AA18">
        <v>0.81538461538461537</v>
      </c>
      <c r="AB18">
        <v>59</v>
      </c>
      <c r="AC18">
        <v>0.29166112454855375</v>
      </c>
      <c r="AD18">
        <v>-0.93408714017328465</v>
      </c>
      <c r="AE18">
        <v>4.9789703955162481E-2</v>
      </c>
      <c r="AF18">
        <v>0.88357981934110352</v>
      </c>
      <c r="AG18">
        <v>0.29920488513048288</v>
      </c>
      <c r="AH18">
        <v>2.468900406114415E-4</v>
      </c>
      <c r="AJ18">
        <v>-1.1788408905575476</v>
      </c>
      <c r="AK18">
        <v>-1.0110249729372656</v>
      </c>
    </row>
    <row r="19" spans="1:37" x14ac:dyDescent="0.25">
      <c r="A19" t="str">
        <f ca="1"/>
        <v>Income composition of resources</v>
      </c>
      <c r="B19" s="15" t="b">
        <v>1</v>
      </c>
      <c r="C19" t="b">
        <v>1</v>
      </c>
      <c r="D19" t="str">
        <f ca="1"/>
        <v>Income composition of resources</v>
      </c>
      <c r="E19" s="4">
        <v>0.88729323720520725</v>
      </c>
      <c r="F19" s="4">
        <v>0.89649714457138685</v>
      </c>
      <c r="G19" s="5">
        <v>-0.24065540856280163</v>
      </c>
      <c r="H19" s="5">
        <v>-0.9663069367178645</v>
      </c>
      <c r="I19" s="5">
        <v>10.14871169695164</v>
      </c>
      <c r="J19" s="4">
        <v>9.8534674140006273E-2</v>
      </c>
      <c r="L19" s="18" t="s">
        <v>493</v>
      </c>
      <c r="T19" t="str">
        <f ca="1"/>
        <v>BMI</v>
      </c>
      <c r="U19" s="16">
        <f t="shared" ca="1" si="0"/>
        <v>40.066923076923075</v>
      </c>
      <c r="W19">
        <v>17</v>
      </c>
      <c r="X19">
        <v>68.556779125885811</v>
      </c>
      <c r="Y19">
        <v>-4.356779125885808</v>
      </c>
      <c r="Z19">
        <v>68.860881051082771</v>
      </c>
      <c r="AA19">
        <v>0.23076923076923078</v>
      </c>
      <c r="AB19">
        <v>59.4</v>
      </c>
      <c r="AC19">
        <v>-1.4136446709589916</v>
      </c>
      <c r="AD19">
        <v>-0.88565802266959748</v>
      </c>
      <c r="AE19">
        <v>6.5245588090328543E-2</v>
      </c>
      <c r="AF19">
        <v>-0.74901833610770818</v>
      </c>
      <c r="AG19">
        <v>-1.4621485521146045</v>
      </c>
      <c r="AH19">
        <v>7.853857595494609E-3</v>
      </c>
      <c r="AJ19">
        <v>-1.1410571199210437</v>
      </c>
      <c r="AK19">
        <v>-1.0076096782014357</v>
      </c>
    </row>
    <row r="20" spans="1:37" x14ac:dyDescent="0.25">
      <c r="A20" t="str">
        <f ca="1"/>
        <v>Schooling</v>
      </c>
      <c r="B20" s="15" t="b">
        <v>1</v>
      </c>
      <c r="C20" t="b">
        <v>1</v>
      </c>
      <c r="D20" t="str">
        <f ca="1"/>
        <v>Schooling</v>
      </c>
      <c r="E20" s="4">
        <v>0.78450329645774475</v>
      </c>
      <c r="F20" s="4">
        <v>0.83188661327529712</v>
      </c>
      <c r="G20" s="5">
        <v>-5.6742384280304259E-2</v>
      </c>
      <c r="H20" s="5">
        <v>-4.3484194391614661E-2</v>
      </c>
      <c r="I20" s="5">
        <v>7.2059972229870395</v>
      </c>
      <c r="J20" s="4">
        <v>0.13877329799823024</v>
      </c>
      <c r="L20" s="3"/>
      <c r="M20" s="3" t="s">
        <v>85</v>
      </c>
      <c r="N20" s="3" t="s">
        <v>494</v>
      </c>
      <c r="O20" s="3" t="s">
        <v>495</v>
      </c>
      <c r="P20" s="3" t="s">
        <v>496</v>
      </c>
      <c r="Q20" s="3" t="s">
        <v>497</v>
      </c>
      <c r="R20" s="3" t="s">
        <v>498</v>
      </c>
      <c r="T20" t="str">
        <f ca="1"/>
        <v>under-five deaths</v>
      </c>
      <c r="U20" s="16">
        <f t="shared" ca="1" si="0"/>
        <v>40.223076923076924</v>
      </c>
      <c r="W20">
        <v>18</v>
      </c>
      <c r="X20">
        <v>73.87608321830659</v>
      </c>
      <c r="Y20">
        <v>0.82391678169341276</v>
      </c>
      <c r="Z20">
        <v>73.833113027736346</v>
      </c>
      <c r="AA20">
        <v>0.7</v>
      </c>
      <c r="AB20">
        <v>59.5</v>
      </c>
      <c r="AC20">
        <v>0.26733638178588343</v>
      </c>
      <c r="AD20">
        <v>-0.86840699821413436</v>
      </c>
      <c r="AE20">
        <v>4.9568388896230241E-2</v>
      </c>
      <c r="AF20">
        <v>0.51337031319247561</v>
      </c>
      <c r="AG20">
        <v>0.27421905488502935</v>
      </c>
      <c r="AH20">
        <v>2.0640755499229884E-4</v>
      </c>
      <c r="AJ20">
        <v>-1.1048357439621104</v>
      </c>
      <c r="AK20">
        <v>-0.92163911942630505</v>
      </c>
    </row>
    <row r="21" spans="1:37" x14ac:dyDescent="0.25">
      <c r="C21" t="b">
        <v>1</v>
      </c>
      <c r="L21" t="str" cm="1">
        <f t="array" aca="1" ref="L21:L39" ca="1">IF(Allow_Intercept,_xlfn.VSTACK("Intercept",Coefficient_Name_Col(All_Xs,Ind_Var_Filter)),_xlfn.VSTACK("",Coefficient_Name_Col(All_Xs,Ind_Var_Filter)))</f>
        <v>Intercept</v>
      </c>
      <c r="M21" cm="1">
        <f t="array" ref="M21:M39">IF(Allow_Intercept,Coefficients(x_s,y,Allow_Intercept,fil),_xlfn.VSTACK("",Coefficients(x_s,y,Allow_Intercept,fil)))</f>
        <v>44.41737994446725</v>
      </c>
      <c r="N21" cm="1">
        <f t="array" ref="N21:N39">IF(Allow_Intercept,SE_Coefficients(x_s,y,Allow_Intercept,fil),_xlfn.VSTACK("",SE_Coefficients(x_s,y,Allow_Intercept,fil)))</f>
        <v>2.6575899750450311</v>
      </c>
      <c r="O21" cm="1">
        <f t="array" ref="O21:O39">IF(Allow_Intercept,T_Stats(x_s,y,Allow_Intercept,fil),_xlfn.VSTACK("",T_Stats(x_s,y,Allow_Intercept,fil)))</f>
        <v>16.713405890882257</v>
      </c>
      <c r="P21" cm="1">
        <f t="array" ref="P21:P39">IF(Allow_Intercept,P_Values(x_s,y,Allow_Intercept,fil),_xlfn.VSTACK("",P_Values(x_s,y,Allow_Intercept,fil)))</f>
        <v>4.3641997900614134E-32</v>
      </c>
      <c r="Q21" cm="1">
        <f t="array" ref="Q21:Q39">IF(Allow_Intercept,CI_Lower(x_s,y,Allow_Intercept,fil),_xlfn.VSTACK("",CI_Lower(x_s,y,Allow_Intercept,fil)))</f>
        <v>39.151187995982497</v>
      </c>
      <c r="R21" cm="1">
        <f t="array" ref="R21:R39">IF(Allow_Intercept,CI_Upper(x_s,y,Allow_Intercept,fil),_xlfn.VSTACK("",CI_Upper(x_s,y,Allow_Intercept,fil)))</f>
        <v>49.683571892952003</v>
      </c>
      <c r="T21" t="str">
        <f ca="1"/>
        <v>Polio</v>
      </c>
      <c r="U21" s="16">
        <f t="shared" ca="1" si="0"/>
        <v>83.407692307692301</v>
      </c>
      <c r="W21">
        <v>19</v>
      </c>
      <c r="X21">
        <v>76.198452911238732</v>
      </c>
      <c r="Y21">
        <v>-2.0984529112387378</v>
      </c>
      <c r="Z21">
        <v>76.376729508024653</v>
      </c>
      <c r="AA21">
        <v>0.63076923076923075</v>
      </c>
      <c r="AB21">
        <v>59.9</v>
      </c>
      <c r="AC21">
        <v>-0.68088528004684878</v>
      </c>
      <c r="AD21">
        <v>-0.82001833028103788</v>
      </c>
      <c r="AE21">
        <v>7.8303810864468332E-2</v>
      </c>
      <c r="AF21">
        <v>0.28333105084294746</v>
      </c>
      <c r="AG21">
        <v>-0.70921848977672608</v>
      </c>
      <c r="AH21">
        <v>2.2490629159681811E-3</v>
      </c>
      <c r="AJ21">
        <v>-1.0700087179328286</v>
      </c>
      <c r="AK21">
        <v>-0.91795041167293911</v>
      </c>
    </row>
    <row r="22" spans="1:37" x14ac:dyDescent="0.25">
      <c r="L22" t="str">
        <f ca="1"/>
        <v>Adult Mortality</v>
      </c>
      <c r="M22">
        <v>-9.5267237603879704E-3</v>
      </c>
      <c r="N22">
        <v>3.935344783389234E-3</v>
      </c>
      <c r="O22">
        <v>-2.420810446037533</v>
      </c>
      <c r="P22">
        <v>1.7107563074400461E-2</v>
      </c>
      <c r="Q22">
        <v>-1.7324872160780203E-2</v>
      </c>
      <c r="R22">
        <v>-1.7285753599957376E-3</v>
      </c>
      <c r="T22" t="str">
        <f ca="1"/>
        <v>Total expenditure</v>
      </c>
      <c r="U22" s="16">
        <f t="shared" ca="1" si="0"/>
        <v>6.2642307692307675</v>
      </c>
      <c r="W22">
        <v>20</v>
      </c>
      <c r="X22">
        <v>60.118085925781791</v>
      </c>
      <c r="Y22">
        <v>-1.1180859257817914</v>
      </c>
      <c r="Z22">
        <v>60.340103401817338</v>
      </c>
      <c r="AA22">
        <v>0.12307692307692308</v>
      </c>
      <c r="AB22">
        <v>61.1</v>
      </c>
      <c r="AC22">
        <v>-0.36278548096796664</v>
      </c>
      <c r="AD22">
        <v>-0.79837468603618933</v>
      </c>
      <c r="AE22">
        <v>0.16567189944780578</v>
      </c>
      <c r="AF22">
        <v>-1.1788408905575476</v>
      </c>
      <c r="AG22">
        <v>-0.39717459586514764</v>
      </c>
      <c r="AH22">
        <v>1.6486228090658972E-3</v>
      </c>
      <c r="AJ22">
        <v>-1.0364333894937898</v>
      </c>
      <c r="AK22">
        <v>-0.86731862254892933</v>
      </c>
    </row>
    <row r="23" spans="1:37" x14ac:dyDescent="0.25">
      <c r="L23" t="str">
        <f ca="1"/>
        <v>infant deaths</v>
      </c>
      <c r="M23">
        <v>3.7150748431203952E-2</v>
      </c>
      <c r="N23">
        <v>4.5635534436446169E-2</v>
      </c>
      <c r="O23">
        <v>0.81407501610267186</v>
      </c>
      <c r="P23">
        <v>0.41734496544749711</v>
      </c>
      <c r="Q23">
        <v>-5.3279109549404645E-2</v>
      </c>
      <c r="R23">
        <v>0.12758060641181254</v>
      </c>
      <c r="T23" t="str">
        <f ca="1"/>
        <v>Diphtheria</v>
      </c>
      <c r="U23" s="16">
        <f t="shared" ca="1" si="0"/>
        <v>86.669230769230765</v>
      </c>
      <c r="W23">
        <v>21</v>
      </c>
      <c r="X23">
        <v>61.478807834577403</v>
      </c>
      <c r="Y23">
        <v>-2.8788078345774011</v>
      </c>
      <c r="Z23">
        <v>61.972575307031939</v>
      </c>
      <c r="AA23">
        <v>0.1076923076923077</v>
      </c>
      <c r="AB23">
        <v>61.9</v>
      </c>
      <c r="AC23">
        <v>-0.93408714017328465</v>
      </c>
      <c r="AD23">
        <v>-0.79385211069859474</v>
      </c>
      <c r="AE23">
        <v>0.14640665589438831</v>
      </c>
      <c r="AF23">
        <v>-1.2599363963454768</v>
      </c>
      <c r="AG23">
        <v>-1.0110249729372656</v>
      </c>
      <c r="AH23">
        <v>9.2274131469660039E-3</v>
      </c>
      <c r="AJ23">
        <v>-1.0039875483647984</v>
      </c>
      <c r="AK23">
        <v>-0.86374768678628122</v>
      </c>
    </row>
    <row r="24" spans="1:37" x14ac:dyDescent="0.25">
      <c r="L24" t="str">
        <f ca="1"/>
        <v>Alcohol</v>
      </c>
      <c r="M24">
        <v>-0.13207804788970401</v>
      </c>
      <c r="N24">
        <v>9.4079457697520075E-2</v>
      </c>
      <c r="O24">
        <v>-1.403898907605901</v>
      </c>
      <c r="P24">
        <v>0.16314061030317015</v>
      </c>
      <c r="Q24">
        <v>-0.31850277378674419</v>
      </c>
      <c r="R24">
        <v>5.4346678007336169E-2</v>
      </c>
      <c r="T24" t="str">
        <f ca="1"/>
        <v>HIV/AIDS</v>
      </c>
      <c r="U24" s="16">
        <f t="shared" ca="1" si="0"/>
        <v>0.89923076923076795</v>
      </c>
      <c r="W24">
        <v>22</v>
      </c>
      <c r="X24">
        <v>70.382822244622446</v>
      </c>
      <c r="Y24">
        <v>2.4171777553775513</v>
      </c>
      <c r="Z24">
        <v>70.19371579077746</v>
      </c>
      <c r="AA24">
        <v>0.53076923076923077</v>
      </c>
      <c r="AB24">
        <v>62.4</v>
      </c>
      <c r="AC24">
        <v>0.7843019703128401</v>
      </c>
      <c r="AD24">
        <v>-0.77697512220515308</v>
      </c>
      <c r="AE24">
        <v>7.2557878828338404E-2</v>
      </c>
      <c r="AF24">
        <v>6.7537453930295754E-2</v>
      </c>
      <c r="AG24">
        <v>0.81440399982189593</v>
      </c>
      <c r="AH24">
        <v>2.7310141909166652E-3</v>
      </c>
      <c r="AJ24">
        <v>-0.97256563174841171</v>
      </c>
      <c r="AK24">
        <v>-0.85821464811470638</v>
      </c>
    </row>
    <row r="25" spans="1:37" x14ac:dyDescent="0.25">
      <c r="L25" t="str">
        <f ca="1"/>
        <v>percentage expenditure</v>
      </c>
      <c r="M25">
        <v>6.5148221165956519E-4</v>
      </c>
      <c r="N25">
        <v>4.1487242173507091E-4</v>
      </c>
      <c r="O25">
        <v>1.5703193982741723</v>
      </c>
      <c r="P25">
        <v>0.11918712015546523</v>
      </c>
      <c r="Q25">
        <v>-1.7061518767780986E-4</v>
      </c>
      <c r="R25">
        <v>1.4735796109969401E-3</v>
      </c>
      <c r="T25" t="str">
        <f ca="1"/>
        <v>GDP</v>
      </c>
      <c r="U25" s="16">
        <f t="shared" ca="1" si="0"/>
        <v>6381.7323801023058</v>
      </c>
      <c r="W25">
        <v>23</v>
      </c>
      <c r="X25">
        <v>65.602786056272819</v>
      </c>
      <c r="Y25">
        <v>2.1972139437271778</v>
      </c>
      <c r="Z25">
        <v>65.484400547889479</v>
      </c>
      <c r="AA25">
        <v>0.34615384615384615</v>
      </c>
      <c r="AB25">
        <v>62.6</v>
      </c>
      <c r="AC25">
        <v>0.71293028468024422</v>
      </c>
      <c r="AD25">
        <v>-0.7528924719061203</v>
      </c>
      <c r="AE25">
        <v>5.1125210051090851E-2</v>
      </c>
      <c r="AF25">
        <v>-0.40617314499199975</v>
      </c>
      <c r="AG25">
        <v>0.73188460068330485</v>
      </c>
      <c r="AH25">
        <v>1.5190001436821538E-3</v>
      </c>
      <c r="AJ25">
        <v>-0.94207577499577688</v>
      </c>
      <c r="AK25">
        <v>-0.84894714159828955</v>
      </c>
    </row>
    <row r="26" spans="1:37" x14ac:dyDescent="0.25">
      <c r="L26" t="str">
        <f ca="1"/>
        <v>Hepatitis B</v>
      </c>
      <c r="M26">
        <v>-9.2826300840744714E-3</v>
      </c>
      <c r="N26">
        <v>1.885382239802862E-2</v>
      </c>
      <c r="O26">
        <v>-0.49234738124217586</v>
      </c>
      <c r="P26">
        <v>0.62344619820419234</v>
      </c>
      <c r="Q26">
        <v>-4.6642737791802176E-2</v>
      </c>
      <c r="R26">
        <v>2.8077477623653237E-2</v>
      </c>
      <c r="T26" t="str">
        <f ca="1"/>
        <v>Population</v>
      </c>
      <c r="U26" s="16">
        <f t="shared" ca="1" si="0"/>
        <v>13268546.366230769</v>
      </c>
      <c r="W26">
        <v>24</v>
      </c>
      <c r="X26">
        <v>58.927253713472808</v>
      </c>
      <c r="Y26">
        <v>-2.5272537134728097</v>
      </c>
      <c r="Z26">
        <v>59.108713193969677</v>
      </c>
      <c r="AA26">
        <v>6.1538461538461542E-2</v>
      </c>
      <c r="AB26">
        <v>62.7</v>
      </c>
      <c r="AC26">
        <v>-0.82001833028103788</v>
      </c>
      <c r="AD26">
        <v>-0.75202189417597909</v>
      </c>
      <c r="AE26">
        <v>6.6991027658758445E-2</v>
      </c>
      <c r="AF26">
        <v>-1.5744449652170427</v>
      </c>
      <c r="AG26">
        <v>-0.84894714159828955</v>
      </c>
      <c r="AH26">
        <v>2.7235698613323964E-3</v>
      </c>
      <c r="AJ26">
        <v>-0.91243749037238742</v>
      </c>
      <c r="AK26">
        <v>-0.82405960948067059</v>
      </c>
    </row>
    <row r="27" spans="1:37" x14ac:dyDescent="0.25">
      <c r="L27" t="str">
        <f ca="1"/>
        <v>Measles</v>
      </c>
      <c r="M27">
        <v>1.2221446029490652E-5</v>
      </c>
      <c r="N27">
        <v>8.980047892512585E-5</v>
      </c>
      <c r="O27">
        <v>0.13609555512148985</v>
      </c>
      <c r="P27">
        <v>0.89199225917993941</v>
      </c>
      <c r="Q27">
        <v>-1.6572419777794397E-4</v>
      </c>
      <c r="R27">
        <v>1.9016708983692529E-4</v>
      </c>
      <c r="T27" t="str">
        <f ca="1"/>
        <v>thinness 1-19 years</v>
      </c>
      <c r="U27" s="16">
        <f t="shared" ca="1" si="0"/>
        <v>4.7469230769230784</v>
      </c>
      <c r="W27">
        <v>25</v>
      </c>
      <c r="X27">
        <v>82.673172017574345</v>
      </c>
      <c r="Y27">
        <v>-0.87317201757434759</v>
      </c>
      <c r="Z27">
        <v>83.0663251170091</v>
      </c>
      <c r="AA27">
        <v>0.92307692307692313</v>
      </c>
      <c r="AB27">
        <v>62.7</v>
      </c>
      <c r="AC27">
        <v>-0.2833182343673486</v>
      </c>
      <c r="AD27">
        <v>-0.74134186046374373</v>
      </c>
      <c r="AE27">
        <v>0.31046774177813774</v>
      </c>
      <c r="AF27">
        <v>1.3999160421463082</v>
      </c>
      <c r="AG27">
        <v>-0.34119073731615512</v>
      </c>
      <c r="AH27">
        <v>2.7586890948908152E-3</v>
      </c>
      <c r="AJ27">
        <v>-0.91243749037238742</v>
      </c>
      <c r="AK27">
        <v>-0.81454100262906892</v>
      </c>
    </row>
    <row r="28" spans="1:37" x14ac:dyDescent="0.25">
      <c r="L28" t="str">
        <f ca="1"/>
        <v>BMI</v>
      </c>
      <c r="M28">
        <v>1.3674454693348477E-5</v>
      </c>
      <c r="N28">
        <v>1.8628923444534165E-2</v>
      </c>
      <c r="O28">
        <v>7.3404427980300932E-4</v>
      </c>
      <c r="P28">
        <v>0.99941563505793463</v>
      </c>
      <c r="Q28">
        <v>-3.6900780963088811E-2</v>
      </c>
      <c r="R28">
        <v>3.6928129872475512E-2</v>
      </c>
      <c r="T28" t="str">
        <f ca="1"/>
        <v>thinness 5-9 years</v>
      </c>
      <c r="U28" s="16">
        <f t="shared" ca="1" si="0"/>
        <v>4.72</v>
      </c>
      <c r="W28">
        <v>26</v>
      </c>
      <c r="X28">
        <v>50.534484881582856</v>
      </c>
      <c r="Y28">
        <v>-0.63448488158285699</v>
      </c>
      <c r="Z28">
        <v>50.670678219877367</v>
      </c>
      <c r="AA28">
        <v>7.6923076923076927E-3</v>
      </c>
      <c r="AB28">
        <v>62.7</v>
      </c>
      <c r="AC28">
        <v>-0.20587138933082594</v>
      </c>
      <c r="AD28">
        <v>-0.73007659129179137</v>
      </c>
      <c r="AE28">
        <v>0.17671881049938395</v>
      </c>
      <c r="AF28">
        <v>-2.6652851060249758</v>
      </c>
      <c r="AG28">
        <v>-0.22689341879467756</v>
      </c>
      <c r="AH28">
        <v>5.8160051724188793E-4</v>
      </c>
      <c r="AJ28">
        <v>-0.91243749037238742</v>
      </c>
      <c r="AK28">
        <v>-0.79442129615532109</v>
      </c>
    </row>
    <row r="29" spans="1:37" x14ac:dyDescent="0.25">
      <c r="L29" t="str">
        <f ca="1"/>
        <v>under-five deaths</v>
      </c>
      <c r="M29">
        <v>-3.0497788224152417E-2</v>
      </c>
      <c r="N29">
        <v>3.5033809117223515E-2</v>
      </c>
      <c r="O29">
        <v>-0.87052447314839443</v>
      </c>
      <c r="P29">
        <v>0.38589260157989003</v>
      </c>
      <c r="Q29">
        <v>-9.9919619744550117E-2</v>
      </c>
      <c r="R29">
        <v>3.8924043296245284E-2</v>
      </c>
      <c r="T29" t="str">
        <f ca="1"/>
        <v>Income composition of resources</v>
      </c>
      <c r="U29" s="16">
        <f t="shared" ca="1" si="0"/>
        <v>0.66570769230769233</v>
      </c>
      <c r="W29">
        <v>27</v>
      </c>
      <c r="X29">
        <v>53.453752807838697</v>
      </c>
      <c r="Y29">
        <v>-1.2537528078386941</v>
      </c>
      <c r="Z29">
        <v>53.597903823473793</v>
      </c>
      <c r="AA29">
        <v>3.0769230769230771E-2</v>
      </c>
      <c r="AB29">
        <v>62.9</v>
      </c>
      <c r="AC29">
        <v>-0.40680533125274998</v>
      </c>
      <c r="AD29">
        <v>-0.70689810022638888</v>
      </c>
      <c r="AE29">
        <v>0.10311940865636984</v>
      </c>
      <c r="AF29">
        <v>-1.9280721392467048</v>
      </c>
      <c r="AG29">
        <v>-0.42955553832993731</v>
      </c>
      <c r="AH29">
        <v>1.1165825404599748E-3</v>
      </c>
      <c r="AJ29">
        <v>-0.82796149319414125</v>
      </c>
      <c r="AK29">
        <v>-0.78223780715424018</v>
      </c>
    </row>
    <row r="30" spans="1:37" x14ac:dyDescent="0.25">
      <c r="L30" t="str">
        <f ca="1"/>
        <v>Polio</v>
      </c>
      <c r="M30">
        <v>5.4871043316560559E-4</v>
      </c>
      <c r="N30">
        <v>1.5656606392910277E-2</v>
      </c>
      <c r="O30">
        <v>3.5046575189759899E-2</v>
      </c>
      <c r="P30">
        <v>0.97210554885800371</v>
      </c>
      <c r="Q30">
        <v>-3.0475900323631774E-2</v>
      </c>
      <c r="R30">
        <v>3.1573321189962984E-2</v>
      </c>
      <c r="T30" t="str">
        <f ca="1"/>
        <v>Schooling</v>
      </c>
      <c r="U30" s="16">
        <f t="shared" ca="1" si="0"/>
        <v>12.613846153846152</v>
      </c>
      <c r="W30">
        <v>28</v>
      </c>
      <c r="X30">
        <v>79.686926419775133</v>
      </c>
      <c r="Y30">
        <v>1.3130735802248665</v>
      </c>
      <c r="Z30">
        <v>79.108885641465719</v>
      </c>
      <c r="AA30">
        <v>0.88461538461538458</v>
      </c>
      <c r="AB30">
        <v>63</v>
      </c>
      <c r="AC30">
        <v>0.42605314973008307</v>
      </c>
      <c r="AD30">
        <v>-0.68456822356098912</v>
      </c>
      <c r="AE30">
        <v>0.30566146129704802</v>
      </c>
      <c r="AF30">
        <v>1.1048357439621104</v>
      </c>
      <c r="AG30">
        <v>0.51130276908986849</v>
      </c>
      <c r="AH30">
        <v>6.0572026339376431E-3</v>
      </c>
      <c r="AJ30">
        <v>-0.80109452928194935</v>
      </c>
      <c r="AK30">
        <v>-0.75233055058128562</v>
      </c>
    </row>
    <row r="31" spans="1:37" x14ac:dyDescent="0.25">
      <c r="L31" t="str">
        <f ca="1"/>
        <v>Total expenditure</v>
      </c>
      <c r="M31">
        <v>0.38217082121115226</v>
      </c>
      <c r="N31">
        <v>0.12202877172142648</v>
      </c>
      <c r="O31">
        <v>3.1318091284536678</v>
      </c>
      <c r="P31">
        <v>2.2214836504770063E-3</v>
      </c>
      <c r="Q31">
        <v>0.14036266376129181</v>
      </c>
      <c r="R31">
        <v>0.62397897866101271</v>
      </c>
      <c r="W31">
        <v>29</v>
      </c>
      <c r="X31">
        <v>73.515449523786856</v>
      </c>
      <c r="Y31">
        <v>2.0845504762131384</v>
      </c>
      <c r="Z31">
        <v>68.573635908638153</v>
      </c>
      <c r="AA31">
        <v>0.7615384615384615</v>
      </c>
      <c r="AB31">
        <v>63.7</v>
      </c>
      <c r="AC31">
        <v>0.67637435520548539</v>
      </c>
      <c r="AD31">
        <v>-0.68088528004684878</v>
      </c>
      <c r="AE31">
        <v>0.70332444360862689</v>
      </c>
      <c r="AF31">
        <v>0.67448975019608193</v>
      </c>
      <c r="AG31">
        <v>1.2417845443142017</v>
      </c>
      <c r="AH31">
        <v>0.19240344558102571</v>
      </c>
      <c r="AJ31">
        <v>-0.77479375770608283</v>
      </c>
      <c r="AK31">
        <v>-0.74196855715293086</v>
      </c>
    </row>
    <row r="32" spans="1:37" x14ac:dyDescent="0.25">
      <c r="L32" t="str">
        <f ca="1"/>
        <v>Diphtheria</v>
      </c>
      <c r="M32">
        <v>3.0208677122533573E-2</v>
      </c>
      <c r="N32">
        <v>2.8154556177409133E-2</v>
      </c>
      <c r="O32">
        <v>1.0729587400412528</v>
      </c>
      <c r="P32">
        <v>0.2856167465653906</v>
      </c>
      <c r="Q32">
        <v>-2.5581455458818163E-2</v>
      </c>
      <c r="R32">
        <v>8.5998809703885307E-2</v>
      </c>
      <c r="W32">
        <v>30</v>
      </c>
      <c r="X32">
        <v>74.570255481466845</v>
      </c>
      <c r="Y32">
        <v>-0.17025548146683889</v>
      </c>
      <c r="Z32">
        <v>74.578610548695508</v>
      </c>
      <c r="AA32">
        <v>0.65384615384615385</v>
      </c>
      <c r="AB32">
        <v>64.2</v>
      </c>
      <c r="AC32">
        <v>-5.5242817485777328E-2</v>
      </c>
      <c r="AD32">
        <v>-0.66556476251939056</v>
      </c>
      <c r="AE32">
        <v>4.67781286698409E-2</v>
      </c>
      <c r="AF32">
        <v>0.36463402147370944</v>
      </c>
      <c r="AG32">
        <v>-5.6582068616461229E-2</v>
      </c>
      <c r="AH32">
        <v>8.2689979970681101E-6</v>
      </c>
      <c r="AJ32">
        <v>-0.74901833610770818</v>
      </c>
      <c r="AK32">
        <v>-0.74068482977470007</v>
      </c>
    </row>
    <row r="33" spans="12:37" x14ac:dyDescent="0.25">
      <c r="L33" t="str">
        <f ca="1"/>
        <v>HIV/AIDS</v>
      </c>
      <c r="M33">
        <v>-0.86374518450441573</v>
      </c>
      <c r="N33">
        <v>0.23150946293543831</v>
      </c>
      <c r="O33">
        <v>-3.7309282029015409</v>
      </c>
      <c r="P33">
        <v>3.0241147075887973E-4</v>
      </c>
      <c r="Q33">
        <v>-1.3224966402055442</v>
      </c>
      <c r="R33">
        <v>-0.40499372880328727</v>
      </c>
      <c r="W33">
        <v>31</v>
      </c>
      <c r="X33">
        <v>62.736766647484153</v>
      </c>
      <c r="Y33">
        <v>0.16323335251584581</v>
      </c>
      <c r="Z33">
        <v>62.729049019264266</v>
      </c>
      <c r="AA33">
        <v>0.2076923076923077</v>
      </c>
      <c r="AB33">
        <v>64.599999999999994</v>
      </c>
      <c r="AC33">
        <v>5.2964346421825945E-2</v>
      </c>
      <c r="AD33">
        <v>-0.62977671311699224</v>
      </c>
      <c r="AE33">
        <v>4.5145270221161937E-2</v>
      </c>
      <c r="AF33">
        <v>-0.82796149319414125</v>
      </c>
      <c r="AG33">
        <v>5.4201956788524575E-2</v>
      </c>
      <c r="AH33">
        <v>7.3105707340986123E-6</v>
      </c>
      <c r="AJ33">
        <v>-0.72373120889047549</v>
      </c>
      <c r="AK33">
        <v>-0.70921848977672608</v>
      </c>
    </row>
    <row r="34" spans="12:37" x14ac:dyDescent="0.25">
      <c r="L34" t="str">
        <f ca="1"/>
        <v>GDP</v>
      </c>
      <c r="M34">
        <v>-8.1628574453498264E-5</v>
      </c>
      <c r="N34">
        <v>6.1324078678160122E-5</v>
      </c>
      <c r="O34">
        <v>-1.331101521832881</v>
      </c>
      <c r="P34">
        <v>0.18588317378889541</v>
      </c>
      <c r="Q34">
        <v>-2.0314633017038609E-4</v>
      </c>
      <c r="R34">
        <v>3.9889181263389563E-5</v>
      </c>
      <c r="W34">
        <v>32</v>
      </c>
      <c r="X34">
        <v>76.992428187823904</v>
      </c>
      <c r="Y34">
        <v>2.4075718121761014</v>
      </c>
      <c r="Z34">
        <v>76.883680532379103</v>
      </c>
      <c r="AA34">
        <v>0.86153846153846159</v>
      </c>
      <c r="AB34">
        <v>64.7</v>
      </c>
      <c r="AC34">
        <v>0.78118512871405854</v>
      </c>
      <c r="AD34">
        <v>-0.60129488531446262</v>
      </c>
      <c r="AE34">
        <v>4.3216951124100636E-2</v>
      </c>
      <c r="AF34">
        <v>1.0700087179328284</v>
      </c>
      <c r="AG34">
        <v>0.79863296204644108</v>
      </c>
      <c r="AH34">
        <v>1.5162873556481958E-3</v>
      </c>
      <c r="AJ34">
        <v>-0.69889862860356855</v>
      </c>
      <c r="AK34">
        <v>-0.67029167970115022</v>
      </c>
    </row>
    <row r="35" spans="12:37" x14ac:dyDescent="0.25">
      <c r="L35" t="str">
        <f ca="1"/>
        <v>Population</v>
      </c>
      <c r="M35">
        <v>3.1604619117894378E-8</v>
      </c>
      <c r="N35">
        <v>1.299260548886171E-8</v>
      </c>
      <c r="O35">
        <v>2.4325081789782934</v>
      </c>
      <c r="P35">
        <v>1.6592446865156429E-2</v>
      </c>
      <c r="Q35">
        <v>5.8589039933771244E-9</v>
      </c>
      <c r="R35">
        <v>5.7350334242411633E-8</v>
      </c>
      <c r="W35">
        <v>33</v>
      </c>
      <c r="X35">
        <v>77.326113249949742</v>
      </c>
      <c r="Y35">
        <v>0.37388675005026073</v>
      </c>
      <c r="Z35">
        <v>77.305344384402972</v>
      </c>
      <c r="AA35">
        <v>0.84615384615384615</v>
      </c>
      <c r="AB35">
        <v>65.2</v>
      </c>
      <c r="AC35">
        <v>0.12131508081518035</v>
      </c>
      <c r="AD35">
        <v>-0.58939254935542806</v>
      </c>
      <c r="AE35">
        <v>5.2625288291793158E-2</v>
      </c>
      <c r="AF35">
        <v>1.0039875483647984</v>
      </c>
      <c r="AG35">
        <v>0.12463898334882778</v>
      </c>
      <c r="AH35">
        <v>4.5417883809922893E-5</v>
      </c>
      <c r="AJ35">
        <v>-0.67448975019608193</v>
      </c>
      <c r="AK35">
        <v>-0.62246950110072441</v>
      </c>
    </row>
    <row r="36" spans="12:37" x14ac:dyDescent="0.25">
      <c r="L36" t="str">
        <f ca="1"/>
        <v>thinness 1-19 years</v>
      </c>
      <c r="M36">
        <v>-0.40739213741798741</v>
      </c>
      <c r="N36">
        <v>0.17546851947763809</v>
      </c>
      <c r="O36">
        <v>-2.3217391850730578</v>
      </c>
      <c r="P36">
        <v>2.2071870554685541E-2</v>
      </c>
      <c r="Q36">
        <v>-0.75509472252802479</v>
      </c>
      <c r="R36">
        <v>-5.9689552307950033E-2</v>
      </c>
      <c r="W36">
        <v>34</v>
      </c>
      <c r="X36">
        <v>79.605252903443812</v>
      </c>
      <c r="Y36">
        <v>1.3947470965561877</v>
      </c>
      <c r="Z36">
        <v>79.507201609026751</v>
      </c>
      <c r="AA36">
        <v>0.88461538461538458</v>
      </c>
      <c r="AB36">
        <v>65.400000000000006</v>
      </c>
      <c r="AC36">
        <v>0.45255376584676077</v>
      </c>
      <c r="AD36">
        <v>-0.52160470074134413</v>
      </c>
      <c r="AE36">
        <v>6.5682877882212165E-2</v>
      </c>
      <c r="AF36">
        <v>1.1048357439621104</v>
      </c>
      <c r="AG36">
        <v>0.46819096578345959</v>
      </c>
      <c r="AH36">
        <v>8.110550317179748E-4</v>
      </c>
      <c r="AJ36">
        <v>-0.65047628511725486</v>
      </c>
      <c r="AK36">
        <v>-0.56268131331803906</v>
      </c>
    </row>
    <row r="37" spans="12:37" x14ac:dyDescent="0.25">
      <c r="L37" t="str">
        <f ca="1"/>
        <v>thinness 5-9 years</v>
      </c>
      <c r="M37">
        <v>0.30788000091581702</v>
      </c>
      <c r="N37">
        <v>0.16686822322639955</v>
      </c>
      <c r="O37">
        <v>1.8450487154651298</v>
      </c>
      <c r="P37">
        <v>6.7696209747221459E-2</v>
      </c>
      <c r="Q37">
        <v>-2.2780523041770195E-2</v>
      </c>
      <c r="R37">
        <v>0.63854052487340418</v>
      </c>
      <c r="W37">
        <v>35</v>
      </c>
      <c r="X37">
        <v>62.614381378247131</v>
      </c>
      <c r="Y37">
        <v>8.5618621752871604E-2</v>
      </c>
      <c r="Z37">
        <v>62.601270501643825</v>
      </c>
      <c r="AA37">
        <v>0.2</v>
      </c>
      <c r="AB37">
        <v>65.8</v>
      </c>
      <c r="AC37">
        <v>2.7780684969011871E-2</v>
      </c>
      <c r="AD37">
        <v>-0.52016068195085163</v>
      </c>
      <c r="AE37">
        <v>0.13279594064184264</v>
      </c>
      <c r="AF37">
        <v>-0.91243749037238742</v>
      </c>
      <c r="AG37">
        <v>2.983199506919856E-2</v>
      </c>
      <c r="AH37">
        <v>7.1725650160837858E-6</v>
      </c>
      <c r="AJ37">
        <v>-0.62683220487877578</v>
      </c>
      <c r="AK37">
        <v>-0.54772003297150196</v>
      </c>
    </row>
    <row r="38" spans="12:37" x14ac:dyDescent="0.25">
      <c r="L38" t="str">
        <f ca="1"/>
        <v>Income composition of resources</v>
      </c>
      <c r="M38">
        <v>42.294420930135779</v>
      </c>
      <c r="N38">
        <v>5.69348275706382</v>
      </c>
      <c r="O38">
        <v>7.4285674928341034</v>
      </c>
      <c r="P38">
        <v>2.4157403719373828E-11</v>
      </c>
      <c r="Q38">
        <v>31.012404766758959</v>
      </c>
      <c r="R38">
        <v>53.576437093512595</v>
      </c>
      <c r="W38">
        <v>36</v>
      </c>
      <c r="X38">
        <v>71.929953581573216</v>
      </c>
      <c r="Y38">
        <v>1.4700464184267901</v>
      </c>
      <c r="Z38">
        <v>71.505562462689127</v>
      </c>
      <c r="AA38">
        <v>0.56923076923076921</v>
      </c>
      <c r="AB38">
        <v>65.900000000000006</v>
      </c>
      <c r="AC38">
        <v>0.47698614628504166</v>
      </c>
      <c r="AD38">
        <v>-0.47638448148493423</v>
      </c>
      <c r="AE38">
        <v>0.22401958920562115</v>
      </c>
      <c r="AF38">
        <v>0.16463565026941987</v>
      </c>
      <c r="AG38">
        <v>0.54147746435852739</v>
      </c>
      <c r="AH38">
        <v>4.4549456571058646E-3</v>
      </c>
      <c r="AJ38">
        <v>-0.60353348574052124</v>
      </c>
      <c r="AK38">
        <v>-0.53290238274908208</v>
      </c>
    </row>
    <row r="39" spans="12:37" x14ac:dyDescent="0.25">
      <c r="L39" t="str">
        <f ca="1"/>
        <v>Schooling</v>
      </c>
      <c r="M39">
        <v>-0.27973840629230035</v>
      </c>
      <c r="N39">
        <v>0.26796145084092776</v>
      </c>
      <c r="O39">
        <v>-1.0439501854256037</v>
      </c>
      <c r="P39">
        <v>0.29877666753704218</v>
      </c>
      <c r="Q39">
        <v>-0.81072190945624301</v>
      </c>
      <c r="R39">
        <v>0.25124509687164237</v>
      </c>
      <c r="W39">
        <v>37</v>
      </c>
      <c r="X39">
        <v>74.516730248629429</v>
      </c>
      <c r="Y39">
        <v>1.483269751370571</v>
      </c>
      <c r="Z39">
        <v>74.478698202724161</v>
      </c>
      <c r="AA39">
        <v>0.7846153846153846</v>
      </c>
      <c r="AB39">
        <v>66</v>
      </c>
      <c r="AC39">
        <v>0.48127672278850203</v>
      </c>
      <c r="AD39">
        <v>-0.45215135722025301</v>
      </c>
      <c r="AE39">
        <v>2.4999671973945353E-2</v>
      </c>
      <c r="AF39">
        <v>0.74901833610770818</v>
      </c>
      <c r="AG39">
        <v>0.48740780163793151</v>
      </c>
      <c r="AH39">
        <v>3.2059806754951173E-4</v>
      </c>
      <c r="AJ39">
        <v>-0.58055788777731265</v>
      </c>
      <c r="AK39">
        <v>-0.48962978369286347</v>
      </c>
    </row>
    <row r="40" spans="12:37" x14ac:dyDescent="0.25">
      <c r="W40">
        <v>38</v>
      </c>
      <c r="X40">
        <v>71.64252035551047</v>
      </c>
      <c r="Y40">
        <v>1.3574796444895298</v>
      </c>
      <c r="Z40">
        <v>71.594763922003281</v>
      </c>
      <c r="AA40">
        <v>0.55384615384615388</v>
      </c>
      <c r="AB40">
        <v>66</v>
      </c>
      <c r="AC40">
        <v>0.44046159098730214</v>
      </c>
      <c r="AD40">
        <v>-0.40680533125274998</v>
      </c>
      <c r="AE40">
        <v>3.3984633795673624E-2</v>
      </c>
      <c r="AF40">
        <v>0.10624922583130493</v>
      </c>
      <c r="AG40">
        <v>0.44814238983718785</v>
      </c>
      <c r="AH40">
        <v>3.7185789839142041E-4</v>
      </c>
      <c r="AJ40">
        <v>-0.58055788777731265</v>
      </c>
      <c r="AK40">
        <v>-0.48335518087510915</v>
      </c>
    </row>
    <row r="41" spans="12:37" x14ac:dyDescent="0.25">
      <c r="W41">
        <v>39</v>
      </c>
      <c r="X41">
        <v>79.078623065940178</v>
      </c>
      <c r="Y41">
        <v>-2.1786230659401724</v>
      </c>
      <c r="Z41">
        <v>79.291857862928509</v>
      </c>
      <c r="AA41">
        <v>0.80769230769230771</v>
      </c>
      <c r="AB41">
        <v>66.099999999999994</v>
      </c>
      <c r="AC41">
        <v>-0.70689810022638888</v>
      </c>
      <c r="AD41">
        <v>-0.37896258332375565</v>
      </c>
      <c r="AE41">
        <v>8.9150279493304424E-2</v>
      </c>
      <c r="AF41">
        <v>0.85543984651958882</v>
      </c>
      <c r="AG41">
        <v>-0.74068482977470007</v>
      </c>
      <c r="AH41">
        <v>2.8261114090888995E-3</v>
      </c>
      <c r="AJ41">
        <v>-0.53549488691524527</v>
      </c>
      <c r="AK41">
        <v>-0.42955553832993731</v>
      </c>
    </row>
    <row r="42" spans="12:37" x14ac:dyDescent="0.25">
      <c r="W42">
        <v>40</v>
      </c>
      <c r="X42">
        <v>62.135916508054358</v>
      </c>
      <c r="Y42">
        <v>1.5640834919456452</v>
      </c>
      <c r="Z42">
        <v>61.562763212012882</v>
      </c>
      <c r="AA42">
        <v>0.22307692307692309</v>
      </c>
      <c r="AB42">
        <v>66.2</v>
      </c>
      <c r="AC42">
        <v>0.50749836735741027</v>
      </c>
      <c r="AD42">
        <v>-0.36278548096796664</v>
      </c>
      <c r="AE42">
        <v>0.26817491597703441</v>
      </c>
      <c r="AF42">
        <v>-0.77479375770608283</v>
      </c>
      <c r="AG42">
        <v>0.5932407889630793</v>
      </c>
      <c r="AH42">
        <v>6.7876473188372274E-3</v>
      </c>
      <c r="AJ42">
        <v>-0.51337031319247584</v>
      </c>
      <c r="AK42">
        <v>-0.39717459586514764</v>
      </c>
    </row>
    <row r="43" spans="12:37" x14ac:dyDescent="0.25">
      <c r="W43">
        <v>41</v>
      </c>
      <c r="X43">
        <v>71.917692244779133</v>
      </c>
      <c r="Y43">
        <v>-2.3176922447791384</v>
      </c>
      <c r="Z43">
        <v>72.107681656175629</v>
      </c>
      <c r="AA43">
        <v>0.44615384615384618</v>
      </c>
      <c r="AB43">
        <v>67</v>
      </c>
      <c r="AC43">
        <v>-0.75202189417597909</v>
      </c>
      <c r="AD43">
        <v>-0.34847522365212075</v>
      </c>
      <c r="AE43">
        <v>7.576297052244077E-2</v>
      </c>
      <c r="AF43">
        <v>-0.14512094121077412</v>
      </c>
      <c r="AG43">
        <v>-0.78223780715424018</v>
      </c>
      <c r="AH43">
        <v>2.6399617449952184E-3</v>
      </c>
      <c r="AJ43">
        <v>-0.49149424276021259</v>
      </c>
      <c r="AK43">
        <v>-0.38653061805035654</v>
      </c>
    </row>
    <row r="44" spans="12:37" x14ac:dyDescent="0.25">
      <c r="W44">
        <v>42</v>
      </c>
      <c r="X44">
        <v>82.882369126683528</v>
      </c>
      <c r="Y44">
        <v>-0.88236912668352829</v>
      </c>
      <c r="Z44">
        <v>82.998434626054902</v>
      </c>
      <c r="AA44">
        <v>0.93846153846153846</v>
      </c>
      <c r="AB44">
        <v>67.099999999999994</v>
      </c>
      <c r="AC44">
        <v>-0.2863024215167897</v>
      </c>
      <c r="AD44">
        <v>-0.34504183630755464</v>
      </c>
      <c r="AE44">
        <v>0.11624747013230835</v>
      </c>
      <c r="AF44">
        <v>1.5110754421114001</v>
      </c>
      <c r="AG44">
        <v>-0.30455075903640261</v>
      </c>
      <c r="AH44">
        <v>6.4212357019314322E-4</v>
      </c>
      <c r="AJ44">
        <v>-0.46985091039566484</v>
      </c>
      <c r="AK44">
        <v>-0.37822560649877823</v>
      </c>
    </row>
    <row r="45" spans="12:37" x14ac:dyDescent="0.25">
      <c r="W45">
        <v>43</v>
      </c>
      <c r="X45">
        <v>64.722538963408383</v>
      </c>
      <c r="Y45">
        <v>-0.12253896340838821</v>
      </c>
      <c r="Z45">
        <v>64.73756380130088</v>
      </c>
      <c r="AA45">
        <v>0.23846153846153847</v>
      </c>
      <c r="AB45">
        <v>67.599999999999994</v>
      </c>
      <c r="AC45">
        <v>-3.9760232869708985E-2</v>
      </c>
      <c r="AD45">
        <v>-0.3168293452705267</v>
      </c>
      <c r="AE45">
        <v>0.10922086879258347</v>
      </c>
      <c r="AF45">
        <v>-0.72373120889047549</v>
      </c>
      <c r="AG45">
        <v>-4.2127326856800061E-2</v>
      </c>
      <c r="AH45">
        <v>1.1452750416099467E-5</v>
      </c>
      <c r="AJ45">
        <v>-0.44842548330593474</v>
      </c>
      <c r="AK45">
        <v>-0.35627190170034223</v>
      </c>
    </row>
    <row r="46" spans="12:37" x14ac:dyDescent="0.25">
      <c r="W46">
        <v>44</v>
      </c>
      <c r="X46">
        <v>74.861845429165754</v>
      </c>
      <c r="Y46">
        <v>-0.36184542916575424</v>
      </c>
      <c r="Z46">
        <v>74.885393961753692</v>
      </c>
      <c r="AA46">
        <v>0.66923076923076918</v>
      </c>
      <c r="AB46">
        <v>67.7</v>
      </c>
      <c r="AC46">
        <v>-0.11740803191326271</v>
      </c>
      <c r="AD46">
        <v>-0.31300117929900623</v>
      </c>
      <c r="AE46">
        <v>6.1102494913984888E-2</v>
      </c>
      <c r="AF46">
        <v>0.40617314499199975</v>
      </c>
      <c r="AG46">
        <v>-0.12116821654118708</v>
      </c>
      <c r="AH46">
        <v>5.0288026069026729E-5</v>
      </c>
      <c r="AJ46">
        <v>-0.42720397103068519</v>
      </c>
      <c r="AK46">
        <v>-0.34119073731615512</v>
      </c>
    </row>
    <row r="47" spans="12:37" x14ac:dyDescent="0.25">
      <c r="W47">
        <v>45</v>
      </c>
      <c r="X47">
        <v>82.847135203023356</v>
      </c>
      <c r="Y47">
        <v>3.1528647969766439</v>
      </c>
      <c r="Z47">
        <v>82.588812585050732</v>
      </c>
      <c r="AA47">
        <v>0.99230769230769234</v>
      </c>
      <c r="AB47">
        <v>67.8</v>
      </c>
      <c r="AC47">
        <v>1.0230104372330431</v>
      </c>
      <c r="AD47">
        <v>-0.2863024215167897</v>
      </c>
      <c r="AE47">
        <v>7.5728063735386306E-2</v>
      </c>
      <c r="AF47">
        <v>1.9280721392467044</v>
      </c>
      <c r="AG47">
        <v>1.0640944578485567</v>
      </c>
      <c r="AH47">
        <v>4.8827427907493556E-3</v>
      </c>
      <c r="AJ47">
        <v>-0.40617314499199975</v>
      </c>
      <c r="AK47">
        <v>-0.32905807013877875</v>
      </c>
    </row>
    <row r="48" spans="12:37" x14ac:dyDescent="0.25">
      <c r="W48">
        <v>46</v>
      </c>
      <c r="X48">
        <v>63.840938974300904</v>
      </c>
      <c r="Y48">
        <v>-1.9409389743009058</v>
      </c>
      <c r="Z48">
        <v>64.66984891697463</v>
      </c>
      <c r="AA48">
        <v>0.16153846153846155</v>
      </c>
      <c r="AB48">
        <v>68.099999999999994</v>
      </c>
      <c r="AC48">
        <v>-0.62977671311699224</v>
      </c>
      <c r="AD48">
        <v>-0.2842606456035805</v>
      </c>
      <c r="AE48">
        <v>0.29926178918780266</v>
      </c>
      <c r="AF48">
        <v>-1.0039875483647984</v>
      </c>
      <c r="AG48">
        <v>-0.75233055058128562</v>
      </c>
      <c r="AH48">
        <v>1.2722113422671297E-2</v>
      </c>
      <c r="AJ48">
        <v>-0.38532046640756784</v>
      </c>
      <c r="AK48">
        <v>-0.3176490259738719</v>
      </c>
    </row>
    <row r="49" spans="23:37" x14ac:dyDescent="0.25">
      <c r="W49">
        <v>47</v>
      </c>
      <c r="X49">
        <v>79.493874351838684</v>
      </c>
      <c r="Y49">
        <v>6.5061256481613157</v>
      </c>
      <c r="Z49">
        <v>79.122529730644501</v>
      </c>
      <c r="AA49">
        <v>0.99230769230769234</v>
      </c>
      <c r="AB49">
        <v>68.099999999999994</v>
      </c>
      <c r="AC49">
        <v>2.1110434073801896</v>
      </c>
      <c r="AD49">
        <v>-0.2833182343673486</v>
      </c>
      <c r="AE49">
        <v>5.3994362265558413E-2</v>
      </c>
      <c r="AF49">
        <v>1.9280721392467044</v>
      </c>
      <c r="AG49">
        <v>2.1704525763282212</v>
      </c>
      <c r="AH49">
        <v>1.4151474484455541E-2</v>
      </c>
      <c r="AJ49">
        <v>-0.38532046640756784</v>
      </c>
      <c r="AK49">
        <v>-0.30963671587107933</v>
      </c>
    </row>
    <row r="50" spans="23:37" x14ac:dyDescent="0.25">
      <c r="W50">
        <v>48</v>
      </c>
      <c r="X50">
        <v>69.581360396779758</v>
      </c>
      <c r="Y50">
        <v>1.8186396032202481</v>
      </c>
      <c r="Z50">
        <v>69.504296391399691</v>
      </c>
      <c r="AA50">
        <v>0.5</v>
      </c>
      <c r="AB50">
        <v>68.7</v>
      </c>
      <c r="AC50">
        <v>0.59009422079999718</v>
      </c>
      <c r="AD50">
        <v>-0.26008643073362364</v>
      </c>
      <c r="AE50">
        <v>4.0651927353226147E-2</v>
      </c>
      <c r="AF50">
        <v>-9.641027331898153E-3</v>
      </c>
      <c r="AG50">
        <v>0.60246699183071128</v>
      </c>
      <c r="AH50">
        <v>8.0950185392602008E-4</v>
      </c>
      <c r="AJ50">
        <v>-0.34410246288301571</v>
      </c>
      <c r="AK50">
        <v>-0.30455075903640261</v>
      </c>
    </row>
    <row r="51" spans="23:37" x14ac:dyDescent="0.25">
      <c r="W51">
        <v>49</v>
      </c>
      <c r="X51">
        <v>58.41162876627169</v>
      </c>
      <c r="Y51">
        <v>0.38837123372830717</v>
      </c>
      <c r="Z51">
        <v>58.389054218016419</v>
      </c>
      <c r="AA51">
        <v>0.11538461538461539</v>
      </c>
      <c r="AB51">
        <v>68.8</v>
      </c>
      <c r="AC51">
        <v>0.1260148630560117</v>
      </c>
      <c r="AD51">
        <v>-0.25697220125363768</v>
      </c>
      <c r="AE51">
        <v>5.4933154797948788E-2</v>
      </c>
      <c r="AF51">
        <v>-1.2183870521704045</v>
      </c>
      <c r="AG51">
        <v>0.12962551893790211</v>
      </c>
      <c r="AH51">
        <v>5.1404297544560257E-5</v>
      </c>
      <c r="AJ51">
        <v>-0.323714956873427</v>
      </c>
      <c r="AK51">
        <v>-0.27412746763438262</v>
      </c>
    </row>
    <row r="52" spans="23:37" x14ac:dyDescent="0.25">
      <c r="W52">
        <v>50</v>
      </c>
      <c r="X52">
        <v>56.3041489426694</v>
      </c>
      <c r="Y52">
        <v>1.7958510573306015</v>
      </c>
      <c r="Z52">
        <v>56.177939086069919</v>
      </c>
      <c r="AA52">
        <v>0.1</v>
      </c>
      <c r="AB52">
        <v>69</v>
      </c>
      <c r="AC52">
        <v>0.58270001844890751</v>
      </c>
      <c r="AD52">
        <v>-0.23663808542211645</v>
      </c>
      <c r="AE52">
        <v>6.566381725198181E-2</v>
      </c>
      <c r="AF52">
        <v>-1.3037826721034875</v>
      </c>
      <c r="AG52">
        <v>0.60282804439389348</v>
      </c>
      <c r="AH52">
        <v>1.3441763618983818E-3</v>
      </c>
      <c r="AJ52">
        <v>-0.3034611351161759</v>
      </c>
      <c r="AK52">
        <v>-0.26479648850584087</v>
      </c>
    </row>
    <row r="53" spans="23:37" x14ac:dyDescent="0.25">
      <c r="W53">
        <v>51</v>
      </c>
      <c r="X53">
        <v>68.294596791752198</v>
      </c>
      <c r="Y53">
        <v>-2.3945967917521926</v>
      </c>
      <c r="Z53">
        <v>68.531746603545798</v>
      </c>
      <c r="AA53">
        <v>0.27692307692307694</v>
      </c>
      <c r="AB53">
        <v>69</v>
      </c>
      <c r="AC53">
        <v>-0.77697512220515308</v>
      </c>
      <c r="AD53">
        <v>-0.22864370333622655</v>
      </c>
      <c r="AE53">
        <v>9.0111187556614097E-2</v>
      </c>
      <c r="AF53">
        <v>-0.60353348574052124</v>
      </c>
      <c r="AG53">
        <v>-0.81454100262906892</v>
      </c>
      <c r="AH53">
        <v>3.4583001918609209E-3</v>
      </c>
      <c r="AJ53">
        <v>-0.3034611351161759</v>
      </c>
      <c r="AK53">
        <v>-0.24106077883927862</v>
      </c>
    </row>
    <row r="54" spans="23:37" x14ac:dyDescent="0.25">
      <c r="W54">
        <v>52</v>
      </c>
      <c r="X54">
        <v>62.858022474097254</v>
      </c>
      <c r="Y54">
        <v>-0.15802247409725112</v>
      </c>
      <c r="Z54">
        <v>62.874586213507918</v>
      </c>
      <c r="AA54">
        <v>0.2</v>
      </c>
      <c r="AB54">
        <v>69.099999999999994</v>
      </c>
      <c r="AC54">
        <v>-5.1273572045935613E-2</v>
      </c>
      <c r="AD54">
        <v>-0.21320036101567383</v>
      </c>
      <c r="AE54">
        <v>9.4874269152502425E-2</v>
      </c>
      <c r="AF54">
        <v>-0.91243749037238742</v>
      </c>
      <c r="AG54">
        <v>-5.3893838753811152E-2</v>
      </c>
      <c r="AH54">
        <v>1.6023750297042976E-5</v>
      </c>
      <c r="AJ54">
        <v>-0.26331513869093232</v>
      </c>
      <c r="AK54">
        <v>-0.23350575600802045</v>
      </c>
    </row>
    <row r="55" spans="23:37" x14ac:dyDescent="0.25">
      <c r="W55">
        <v>53</v>
      </c>
      <c r="X55">
        <v>71.901820234089186</v>
      </c>
      <c r="Y55">
        <v>2.3981797659108111</v>
      </c>
      <c r="Z55">
        <v>71.749557692896786</v>
      </c>
      <c r="AA55">
        <v>0.63846153846153841</v>
      </c>
      <c r="AB55">
        <v>69.099999999999994</v>
      </c>
      <c r="AC55">
        <v>0.77813769028105584</v>
      </c>
      <c r="AD55">
        <v>-0.20925038374724245</v>
      </c>
      <c r="AE55">
        <v>5.9700445200555785E-2</v>
      </c>
      <c r="AF55">
        <v>0.34410246288301555</v>
      </c>
      <c r="AG55">
        <v>0.80245989437439058</v>
      </c>
      <c r="AH55">
        <v>2.1518124252167641E-3</v>
      </c>
      <c r="AJ55">
        <v>-0.26331513869093232</v>
      </c>
      <c r="AK55">
        <v>-0.22689341879467756</v>
      </c>
    </row>
    <row r="56" spans="23:37" x14ac:dyDescent="0.25">
      <c r="W56">
        <v>54</v>
      </c>
      <c r="X56">
        <v>67.576079799165711</v>
      </c>
      <c r="Y56">
        <v>2.3920200834282923E-2</v>
      </c>
      <c r="Z56">
        <v>67.112021433751281</v>
      </c>
      <c r="AA56">
        <v>0.33076923076923076</v>
      </c>
      <c r="AB56">
        <v>69.3</v>
      </c>
      <c r="AC56">
        <v>7.7613905733120636E-3</v>
      </c>
      <c r="AD56">
        <v>-0.20587138933082594</v>
      </c>
      <c r="AE56">
        <v>0.95098104201959677</v>
      </c>
      <c r="AF56">
        <v>-0.44842548330593474</v>
      </c>
      <c r="AG56">
        <v>3.5055607793868272E-2</v>
      </c>
      <c r="AH56">
        <v>1.2547846172980724E-3</v>
      </c>
      <c r="AJ56">
        <v>-0.22358925783731975</v>
      </c>
      <c r="AK56">
        <v>-0.22128469487104246</v>
      </c>
    </row>
    <row r="57" spans="23:37" x14ac:dyDescent="0.25">
      <c r="W57">
        <v>55</v>
      </c>
      <c r="X57">
        <v>71.160549131061671</v>
      </c>
      <c r="Y57">
        <v>-2.4605491310616685</v>
      </c>
      <c r="Z57">
        <v>71.603861289322168</v>
      </c>
      <c r="AA57">
        <v>0.36923076923076925</v>
      </c>
      <c r="AB57">
        <v>69.3</v>
      </c>
      <c r="AC57">
        <v>-0.79837468603618933</v>
      </c>
      <c r="AD57">
        <v>-0.19718647459018149</v>
      </c>
      <c r="AE57">
        <v>0.15266299388700352</v>
      </c>
      <c r="AF57">
        <v>-0.34410246288301571</v>
      </c>
      <c r="AG57">
        <v>-0.86731862254892933</v>
      </c>
      <c r="AH57">
        <v>7.1331497750751925E-3</v>
      </c>
      <c r="AJ57">
        <v>-0.22358925783731975</v>
      </c>
      <c r="AK57">
        <v>-0.21811750979559288</v>
      </c>
    </row>
    <row r="58" spans="23:37" x14ac:dyDescent="0.25">
      <c r="W58">
        <v>56</v>
      </c>
      <c r="X58">
        <v>73.082684222587844</v>
      </c>
      <c r="Y58">
        <v>-3.5826842225878437</v>
      </c>
      <c r="Z58">
        <v>73.944999245399288</v>
      </c>
      <c r="AA58">
        <v>0.43846153846153846</v>
      </c>
      <c r="AB58">
        <v>69.5</v>
      </c>
      <c r="AC58">
        <v>-1.1624740003225282</v>
      </c>
      <c r="AD58">
        <v>-0.18159763035507392</v>
      </c>
      <c r="AE58">
        <v>0.19399666348739314</v>
      </c>
      <c r="AF58">
        <v>-0.18421326467921942</v>
      </c>
      <c r="AG58">
        <v>-1.2948361879522281</v>
      </c>
      <c r="AH58">
        <v>2.1238971254210842E-2</v>
      </c>
      <c r="AJ58">
        <v>-0.18421326467921942</v>
      </c>
      <c r="AK58">
        <v>-0.20661022463039402</v>
      </c>
    </row>
    <row r="59" spans="23:37" x14ac:dyDescent="0.25">
      <c r="W59">
        <v>57</v>
      </c>
      <c r="X59">
        <v>80.537285253515719</v>
      </c>
      <c r="Y59">
        <v>0.46271474648428068</v>
      </c>
      <c r="Z59">
        <v>80.497979500646622</v>
      </c>
      <c r="AA59">
        <v>0.88461538461538458</v>
      </c>
      <c r="AB59">
        <v>69.5</v>
      </c>
      <c r="AC59">
        <v>0.15013711199065011</v>
      </c>
      <c r="AD59">
        <v>-0.16551775327757295</v>
      </c>
      <c r="AE59">
        <v>7.8295115278606497E-2</v>
      </c>
      <c r="AF59">
        <v>1.1048357439621104</v>
      </c>
      <c r="AG59">
        <v>0.15638392643453866</v>
      </c>
      <c r="AH59">
        <v>1.0933857360308296E-4</v>
      </c>
      <c r="AJ59">
        <v>-0.18421326467921942</v>
      </c>
      <c r="AK59">
        <v>-0.19387278807310673</v>
      </c>
    </row>
    <row r="60" spans="23:37" x14ac:dyDescent="0.25">
      <c r="W60">
        <v>58</v>
      </c>
      <c r="X60">
        <v>81.374419041474084</v>
      </c>
      <c r="Y60">
        <v>0.72558095852591009</v>
      </c>
      <c r="Z60">
        <v>81.294212347005086</v>
      </c>
      <c r="AA60">
        <v>0.94615384615384612</v>
      </c>
      <c r="AB60">
        <v>69.599999999999994</v>
      </c>
      <c r="AC60">
        <v>0.23542934487433415</v>
      </c>
      <c r="AD60">
        <v>-0.14776921296310114</v>
      </c>
      <c r="AE60">
        <v>9.9538252008314759E-2</v>
      </c>
      <c r="AF60">
        <v>1.5744449652170427</v>
      </c>
      <c r="AG60">
        <v>0.24810068300248678</v>
      </c>
      <c r="AH60">
        <v>3.5811875009842396E-4</v>
      </c>
      <c r="AJ60">
        <v>-0.14512094121077412</v>
      </c>
      <c r="AK60">
        <v>-0.17195408263796069</v>
      </c>
    </row>
    <row r="61" spans="23:37" x14ac:dyDescent="0.25">
      <c r="W61">
        <v>59</v>
      </c>
      <c r="X61">
        <v>81.045366060672222</v>
      </c>
      <c r="Y61">
        <v>1.2546339393277748</v>
      </c>
      <c r="Z61">
        <v>80.982777099757271</v>
      </c>
      <c r="AA61">
        <v>0.9538461538461539</v>
      </c>
      <c r="AB61">
        <v>69.8</v>
      </c>
      <c r="AC61">
        <v>0.4070912320978381</v>
      </c>
      <c r="AD61">
        <v>-0.14684678528136649</v>
      </c>
      <c r="AE61">
        <v>4.751584633354082E-2</v>
      </c>
      <c r="AF61">
        <v>1.6448536269514715</v>
      </c>
      <c r="AG61">
        <v>0.41712178192858801</v>
      </c>
      <c r="AH61">
        <v>4.5682813926315309E-4</v>
      </c>
      <c r="AJ61">
        <v>-0.12566134685507402</v>
      </c>
      <c r="AK61">
        <v>-0.15455192047735494</v>
      </c>
    </row>
    <row r="62" spans="23:37" x14ac:dyDescent="0.25">
      <c r="W62">
        <v>60</v>
      </c>
      <c r="X62">
        <v>73.327705320920714</v>
      </c>
      <c r="Y62">
        <v>2.2722946790792804</v>
      </c>
      <c r="Z62">
        <v>73.26488487149328</v>
      </c>
      <c r="AA62">
        <v>0.7615384615384615</v>
      </c>
      <c r="AB62">
        <v>70</v>
      </c>
      <c r="AC62">
        <v>0.7372917403233743</v>
      </c>
      <c r="AD62">
        <v>-0.11740803191326271</v>
      </c>
      <c r="AE62">
        <v>2.6902506287820205E-2</v>
      </c>
      <c r="AF62">
        <v>0.67448975019608193</v>
      </c>
      <c r="AG62">
        <v>0.747413936633188</v>
      </c>
      <c r="AH62">
        <v>8.1284019230279869E-4</v>
      </c>
      <c r="AJ62">
        <v>-0.10624922583130508</v>
      </c>
      <c r="AK62">
        <v>-0.14738759710600224</v>
      </c>
    </row>
    <row r="63" spans="23:37" x14ac:dyDescent="0.25">
      <c r="W63">
        <v>61</v>
      </c>
      <c r="X63">
        <v>75.503108084928186</v>
      </c>
      <c r="Y63">
        <v>-1.6031080849281807</v>
      </c>
      <c r="Z63">
        <v>75.582608527177129</v>
      </c>
      <c r="AA63">
        <v>0.60769230769230764</v>
      </c>
      <c r="AB63">
        <v>71</v>
      </c>
      <c r="AC63">
        <v>-0.52016068195085163</v>
      </c>
      <c r="AD63">
        <v>-0.11325182962090981</v>
      </c>
      <c r="AE63">
        <v>4.7248329581637979E-2</v>
      </c>
      <c r="AF63">
        <v>0.22358925783731975</v>
      </c>
      <c r="AG63">
        <v>-0.53290238274908208</v>
      </c>
      <c r="AH63">
        <v>7.4122227718650643E-4</v>
      </c>
      <c r="AJ63">
        <v>-8.6877064104115193E-2</v>
      </c>
      <c r="AK63">
        <v>-0.12116821654118708</v>
      </c>
    </row>
    <row r="64" spans="23:37" x14ac:dyDescent="0.25">
      <c r="W64">
        <v>62</v>
      </c>
      <c r="X64">
        <v>75.580046131848022</v>
      </c>
      <c r="Y64">
        <v>-6.0800461318480217</v>
      </c>
      <c r="Z64">
        <v>75.867578497232969</v>
      </c>
      <c r="AA64">
        <v>0.43846153846153846</v>
      </c>
      <c r="AB64">
        <v>71</v>
      </c>
      <c r="AC64">
        <v>-1.9727933331309906</v>
      </c>
      <c r="AD64">
        <v>-9.3075955237853419E-2</v>
      </c>
      <c r="AE64">
        <v>4.5155684458369913E-2</v>
      </c>
      <c r="AF64">
        <v>-0.18421326467921942</v>
      </c>
      <c r="AG64">
        <v>-2.01890232471803</v>
      </c>
      <c r="AH64">
        <v>1.0145112747151437E-2</v>
      </c>
      <c r="AJ64">
        <v>-8.6877064104115193E-2</v>
      </c>
      <c r="AK64">
        <v>-0.11617389999754073</v>
      </c>
    </row>
    <row r="65" spans="23:37" x14ac:dyDescent="0.25">
      <c r="W65">
        <v>63</v>
      </c>
      <c r="X65">
        <v>63.110117080520702</v>
      </c>
      <c r="Y65">
        <v>-0.51011708052070048</v>
      </c>
      <c r="Z65">
        <v>63.150561303317552</v>
      </c>
      <c r="AA65">
        <v>0.17692307692307693</v>
      </c>
      <c r="AB65">
        <v>71</v>
      </c>
      <c r="AC65">
        <v>-0.16551775327757295</v>
      </c>
      <c r="AD65">
        <v>-5.9612359887803938E-2</v>
      </c>
      <c r="AE65">
        <v>7.3459980847084536E-2</v>
      </c>
      <c r="AF65">
        <v>-0.94207577499577688</v>
      </c>
      <c r="AG65">
        <v>-0.17195408263796069</v>
      </c>
      <c r="AH65">
        <v>1.2338376284530509E-4</v>
      </c>
      <c r="AJ65">
        <v>-8.6877064104115193E-2</v>
      </c>
      <c r="AK65">
        <v>-6.5448427261412742E-2</v>
      </c>
    </row>
    <row r="66" spans="23:37" x14ac:dyDescent="0.25">
      <c r="W66">
        <v>64</v>
      </c>
      <c r="X66">
        <v>68.120375319925287</v>
      </c>
      <c r="Y66">
        <v>-2.3203753199252901</v>
      </c>
      <c r="Z66">
        <v>68.579774613668789</v>
      </c>
      <c r="AA66">
        <v>0.26923076923076922</v>
      </c>
      <c r="AB66">
        <v>71.2</v>
      </c>
      <c r="AC66">
        <v>-0.7528924719061203</v>
      </c>
      <c r="AD66">
        <v>-5.6327006727586469E-2</v>
      </c>
      <c r="AE66">
        <v>0.16526494323839519</v>
      </c>
      <c r="AF66">
        <v>-0.62683220487877578</v>
      </c>
      <c r="AG66">
        <v>-0.82405960948067059</v>
      </c>
      <c r="AH66">
        <v>7.0761289885022385E-3</v>
      </c>
      <c r="AJ66">
        <v>-2.8926667506702551E-2</v>
      </c>
      <c r="AK66">
        <v>-5.8062728660348714E-2</v>
      </c>
    </row>
    <row r="67" spans="23:37" x14ac:dyDescent="0.25">
      <c r="W67">
        <v>65</v>
      </c>
      <c r="X67">
        <v>75.493506894162991</v>
      </c>
      <c r="Y67">
        <v>-1.3935068941629964</v>
      </c>
      <c r="Z67">
        <v>75.692480782041756</v>
      </c>
      <c r="AA67">
        <v>0.63076923076923075</v>
      </c>
      <c r="AB67">
        <v>71.400000000000006</v>
      </c>
      <c r="AC67">
        <v>-0.45215135722025301</v>
      </c>
      <c r="AD67">
        <v>-5.5242817485777328E-2</v>
      </c>
      <c r="AE67">
        <v>0.12494586441643354</v>
      </c>
      <c r="AF67">
        <v>0.28333105084294746</v>
      </c>
      <c r="AG67">
        <v>-0.48335518087510915</v>
      </c>
      <c r="AH67">
        <v>1.7557639161451262E-3</v>
      </c>
      <c r="AJ67">
        <v>-9.641027331898153E-3</v>
      </c>
      <c r="AK67">
        <v>-5.6582068616461229E-2</v>
      </c>
    </row>
    <row r="68" spans="23:37" x14ac:dyDescent="0.25">
      <c r="W68">
        <v>66</v>
      </c>
      <c r="X68">
        <v>75.691974917993562</v>
      </c>
      <c r="Y68">
        <v>-0.79197491799355646</v>
      </c>
      <c r="Z68">
        <v>75.740937232455096</v>
      </c>
      <c r="AA68">
        <v>0.7153846153846154</v>
      </c>
      <c r="AB68">
        <v>71.599999999999994</v>
      </c>
      <c r="AC68">
        <v>-0.25697220125363768</v>
      </c>
      <c r="AD68">
        <v>-5.1273572045935613E-2</v>
      </c>
      <c r="AE68">
        <v>5.8223506549461929E-2</v>
      </c>
      <c r="AF68">
        <v>0.53549488691524538</v>
      </c>
      <c r="AG68">
        <v>-0.26479648850584087</v>
      </c>
      <c r="AH68">
        <v>2.2815046246584458E-4</v>
      </c>
      <c r="AJ68">
        <v>9.641027331898153E-3</v>
      </c>
      <c r="AK68">
        <v>-5.3893838753811152E-2</v>
      </c>
    </row>
    <row r="69" spans="23:37" x14ac:dyDescent="0.25">
      <c r="W69">
        <v>67</v>
      </c>
      <c r="X69">
        <v>54.350057966179122</v>
      </c>
      <c r="Y69">
        <v>-2.2500579661791207</v>
      </c>
      <c r="Z69">
        <v>55.685738875856515</v>
      </c>
      <c r="AA69">
        <v>2.3076923076923078E-2</v>
      </c>
      <c r="AB69">
        <v>71.7</v>
      </c>
      <c r="AC69">
        <v>-0.73007659129179137</v>
      </c>
      <c r="AD69">
        <v>-3.9760232869708985E-2</v>
      </c>
      <c r="AE69">
        <v>0.37249809758061175</v>
      </c>
      <c r="AF69">
        <v>-2.0699018308950512</v>
      </c>
      <c r="AG69">
        <v>-0.92163911942630505</v>
      </c>
      <c r="AH69">
        <v>2.6538551314155338E-2</v>
      </c>
      <c r="AJ69">
        <v>2.8926667506702412E-2</v>
      </c>
      <c r="AK69">
        <v>-4.2127326856800061E-2</v>
      </c>
    </row>
    <row r="70" spans="23:37" x14ac:dyDescent="0.25">
      <c r="W70">
        <v>68</v>
      </c>
      <c r="X70">
        <v>60.574096930667139</v>
      </c>
      <c r="Y70">
        <v>0.52590306933286257</v>
      </c>
      <c r="Z70">
        <v>60.527221633506194</v>
      </c>
      <c r="AA70">
        <v>0.15384615384615385</v>
      </c>
      <c r="AB70">
        <v>72.2</v>
      </c>
      <c r="AC70">
        <v>0.17063983505297028</v>
      </c>
      <c r="AD70">
        <v>-8.1315399878771621E-3</v>
      </c>
      <c r="AE70">
        <v>8.1838456029483128E-2</v>
      </c>
      <c r="AF70">
        <v>-1.0364333894937898</v>
      </c>
      <c r="AG70">
        <v>0.17808234800160042</v>
      </c>
      <c r="AH70">
        <v>1.487738061083943E-4</v>
      </c>
      <c r="AJ70">
        <v>4.8223073555922237E-2</v>
      </c>
      <c r="AK70">
        <v>-9.744491342130273E-3</v>
      </c>
    </row>
    <row r="71" spans="23:37" x14ac:dyDescent="0.25">
      <c r="W71">
        <v>69</v>
      </c>
      <c r="X71">
        <v>75.67638506360008</v>
      </c>
      <c r="Y71">
        <v>-2.6763850636000797</v>
      </c>
      <c r="Z71">
        <v>75.990476611232751</v>
      </c>
      <c r="AA71">
        <v>0.55384615384615388</v>
      </c>
      <c r="AB71">
        <v>72.8</v>
      </c>
      <c r="AC71">
        <v>-0.86840699821413436</v>
      </c>
      <c r="AD71">
        <v>7.7613905733120636E-3</v>
      </c>
      <c r="AE71">
        <v>0.10503059828419552</v>
      </c>
      <c r="AF71">
        <v>0.10624922583130493</v>
      </c>
      <c r="AG71">
        <v>-0.91795041167293911</v>
      </c>
      <c r="AH71">
        <v>5.2046615444741682E-3</v>
      </c>
      <c r="AJ71">
        <v>6.7537453930295754E-2</v>
      </c>
      <c r="AK71">
        <v>2.983199506919856E-2</v>
      </c>
    </row>
    <row r="72" spans="23:37" x14ac:dyDescent="0.25">
      <c r="W72">
        <v>70</v>
      </c>
      <c r="X72">
        <v>81.686855238259469</v>
      </c>
      <c r="Y72">
        <v>-0.28685523825946291</v>
      </c>
      <c r="Z72">
        <v>82.119299333367863</v>
      </c>
      <c r="AA72">
        <v>0.91538461538461535</v>
      </c>
      <c r="AB72">
        <v>72.900000000000006</v>
      </c>
      <c r="AC72">
        <v>-9.3075955237853419E-2</v>
      </c>
      <c r="AD72">
        <v>2.7780684969011871E-2</v>
      </c>
      <c r="AE72">
        <v>0.60120185720683339</v>
      </c>
      <c r="AF72">
        <v>1.3037826721034875</v>
      </c>
      <c r="AG72">
        <v>-0.14738759710600224</v>
      </c>
      <c r="AH72">
        <v>1.723595940142975E-3</v>
      </c>
      <c r="AJ72">
        <v>8.6877064104115193E-2</v>
      </c>
      <c r="AK72">
        <v>3.5055607793868272E-2</v>
      </c>
    </row>
    <row r="73" spans="23:37" x14ac:dyDescent="0.25">
      <c r="W73">
        <v>71</v>
      </c>
      <c r="X73">
        <v>65.357072389962241</v>
      </c>
      <c r="Y73">
        <v>-0.65707238996223793</v>
      </c>
      <c r="Z73">
        <v>65.407848149744481</v>
      </c>
      <c r="AA73">
        <v>0.24615384615384617</v>
      </c>
      <c r="AB73">
        <v>73</v>
      </c>
      <c r="AC73">
        <v>-0.21320036101567383</v>
      </c>
      <c r="AD73">
        <v>3.8529451597317382E-2</v>
      </c>
      <c r="AE73">
        <v>7.1732559872582147E-2</v>
      </c>
      <c r="AF73">
        <v>-0.69889862860356855</v>
      </c>
      <c r="AG73">
        <v>-0.22128469487104246</v>
      </c>
      <c r="AH73">
        <v>1.9915552776440608E-4</v>
      </c>
      <c r="AJ73">
        <v>0.10624922583130493</v>
      </c>
      <c r="AK73">
        <v>4.0106330188757651E-2</v>
      </c>
    </row>
    <row r="74" spans="23:37" x14ac:dyDescent="0.25">
      <c r="W74">
        <v>72</v>
      </c>
      <c r="X74">
        <v>53.95341023119466</v>
      </c>
      <c r="Y74">
        <v>2.7465897688053431</v>
      </c>
      <c r="Z74">
        <v>53.520362284620653</v>
      </c>
      <c r="AA74">
        <v>6.9230769230769235E-2</v>
      </c>
      <c r="AB74">
        <v>73</v>
      </c>
      <c r="AC74">
        <v>0.89118632774222684</v>
      </c>
      <c r="AD74">
        <v>5.2964346421825945E-2</v>
      </c>
      <c r="AE74">
        <v>0.13619411559984568</v>
      </c>
      <c r="AF74">
        <v>-1.5110754421113992</v>
      </c>
      <c r="AG74">
        <v>0.95887155620689424</v>
      </c>
      <c r="AH74">
        <v>7.6297350456421432E-3</v>
      </c>
      <c r="AJ74">
        <v>0.10624922583130493</v>
      </c>
      <c r="AK74">
        <v>5.4201956788524575E-2</v>
      </c>
    </row>
    <row r="75" spans="23:37" x14ac:dyDescent="0.25">
      <c r="W75">
        <v>73</v>
      </c>
      <c r="X75">
        <v>75.244898766091708</v>
      </c>
      <c r="Y75">
        <v>-0.64489876609171404</v>
      </c>
      <c r="Z75">
        <v>75.300712849117602</v>
      </c>
      <c r="AA75">
        <v>0.69230769230769229</v>
      </c>
      <c r="AB75">
        <v>73.2</v>
      </c>
      <c r="AC75">
        <v>-0.20925038374724245</v>
      </c>
      <c r="AD75">
        <v>6.8521296542878085E-2</v>
      </c>
      <c r="AE75">
        <v>7.9653288927373223E-2</v>
      </c>
      <c r="AF75">
        <v>0.4484254833059349</v>
      </c>
      <c r="AG75">
        <v>-0.21811750979559288</v>
      </c>
      <c r="AH75">
        <v>2.167103775286577E-4</v>
      </c>
      <c r="AJ75">
        <v>0.14512094121077412</v>
      </c>
      <c r="AK75">
        <v>7.0777873523971732E-2</v>
      </c>
    </row>
    <row r="76" spans="23:37" x14ac:dyDescent="0.25">
      <c r="W76">
        <v>74</v>
      </c>
      <c r="X76">
        <v>74.676287710992639</v>
      </c>
      <c r="Y76">
        <v>3.2237122890073664</v>
      </c>
      <c r="Z76">
        <v>74.040341569648291</v>
      </c>
      <c r="AA76">
        <v>0.85384615384615381</v>
      </c>
      <c r="AB76">
        <v>73.400000000000006</v>
      </c>
      <c r="AC76">
        <v>1.0459983318832402</v>
      </c>
      <c r="AD76">
        <v>6.9489250544556472E-2</v>
      </c>
      <c r="AE76">
        <v>0.16476746655698121</v>
      </c>
      <c r="AF76">
        <v>1.0364333894937898</v>
      </c>
      <c r="AG76">
        <v>1.1445302899832388</v>
      </c>
      <c r="AH76">
        <v>1.3600818413429437E-2</v>
      </c>
      <c r="AJ76">
        <v>0.16463565026941987</v>
      </c>
      <c r="AK76">
        <v>8.1989209428109069E-2</v>
      </c>
    </row>
    <row r="77" spans="23:37" x14ac:dyDescent="0.25">
      <c r="W77">
        <v>75</v>
      </c>
      <c r="X77">
        <v>58.907558475505844</v>
      </c>
      <c r="Y77">
        <v>-1.6075584755058472</v>
      </c>
      <c r="Z77">
        <v>59.170719921503071</v>
      </c>
      <c r="AA77">
        <v>7.6923076923076927E-2</v>
      </c>
      <c r="AB77">
        <v>73.599999999999994</v>
      </c>
      <c r="AC77">
        <v>-0.52160470074134413</v>
      </c>
      <c r="AD77">
        <v>0.12131508081518035</v>
      </c>
      <c r="AE77">
        <v>0.14067388868440786</v>
      </c>
      <c r="AF77">
        <v>-1.4532518306335287</v>
      </c>
      <c r="AG77">
        <v>-0.56268131331803906</v>
      </c>
      <c r="AH77">
        <v>2.7278900925883989E-3</v>
      </c>
      <c r="AJ77">
        <v>0.18421326467921928</v>
      </c>
      <c r="AK77">
        <v>0.12463898334882778</v>
      </c>
    </row>
    <row r="78" spans="23:37" x14ac:dyDescent="0.25">
      <c r="W78">
        <v>76</v>
      </c>
      <c r="X78">
        <v>79.606748677939635</v>
      </c>
      <c r="Y78">
        <v>1.4932513220603596</v>
      </c>
      <c r="Z78">
        <v>79.510116620594005</v>
      </c>
      <c r="AA78">
        <v>0.9</v>
      </c>
      <c r="AB78">
        <v>73.8</v>
      </c>
      <c r="AC78">
        <v>0.48451544428567028</v>
      </c>
      <c r="AD78">
        <v>0.1260148630560117</v>
      </c>
      <c r="AE78">
        <v>6.0779336772322057E-2</v>
      </c>
      <c r="AF78">
        <v>1.2183870521704052</v>
      </c>
      <c r="AG78">
        <v>0.49994681472173291</v>
      </c>
      <c r="AH78">
        <v>8.5129940250337158E-4</v>
      </c>
      <c r="AJ78">
        <v>0.20386174737464505</v>
      </c>
      <c r="AK78">
        <v>0.12962551893790211</v>
      </c>
    </row>
    <row r="79" spans="23:37" x14ac:dyDescent="0.25">
      <c r="W79">
        <v>77</v>
      </c>
      <c r="X79">
        <v>62.725060982019237</v>
      </c>
      <c r="Y79">
        <v>-2.5060982019233791E-2</v>
      </c>
      <c r="Z79">
        <v>62.735989086976375</v>
      </c>
      <c r="AA79">
        <v>0.2</v>
      </c>
      <c r="AB79">
        <v>73.900000000000006</v>
      </c>
      <c r="AC79">
        <v>-8.1315399878771621E-3</v>
      </c>
      <c r="AD79">
        <v>0.15013711199065011</v>
      </c>
      <c r="AE79">
        <v>0.30365051951194288</v>
      </c>
      <c r="AF79">
        <v>-0.91243749037238742</v>
      </c>
      <c r="AG79">
        <v>-9.744491342130273E-3</v>
      </c>
      <c r="AH79">
        <v>2.1792724056194761E-6</v>
      </c>
      <c r="AJ79">
        <v>0.22358925783731975</v>
      </c>
      <c r="AK79">
        <v>0.15638392643453866</v>
      </c>
    </row>
    <row r="80" spans="23:37" x14ac:dyDescent="0.25">
      <c r="W80">
        <v>78</v>
      </c>
      <c r="X80">
        <v>74.273596896147808</v>
      </c>
      <c r="Y80">
        <v>-0.1735968961478136</v>
      </c>
      <c r="Z80">
        <v>74.284460547429447</v>
      </c>
      <c r="AA80">
        <v>0.63076923076923075</v>
      </c>
      <c r="AB80">
        <v>73.900000000000006</v>
      </c>
      <c r="AC80">
        <v>-5.6327006727586469E-2</v>
      </c>
      <c r="AD80">
        <v>0.16988327574303125</v>
      </c>
      <c r="AE80">
        <v>5.889417240178893E-2</v>
      </c>
      <c r="AF80">
        <v>0.28333105084294746</v>
      </c>
      <c r="AG80">
        <v>-5.8062728660348714E-2</v>
      </c>
      <c r="AH80">
        <v>1.1103889799984896E-5</v>
      </c>
      <c r="AJ80">
        <v>0.22358925783731975</v>
      </c>
      <c r="AK80">
        <v>0.17808234800160042</v>
      </c>
    </row>
    <row r="81" spans="23:37" x14ac:dyDescent="0.25">
      <c r="W81">
        <v>79</v>
      </c>
      <c r="X81">
        <v>79.700267913691818</v>
      </c>
      <c r="Y81">
        <v>-3.1002679136918232</v>
      </c>
      <c r="Z81">
        <v>80.627214522934693</v>
      </c>
      <c r="AA81">
        <v>0.79230769230769227</v>
      </c>
      <c r="AB81">
        <v>73.900000000000006</v>
      </c>
      <c r="AC81">
        <v>-1.0059443198981366</v>
      </c>
      <c r="AD81">
        <v>0.17063983505297028</v>
      </c>
      <c r="AE81">
        <v>0.23017065616047552</v>
      </c>
      <c r="AF81">
        <v>0.80109452928194935</v>
      </c>
      <c r="AG81">
        <v>-1.1465070038224379</v>
      </c>
      <c r="AH81">
        <v>2.0684990121494023E-2</v>
      </c>
      <c r="AJ81">
        <v>0.22358925783731975</v>
      </c>
      <c r="AK81">
        <v>0.21435681033288975</v>
      </c>
    </row>
    <row r="82" spans="23:37" x14ac:dyDescent="0.25">
      <c r="W82">
        <v>80</v>
      </c>
      <c r="X82">
        <v>71.847230793262739</v>
      </c>
      <c r="Y82">
        <v>-3.7472307932627444</v>
      </c>
      <c r="Z82">
        <v>72.455652671462033</v>
      </c>
      <c r="AA82">
        <v>0.36153846153846153</v>
      </c>
      <c r="AB82">
        <v>74.099999999999994</v>
      </c>
      <c r="AC82">
        <v>-1.2158644468055955</v>
      </c>
      <c r="AD82">
        <v>0.23032305023473074</v>
      </c>
      <c r="AE82">
        <v>0.13968558195322522</v>
      </c>
      <c r="AF82">
        <v>-0.38532046640756784</v>
      </c>
      <c r="AG82">
        <v>-1.3108607463788147</v>
      </c>
      <c r="AH82">
        <v>1.4684321914961242E-2</v>
      </c>
      <c r="AJ82">
        <v>0.28333105084294746</v>
      </c>
      <c r="AK82">
        <v>0.23438120823335945</v>
      </c>
    </row>
    <row r="83" spans="23:37" x14ac:dyDescent="0.25">
      <c r="W83">
        <v>81</v>
      </c>
      <c r="X83">
        <v>78.71067386386116</v>
      </c>
      <c r="Y83">
        <v>-2.9106738638611631</v>
      </c>
      <c r="Z83">
        <v>80.304338475543005</v>
      </c>
      <c r="AA83">
        <v>0.76923076923076927</v>
      </c>
      <c r="AB83">
        <v>74.099999999999994</v>
      </c>
      <c r="AC83">
        <v>-0.9444267147030021</v>
      </c>
      <c r="AD83">
        <v>0.23542934487433415</v>
      </c>
      <c r="AE83">
        <v>0.35380658454840674</v>
      </c>
      <c r="AF83">
        <v>0.72373120889047504</v>
      </c>
      <c r="AG83">
        <v>-1.174862384262666</v>
      </c>
      <c r="AH83">
        <v>3.9776244830037277E-2</v>
      </c>
      <c r="AJ83">
        <v>0.28333105084294746</v>
      </c>
      <c r="AK83">
        <v>0.24810068300248678</v>
      </c>
    </row>
    <row r="84" spans="23:37" x14ac:dyDescent="0.25">
      <c r="W84">
        <v>82</v>
      </c>
      <c r="X84">
        <v>71.4372908405564</v>
      </c>
      <c r="Y84">
        <v>2.4627091594436052</v>
      </c>
      <c r="Z84">
        <v>71.327580319477548</v>
      </c>
      <c r="AA84">
        <v>0.60769230769230764</v>
      </c>
      <c r="AB84">
        <v>74.099999999999994</v>
      </c>
      <c r="AC84">
        <v>0.79907555071695835</v>
      </c>
      <c r="AD84">
        <v>0.24659987488185858</v>
      </c>
      <c r="AE84">
        <v>4.2648764472432522E-2</v>
      </c>
      <c r="AF84">
        <v>0.22358925783731975</v>
      </c>
      <c r="AG84">
        <v>0.81668051076547143</v>
      </c>
      <c r="AH84">
        <v>1.5638170168144681E-3</v>
      </c>
      <c r="AJ84">
        <v>0.28333105084294746</v>
      </c>
      <c r="AK84">
        <v>0.27421905488502935</v>
      </c>
    </row>
    <row r="85" spans="23:37" x14ac:dyDescent="0.25">
      <c r="W85">
        <v>83</v>
      </c>
      <c r="X85">
        <v>58.029551820983826</v>
      </c>
      <c r="Y85">
        <v>-2.7295518209838292</v>
      </c>
      <c r="Z85">
        <v>58.833001993099458</v>
      </c>
      <c r="AA85">
        <v>5.3846153846153849E-2</v>
      </c>
      <c r="AB85">
        <v>74.3</v>
      </c>
      <c r="AC85">
        <v>-0.88565802266959748</v>
      </c>
      <c r="AD85">
        <v>0.26733638178588343</v>
      </c>
      <c r="AE85">
        <v>0.2274128839114456</v>
      </c>
      <c r="AF85">
        <v>-1.6448536269514726</v>
      </c>
      <c r="AG85">
        <v>-1.0076096782014357</v>
      </c>
      <c r="AH85">
        <v>1.5728911320237259E-2</v>
      </c>
      <c r="AJ85">
        <v>0.34410246288301555</v>
      </c>
      <c r="AK85">
        <v>0.29920488513048288</v>
      </c>
    </row>
    <row r="86" spans="23:37" x14ac:dyDescent="0.25">
      <c r="W86">
        <v>84</v>
      </c>
      <c r="X86">
        <v>66.759674422784471</v>
      </c>
      <c r="Y86">
        <v>-0.55967442278446811</v>
      </c>
      <c r="Z86">
        <v>66.8378944410847</v>
      </c>
      <c r="AA86">
        <v>0.30769230769230771</v>
      </c>
      <c r="AB86">
        <v>74.400000000000006</v>
      </c>
      <c r="AC86">
        <v>-0.18159763035507392</v>
      </c>
      <c r="AD86">
        <v>0.29166112454855375</v>
      </c>
      <c r="AE86">
        <v>0.12262219775299775</v>
      </c>
      <c r="AF86">
        <v>-0.51337031319247584</v>
      </c>
      <c r="AG86">
        <v>-0.19387278807310673</v>
      </c>
      <c r="AH86">
        <v>2.7647926360247036E-4</v>
      </c>
      <c r="AJ86">
        <v>0.36463402147370944</v>
      </c>
      <c r="AK86">
        <v>0.31336110290810326</v>
      </c>
    </row>
    <row r="87" spans="23:37" x14ac:dyDescent="0.25">
      <c r="W87">
        <v>85</v>
      </c>
      <c r="X87">
        <v>67.568192118901777</v>
      </c>
      <c r="Y87">
        <v>-1.4681921189017828</v>
      </c>
      <c r="Z87">
        <v>67.650969768087606</v>
      </c>
      <c r="AA87">
        <v>0.3</v>
      </c>
      <c r="AB87">
        <v>74.400000000000006</v>
      </c>
      <c r="AC87">
        <v>-0.47638448148493423</v>
      </c>
      <c r="AD87">
        <v>0.30045639381663075</v>
      </c>
      <c r="AE87">
        <v>5.337154268834815E-2</v>
      </c>
      <c r="AF87">
        <v>-0.53549488691524527</v>
      </c>
      <c r="AG87">
        <v>-0.48962978369286347</v>
      </c>
      <c r="AH87">
        <v>7.1139736868652988E-4</v>
      </c>
      <c r="AJ87">
        <v>0.36463402147370944</v>
      </c>
      <c r="AK87">
        <v>0.41408570472483458</v>
      </c>
    </row>
    <row r="88" spans="23:37" x14ac:dyDescent="0.25">
      <c r="W88">
        <v>86</v>
      </c>
      <c r="X88">
        <v>65.114291179849488</v>
      </c>
      <c r="Y88">
        <v>4.1857088201505093</v>
      </c>
      <c r="Z88">
        <v>64.512885876305532</v>
      </c>
      <c r="AA88">
        <v>0.42307692307692307</v>
      </c>
      <c r="AB88">
        <v>74.5</v>
      </c>
      <c r="AC88">
        <v>1.358137467340341</v>
      </c>
      <c r="AD88">
        <v>0.4070912320978381</v>
      </c>
      <c r="AE88">
        <v>0.12563003262596545</v>
      </c>
      <c r="AF88">
        <v>-0.22358925783731975</v>
      </c>
      <c r="AG88">
        <v>1.4524330219642179</v>
      </c>
      <c r="AH88">
        <v>1.5952798074012252E-2</v>
      </c>
      <c r="AJ88">
        <v>0.40617314499199975</v>
      </c>
      <c r="AK88">
        <v>0.41712178192858801</v>
      </c>
    </row>
    <row r="89" spans="23:37" x14ac:dyDescent="0.25">
      <c r="W89">
        <v>87</v>
      </c>
      <c r="X89">
        <v>80.639992050758778</v>
      </c>
      <c r="Y89">
        <v>0.76000794924122772</v>
      </c>
      <c r="Z89">
        <v>79.257045714302549</v>
      </c>
      <c r="AA89">
        <v>0.91538461538461535</v>
      </c>
      <c r="AB89">
        <v>74.5</v>
      </c>
      <c r="AC89">
        <v>0.24659987488185858</v>
      </c>
      <c r="AD89">
        <v>0.41108023960517481</v>
      </c>
      <c r="AE89">
        <v>0.64534570134618119</v>
      </c>
      <c r="AF89">
        <v>1.3037826721034875</v>
      </c>
      <c r="AG89">
        <v>0.41408570472483458</v>
      </c>
      <c r="AH89">
        <v>1.6421547017496041E-2</v>
      </c>
      <c r="AJ89">
        <v>0.40617314499199975</v>
      </c>
      <c r="AK89">
        <v>0.42960320572929128</v>
      </c>
    </row>
    <row r="90" spans="23:37" x14ac:dyDescent="0.25">
      <c r="W90">
        <v>88</v>
      </c>
      <c r="X90">
        <v>71.167240505317878</v>
      </c>
      <c r="Y90">
        <v>2.7327594946821279</v>
      </c>
      <c r="Z90">
        <v>71.032466531173753</v>
      </c>
      <c r="AA90">
        <v>0.60769230769230764</v>
      </c>
      <c r="AB90">
        <v>74.599999999999994</v>
      </c>
      <c r="AC90">
        <v>0.88669881695793618</v>
      </c>
      <c r="AD90">
        <v>0.42605314973008307</v>
      </c>
      <c r="AE90">
        <v>4.6999965513670222E-2</v>
      </c>
      <c r="AF90">
        <v>0.22358925783731975</v>
      </c>
      <c r="AG90">
        <v>0.90830074593214449</v>
      </c>
      <c r="AH90">
        <v>2.1414619574260975E-3</v>
      </c>
      <c r="AJ90">
        <v>0.4484254833059349</v>
      </c>
      <c r="AK90">
        <v>0.44814238983718785</v>
      </c>
    </row>
    <row r="91" spans="23:37" x14ac:dyDescent="0.25">
      <c r="W91">
        <v>89</v>
      </c>
      <c r="X91">
        <v>60.693438088741686</v>
      </c>
      <c r="Y91">
        <v>8.3065619112583136</v>
      </c>
      <c r="Z91">
        <v>57.084219606731821</v>
      </c>
      <c r="AA91">
        <v>0.3923076923076923</v>
      </c>
      <c r="AB91">
        <v>74.599999999999994</v>
      </c>
      <c r="AC91">
        <v>2.6952311881208333</v>
      </c>
      <c r="AD91">
        <v>0.44046159098730214</v>
      </c>
      <c r="AE91">
        <v>0.30289400802056504</v>
      </c>
      <c r="AF91">
        <v>-0.3034611351161759</v>
      </c>
      <c r="AG91">
        <v>3.2280972928577545</v>
      </c>
      <c r="AH91">
        <v>0.23830409020720256</v>
      </c>
      <c r="AJ91">
        <v>0.4484254833059349</v>
      </c>
      <c r="AK91">
        <v>0.46819096578345959</v>
      </c>
    </row>
    <row r="92" spans="23:37" x14ac:dyDescent="0.25">
      <c r="W92">
        <v>90</v>
      </c>
      <c r="X92">
        <v>53.652574131223005</v>
      </c>
      <c r="Y92">
        <v>-0.4525741312230025</v>
      </c>
      <c r="Z92">
        <v>59.496193846686126</v>
      </c>
      <c r="AA92">
        <v>3.8461538461538464E-2</v>
      </c>
      <c r="AB92">
        <v>74.599999999999994</v>
      </c>
      <c r="AC92">
        <v>-0.14684678528136649</v>
      </c>
      <c r="AD92">
        <v>0.45255376584676077</v>
      </c>
      <c r="AE92">
        <v>0.92811940956023675</v>
      </c>
      <c r="AF92">
        <v>-1.8169108227999393</v>
      </c>
      <c r="AG92">
        <v>-0.54772003297150196</v>
      </c>
      <c r="AH92">
        <v>0.20387119546560359</v>
      </c>
      <c r="AJ92">
        <v>0.4484254833059349</v>
      </c>
      <c r="AK92">
        <v>0.48740780163793151</v>
      </c>
    </row>
    <row r="93" spans="23:37" x14ac:dyDescent="0.25">
      <c r="W93">
        <v>91</v>
      </c>
      <c r="X93">
        <v>64.203767839698102</v>
      </c>
      <c r="Y93">
        <v>1.7962321603018978</v>
      </c>
      <c r="Z93">
        <v>59.009983348360912</v>
      </c>
      <c r="AA93">
        <v>0.29230769230769232</v>
      </c>
      <c r="AB93">
        <v>74.7</v>
      </c>
      <c r="AC93">
        <v>0.58282367497793808</v>
      </c>
      <c r="AD93">
        <v>0.47698614628504166</v>
      </c>
      <c r="AE93">
        <v>0.74302891540598848</v>
      </c>
      <c r="AF93">
        <v>-0.58055788777731265</v>
      </c>
      <c r="AG93">
        <v>1.1497278626453076</v>
      </c>
      <c r="AH93">
        <v>0.2011675695320721</v>
      </c>
      <c r="AJ93">
        <v>0.51337031319247561</v>
      </c>
      <c r="AK93">
        <v>0.49994681472173291</v>
      </c>
    </row>
    <row r="94" spans="23:37" x14ac:dyDescent="0.25">
      <c r="W94">
        <v>92</v>
      </c>
      <c r="X94">
        <v>75.084638625479343</v>
      </c>
      <c r="Y94">
        <v>2.415361374520657</v>
      </c>
      <c r="Z94">
        <v>73.972976779905906</v>
      </c>
      <c r="AA94">
        <v>0.83846153846153848</v>
      </c>
      <c r="AB94">
        <v>74.900000000000006</v>
      </c>
      <c r="AC94">
        <v>0.78371260898774464</v>
      </c>
      <c r="AD94">
        <v>0.48127672278850203</v>
      </c>
      <c r="AE94">
        <v>0.31518415848245546</v>
      </c>
      <c r="AF94">
        <v>0.97256563174841171</v>
      </c>
      <c r="AG94">
        <v>0.94704351609948945</v>
      </c>
      <c r="AH94">
        <v>2.172585377677113E-2</v>
      </c>
      <c r="AJ94">
        <v>0.53549488691524538</v>
      </c>
      <c r="AK94">
        <v>0.51130276908986849</v>
      </c>
    </row>
    <row r="95" spans="23:37" x14ac:dyDescent="0.25">
      <c r="W95">
        <v>93</v>
      </c>
      <c r="X95">
        <v>63.276076479838707</v>
      </c>
      <c r="Y95">
        <v>-0.87607647983870862</v>
      </c>
      <c r="Z95">
        <v>63.439473566490634</v>
      </c>
      <c r="AA95">
        <v>0.16923076923076924</v>
      </c>
      <c r="AB95">
        <v>74.900000000000006</v>
      </c>
      <c r="AC95">
        <v>-0.2842606456035805</v>
      </c>
      <c r="AD95">
        <v>0.48451544428567028</v>
      </c>
      <c r="AE95">
        <v>0.15719215179619533</v>
      </c>
      <c r="AF95">
        <v>-0.97256563174841171</v>
      </c>
      <c r="AG95">
        <v>-0.30963671587107933</v>
      </c>
      <c r="AH95">
        <v>9.4113861300413855E-4</v>
      </c>
      <c r="AJ95">
        <v>0.53549488691524538</v>
      </c>
      <c r="AK95">
        <v>0.53474418620157615</v>
      </c>
    </row>
    <row r="96" spans="23:37" x14ac:dyDescent="0.25">
      <c r="W96">
        <v>94</v>
      </c>
      <c r="X96">
        <v>69.640052660642496</v>
      </c>
      <c r="Y96">
        <v>4.1599473393575011</v>
      </c>
      <c r="Z96">
        <v>68.637212564773719</v>
      </c>
      <c r="AA96">
        <v>0.58461538461538465</v>
      </c>
      <c r="AB96">
        <v>75.2</v>
      </c>
      <c r="AC96">
        <v>1.3497786364272306</v>
      </c>
      <c r="AD96">
        <v>0.50749836735741027</v>
      </c>
      <c r="AE96">
        <v>0.19424392509873453</v>
      </c>
      <c r="AF96">
        <v>0.20386174737464505</v>
      </c>
      <c r="AG96">
        <v>1.5036984630409798</v>
      </c>
      <c r="AH96">
        <v>2.8688759348121047E-2</v>
      </c>
      <c r="AJ96">
        <v>0.58055788777731265</v>
      </c>
      <c r="AK96">
        <v>0.54147746435852739</v>
      </c>
    </row>
    <row r="97" spans="23:37" x14ac:dyDescent="0.25">
      <c r="W97">
        <v>95</v>
      </c>
      <c r="X97">
        <v>73.522573927089866</v>
      </c>
      <c r="Y97">
        <v>1.7774260729101314</v>
      </c>
      <c r="Z97">
        <v>73.472380911333005</v>
      </c>
      <c r="AA97">
        <v>0.74615384615384617</v>
      </c>
      <c r="AB97">
        <v>75.3</v>
      </c>
      <c r="AC97">
        <v>0.57672166143655745</v>
      </c>
      <c r="AD97">
        <v>0.51000792959543906</v>
      </c>
      <c r="AE97">
        <v>2.7463608838467171E-2</v>
      </c>
      <c r="AF97">
        <v>0.60353348574052101</v>
      </c>
      <c r="AG97">
        <v>0.58480803782719781</v>
      </c>
      <c r="AH97">
        <v>5.0830550011799998E-4</v>
      </c>
      <c r="AJ97">
        <v>0.60353348574052101</v>
      </c>
      <c r="AK97">
        <v>0.58480803782719781</v>
      </c>
    </row>
    <row r="98" spans="23:37" x14ac:dyDescent="0.25">
      <c r="W98">
        <v>96</v>
      </c>
      <c r="X98">
        <v>73.252318725165154</v>
      </c>
      <c r="Y98">
        <v>-5.1523187251651592</v>
      </c>
      <c r="Z98">
        <v>75.115196019620157</v>
      </c>
      <c r="AA98">
        <v>0.36153846153846153</v>
      </c>
      <c r="AB98">
        <v>75.3</v>
      </c>
      <c r="AC98">
        <v>-1.6717735047977862</v>
      </c>
      <c r="AD98">
        <v>0.57453640881952617</v>
      </c>
      <c r="AE98">
        <v>0.26554885839895109</v>
      </c>
      <c r="AF98">
        <v>-0.38532046640756784</v>
      </c>
      <c r="AG98">
        <v>-1.9507246994361684</v>
      </c>
      <c r="AH98">
        <v>7.2413559087605842E-2</v>
      </c>
      <c r="AJ98">
        <v>0.60353348574052101</v>
      </c>
      <c r="AK98">
        <v>0.5932407889630793</v>
      </c>
    </row>
    <row r="99" spans="23:37" x14ac:dyDescent="0.25">
      <c r="W99">
        <v>97</v>
      </c>
      <c r="X99">
        <v>78.173982459302167</v>
      </c>
      <c r="Y99">
        <v>-1.0739824593021723</v>
      </c>
      <c r="Z99">
        <v>78.365188492912949</v>
      </c>
      <c r="AA99">
        <v>0.82307692307692304</v>
      </c>
      <c r="AB99">
        <v>75.3</v>
      </c>
      <c r="AC99">
        <v>-0.34847522365212075</v>
      </c>
      <c r="AD99">
        <v>0.57672166143655745</v>
      </c>
      <c r="AE99">
        <v>0.15112849562088246</v>
      </c>
      <c r="AF99">
        <v>0.91243749037238742</v>
      </c>
      <c r="AG99">
        <v>-0.37822560649877823</v>
      </c>
      <c r="AH99">
        <v>1.3404562968502597E-3</v>
      </c>
      <c r="AJ99">
        <v>0.60353348574052101</v>
      </c>
      <c r="AK99">
        <v>0.60140072866247263</v>
      </c>
    </row>
    <row r="100" spans="23:37" x14ac:dyDescent="0.25">
      <c r="W100">
        <v>98</v>
      </c>
      <c r="X100">
        <v>78.337545489438128</v>
      </c>
      <c r="Y100">
        <v>7.6624545105618722</v>
      </c>
      <c r="Z100">
        <v>77.188357249703785</v>
      </c>
      <c r="AA100">
        <v>0.99230769230769234</v>
      </c>
      <c r="AB100">
        <v>75.599999999999994</v>
      </c>
      <c r="AC100">
        <v>2.4862375788029305</v>
      </c>
      <c r="AD100">
        <v>0.58046524198246208</v>
      </c>
      <c r="AE100">
        <v>0.13041702578054601</v>
      </c>
      <c r="AF100">
        <v>1.9280721392467044</v>
      </c>
      <c r="AG100">
        <v>2.6661655492796821</v>
      </c>
      <c r="AH100">
        <v>5.611046755190538E-2</v>
      </c>
      <c r="AJ100">
        <v>0.67448975019608193</v>
      </c>
      <c r="AK100">
        <v>0.60246699183071128</v>
      </c>
    </row>
    <row r="101" spans="23:37" x14ac:dyDescent="0.25">
      <c r="W101">
        <v>99</v>
      </c>
      <c r="X101">
        <v>75.767942911280983</v>
      </c>
      <c r="Y101">
        <v>-1.1679429112809885</v>
      </c>
      <c r="Z101">
        <v>75.815057283072022</v>
      </c>
      <c r="AA101">
        <v>0.69230769230769229</v>
      </c>
      <c r="AB101">
        <v>75.599999999999994</v>
      </c>
      <c r="AC101">
        <v>-0.37896258332375565</v>
      </c>
      <c r="AD101">
        <v>0.58270001844890751</v>
      </c>
      <c r="AE101">
        <v>3.8775432605058911E-2</v>
      </c>
      <c r="AF101">
        <v>0.4484254833059349</v>
      </c>
      <c r="AG101">
        <v>-0.38653061805035654</v>
      </c>
      <c r="AH101">
        <v>3.172093580301036E-4</v>
      </c>
      <c r="AJ101">
        <v>0.67448975019608193</v>
      </c>
      <c r="AK101">
        <v>0.60282804439389348</v>
      </c>
    </row>
    <row r="102" spans="23:37" x14ac:dyDescent="0.25">
      <c r="W102">
        <v>100</v>
      </c>
      <c r="X102">
        <v>75.491478631279705</v>
      </c>
      <c r="Y102">
        <v>-5.4914786312797048</v>
      </c>
      <c r="Z102">
        <v>75.943350545520261</v>
      </c>
      <c r="AA102">
        <v>0.46153846153846156</v>
      </c>
      <c r="AB102">
        <v>75.8</v>
      </c>
      <c r="AC102">
        <v>-1.7818207621933051</v>
      </c>
      <c r="AD102">
        <v>0.58282367497793808</v>
      </c>
      <c r="AE102">
        <v>7.6029827078119491E-2</v>
      </c>
      <c r="AF102">
        <v>-0.10624922583130508</v>
      </c>
      <c r="AG102">
        <v>-1.8536811738783288</v>
      </c>
      <c r="AH102">
        <v>1.4881356760550819E-2</v>
      </c>
      <c r="AJ102">
        <v>0.72373120889047504</v>
      </c>
      <c r="AK102">
        <v>0.62064531671365586</v>
      </c>
    </row>
    <row r="103" spans="23:37" x14ac:dyDescent="0.25">
      <c r="W103">
        <v>101</v>
      </c>
      <c r="X103">
        <v>63.628182168160912</v>
      </c>
      <c r="Y103">
        <v>1.5718178318390912</v>
      </c>
      <c r="Z103">
        <v>63.472012894238333</v>
      </c>
      <c r="AA103">
        <v>0.25384615384615383</v>
      </c>
      <c r="AB103">
        <v>76</v>
      </c>
      <c r="AC103">
        <v>0.51000792959543906</v>
      </c>
      <c r="AD103">
        <v>0.59009422079999718</v>
      </c>
      <c r="AE103">
        <v>9.0376411607389767E-2</v>
      </c>
      <c r="AF103">
        <v>-0.67448975019608193</v>
      </c>
      <c r="AG103">
        <v>0.53474418620157615</v>
      </c>
      <c r="AH103">
        <v>1.495312355799894E-3</v>
      </c>
      <c r="AJ103">
        <v>0.74901833610770818</v>
      </c>
      <c r="AK103">
        <v>0.68324726104203637</v>
      </c>
    </row>
    <row r="104" spans="23:37" x14ac:dyDescent="0.25">
      <c r="W104">
        <v>102</v>
      </c>
      <c r="X104">
        <v>73.783722183190335</v>
      </c>
      <c r="Y104">
        <v>-0.18372218319034062</v>
      </c>
      <c r="Z104">
        <v>73.821455972738519</v>
      </c>
      <c r="AA104">
        <v>0.57692307692307687</v>
      </c>
      <c r="AB104">
        <v>76</v>
      </c>
      <c r="AC104">
        <v>-5.9612359887803938E-2</v>
      </c>
      <c r="AD104">
        <v>0.62567259451023205</v>
      </c>
      <c r="AE104">
        <v>0.17038957713158703</v>
      </c>
      <c r="AF104">
        <v>0.18421326467921928</v>
      </c>
      <c r="AG104">
        <v>-6.5448427261412742E-2</v>
      </c>
      <c r="AH104">
        <v>4.6303482332158419E-5</v>
      </c>
      <c r="AJ104">
        <v>0.74901833610770818</v>
      </c>
      <c r="AK104">
        <v>0.70811423730457757</v>
      </c>
    </row>
    <row r="105" spans="23:37" x14ac:dyDescent="0.25">
      <c r="W105">
        <v>103</v>
      </c>
      <c r="X105">
        <v>68.163400938626438</v>
      </c>
      <c r="Y105">
        <v>-1.0634009386264438</v>
      </c>
      <c r="Z105">
        <v>68.233748355982613</v>
      </c>
      <c r="AA105">
        <v>0.32307692307692309</v>
      </c>
      <c r="AB105">
        <v>76.599999999999994</v>
      </c>
      <c r="AC105">
        <v>-0.34504183630755464</v>
      </c>
      <c r="AD105">
        <v>0.67440217090779064</v>
      </c>
      <c r="AE105">
        <v>6.2048528657136282E-2</v>
      </c>
      <c r="AF105">
        <v>-0.46985091039566484</v>
      </c>
      <c r="AG105">
        <v>-0.35627190170034223</v>
      </c>
      <c r="AH105">
        <v>4.4193730358785461E-4</v>
      </c>
      <c r="AJ105">
        <v>0.80109452928194935</v>
      </c>
      <c r="AK105">
        <v>0.72460445526316353</v>
      </c>
    </row>
    <row r="106" spans="23:37" x14ac:dyDescent="0.25">
      <c r="W106">
        <v>104</v>
      </c>
      <c r="X106">
        <v>62.411008017828351</v>
      </c>
      <c r="Y106">
        <v>3.5889919821716489</v>
      </c>
      <c r="Z106">
        <v>62.188354116247375</v>
      </c>
      <c r="AA106">
        <v>0.29230769230769232</v>
      </c>
      <c r="AB106">
        <v>76.8</v>
      </c>
      <c r="AC106">
        <v>1.164520679868057</v>
      </c>
      <c r="AD106">
        <v>0.67637435520548539</v>
      </c>
      <c r="AE106">
        <v>5.8414109907232531E-2</v>
      </c>
      <c r="AF106">
        <v>-0.58055788777731265</v>
      </c>
      <c r="AG106">
        <v>1.2000994433955381</v>
      </c>
      <c r="AH106">
        <v>4.7026070357035297E-3</v>
      </c>
      <c r="AJ106">
        <v>0.82796149319414114</v>
      </c>
      <c r="AK106">
        <v>0.73188460068330485</v>
      </c>
    </row>
    <row r="107" spans="23:37" x14ac:dyDescent="0.25">
      <c r="W107">
        <v>105</v>
      </c>
      <c r="X107">
        <v>72.998468840916729</v>
      </c>
      <c r="Y107">
        <v>2.3015311590832681</v>
      </c>
      <c r="Z107">
        <v>72.783832816054783</v>
      </c>
      <c r="AA107">
        <v>0.74615384615384617</v>
      </c>
      <c r="AB107">
        <v>76.900000000000006</v>
      </c>
      <c r="AC107">
        <v>0.74677810466754646</v>
      </c>
      <c r="AD107">
        <v>0.69166338809508643</v>
      </c>
      <c r="AE107">
        <v>8.5302767730008264E-2</v>
      </c>
      <c r="AF107">
        <v>0.60353348574052101</v>
      </c>
      <c r="AG107">
        <v>0.78082353237628666</v>
      </c>
      <c r="AH107">
        <v>2.9925260781107116E-3</v>
      </c>
      <c r="AJ107">
        <v>0.85543984651958882</v>
      </c>
      <c r="AK107">
        <v>0.747413936633188</v>
      </c>
    </row>
    <row r="108" spans="23:37" x14ac:dyDescent="0.25">
      <c r="W108">
        <v>106</v>
      </c>
      <c r="X108">
        <v>73.876451513099326</v>
      </c>
      <c r="Y108">
        <v>-0.97645151309932032</v>
      </c>
      <c r="Z108">
        <v>73.953282759698197</v>
      </c>
      <c r="AA108">
        <v>0.53846153846153844</v>
      </c>
      <c r="AB108">
        <v>77</v>
      </c>
      <c r="AC108">
        <v>-0.3168293452705267</v>
      </c>
      <c r="AD108">
        <v>0.71293028468024422</v>
      </c>
      <c r="AE108">
        <v>7.2944559180749047E-2</v>
      </c>
      <c r="AF108">
        <v>8.6877064104115193E-2</v>
      </c>
      <c r="AG108">
        <v>-0.32905807013877875</v>
      </c>
      <c r="AH108">
        <v>4.4841350996832131E-4</v>
      </c>
      <c r="AJ108">
        <v>0.88357981934110352</v>
      </c>
      <c r="AK108">
        <v>0.78082353237628666</v>
      </c>
    </row>
    <row r="109" spans="23:37" x14ac:dyDescent="0.25">
      <c r="W109">
        <v>107</v>
      </c>
      <c r="X109">
        <v>63.616761524721539</v>
      </c>
      <c r="Y109">
        <v>-9.6167615247215394</v>
      </c>
      <c r="Z109">
        <v>65.119080182916875</v>
      </c>
      <c r="AA109">
        <v>4.6153846153846156E-2</v>
      </c>
      <c r="AB109">
        <v>77.099999999999994</v>
      </c>
      <c r="AC109">
        <v>-3.1203518214942876</v>
      </c>
      <c r="AD109">
        <v>0.7372917403233743</v>
      </c>
      <c r="AE109">
        <v>0.13511177484837911</v>
      </c>
      <c r="AF109">
        <v>-1.7245123876414932</v>
      </c>
      <c r="AG109">
        <v>-3.3552398517483932</v>
      </c>
      <c r="AH109">
        <v>9.2560726870756643E-2</v>
      </c>
      <c r="AJ109">
        <v>0.91243749037238742</v>
      </c>
      <c r="AK109">
        <v>0.79863296204644108</v>
      </c>
    </row>
    <row r="110" spans="23:37" x14ac:dyDescent="0.25">
      <c r="W110">
        <v>108</v>
      </c>
      <c r="X110">
        <v>65.499430876517437</v>
      </c>
      <c r="Y110">
        <v>3.3005691234825605</v>
      </c>
      <c r="Z110">
        <v>65.196070191428475</v>
      </c>
      <c r="AA110">
        <v>0.37692307692307692</v>
      </c>
      <c r="AB110">
        <v>77.2</v>
      </c>
      <c r="AC110">
        <v>1.0709360786322322</v>
      </c>
      <c r="AD110">
        <v>0.74677810466754646</v>
      </c>
      <c r="AE110">
        <v>8.4174970435732077E-2</v>
      </c>
      <c r="AF110">
        <v>-0.323714956873427</v>
      </c>
      <c r="AG110">
        <v>1.1190701083233838</v>
      </c>
      <c r="AH110">
        <v>6.0580304743237737E-3</v>
      </c>
      <c r="AJ110">
        <v>0.94207577499577577</v>
      </c>
      <c r="AK110">
        <v>0.80245989437439058</v>
      </c>
    </row>
    <row r="111" spans="23:37" x14ac:dyDescent="0.25">
      <c r="W111">
        <v>109</v>
      </c>
      <c r="X111">
        <v>67.071709705132776</v>
      </c>
      <c r="Y111">
        <v>1.9282902948672245</v>
      </c>
      <c r="Z111">
        <v>66.41369255339761</v>
      </c>
      <c r="AA111">
        <v>0.3923076923076923</v>
      </c>
      <c r="AB111">
        <v>77.5</v>
      </c>
      <c r="AC111">
        <v>0.62567259451023205</v>
      </c>
      <c r="AD111">
        <v>0.77813769028105584</v>
      </c>
      <c r="AE111">
        <v>0.25442340685350184</v>
      </c>
      <c r="AF111">
        <v>-0.3034611351161759</v>
      </c>
      <c r="AG111">
        <v>0.72460445526316353</v>
      </c>
      <c r="AH111">
        <v>9.4300326749586442E-3</v>
      </c>
      <c r="AJ111">
        <v>0.97256563174841171</v>
      </c>
      <c r="AK111">
        <v>0.81440399982189593</v>
      </c>
    </row>
    <row r="112" spans="23:37" x14ac:dyDescent="0.25">
      <c r="W112">
        <v>110</v>
      </c>
      <c r="X112">
        <v>80.611036407150436</v>
      </c>
      <c r="Y112">
        <v>1.7889635928495693</v>
      </c>
      <c r="Z112">
        <v>80.479665150919956</v>
      </c>
      <c r="AA112">
        <v>0.96153846153846156</v>
      </c>
      <c r="AB112">
        <v>77.7</v>
      </c>
      <c r="AC112">
        <v>0.58046524198246208</v>
      </c>
      <c r="AD112">
        <v>0.78118512871405854</v>
      </c>
      <c r="AE112">
        <v>6.8410598439857251E-2</v>
      </c>
      <c r="AF112">
        <v>1.7245123876414941</v>
      </c>
      <c r="AG112">
        <v>0.60140072866247263</v>
      </c>
      <c r="AH112">
        <v>1.3978904872037768E-3</v>
      </c>
      <c r="AJ112">
        <v>1.0039875483647984</v>
      </c>
      <c r="AK112">
        <v>0.81668051076547143</v>
      </c>
    </row>
    <row r="113" spans="23:37" x14ac:dyDescent="0.25">
      <c r="W113">
        <v>111</v>
      </c>
      <c r="X113">
        <v>72.829308761650665</v>
      </c>
      <c r="Y113">
        <v>1.770691238349329</v>
      </c>
      <c r="Z113">
        <v>72.533693734214964</v>
      </c>
      <c r="AA113">
        <v>0.69230769230769229</v>
      </c>
      <c r="AB113">
        <v>77.900000000000006</v>
      </c>
      <c r="AC113">
        <v>0.57453640881952617</v>
      </c>
      <c r="AD113">
        <v>0.78371260898774464</v>
      </c>
      <c r="AE113">
        <v>0.14306447806438244</v>
      </c>
      <c r="AF113">
        <v>0.4484254833059349</v>
      </c>
      <c r="AG113">
        <v>0.62064531671365586</v>
      </c>
      <c r="AH113">
        <v>3.3846754657302532E-3</v>
      </c>
      <c r="AJ113">
        <v>1.0364333894937898</v>
      </c>
      <c r="AK113">
        <v>0.89348018488148551</v>
      </c>
    </row>
    <row r="114" spans="23:37" x14ac:dyDescent="0.25">
      <c r="W114">
        <v>112</v>
      </c>
      <c r="X114">
        <v>72.164653305290969</v>
      </c>
      <c r="Y114">
        <v>-0.96465330529096605</v>
      </c>
      <c r="Z114">
        <v>72.193514854782293</v>
      </c>
      <c r="AA114">
        <v>0.49230769230769234</v>
      </c>
      <c r="AB114">
        <v>79.400000000000006</v>
      </c>
      <c r="AC114">
        <v>-0.31300117929900623</v>
      </c>
      <c r="AD114">
        <v>0.7843019703128401</v>
      </c>
      <c r="AE114">
        <v>2.9049942587565492E-2</v>
      </c>
      <c r="AF114">
        <v>-2.8926667506702551E-2</v>
      </c>
      <c r="AG114">
        <v>-0.3176490259738719</v>
      </c>
      <c r="AH114">
        <v>1.5888754021485356E-4</v>
      </c>
      <c r="AJ114">
        <v>1.0700087179328284</v>
      </c>
      <c r="AK114">
        <v>0.90830074593214449</v>
      </c>
    </row>
    <row r="115" spans="23:37" x14ac:dyDescent="0.25">
      <c r="W115">
        <v>113</v>
      </c>
      <c r="X115">
        <v>57.385837755084104</v>
      </c>
      <c r="Y115">
        <v>0.2141622449158973</v>
      </c>
      <c r="Z115">
        <v>57.301859446979748</v>
      </c>
      <c r="AA115">
        <v>8.461538461538462E-2</v>
      </c>
      <c r="AB115">
        <v>81</v>
      </c>
      <c r="AC115">
        <v>6.9489250544556472E-2</v>
      </c>
      <c r="AD115">
        <v>0.79907555071695835</v>
      </c>
      <c r="AE115">
        <v>0.28167355045676101</v>
      </c>
      <c r="AF115">
        <v>-1.3999160421463073</v>
      </c>
      <c r="AG115">
        <v>8.1989209428109069E-2</v>
      </c>
      <c r="AH115">
        <v>1.3873435096449293E-4</v>
      </c>
      <c r="AJ115">
        <v>1.1048357439621104</v>
      </c>
      <c r="AK115">
        <v>0.94704351609948945</v>
      </c>
    </row>
    <row r="116" spans="23:37" x14ac:dyDescent="0.25">
      <c r="W116">
        <v>114</v>
      </c>
      <c r="X116">
        <v>83.716477088434374</v>
      </c>
      <c r="Y116">
        <v>-1.8164770884343682</v>
      </c>
      <c r="Z116">
        <v>83.926080963163415</v>
      </c>
      <c r="AA116">
        <v>0.93076923076923079</v>
      </c>
      <c r="AB116">
        <v>81</v>
      </c>
      <c r="AC116">
        <v>-0.58939254935542806</v>
      </c>
      <c r="AD116">
        <v>0.82618582267873941</v>
      </c>
      <c r="AE116">
        <v>0.10345286222016445</v>
      </c>
      <c r="AF116">
        <v>1.4532518306335294</v>
      </c>
      <c r="AG116">
        <v>-0.62246950110072441</v>
      </c>
      <c r="AH116">
        <v>2.3531625931575767E-3</v>
      </c>
      <c r="AJ116">
        <v>1.1048357439621104</v>
      </c>
      <c r="AK116">
        <v>0.95887155620689424</v>
      </c>
    </row>
    <row r="117" spans="23:37" x14ac:dyDescent="0.25">
      <c r="W117">
        <v>115</v>
      </c>
      <c r="X117">
        <v>70.029306233834035</v>
      </c>
      <c r="Y117">
        <v>-0.7293062338340377</v>
      </c>
      <c r="Z117">
        <v>70.056822004661285</v>
      </c>
      <c r="AA117">
        <v>0.42307692307692307</v>
      </c>
      <c r="AB117">
        <v>81</v>
      </c>
      <c r="AC117">
        <v>-0.23663808542211645</v>
      </c>
      <c r="AD117">
        <v>0.88669881695793618</v>
      </c>
      <c r="AE117">
        <v>3.6356991020049058E-2</v>
      </c>
      <c r="AF117">
        <v>-0.22358925783731975</v>
      </c>
      <c r="AG117">
        <v>-0.24106077883927862</v>
      </c>
      <c r="AH117">
        <v>1.1539082215623138E-4</v>
      </c>
      <c r="AJ117">
        <v>1.1048357439621104</v>
      </c>
      <c r="AK117">
        <v>1.0181479765024655</v>
      </c>
    </row>
    <row r="118" spans="23:37" x14ac:dyDescent="0.25">
      <c r="W118">
        <v>116</v>
      </c>
      <c r="X118">
        <v>72.368329522051766</v>
      </c>
      <c r="Y118">
        <v>2.1316704779482336</v>
      </c>
      <c r="Z118">
        <v>72.265722315552182</v>
      </c>
      <c r="AA118">
        <v>0.66923076923076918</v>
      </c>
      <c r="AB118">
        <v>81.099999999999994</v>
      </c>
      <c r="AC118">
        <v>0.69166338809508643</v>
      </c>
      <c r="AD118">
        <v>0.89118632774222684</v>
      </c>
      <c r="AE118">
        <v>4.5924106575384503E-2</v>
      </c>
      <c r="AF118">
        <v>0.40617314499199975</v>
      </c>
      <c r="AG118">
        <v>0.70811423730457757</v>
      </c>
      <c r="AH118">
        <v>1.2703133003509942E-3</v>
      </c>
      <c r="AJ118">
        <v>1.2183870521704052</v>
      </c>
      <c r="AK118">
        <v>1.0640944578485567</v>
      </c>
    </row>
    <row r="119" spans="23:37" x14ac:dyDescent="0.25">
      <c r="W119">
        <v>117</v>
      </c>
      <c r="X119">
        <v>66.774009069102775</v>
      </c>
      <c r="Y119">
        <v>0.92599093089722828</v>
      </c>
      <c r="Z119">
        <v>66.692757582636986</v>
      </c>
      <c r="AA119">
        <v>0.33846153846153848</v>
      </c>
      <c r="AB119">
        <v>81.099999999999994</v>
      </c>
      <c r="AC119">
        <v>0.30045639381663075</v>
      </c>
      <c r="AD119">
        <v>0.98196137422396468</v>
      </c>
      <c r="AE119">
        <v>8.0667260497731111E-2</v>
      </c>
      <c r="AF119">
        <v>-0.42720397103068519</v>
      </c>
      <c r="AG119">
        <v>0.31336110290810326</v>
      </c>
      <c r="AH119">
        <v>4.5348315028303235E-4</v>
      </c>
      <c r="AJ119">
        <v>1.2183870521704052</v>
      </c>
      <c r="AK119">
        <v>1.1190701083233838</v>
      </c>
    </row>
    <row r="120" spans="23:37" x14ac:dyDescent="0.25">
      <c r="W120">
        <v>118</v>
      </c>
      <c r="X120">
        <v>59.855417005214946</v>
      </c>
      <c r="Y120">
        <v>-0.45541700521494732</v>
      </c>
      <c r="Z120">
        <v>59.898184412197608</v>
      </c>
      <c r="AA120">
        <v>0.13076923076923078</v>
      </c>
      <c r="AB120">
        <v>81.400000000000006</v>
      </c>
      <c r="AC120">
        <v>-0.14776921296310114</v>
      </c>
      <c r="AD120">
        <v>1.0230104372330431</v>
      </c>
      <c r="AE120">
        <v>8.5846537819203622E-2</v>
      </c>
      <c r="AF120">
        <v>-1.1410571199210437</v>
      </c>
      <c r="AG120">
        <v>-0.15455192047735494</v>
      </c>
      <c r="AH120">
        <v>1.1805894215320291E-4</v>
      </c>
      <c r="AJ120">
        <v>1.3037826721034875</v>
      </c>
      <c r="AK120">
        <v>1.1445302899832388</v>
      </c>
    </row>
    <row r="121" spans="23:37" x14ac:dyDescent="0.25">
      <c r="W121">
        <v>119</v>
      </c>
      <c r="X121">
        <v>73.081254240263121</v>
      </c>
      <c r="Y121">
        <v>0.11874575973688195</v>
      </c>
      <c r="Z121">
        <v>73.071335627820005</v>
      </c>
      <c r="AA121">
        <v>0.56153846153846154</v>
      </c>
      <c r="AB121">
        <v>81.400000000000006</v>
      </c>
      <c r="AC121">
        <v>3.8529451597317382E-2</v>
      </c>
      <c r="AD121">
        <v>1.0459983318832402</v>
      </c>
      <c r="AE121">
        <v>7.7089036188161569E-2</v>
      </c>
      <c r="AF121">
        <v>0.14512094121077412</v>
      </c>
      <c r="AG121">
        <v>4.0106330188757651E-2</v>
      </c>
      <c r="AH121">
        <v>7.0713943895567866E-6</v>
      </c>
      <c r="AJ121">
        <v>1.3037826721034875</v>
      </c>
      <c r="AK121">
        <v>1.1497278626453076</v>
      </c>
    </row>
    <row r="122" spans="23:37" x14ac:dyDescent="0.25">
      <c r="W122">
        <v>120</v>
      </c>
      <c r="X122">
        <v>74.512453561138145</v>
      </c>
      <c r="Y122">
        <v>-3.5124535611381447</v>
      </c>
      <c r="Z122">
        <v>74.716082774899832</v>
      </c>
      <c r="AA122">
        <v>0.48461538461538461</v>
      </c>
      <c r="AB122">
        <v>81.8</v>
      </c>
      <c r="AC122">
        <v>-1.1396862487685391</v>
      </c>
      <c r="AD122">
        <v>1.0709360786322322</v>
      </c>
      <c r="AE122">
        <v>5.4796737881377677E-2</v>
      </c>
      <c r="AF122">
        <v>-8.6877064104115193E-2</v>
      </c>
      <c r="AG122">
        <v>-1.1722566424263086</v>
      </c>
      <c r="AH122">
        <v>4.1929655767326936E-3</v>
      </c>
      <c r="AJ122">
        <v>1.3999160421463082</v>
      </c>
      <c r="AK122">
        <v>1.2000994433955381</v>
      </c>
    </row>
    <row r="123" spans="23:37" x14ac:dyDescent="0.25">
      <c r="W123">
        <v>121</v>
      </c>
      <c r="X123">
        <v>74.688820938819006</v>
      </c>
      <c r="Y123">
        <v>0.21117906118099938</v>
      </c>
      <c r="Z123">
        <v>74.674682599727532</v>
      </c>
      <c r="AA123">
        <v>0.7153846153846154</v>
      </c>
      <c r="AB123">
        <v>81.900000000000006</v>
      </c>
      <c r="AC123">
        <v>6.8521296542878085E-2</v>
      </c>
      <c r="AD123">
        <v>1.164520679868057</v>
      </c>
      <c r="AE123">
        <v>6.2748545271571324E-2</v>
      </c>
      <c r="AF123">
        <v>0.53549488691524538</v>
      </c>
      <c r="AG123">
        <v>7.0777873523971732E-2</v>
      </c>
      <c r="AH123">
        <v>1.7651798389207879E-5</v>
      </c>
      <c r="AJ123">
        <v>1.4532518306335294</v>
      </c>
      <c r="AK123">
        <v>1.2417845443142017</v>
      </c>
    </row>
    <row r="124" spans="23:37" x14ac:dyDescent="0.25">
      <c r="W124">
        <v>122</v>
      </c>
      <c r="X124">
        <v>77.05315946691384</v>
      </c>
      <c r="Y124">
        <v>-1.8531594669138372</v>
      </c>
      <c r="Z124">
        <v>77.502848832792225</v>
      </c>
      <c r="AA124">
        <v>0.72307692307692306</v>
      </c>
      <c r="AB124">
        <v>82</v>
      </c>
      <c r="AC124">
        <v>-0.60129488531446262</v>
      </c>
      <c r="AD124">
        <v>1.2216145610474394</v>
      </c>
      <c r="AE124">
        <v>0.1952752432008904</v>
      </c>
      <c r="AF124">
        <v>0.58055788777731265</v>
      </c>
      <c r="AG124">
        <v>-0.67029167970115022</v>
      </c>
      <c r="AH124">
        <v>5.7381762181796915E-3</v>
      </c>
      <c r="AJ124">
        <v>1.5110754421114001</v>
      </c>
      <c r="AK124">
        <v>1.2853957304192192</v>
      </c>
    </row>
    <row r="125" spans="23:37" x14ac:dyDescent="0.25">
      <c r="W125">
        <v>123</v>
      </c>
      <c r="X125">
        <v>70.24930905363226</v>
      </c>
      <c r="Y125">
        <v>-4.8493090536322541</v>
      </c>
      <c r="Z125">
        <v>70.744599103148559</v>
      </c>
      <c r="AA125">
        <v>0.26153846153846155</v>
      </c>
      <c r="AB125">
        <v>82.1</v>
      </c>
      <c r="AC125">
        <v>-1.5734559185638421</v>
      </c>
      <c r="AD125">
        <v>1.2481972366068341</v>
      </c>
      <c r="AE125">
        <v>9.2671132101287607E-2</v>
      </c>
      <c r="AF125">
        <v>-0.65047628511725486</v>
      </c>
      <c r="AG125">
        <v>-1.6518561172458917</v>
      </c>
      <c r="AH125">
        <v>1.4667988837486799E-2</v>
      </c>
      <c r="AJ125">
        <v>1.5744449652170427</v>
      </c>
      <c r="AK125">
        <v>1.304547420878035</v>
      </c>
    </row>
    <row r="126" spans="23:37" x14ac:dyDescent="0.25">
      <c r="W126">
        <v>124</v>
      </c>
      <c r="X126">
        <v>60.033939671767044</v>
      </c>
      <c r="Y126">
        <v>6.9660603282329561</v>
      </c>
      <c r="Z126">
        <v>59.47046745085725</v>
      </c>
      <c r="AA126">
        <v>0.31538461538461537</v>
      </c>
      <c r="AB126">
        <v>82.3</v>
      </c>
      <c r="AC126">
        <v>2.2602784708722616</v>
      </c>
      <c r="AD126">
        <v>1.3497786364272306</v>
      </c>
      <c r="AE126">
        <v>7.4834953860973275E-2</v>
      </c>
      <c r="AF126">
        <v>-0.49149424276021259</v>
      </c>
      <c r="AG126">
        <v>2.3499160108594341</v>
      </c>
      <c r="AH126">
        <v>2.3509119232261927E-2</v>
      </c>
      <c r="AJ126">
        <v>1.6448536269514715</v>
      </c>
      <c r="AK126">
        <v>1.4524330219642179</v>
      </c>
    </row>
    <row r="127" spans="23:37" x14ac:dyDescent="0.25">
      <c r="W127">
        <v>125</v>
      </c>
      <c r="X127">
        <v>73.109803551009719</v>
      </c>
      <c r="Y127">
        <v>-2.1098035510097191</v>
      </c>
      <c r="Z127">
        <v>73.478446504417349</v>
      </c>
      <c r="AA127">
        <v>0.48461538461538461</v>
      </c>
      <c r="AB127">
        <v>82.4</v>
      </c>
      <c r="AC127">
        <v>-0.68456822356098912</v>
      </c>
      <c r="AD127">
        <v>1.358137467340341</v>
      </c>
      <c r="AE127">
        <v>0.14873952403273233</v>
      </c>
      <c r="AF127">
        <v>-8.6877064104115193E-2</v>
      </c>
      <c r="AG127">
        <v>-0.74196855715293086</v>
      </c>
      <c r="AH127">
        <v>5.0626898152420254E-3</v>
      </c>
      <c r="AJ127">
        <v>1.7245123876414941</v>
      </c>
      <c r="AK127">
        <v>1.5036984630409798</v>
      </c>
    </row>
    <row r="128" spans="23:37" x14ac:dyDescent="0.25">
      <c r="W128">
        <v>126</v>
      </c>
      <c r="X128">
        <v>75.533072147641604</v>
      </c>
      <c r="Y128">
        <v>1.2669278523583927</v>
      </c>
      <c r="Z128">
        <v>75.416326228224619</v>
      </c>
      <c r="AA128">
        <v>0.8</v>
      </c>
      <c r="AB128">
        <v>82.5</v>
      </c>
      <c r="AC128">
        <v>0.41108023960517481</v>
      </c>
      <c r="AD128">
        <v>2.1110434073801896</v>
      </c>
      <c r="AE128">
        <v>8.437387612485725E-2</v>
      </c>
      <c r="AF128">
        <v>0.82796149319414114</v>
      </c>
      <c r="AG128">
        <v>0.42960320572929128</v>
      </c>
      <c r="AH128">
        <v>8.9509937074429182E-4</v>
      </c>
      <c r="AJ128">
        <v>1.8169108227999393</v>
      </c>
      <c r="AK128">
        <v>2.1704525763282212</v>
      </c>
    </row>
    <row r="129" spans="23:37" x14ac:dyDescent="0.25">
      <c r="W129">
        <v>127</v>
      </c>
      <c r="X129">
        <v>72.336528630286551</v>
      </c>
      <c r="Y129">
        <v>-3.236528630286557</v>
      </c>
      <c r="Z129">
        <v>72.506459371989706</v>
      </c>
      <c r="AA129">
        <v>0.40769230769230769</v>
      </c>
      <c r="AB129">
        <v>86</v>
      </c>
      <c r="AC129">
        <v>-1.0501568517501008</v>
      </c>
      <c r="AD129">
        <v>2.2602784708722616</v>
      </c>
      <c r="AE129">
        <v>4.9884857896866808E-2</v>
      </c>
      <c r="AF129">
        <v>-0.26331513869093232</v>
      </c>
      <c r="AG129">
        <v>-1.0773729081769121</v>
      </c>
      <c r="AH129">
        <v>3.2075320154146048E-3</v>
      </c>
      <c r="AJ129">
        <v>1.9280721392467044</v>
      </c>
      <c r="AK129">
        <v>2.3499160108594341</v>
      </c>
    </row>
    <row r="130" spans="23:37" x14ac:dyDescent="0.25">
      <c r="W130">
        <v>128</v>
      </c>
      <c r="X130">
        <v>67.753121235375303</v>
      </c>
      <c r="Y130">
        <v>3.8468787646246909</v>
      </c>
      <c r="Z130">
        <v>67.52041701151154</v>
      </c>
      <c r="AA130">
        <v>0.50769230769230766</v>
      </c>
      <c r="AB130">
        <v>86</v>
      </c>
      <c r="AC130">
        <v>1.2481972366068341</v>
      </c>
      <c r="AD130">
        <v>2.4862375788029305</v>
      </c>
      <c r="AE130">
        <v>5.704117909119566E-2</v>
      </c>
      <c r="AF130">
        <v>9.641027331898153E-3</v>
      </c>
      <c r="AG130">
        <v>1.2853957304192192</v>
      </c>
      <c r="AH130">
        <v>5.26036490656353E-3</v>
      </c>
      <c r="AJ130">
        <v>1.9280721392467044</v>
      </c>
      <c r="AK130">
        <v>2.6661655492796821</v>
      </c>
    </row>
    <row r="131" spans="23:37" x14ac:dyDescent="0.25">
      <c r="W131">
        <v>129</v>
      </c>
      <c r="X131">
        <v>59.97364627368286</v>
      </c>
      <c r="Y131">
        <v>3.0263537263171401</v>
      </c>
      <c r="Z131">
        <v>59.746485978028481</v>
      </c>
      <c r="AA131">
        <v>0.2153846153846154</v>
      </c>
      <c r="AB131">
        <v>86</v>
      </c>
      <c r="AC131">
        <v>0.98196137422396468</v>
      </c>
      <c r="AD131">
        <v>2.6952311881208333</v>
      </c>
      <c r="AE131">
        <v>6.9819983599371221E-2</v>
      </c>
      <c r="AF131">
        <v>-0.80109452928194935</v>
      </c>
      <c r="AG131">
        <v>1.0181479765024655</v>
      </c>
      <c r="AH131">
        <v>4.0952549258783727E-3</v>
      </c>
      <c r="AJ131">
        <v>1.9280721392467044</v>
      </c>
      <c r="AK131">
        <v>3.053749704841874</v>
      </c>
    </row>
    <row r="132" spans="23:37" x14ac:dyDescent="0.25">
      <c r="W132">
        <v>130</v>
      </c>
      <c r="X132">
        <v>55.453738396716282</v>
      </c>
      <c r="Y132">
        <v>2.5462616032837175</v>
      </c>
      <c r="Z132">
        <v>55.022050042529585</v>
      </c>
      <c r="AA132">
        <v>9.2307692307692313E-2</v>
      </c>
      <c r="AB132">
        <v>87</v>
      </c>
      <c r="AC132">
        <v>0.82618582267873941</v>
      </c>
      <c r="AD132">
        <v>2.8910150239180474</v>
      </c>
      <c r="AE132">
        <v>0.14496158778752177</v>
      </c>
      <c r="AF132">
        <v>-1.3502896938319295</v>
      </c>
      <c r="AG132">
        <v>0.89348018488148551</v>
      </c>
      <c r="AH132">
        <v>7.123338155747061E-3</v>
      </c>
      <c r="AJ132">
        <v>2.6652851060249771</v>
      </c>
      <c r="AK132">
        <v>3.2280972928577545</v>
      </c>
    </row>
  </sheetData>
  <dataValidations count="1">
    <dataValidation type="list" allowBlank="1" showInputMessage="1" showErrorMessage="1" sqref="B2:B16000" xr:uid="{477BD9AC-8CAD-48D7-B8E6-54CC9920E0E1}">
      <formula1>"TRUE,FALSE"</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LAMBDA_functions</vt:lpstr>
      <vt:lpstr>Life Expectancy Data</vt:lpstr>
      <vt:lpstr>Regression Instructions</vt:lpstr>
      <vt:lpstr>Regression</vt:lpstr>
      <vt:lpstr>Regression!All_Xs</vt:lpstr>
      <vt:lpstr>Regression!Allow_Intercept</vt:lpstr>
      <vt:lpstr>Regression!alpha</vt:lpstr>
      <vt:lpstr>Regression!fil</vt:lpstr>
      <vt:lpstr>Regression!y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Colodner, Stephen</cp:lastModifiedBy>
  <cp:lastPrinted>2026-06-08T18:30:50Z</cp:lastPrinted>
  <dcterms:created xsi:type="dcterms:W3CDTF">2026-06-06T02:17:54Z</dcterms:created>
  <dcterms:modified xsi:type="dcterms:W3CDTF">2026-06-08T19:03:45Z</dcterms:modified>
</cp:coreProperties>
</file>