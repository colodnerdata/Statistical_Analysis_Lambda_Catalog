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4773898C-8DF8-4178-AE38-5F599D0C6316}"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82" r:id="rId5"/>
    <sheet name="Regression" sheetId="7" r:id="rId6"/>
    <sheet name="Diagnostic Guide" sheetId="83"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Regression!$AB$2</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H21" i="7" a="1"/>
  <c r="AH21" i="7" s="1"/>
  <c r="AB21" i="7" a="1"/>
  <c r="AB21" i="7" s="1"/>
  <c r="AA21" i="7" a="1"/>
  <c r="AA21" i="7" s="1"/>
  <c r="AL19" i="7" a="1"/>
  <c r="AK62" i="7" s="1" a="1"/>
  <c r="AK62" i="7" s="1"/>
  <c r="AJ19" i="7" a="1"/>
  <c r="AJ19" i="7" s="1"/>
  <c r="AC17" i="7" a="1"/>
  <c r="AC17" i="7" s="1"/>
  <c r="AB17" i="7" a="1"/>
  <c r="AB17" i="7" s="1"/>
  <c r="AC16" i="7" a="1"/>
  <c r="AC16" i="7" s="1"/>
  <c r="AJ15" i="7"/>
  <c r="AD15" i="7" a="1"/>
  <c r="AD15" i="7"/>
  <c r="AC15" i="7" a="1"/>
  <c r="AC15" i="7"/>
  <c r="AB15" i="7" a="1"/>
  <c r="AB15" i="7"/>
  <c r="O15" i="7"/>
  <c r="L15" i="7"/>
  <c r="K15" i="7"/>
  <c r="J15" i="7"/>
  <c r="O14" i="7"/>
  <c r="L14" i="7"/>
  <c r="K14" i="7"/>
  <c r="J14" i="7"/>
  <c r="AK13" i="7" a="1"/>
  <c r="AK13" i="7" s="1"/>
  <c r="O13" i="7"/>
  <c r="L13" i="7"/>
  <c r="K13" i="7"/>
  <c r="J13" i="7"/>
  <c r="AK12" i="7"/>
  <c r="AK14" i="7" s="1" a="1"/>
  <c r="AK14" i="7" s="1"/>
  <c r="AE12" i="7" a="1"/>
  <c r="AE12" i="7" s="1"/>
  <c r="O12" i="7"/>
  <c r="L12" i="7"/>
  <c r="K12" i="7"/>
  <c r="J12" i="7"/>
  <c r="AE11" i="7" a="1"/>
  <c r="AE11" i="7" s="1"/>
  <c r="O11" i="7"/>
  <c r="L11" i="7"/>
  <c r="K11" i="7"/>
  <c r="J11" i="7"/>
  <c r="O10" i="7"/>
  <c r="L10" i="7"/>
  <c r="K10" i="7"/>
  <c r="J10" i="7"/>
  <c r="O9" i="7"/>
  <c r="L9" i="7"/>
  <c r="K9" i="7"/>
  <c r="J9" i="7"/>
  <c r="AB8" i="7" a="1"/>
  <c r="AB8" i="7"/>
  <c r="BD99" i="7" s="1"/>
  <c r="O8" i="7"/>
  <c r="L8" i="7"/>
  <c r="K8" i="7"/>
  <c r="J8" i="7"/>
  <c r="O7" i="7"/>
  <c r="L7" i="7"/>
  <c r="K7" i="7"/>
  <c r="J7" i="7"/>
  <c r="AE6" i="7" a="1"/>
  <c r="AE6" i="7" s="1"/>
  <c r="BD100" i="7" s="1"/>
  <c r="O6" i="7"/>
  <c r="L6" i="7"/>
  <c r="K6" i="7"/>
  <c r="J6" i="7"/>
  <c r="BS5" i="7" a="1"/>
  <c r="BS5" i="7" s="1"/>
  <c r="AE5" i="7" a="1"/>
  <c r="AE5" i="7" s="1"/>
  <c r="AB5" i="7" a="1"/>
  <c r="AB5" i="7"/>
  <c r="O5" i="7"/>
  <c r="L5" i="7"/>
  <c r="K5" i="7"/>
  <c r="J5" i="7"/>
  <c r="BS4" i="7" a="1"/>
  <c r="BS4" i="7" s="1"/>
  <c r="AE4" i="7" a="1"/>
  <c r="AE4" i="7" s="1"/>
  <c r="BD101" i="7" s="1"/>
  <c r="AB4" i="7" a="1"/>
  <c r="AB4" i="7" s="1"/>
  <c r="O4" i="7"/>
  <c r="O1" i="7" s="1"/>
  <c r="M2" i="7" s="1"/>
  <c r="L4" i="7"/>
  <c r="K4" i="7"/>
  <c r="J4" i="7"/>
  <c r="A4" i="7" a="1"/>
  <c r="A4" i="7" s="1"/>
  <c r="BW3" i="7" a="1"/>
  <c r="BW3" i="7" s="1"/>
  <c r="BU3" i="7" a="1"/>
  <c r="BU3" i="7"/>
  <c r="BS3" i="7" a="1"/>
  <c r="BS3" i="7" s="1"/>
  <c r="AX3" i="7" a="1"/>
  <c r="AX3" i="7" s="1"/>
  <c r="AU3" i="7" a="1"/>
  <c r="AU3" i="7" s="1"/>
  <c r="AR3" i="7" a="1"/>
  <c r="AR3" i="7" s="1"/>
  <c r="AQ3" i="7" a="1"/>
  <c r="AQ3" i="7" s="1"/>
  <c r="AP3" i="7" a="1"/>
  <c r="AP3" i="7" s="1"/>
  <c r="AO3" i="7" a="1"/>
  <c r="AO3" i="7" s="1"/>
  <c r="AN3" i="7" a="1"/>
  <c r="AN3" i="7" s="1"/>
  <c r="Y3" i="7" a="1"/>
  <c r="Y3" i="7" s="1"/>
  <c r="X3" i="7" a="1"/>
  <c r="X3" i="7" s="1"/>
  <c r="W3" i="7" a="1"/>
  <c r="W3" i="7" s="1"/>
  <c r="V3" i="7" a="1"/>
  <c r="V3" i="7" s="1"/>
  <c r="U3" i="7" a="1"/>
  <c r="U3" i="7" s="1"/>
  <c r="T3" i="7" a="1"/>
  <c r="T3" i="7" s="1"/>
  <c r="S3" i="7" a="1"/>
  <c r="S3" i="7" s="1"/>
  <c r="BX2" i="7" a="1"/>
  <c r="BX2" i="7" s="1"/>
  <c r="BW2" i="7"/>
  <c r="BS2" i="7"/>
  <c r="AY2" i="7" a="1"/>
  <c r="AY2" i="7" s="1"/>
  <c r="AX2" i="7" a="1"/>
  <c r="AX2" i="7" s="1"/>
  <c r="AW2" i="7" a="1"/>
  <c r="AW2" i="7" s="1"/>
  <c r="AV2" i="7" a="1"/>
  <c r="AV2" i="7" s="1"/>
  <c r="AU2" i="7" a="1"/>
  <c r="AU2" i="7" s="1"/>
  <c r="AT2" i="7" a="1"/>
  <c r="AT2" i="7" s="1"/>
  <c r="AS2" i="7" a="1"/>
  <c r="AS2" i="7" s="1"/>
  <c r="AR2" i="7" a="1"/>
  <c r="AR2" i="7" s="1"/>
  <c r="AQ2" i="7" a="1"/>
  <c r="AQ2" i="7" s="1"/>
  <c r="AP2" i="7" a="1"/>
  <c r="AP2" i="7" s="1"/>
  <c r="AO2" i="7" a="1"/>
  <c r="AO2" i="7" s="1"/>
  <c r="AF2" i="7" a="1"/>
  <c r="AF2" i="7" s="1"/>
  <c r="AB2" i="7" a="1"/>
  <c r="AB2" i="7" s="1"/>
  <c r="P2" i="7" a="1"/>
  <c r="P2" i="7" s="1"/>
  <c r="L2" i="7" a="1"/>
  <c r="L2" i="7"/>
  <c r="K2" i="7" a="1"/>
  <c r="K2" i="7"/>
  <c r="J2" i="7" a="1"/>
  <c r="J2" i="7"/>
  <c r="I2" i="7" a="1"/>
  <c r="I2" i="7"/>
  <c r="E1" i="7" a="1"/>
  <c r="E1" i="7" s="1"/>
  <c r="B1" i="7" a="1"/>
  <c r="B1" i="7" s="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F15" i="7" l="1" a="1"/>
  <c r="AF15" i="7" s="1"/>
  <c r="BS6" i="7" a="1"/>
  <c r="BS6" i="7" s="1"/>
  <c r="AE10" i="7" a="1"/>
  <c r="AE10" i="7" s="1"/>
  <c r="BD96" i="7" s="1"/>
  <c r="AE8" i="7" a="1"/>
  <c r="AE8" i="7" s="1"/>
  <c r="AE15" i="7" a="1"/>
  <c r="AE15" i="7" s="1"/>
  <c r="AB6" i="7" a="1"/>
  <c r="AB6" i="7" s="1"/>
  <c r="BD97" i="7" s="1"/>
  <c r="AG21" i="7" a="1"/>
  <c r="AG21" i="7" s="1"/>
  <c r="AF21" i="7" a="1"/>
  <c r="AF21" i="7" s="1"/>
  <c r="AE9" i="7" a="1"/>
  <c r="AE9" i="7" s="1"/>
  <c r="AW3" i="7" a="1"/>
  <c r="AW3" i="7" s="1"/>
  <c r="AE21" i="7" a="1"/>
  <c r="AE21" i="7" s="1"/>
  <c r="AD16" i="7" a="1"/>
  <c r="AD16" i="7" s="1"/>
  <c r="AE7" i="7" a="1"/>
  <c r="AE7" i="7" s="1"/>
  <c r="AD21" i="7" a="1"/>
  <c r="AD21" i="7" s="1"/>
  <c r="AV3" i="7" a="1"/>
  <c r="AV3" i="7" s="1"/>
  <c r="AC21" i="7" a="1"/>
  <c r="AC21" i="7" s="1"/>
  <c r="AB7" i="7" a="1"/>
  <c r="AB7" i="7" s="1"/>
  <c r="AB16" i="7" a="1"/>
  <c r="AB16" i="7" s="1"/>
  <c r="AT3" i="7" a="1"/>
  <c r="AS3" i="7" a="1"/>
  <c r="AS3" i="7" s="1"/>
  <c r="BD95" i="7"/>
  <c r="BF97" i="7"/>
  <c r="BE97" i="7"/>
  <c r="AH6" i="7" a="1"/>
  <c r="AH6" i="7" s="1"/>
  <c r="BA3" i="7" a="1"/>
  <c r="BA3" i="7" s="1"/>
  <c r="AZ3" i="7" a="1"/>
  <c r="AZ3" i="7" s="1"/>
  <c r="AH9" i="7" a="1"/>
  <c r="AH9" i="7" s="1"/>
  <c r="AH7" i="7" a="1"/>
  <c r="AH7" i="7" s="1"/>
  <c r="AH5" i="7" a="1"/>
  <c r="AH5" i="7" s="1"/>
  <c r="AH8" i="7" a="1"/>
  <c r="AH8" i="7" s="1"/>
  <c r="AK23" i="7" a="1"/>
  <c r="AK23" i="7" s="1"/>
  <c r="AK33" i="7" a="1"/>
  <c r="AK33" i="7" s="1"/>
  <c r="AK43" i="7" a="1"/>
  <c r="AK43" i="7" s="1"/>
  <c r="AK53" i="7" a="1"/>
  <c r="AK53"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AK30" i="7" a="1"/>
  <c r="AK30" i="7" s="1"/>
  <c r="AK40" i="7" a="1"/>
  <c r="AK40" i="7" s="1"/>
  <c r="AK50" i="7" a="1"/>
  <c r="AK50" i="7" s="1"/>
  <c r="AK60" i="7" a="1"/>
  <c r="AK60" i="7" s="1"/>
  <c r="AL19" i="7"/>
  <c r="AK19" i="7" s="1" a="1"/>
  <c r="AK19"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Y3" i="7" l="1" a="1"/>
  <c r="AY3" i="7" s="1"/>
  <c r="AT3" i="7"/>
  <c r="AK3" i="7" a="1"/>
  <c r="AK3" i="7" l="1"/>
  <c r="AL3" i="7" s="1" a="1"/>
  <c r="AL3" i="7" s="1"/>
  <c r="AL8" i="7" a="1"/>
  <c r="AL8" i="7" s="1"/>
  <c r="AL10" i="7" a="1"/>
  <c r="AL10" i="7" s="1"/>
  <c r="AL9" i="7" a="1"/>
  <c r="AL9" i="7" s="1"/>
  <c r="AL7" i="7" a="1"/>
  <c r="AL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DB54111D-4C87-44A9-8910-56CF3930F7C8}">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4E7CEADE-33AB-4D42-8285-4081A5498B12}">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BB514CB8-261A-4CED-A42D-79C2817B27F9}">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77B1F591-66FE-4FFB-82A9-1432B85CF62F}">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F852A05A-D902-417B-8EDA-FB83FAF1620F}">
      <text>
        <r>
          <rPr>
            <b/>
            <sz val="9"/>
            <color indexed="81"/>
            <rFont val="Tahoma"/>
            <family val="2"/>
          </rPr>
          <t>Shows whether the data have a longer tail on one side. Positive means a longer right tail; negative means a longer left tail.</t>
        </r>
      </text>
    </comment>
    <comment ref="W2" authorId="0" shapeId="0" xr:uid="{9EEA8CEC-0C82-42BE-BDE7-5C72A8D3531D}">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4411913D-89CE-48A8-B0D1-3FB430A9C5D0}">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A3D30AC2-56A4-4DA7-AA7E-F11AAF0F0C3B}">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D7C552AA-CCC7-4057-86BD-2FE00FA9A45B}">
      <text>
        <r>
          <rPr>
            <b/>
            <sz val="9"/>
            <color indexed="81"/>
            <rFont val="Tahoma"/>
            <family val="2"/>
          </rPr>
          <t>The actual observed outcome values.</t>
        </r>
      </text>
    </comment>
    <comment ref="AP2" authorId="0" shapeId="0" xr:uid="{17DF2DDF-A8CA-49D2-9932-E4E8BB6384EF}">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0C212D8A-36CA-4889-9BBC-534E36BFAFBE}">
      <text>
        <r>
          <rPr>
            <b/>
            <sz val="9"/>
            <color indexed="81"/>
            <rFont val="Tahoma"/>
            <family val="2"/>
          </rPr>
          <t>Actual Y minus predicted Y. Positive means the row came in above the model's prediction; negative means below.</t>
        </r>
      </text>
    </comment>
    <comment ref="AR2" authorId="0" shapeId="0" xr:uid="{15EF7374-BA4F-480D-AA6A-2AD0E8F6579A}">
      <text>
        <r>
          <rPr>
            <b/>
            <sz val="9"/>
            <color indexed="81"/>
            <rFont val="Tahoma"/>
            <family val="2"/>
          </rPr>
          <t>Leverage. It shows how unusual a row's predictor values are relative to the rest of the data.</t>
        </r>
      </text>
    </comment>
    <comment ref="AS2" authorId="0" shapeId="0" xr:uid="{FF34659C-DA34-4E49-AC31-019B54253351}">
      <text>
        <r>
          <rPr>
            <b/>
            <sz val="9"/>
            <color indexed="81"/>
            <rFont val="Tahoma"/>
            <family val="2"/>
          </rPr>
          <t>Residuals scaled to account for overall error size and leverage, making outliers easier to compare fairly.</t>
        </r>
      </text>
    </comment>
    <comment ref="AT2" authorId="0" shapeId="0" xr:uid="{981F3B23-7B5F-4359-9F4C-B9F781BB36AA}">
      <text>
        <r>
          <rPr>
            <b/>
            <sz val="9"/>
            <color indexed="81"/>
            <rFont val="Tahoma"/>
            <family val="2"/>
          </rPr>
          <t>How much a single row can pull the fitted coefficients and predictions around.</t>
        </r>
      </text>
    </comment>
    <comment ref="AU2" authorId="0" shapeId="0" xr:uid="{6189ABE9-BCFD-4D96-A191-63BC6F122CC1}">
      <text>
        <r>
          <rPr>
            <b/>
            <sz val="9"/>
            <color indexed="81"/>
            <rFont val="Tahoma"/>
            <family val="2"/>
          </rPr>
          <t>Expected bell-curve quantiles used for the Q-Q comparison.</t>
        </r>
      </text>
    </comment>
    <comment ref="AV2" authorId="0" shapeId="0" xr:uid="{2B6232AE-AB68-4F1C-8224-DA375C636419}">
      <text>
        <r>
          <rPr>
            <b/>
            <sz val="9"/>
            <color indexed="81"/>
            <rFont val="Tahoma"/>
            <family val="2"/>
          </rPr>
          <t>Studentized residuals sorted from smallest to largest for the Q-Q plot.</t>
        </r>
      </text>
    </comment>
    <comment ref="AW2" authorId="0" shapeId="0" xr:uid="{49F5575F-A015-43DC-894E-0592438E90BC}">
      <text>
        <r>
          <rPr>
            <b/>
            <sz val="9"/>
            <color indexed="81"/>
            <rFont val="Tahoma"/>
            <family val="2"/>
          </rPr>
          <t>The square root of the absolute studentized residual. A flat pattern suggests stable error spread.</t>
        </r>
      </text>
    </comment>
    <comment ref="AX2" authorId="0" shapeId="0" xr:uid="{E31B0F8A-800D-43F0-9D26-66804D0B7B9A}">
      <text>
        <r>
          <rPr>
            <b/>
            <sz val="9"/>
            <color indexed="81"/>
            <rFont val="Tahoma"/>
            <family val="2"/>
          </rPr>
          <t>The prediction error for a row when that row is left out of the fitting step (the leave-one-out / LOOCV residual). Summing its squares gives PRESS.</t>
        </r>
      </text>
    </comment>
    <comment ref="AY2" authorId="0" shapeId="0" xr:uid="{AF557AD2-377F-4DDF-A61D-C658FF2A6B6F}">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066678D9-1334-48AE-B766-C735BA8AA4D7}">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7E3499DE-5DB4-482A-8E60-3E010359DA92}">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289D079D-E257-43FF-9613-F57605CBAD30}">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372F2235-CB70-4795-88A3-CF7EEF7A0587}">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92699F14-BC97-41CF-89CF-BCECC1C2937D}">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AA6051D2-1595-45DF-A3E5-D69E90A50A11}">
      <text>
        <r>
          <rPr>
            <b/>
            <sz val="9"/>
            <color indexed="81"/>
            <rFont val="Tahoma"/>
            <family val="2"/>
          </rPr>
          <t>Reserved for a future release — not yet used by any formula.</t>
        </r>
      </text>
    </comment>
    <comment ref="G3" authorId="0" shapeId="0" xr:uid="{170F91EF-9A95-4803-8079-33BC9A4891BE}">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87994378-FA3E-49EB-9D97-F42523F12E84}">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5496D4A4-2510-4B8A-B17B-52A38A684297}">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1DDBB080-DEDF-46A5-9520-DD6CC88CA908}">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D8D47D56-3D71-47C7-823C-A550DE016B07}">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745795EA-4EC4-4B52-B3D6-7091FE95359B}">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F518F5BB-E54C-4608-845C-691752ECAF8B}">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3FCF2A09-6A43-4CD1-9A33-ED703C95F872}">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8BB47774-74AD-45CB-AE87-746D801D4BCA}">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4A003FB9-A9F4-48CB-8B9A-C3DA72366902}">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71653641-0AAB-4C6B-8B7C-9E93484F3A9F}">
      <text>
        <r>
          <rPr>
            <b/>
            <sz val="9"/>
            <color indexed="81"/>
            <rFont val="Tahoma"/>
            <family val="2"/>
          </rPr>
          <t>How closely the model's predicted Y values track the actual Y values overall.</t>
        </r>
      </text>
    </comment>
    <comment ref="AD4" authorId="0" shapeId="0" xr:uid="{DA4319D3-C48B-4FAA-8D3F-0233B37E750C}">
      <text>
        <r>
          <rPr>
            <b/>
            <sz val="9"/>
            <color indexed="81"/>
            <rFont val="Tahoma"/>
            <family val="2"/>
          </rPr>
          <t>A leave-one-out prediction error score. Lower is better because it means the model predicts unseen rows more accurately.</t>
        </r>
      </text>
    </comment>
    <comment ref="AJ4" authorId="0" shapeId="0" xr:uid="{F56E7B55-7B0E-4E2E-B272-BDF6E067961E}">
      <text>
        <r>
          <rPr>
            <b/>
            <sz val="9"/>
            <color indexed="81"/>
            <rFont val="Tahoma"/>
            <family val="2"/>
          </rPr>
          <t>Standard error for the MEAN of Y at the chosen X values. Builds the confidence interval — the narrower band — for where the average response sits.</t>
        </r>
      </text>
    </comment>
    <comment ref="AA5" authorId="0" shapeId="0" xr:uid="{DC775D80-B821-401C-8103-B47EDB6FD6CA}">
      <text>
        <r>
          <rPr>
            <b/>
            <sz val="9"/>
            <color indexed="81"/>
            <rFont val="Tahoma"/>
            <family val="2"/>
          </rPr>
          <t>The share of the outcome's variation explained by the model.</t>
        </r>
      </text>
    </comment>
    <comment ref="AD5" authorId="0" shapeId="0" xr:uid="{F3E4C81C-92B7-4E49-B500-10A49E88588F}">
      <text>
        <r>
          <rPr>
            <b/>
            <sz val="9"/>
            <color indexed="81"/>
            <rFont val="Tahoma"/>
            <family val="2"/>
          </rPr>
          <t>An out-of-sample version of R Square based on leave-one-out prediction. Negative values mean the model predicts worse than just using the average Y.</t>
        </r>
      </text>
    </comment>
    <comment ref="AJ5" authorId="0" shapeId="0" xr:uid="{1D5892A1-AF8E-4017-9545-25B5692D55AD}">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79646FF7-518C-4534-BA83-ADDDE6629F8A}">
      <text>
        <r>
          <rPr>
            <b/>
            <sz val="9"/>
            <color indexed="81"/>
            <rFont val="Tahoma"/>
            <family val="2"/>
          </rPr>
          <t>R Square with a penalty for adding predictors that do not help enough.</t>
        </r>
      </text>
    </comment>
    <comment ref="AD6" authorId="0" shapeId="0" xr:uid="{E5B1C6F5-E121-4F7D-BEC5-7648CCC2F0A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42E863D0-63C0-4736-9359-96C0C71C666C}">
      <text>
        <r>
          <rPr>
            <b/>
            <sz val="9"/>
            <color indexed="81"/>
            <rFont val="Tahoma"/>
            <family val="2"/>
          </rPr>
          <t>The t-distribution cutoff at the chosen confidence level. Multiply by SE (Mean) to get the CI half-width and by SE (New Obs) to get the PI half-width.</t>
        </r>
      </text>
    </comment>
    <comment ref="AA7" authorId="0" shapeId="0" xr:uid="{F1DEF704-6A33-4CA5-B3EA-E34E466EDC6D}">
      <text>
        <r>
          <rPr>
            <b/>
            <sz val="9"/>
            <color indexed="81"/>
            <rFont val="Tahoma"/>
            <family val="2"/>
          </rPr>
          <t>The typical size of the model's prediction errors, measured in the same units as Y.</t>
        </r>
      </text>
    </comment>
    <comment ref="AD7" authorId="0" shapeId="0" xr:uid="{59FFA6A5-1775-4FFD-AA87-51E7C30E61BB}">
      <text>
        <r>
          <rPr>
            <b/>
            <sz val="9"/>
            <color indexed="81"/>
            <rFont val="Tahoma"/>
            <family val="2"/>
          </rPr>
          <t>A model-comparison score that balances fit against complexity. Lower is better when comparing models on the same data.</t>
        </r>
      </text>
    </comment>
    <comment ref="AJ7" authorId="0" shapeId="0" xr:uid="{ED5C2AE8-0960-4AE8-B15D-8F4239AC1DD6}">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19AA78AD-DABF-400A-BA4E-B5DB9F2CF92D}">
      <text>
        <r>
          <rPr>
            <b/>
            <sz val="9"/>
            <color indexed="81"/>
            <rFont val="Tahoma"/>
            <family val="2"/>
          </rPr>
          <t>The number of rows actually used in the regression after filtering.</t>
        </r>
      </text>
    </comment>
    <comment ref="AD8" authorId="0" shapeId="0" xr:uid="{B4DE15A9-1F91-423E-9F55-15DB2CCE9C93}">
      <text>
        <r>
          <rPr>
            <b/>
            <sz val="9"/>
            <color indexed="81"/>
            <rFont val="Tahoma"/>
            <family val="2"/>
          </rPr>
          <t>Another model-comparison score like AIC, but it penalizes extra predictors more strongly.</t>
        </r>
      </text>
    </comment>
    <comment ref="AJ8" authorId="0" shapeId="0" xr:uid="{CC6825D6-BDB9-418B-B2CC-292E41BE861C}">
      <text>
        <r>
          <rPr>
            <b/>
            <sz val="9"/>
            <color indexed="81"/>
            <rFont val="Tahoma"/>
            <family val="2"/>
          </rPr>
          <t>Upper bound of the confidence interval for the MEAN response at the chosen X values.</t>
        </r>
      </text>
    </comment>
    <comment ref="AD9" authorId="0" shapeId="0" xr:uid="{5F21F8EB-CA66-4C55-92E9-09EAC23DB054}">
      <text>
        <r>
          <rPr>
            <b/>
            <sz val="9"/>
            <color indexed="81"/>
            <rFont val="Tahoma"/>
            <family val="2"/>
          </rPr>
          <t>AIC with an extra correction for small samples.</t>
        </r>
      </text>
    </comment>
    <comment ref="AJ9" authorId="0" shapeId="0" xr:uid="{2F33039C-1A0A-473A-B057-36924D048E80}">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A929C241-0901-4163-90E4-A46C4DE2FCD2}">
      <text>
        <r>
          <rPr>
            <b/>
            <sz val="9"/>
            <color indexed="81"/>
            <rFont val="Tahoma"/>
            <family val="2"/>
          </rPr>
          <t>A numeric check of how close the residuals are to a normal bell shape. Values closer to 1 are better.</t>
        </r>
      </text>
    </comment>
    <comment ref="AJ10" authorId="0" shapeId="0" xr:uid="{5C3D6EC5-E6B9-40D2-BDBF-5383D203AD75}">
      <text>
        <r>
          <rPr>
            <b/>
            <sz val="9"/>
            <color indexed="81"/>
            <rFont val="Tahoma"/>
            <family val="2"/>
          </rPr>
          <t>Upper bound of the prediction interval for a SINGLE new observation at the chosen X values.</t>
        </r>
      </text>
    </comment>
    <comment ref="AD11" authorId="0" shapeId="0" xr:uid="{8C67EEB5-5892-4A50-9B83-4D6CC2487E02}">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BA8623AD-221B-435E-A640-E26311A86D14}">
      <text>
        <r>
          <rPr>
            <b/>
            <sz val="9"/>
            <color indexed="81"/>
            <rFont val="Tahoma"/>
            <family val="2"/>
          </rPr>
          <t>The probability level associated with the interval. With alpha 0.05, this is 95%.</t>
        </r>
      </text>
    </comment>
    <comment ref="AA12" authorId="0" shapeId="0" xr:uid="{512C56DC-1E69-48CF-BFE7-C423904948FA}">
      <text>
        <r>
          <rPr>
            <b/>
            <sz val="9"/>
            <color indexed="81"/>
            <rFont val="Tahoma"/>
            <family val="2"/>
          </rPr>
          <t>The cutoff for statistical significance. At 0.05, results with p-values below 0.05 are treated as statistically significant.</t>
        </r>
      </text>
    </comment>
    <comment ref="AD12" authorId="0" shapeId="0" xr:uid="{0422582A-9C7D-4BF1-BB02-491EE9379606}">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202388D1-B5F7-487F-8242-9FEBD7C551C2}">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4AD3C130-1BA8-4715-A8A8-49CFB34F3E14}">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59EFC0AF-E1F5-4257-A013-EC69B101D5C3}">
      <text>
        <r>
          <rPr>
            <b/>
            <sz val="9"/>
            <color indexed="81"/>
            <rFont val="Tahoma"/>
            <family val="2"/>
          </rPr>
          <t>The number of independent data points available to estimate each part of the model — total rows minus one for each estimated parameter.</t>
        </r>
      </text>
    </comment>
    <comment ref="AC14" authorId="0" shapeId="0" xr:uid="{85C2BE98-3F74-4B90-97C6-236032561D5B}">
      <text>
        <r>
          <rPr>
            <b/>
            <sz val="9"/>
            <color indexed="81"/>
            <rFont val="Tahoma"/>
            <family val="2"/>
          </rPr>
          <t>The total variation attributed to that source — regression, residual, or total. The raw material from which MS and F are calculated.</t>
        </r>
      </text>
    </comment>
    <comment ref="AD14" authorId="0" shapeId="0" xr:uid="{28FF67C3-1358-4C50-8403-0A5A1CE4C210}">
      <text>
        <r>
          <rPr>
            <b/>
            <sz val="9"/>
            <color indexed="81"/>
            <rFont val="Tahoma"/>
            <family val="2"/>
          </rPr>
          <t>Sum of squares averaged over its degrees of freedom — a per-unit measure of variation for that source.</t>
        </r>
      </text>
    </comment>
    <comment ref="AE14" authorId="0" shapeId="0" xr:uid="{71161BB1-010A-4445-8372-EC8CF99CD01E}">
      <text>
        <r>
          <rPr>
            <b/>
            <sz val="9"/>
            <color indexed="81"/>
            <rFont val="Tahoma"/>
            <family val="2"/>
          </rPr>
          <t>The model-vs-noise ratio used in the overall regression significance test.</t>
        </r>
      </text>
    </comment>
    <comment ref="AF14" authorId="0" shapeId="0" xr:uid="{7F158A09-6829-4188-9000-5FF4CC0180E3}">
      <text>
        <r>
          <rPr>
            <b/>
            <sz val="9"/>
            <color indexed="81"/>
            <rFont val="Tahoma"/>
            <family val="2"/>
          </rPr>
          <t>The p-value for the overall F test. Small values mean the model as a whole is unlikely to be pure noise.</t>
        </r>
      </text>
    </comment>
    <comment ref="AJ14" authorId="0" shapeId="0" xr:uid="{D0545F29-4B2B-4BFE-9D63-59F995328F0C}">
      <text>
        <r>
          <rPr>
            <b/>
            <sz val="9"/>
            <color indexed="81"/>
            <rFont val="Tahoma"/>
            <family val="2"/>
          </rPr>
          <t>Number of analysis-sample observations in the selected FE group. The Tᵢ used to scale the within-group mean's standard error.</t>
        </r>
      </text>
    </comment>
    <comment ref="AA15" authorId="0" shapeId="0" xr:uid="{354FD583-E9E7-4754-9354-411B79CF32C1}">
      <text>
        <r>
          <rPr>
            <b/>
            <sz val="9"/>
            <color indexed="81"/>
            <rFont val="Tahoma"/>
            <family val="2"/>
          </rPr>
          <t>The variation explained by the predictors taken together.</t>
        </r>
      </text>
    </comment>
    <comment ref="AA16" authorId="0" shapeId="0" xr:uid="{3619F788-B41D-41CE-A36F-D6E9913D3AC7}">
      <text>
        <r>
          <rPr>
            <b/>
            <sz val="9"/>
            <color indexed="81"/>
            <rFont val="Tahoma"/>
            <family val="2"/>
          </rPr>
          <t>The variation the model does not explain.</t>
        </r>
      </text>
    </comment>
    <comment ref="AA17" authorId="0" shapeId="0" xr:uid="{C10A8F7E-516A-4F5B-9CCB-9782ED4ACCA3}">
      <text>
        <r>
          <rPr>
            <b/>
            <sz val="9"/>
            <color indexed="81"/>
            <rFont val="Tahoma"/>
            <family val="2"/>
          </rPr>
          <t>All variation in the outcome before splitting it into explained and unexplained parts.</t>
        </r>
      </text>
    </comment>
    <comment ref="AJ17" authorId="0" shapeId="0" xr:uid="{F196FD6C-017B-4D58-A761-6DC1CFA6FBC4}">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92D07F89-4661-4DB3-92AD-288B67B4E4FD}">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FACC452B-5FE6-4E96-872B-35C832F321C4}">
      <text>
        <r>
          <rPr>
            <b/>
            <sz val="9"/>
            <color indexed="81"/>
            <rFont val="Tahoma"/>
            <family val="2"/>
          </rPr>
          <t>The fitted weights used to turn predictor values into predictions.</t>
        </r>
      </text>
    </comment>
    <comment ref="AC20" authorId="0" shapeId="0" xr:uid="{22AE5B41-1ABA-406F-8A35-BB84E569D868}">
      <text>
        <r>
          <rPr>
            <b/>
            <sz val="9"/>
            <color indexed="81"/>
            <rFont val="Tahoma"/>
            <family val="2"/>
          </rPr>
          <t>How uncertain each coefficient estimate is.</t>
        </r>
      </text>
    </comment>
    <comment ref="AD20" authorId="0" shapeId="0" xr:uid="{4089C160-646E-428B-A2B0-0AA9C4570BFF}">
      <text>
        <r>
          <rPr>
            <b/>
            <sz val="9"/>
            <color indexed="81"/>
            <rFont val="Tahoma"/>
            <family val="2"/>
          </rPr>
          <t>How many standard errors the coefficient is away from zero.</t>
        </r>
      </text>
    </comment>
    <comment ref="AE20" authorId="0" shapeId="0" xr:uid="{B2E3C2B4-0D11-449A-8C9A-8BCB3C64ABA6}">
      <text>
        <r>
          <rPr>
            <b/>
            <sz val="9"/>
            <color indexed="81"/>
            <rFont val="Tahoma"/>
            <family val="2"/>
          </rPr>
          <t>How surprising this coefficient would be if its true effect were zero. Smaller values mean stronger evidence of a real effect.</t>
        </r>
      </text>
    </comment>
    <comment ref="AF20" authorId="0" shapeId="0" xr:uid="{065B2DCA-FC1A-4F69-9D3B-72EABEBF91F4}">
      <text>
        <r>
          <rPr>
            <b/>
            <sz val="9"/>
            <color indexed="81"/>
            <rFont val="Tahoma"/>
            <family val="2"/>
          </rPr>
          <t>The lower bound of the 95% confidence interval.</t>
        </r>
      </text>
    </comment>
    <comment ref="AG20" authorId="0" shapeId="0" xr:uid="{96B3441F-99E9-4560-B0E6-6E6F4D41EE01}">
      <text>
        <r>
          <rPr>
            <b/>
            <sz val="9"/>
            <color indexed="81"/>
            <rFont val="Tahoma"/>
            <family val="2"/>
          </rPr>
          <t>The upper bound of the 95% confidence interval.</t>
        </r>
      </text>
    </comment>
    <comment ref="AH20" authorId="0" shapeId="0" xr:uid="{56AE47E6-DAEE-4261-9AE9-E0500B619410}">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<sst xmlns="http://schemas.openxmlformats.org/spreadsheetml/2006/main" count="8889" uniqueCount="1939">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</sst>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xf numFmtId="0" fontId="0" fillId="0" borderId="2" xfId="0" applyBorder="1" applyAlignment="1">
      <alignment wrapText="1"/>
    </xf>
    <xf numFmtId="0" fontId="0" fillId="0" borderId="3" xfId="0" applyBorder="1" applyAlignment="1">
      <alignment wrapText="1"/>
    </xf>
    <xf numFmtId="0" fontId="0" fillId="0" borderId="5" xfId="0" applyBorder="1" applyAlignment="1">
      <alignment wrapText="1"/>
    </xf>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31D6-4BC4-9C4E-16D361E33815}"/>
            </c:ext>
          </c:extLst>
        </c:ser>
        <c:dLbls>
          <c:showLegendKey val="0"/>
          <c:showVal val="0"/>
          <c:showCatName val="0"/>
          <c:showSerName val="0"/>
          <c:showPercent val="0"/>
          <c:showBubbleSize val="0"/>
        </c:dLbls>
        <c:axId val="1531712400"/>
        <c:axId val="1531698000"/>
      </c:scatterChart>
      <c:valAx>
        <c:axId val="1531712400"/>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531698000"/>
        <c:crosses val="autoZero"/>
        <c:crossBetween val="midCat"/>
      </c:valAx>
      <c:valAx>
        <c:axId val="1531698000"/>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5317124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B6ED-41B6-B2CC-47FBFED3937F}"/>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B6ED-41B6-B2CC-47FBFED3937F}"/>
            </c:ext>
          </c:extLst>
        </c:ser>
        <c:dLbls>
          <c:showLegendKey val="0"/>
          <c:showVal val="0"/>
          <c:showCatName val="0"/>
          <c:showSerName val="0"/>
          <c:showPercent val="0"/>
          <c:showBubbleSize val="0"/>
        </c:dLbls>
        <c:axId val="1531713360"/>
        <c:axId val="1531698480"/>
      </c:scatterChart>
      <c:valAx>
        <c:axId val="1531713360"/>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531698480"/>
        <c:crosses val="autoZero"/>
        <c:crossBetween val="midCat"/>
      </c:valAx>
      <c:valAx>
        <c:axId val="1531698480"/>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531713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FF8B-4967-9976-58F0D13F7F5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FF8B-4967-9976-58F0D13F7F5A}"/>
            </c:ext>
          </c:extLst>
        </c:ser>
        <c:dLbls>
          <c:showLegendKey val="0"/>
          <c:showVal val="0"/>
          <c:showCatName val="0"/>
          <c:showSerName val="0"/>
          <c:showPercent val="0"/>
          <c:showBubbleSize val="0"/>
        </c:dLbls>
        <c:axId val="1531716720"/>
        <c:axId val="1531717200"/>
      </c:scatterChart>
      <c:valAx>
        <c:axId val="1531716720"/>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531717200"/>
        <c:crosses val="autoZero"/>
        <c:crossBetween val="midCat"/>
      </c:valAx>
      <c:valAx>
        <c:axId val="1531717200"/>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5317167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12E5-430E-A0F2-781CFB1AE551}"/>
            </c:ext>
          </c:extLst>
        </c:ser>
        <c:dLbls>
          <c:showLegendKey val="0"/>
          <c:showVal val="0"/>
          <c:showCatName val="0"/>
          <c:showSerName val="0"/>
          <c:showPercent val="0"/>
          <c:showBubbleSize val="0"/>
        </c:dLbls>
        <c:axId val="1531718640"/>
        <c:axId val="1531719120"/>
      </c:scatterChart>
      <c:valAx>
        <c:axId val="1531718640"/>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531719120"/>
        <c:crosses val="autoZero"/>
        <c:crossBetween val="midCat"/>
      </c:valAx>
      <c:valAx>
        <c:axId val="1531719120"/>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5317186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B448-4BDF-8D03-49680C043454}"/>
            </c:ext>
          </c:extLst>
        </c:ser>
        <c:dLbls>
          <c:showLegendKey val="0"/>
          <c:showVal val="0"/>
          <c:showCatName val="0"/>
          <c:showSerName val="0"/>
          <c:showPercent val="0"/>
          <c:showBubbleSize val="0"/>
        </c:dLbls>
        <c:gapWidth val="150"/>
        <c:axId val="1531719600"/>
        <c:axId val="1531723920"/>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B448-4BDF-8D03-49680C043454}"/>
            </c:ext>
          </c:extLst>
        </c:ser>
        <c:dLbls>
          <c:showLegendKey val="0"/>
          <c:showVal val="0"/>
          <c:showCatName val="0"/>
          <c:showSerName val="0"/>
          <c:showPercent val="0"/>
          <c:showBubbleSize val="0"/>
        </c:dLbls>
        <c:marker val="1"/>
        <c:smooth val="0"/>
        <c:axId val="1531719600"/>
        <c:axId val="1531723920"/>
      </c:lineChart>
      <c:catAx>
        <c:axId val="1531719600"/>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531723920"/>
        <c:crosses val="autoZero"/>
        <c:auto val="1"/>
        <c:lblAlgn val="ctr"/>
        <c:lblOffset val="100"/>
        <c:noMultiLvlLbl val="0"/>
      </c:catAx>
      <c:valAx>
        <c:axId val="1531723920"/>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53171960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2C1B-428E-B078-36ED40C36ABF}"/>
            </c:ext>
          </c:extLst>
        </c:ser>
        <c:dLbls>
          <c:showLegendKey val="0"/>
          <c:showVal val="0"/>
          <c:showCatName val="0"/>
          <c:showSerName val="0"/>
          <c:showPercent val="0"/>
          <c:showBubbleSize val="0"/>
        </c:dLbls>
        <c:axId val="1531722960"/>
        <c:axId val="1531724400"/>
      </c:scatterChart>
      <c:valAx>
        <c:axId val="1531722960"/>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531724400"/>
        <c:crosses val="autoZero"/>
        <c:crossBetween val="midCat"/>
      </c:valAx>
      <c:valAx>
        <c:axId val="1531724400"/>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5317229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C768-4DAA-B584-FD2C0BE72C9E}"/>
            </c:ext>
          </c:extLst>
        </c:ser>
        <c:dLbls>
          <c:showLegendKey val="0"/>
          <c:showVal val="0"/>
          <c:showCatName val="0"/>
          <c:showSerName val="0"/>
          <c:showPercent val="0"/>
          <c:showBubbleSize val="0"/>
        </c:dLbls>
        <c:gapWidth val="150"/>
        <c:axId val="1531728240"/>
        <c:axId val="1531728720"/>
      </c:barChart>
      <c:catAx>
        <c:axId val="1531728240"/>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531728720"/>
        <c:crosses val="autoZero"/>
        <c:auto val="1"/>
        <c:lblAlgn val="ctr"/>
        <c:lblOffset val="100"/>
        <c:noMultiLvlLbl val="0"/>
      </c:catAx>
      <c:valAx>
        <c:axId val="1531728720"/>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53172824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7F8F5FA3-68E6-F88C-DAF3-8B09CD16F7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8C2FAFEA-2F4E-FCAD-A547-D4EC145781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4C419AFD-C841-741F-1195-1669543855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FE102FFA-8046-6AF6-7F15-7B744ABA18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09E689BC-6261-4F61-95CF-CC31F7797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623E4076-EDE5-3F64-17B9-9491C06BBD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1CC89C8B-B0BA-16AE-34AE-FFB6F467D5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90FBF75-0964-489D-A27D-FD538AA68934}" name="MileageData" displayName="MileageData" ref="A1:L407" totalsRowShown="0">
  <autoFilter ref="A1:L407" xr:uid="{290FBF75-0964-489D-A27D-FD538AA68934}"/>
  <tableColumns count="12">
    <tableColumn id="1" xr3:uid="{E59B1DED-4029-438A-B157-845BF9814D52}" name="MPG"/>
    <tableColumn id="2" xr3:uid="{37B8C026-F195-4E55-AABD-EA7D1E9EACD9}" name="Cylinders"/>
    <tableColumn id="3" xr3:uid="{D481E457-F032-467E-B595-CB029CA263AB}" name="Displacement"/>
    <tableColumn id="4" xr3:uid="{24CFD66E-7E84-45EF-A542-A38D3D40D52B}" name="Horsepower"/>
    <tableColumn id="5" xr3:uid="{B2139267-D230-4C13-A13A-4DF6F87A33B6}" name="Weight"/>
    <tableColumn id="6" xr3:uid="{FDB1C968-F5E4-41FB-BE80-7B6E629C2BA7}" name="Acceleration"/>
    <tableColumn id="7" xr3:uid="{E142AF09-92C2-4EE2-A289-46B57DCA3143}" name="Model Year"/>
    <tableColumn id="8" xr3:uid="{1D55B484-3CA2-4D82-B1A7-080729A9F335}" name="Origin"/>
    <tableColumn id="9" xr3:uid="{D10A5272-2583-4A04-83AA-0119BC325211}" name="Car Name"/>
    <tableColumn id="10" xr3:uid="{2425D936-B9F7-4B35-9368-098C7470AB66}" name="Make"/>
    <tableColumn id="11" xr3:uid="{1986CD90-7B45-4C67-8FA1-A10AB6B8598A}" name="Model?"/>
    <tableColumn id="12" xr3:uid="{824F20EE-3124-4DA2-BAC3-13E3EB899592}"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41CAC7-D250-4F0E-990A-D4AC045A6741}" name="LifeExpectancyData" displayName="LifeExpectancyData" ref="A1:W2939" totalsRowShown="0">
  <autoFilter ref="A1:W2939" xr:uid="{4541CAC7-D250-4F0E-990A-D4AC045A6741}"/>
  <tableColumns count="23">
    <tableColumn id="1" xr3:uid="{6C26DCD8-6161-458E-AABE-5C67D5C6AC74}" name="Country"/>
    <tableColumn id="2" xr3:uid="{A0AD8293-0B8D-4B9F-BDBC-DD5E04211C88}" name="Year"/>
    <tableColumn id="3" xr3:uid="{4E3F97EB-55B7-4326-A7B4-828C041F4036}" name="Status"/>
    <tableColumn id="4" xr3:uid="{213DED68-0914-4312-AB9A-373D91123FA0}" name="Life expectancy"/>
    <tableColumn id="5" xr3:uid="{AB49576D-120D-4116-A2A8-DCEA708FCF45}" name="Adult Mortality"/>
    <tableColumn id="6" xr3:uid="{035DC6EF-1F90-4BD7-8F2C-79078622E8D1}" name="infant deaths"/>
    <tableColumn id="7" xr3:uid="{CE75E2DB-017C-4242-A1BE-E1E69BBBF991}" name="Alcohol"/>
    <tableColumn id="8" xr3:uid="{186618FA-21AB-458E-ADD1-2FA1D267EB89}" name="percentage expenditure"/>
    <tableColumn id="9" xr3:uid="{22D98002-FD32-4C19-AD6A-77B4CEDD444F}" name="Hepatitis B"/>
    <tableColumn id="10" xr3:uid="{DC7B7FB7-5E56-4F5F-9F85-DD0B11B4B139}" name="Measles"/>
    <tableColumn id="11" xr3:uid="{279223CF-1B39-462F-B76A-C077845687FA}" name="BMI"/>
    <tableColumn id="12" xr3:uid="{A6C47F59-F89D-4C96-B29E-15B6A7644DA4}" name="under-five deaths"/>
    <tableColumn id="13" xr3:uid="{CE8CC326-8E9D-4FC0-A1A8-712DFEB3FB5C}" name="Polio"/>
    <tableColumn id="14" xr3:uid="{209062A2-0A3E-4437-B4C6-A6CEC14B3058}" name="Total expenditure"/>
    <tableColumn id="15" xr3:uid="{FA2134B1-7D15-4F45-9EF4-3DB4ACFF940E}" name="Diphtheria"/>
    <tableColumn id="16" xr3:uid="{E91A0FB6-605A-4441-A5C7-7091A6093357}" name="HIV/AIDS"/>
    <tableColumn id="17" xr3:uid="{3CF53AAF-9327-4D2B-9B32-9A67A4F717C2}" name="GDP"/>
    <tableColumn id="18" xr3:uid="{247053FE-B202-49D3-9A4D-02A967E9F333}" name="Population"/>
    <tableColumn id="19" xr3:uid="{60493DDA-731F-426D-8F08-1013B8419379}" name="thinness 1-19 years"/>
    <tableColumn id="20" xr3:uid="{74CD17D2-1CBF-48E0-AE60-FD4EFDEB80EB}" name="thinness 5-9 years"/>
    <tableColumn id="21" xr3:uid="{0D00A571-55DD-434A-AF8D-7778DBE9F810}" name="Income composition of resources"/>
    <tableColumn id="22" xr3:uid="{F980B6DC-F562-40A4-A94E-EB50B212A581}" name="Schooling"/>
    <tableColumn id="23" xr3:uid="{4D185865-7EC0-47CE-8747-FAF79F6A53AB}"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2570F6-78B3-457C-9C13-DCB3595452FC}" name="ProductionLotsData" displayName="ProductionLotsData" ref="A1:K52" totalsRowShown="0">
  <autoFilter ref="A1:K52" xr:uid="{C22570F6-78B3-457C-9C13-DCB3595452FC}"/>
  <tableColumns count="11">
    <tableColumn id="1" xr3:uid="{33522483-F42C-4B32-876E-977DCC6CF5F9}" name="Lot_ID"/>
    <tableColumn id="2" xr3:uid="{7F4871DE-4B6C-4D60-BBD2-E8C9B95C7BDE}" name="Facility"/>
    <tableColumn id="3" xr3:uid="{17484F0B-2249-460B-9400-2E418D852737}" name="Fiscal_Year"/>
    <tableColumn id="4" xr3:uid="{543ED320-C795-4587-BD8F-77EF06EBBAC2}" name="Lot_Quantity"/>
    <tableColumn id="5" xr3:uid="{1D156320-87E4-479F-A305-1DC1EDD69C49}" name="Cumulative_Units"/>
    <tableColumn id="6" xr3:uid="{2E24578B-78D8-412F-9C3A-D9D86E2F5D20}" name="Experience_Stock"/>
    <tableColumn id="7" xr3:uid="{52B847DB-2A6B-4B84-BD56-D889616E5F50}" name="Unit_Cost_BY"/>
    <tableColumn id="8" xr3:uid="{71AA2820-1E88-4DB0-BAE9-0221752D35E6}" name="log Cum Units"/>
    <tableColumn id="9" xr3:uid="{89040AF8-6A2C-4EFB-8A95-E5AC8FF27D99}" name="log experience"/>
    <tableColumn id="10" xr3:uid="{5254A864-6CFD-4126-B99D-DD6162297A93}" name="log Unit Cost"/>
    <tableColumn id="11" xr3:uid="{60F2EC1D-4732-40BD-A38D-78F8D068424F}"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9957AB0-EB8C-458B-BEA5-C0EF76112A17}" name="SpecTable" displayName="SpecTable" ref="B3:O15" totalsRowShown="0" headerRowDxfId="60">
  <autoFilter ref="B3:O15" xr:uid="{A9957AB0-EB8C-458B-BEA5-C0EF76112A17}"/>
  <tableColumns count="14">
    <tableColumn id="1" xr3:uid="{2C15BC5A-F9F7-4DF7-A21A-4FAA005F4F38}" name="Role"/>
    <tableColumn id="2" xr3:uid="{3E4062FD-7B3C-465F-9ADE-00D06BF73F57}" name="Include"/>
    <tableColumn id="3" xr3:uid="{68C96D16-3F82-44A1-A7C7-6B649997681D}" name="Type"/>
    <tableColumn id="4" xr3:uid="{94819785-0ACB-4A32-9CCD-8E2233EA68B5}" name="Reference Level"/>
    <tableColumn id="5" xr3:uid="{6C0ECCBE-C6A1-4185-B2EC-FF469D4D6303}" name="Order"/>
    <tableColumn id="6" xr3:uid="{8B80F2CE-7DBE-4042-B56F-7B819EDA2979}" name="Transform"/>
    <tableColumn id="7" xr3:uid="{77E432C3-568E-41F8-9718-FB91515AE55C}" name="Sequence"/>
    <tableColumn id="8" xr3:uid="{CFB48783-BE74-4D28-947B-DE5AF16987C4}" name="Sequence Period"/>
    <tableColumn id="9" xr3:uid="{FBADCE55-12B4-4F43-8AF1-1F7C6BE56C22}" name="Period In Use" dataDxfId="59">
      <calculatedColumnFormula>IF(SpecTable[[#This Row],[Sequence]]&lt;&gt;TRUE,"",IF(N(SpecTable[[#This Row],[Sequence Period]])&lt;&gt;0,SpecTable[[#This Row],[Sequence Period]],IFERROR(Base_Period_Delta_Candidate(),"")))</calculatedColumnFormula>
    </tableColumn>
    <tableColumn id="10" xr3:uid="{284D30A1-32B7-4463-B131-79F61B1A5A44}"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88994062-B2AB-464E-B395-D7C6AA8610F0}"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643DF974-E86A-467E-96E5-3B59CE94F064}" name="Interaction Term"/>
    <tableColumn id="13" xr3:uid="{0543A66C-40A5-4FD6-A44E-2E39DBD7B978}" name="Interaction Operation"/>
    <tableColumn id="14" xr3:uid="{60762D35-CD64-4AA4-961B-7441DB30F08B}"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9C72F9-E649-47FA-BEBC-3880E2310373}" name="LAMBDAFunctionsCatalog" displayName="LAMBDAFunctionsCatalog" ref="A1:G140" totalsRowShown="0" headerRowDxfId="55" dataDxfId="54">
  <autoFilter ref="A1:G140" xr:uid="{B79C72F9-E649-47FA-BEBC-3880E2310373}"/>
  <tableColumns count="7">
    <tableColumn id="1" xr3:uid="{18824F41-8238-4700-BAD6-7774AB73D548}" name="Function Name" dataDxfId="53"/>
    <tableColumn id="2" xr3:uid="{FC10E9F4-2165-4D2B-B41F-FFA5979FACEB}" name="Scope" dataDxfId="52"/>
    <tableColumn id="3" xr3:uid="{213CBC0E-5171-45EE-81FA-A4F2E3761240}" name="Definition" dataDxfId="51"/>
    <tableColumn id="4" xr3:uid="{D97E5065-3C40-407A-BA05-FBD71EE6773E}" name="Arguments" dataDxfId="50"/>
    <tableColumn id="5" xr3:uid="{DB1E2822-47E2-4316-93CF-B59AC473D713}" name="Yields" dataDxfId="49"/>
    <tableColumn id="6" xr3:uid="{D1F6BB18-657D-405E-8383-3FB84C53C382}" name="Plain-Language Summary" dataDxfId="48"/>
    <tableColumn id="7" xr3:uid="{4B766FE3-957F-44F8-885B-2728767FC82D}"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B4712-5E44-44D5-B093-B880971D254B}">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0.7109375" customWidth="1" outlineLevel="1"/>
    <col min="37" max="37" width="16.7109375" customWidth="1" outlineLevel="1"/>
    <col min="38" max="38" width="10.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0" width="12.7109375" style="7" customWidth="1" outlineLevel="1"/>
    <col min="51" max="51" width="9.7109375" style="7" customWidth="1" outlineLevel="1"/>
    <col min="52" max="53" width="12.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6" t="s">
        <v>634</v>
      </c>
      <c r="AK1" s="37"/>
      <c r="AL1" s="44"/>
      <c r="AN1" s="4" t="s">
        <v>643</v>
      </c>
      <c r="BR1" s="36" t="s">
        <v>1854</v>
      </c>
      <c r="BS1" s="45"/>
      <c r="BU1" s="4" t="s">
        <v>1843</v>
      </c>
      <c r="BW1" s="4" t="s">
        <v>1850</v>
      </c>
    </row>
    <row r="2" spans="1:91" ht="25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6" t="s">
        <v>1905</v>
      </c>
      <c r="AB2" s="2" t="str" cm="1">
        <f t="array" ref="AB2">_xlfn.LET(_xlpm.n_c,COLUMNS(Source_Data),_xlpm.p,_xlfn.XMATCH("Response (y)",_xlfn.TAKE(Spec_Role,_xlpm.n_c)),_xlpm.h,INDEX(_xlfn.TOROW(Header_Names),_xlpm.p),IFERROR(IF(INDEX(_xlfn.TAKE(Spec_Transform,_xlpm.n_c),_xlpm.p)="Log","Ln("&amp;_xlpm.h&amp;")",_xlpm.h),"(none)"))&amp;" ~ "&amp;IF(Allow_Intercept,"1 + ","0 + ")&amp;IFERROR(_xlfn.TEXTJOIN(" + ",TRUE,Constructed_Column_Names()),"")&amp;IF(SUMPRODUCT(N(_xlfn.TAKE(Spec_Role,COLUMNS(Source_Data))="Fixed Effects"))&gt;0," | "&amp;IFERROR(INDEX(_xlfn.TOROW(Header_Names),_xlfn.XMATCH("Fixed Effects",_xlfn.TAKE(Spec_Role,COLUMNS(Source_Data)))),"FE"),"")</f>
        <v>MPG ~ 1 + Horsepower + Weight + Model Year: 71 + Model Year: 72 + Model Year: 73 + Model Year: 74 + Model Year: 75 + Model Year: 76 + Model Year: 77 + Model Year: 78 + Model Year: 79 + Model Year: 80 + Model Year: 81 + Model Year: 82 + Origin: Europe + Origin: US</v>
      </c>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1906</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1693</v>
      </c>
      <c r="E10" s="16"/>
      <c r="F10" s="16"/>
      <c r="G10" s="16" t="s">
        <v>1695</v>
      </c>
      <c r="H10" s="16"/>
      <c r="I10" s="16"/>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1693</v>
      </c>
      <c r="E11" s="16"/>
      <c r="F11" s="16"/>
      <c r="G11" s="16" t="s">
        <v>1695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880</v>
      </c>
      <c r="C12" s="16" t="b">
        <v>0</v>
      </c>
      <c r="D12" s="16" t="s">
        <v>781</v>
      </c>
      <c r="E12" s="16"/>
      <c r="F12" s="16"/>
      <c r="G12" s="16" t="s">
        <v>1695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8" t="s">
        <v>1614</v>
      </c>
      <c r="AK14" s="39" cm="1">
        <f t="array" ref="AK14">Group_Count_At(Prediction_Group_Column(),$AK$12,Sample_Include())</f>
        <v>392</v>
      </c>
      <c r="AL14" s="11"/>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J15" s="46" t="str">
        <f>"Duan = Duan (1983) smearing — estimates the conditional mean. Naive = textbook EXP(ŷ) — the conditional median, biased for the mean. CI/PI bounds are back-transformed with EXP alone, so under Duan the point estimate does not sit at the interval centre."</f>
        <v>Duan = Duan (1983) smearing — estimates the conditional mean. Naive = textbook EXP(ŷ) — the conditional median, biased for the mean. CI/PI bounds are back-transformed with EXP alone, so under Duan the point estimate does not sit at the interval centre.</v>
      </c>
      <c r="AK15" s="47"/>
      <c r="AL15" s="48"/>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mergeCells count="1">
    <mergeCell ref="AJ15:AL15"/>
  </mergeCells>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8888B540-EF25-4BA5-B0FA-71EF1E13BD22}">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D0A49-76CC-4807-9A83-9FDC392DCC0F}">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0"/>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225" x14ac:dyDescent="0.25">
      <c r="A128" s="2" t="s">
        <v>1813</v>
      </c>
      <c r="B128" s="2" t="s">
        <v>785</v>
      </c>
      <c r="C128" s="1" t="s">
        <v>1814</v>
      </c>
      <c r="D128" s="2" t="s">
        <v>1815</v>
      </c>
      <c r="E128" s="2" t="s">
        <v>1816</v>
      </c>
      <c r="F128" s="2" t="s">
        <v>1817</v>
      </c>
      <c r="G128" s="2" t="s">
        <v>1818</v>
      </c>
    </row>
    <row r="129" spans="1:7" ht="60" x14ac:dyDescent="0.25">
      <c r="A129" s="2" t="s">
        <v>1819</v>
      </c>
      <c r="B129" s="2" t="s">
        <v>785</v>
      </c>
      <c r="C129" s="1" t="s">
        <v>1820</v>
      </c>
      <c r="D129" s="2" t="s">
        <v>1821</v>
      </c>
      <c r="E129" s="2" t="s">
        <v>1822</v>
      </c>
      <c r="F129" s="2" t="s">
        <v>1823</v>
      </c>
      <c r="G129" s="2" t="s">
        <v>1824</v>
      </c>
    </row>
    <row r="130" spans="1:7" ht="60" x14ac:dyDescent="0.25">
      <c r="A130" s="2" t="s">
        <v>1825</v>
      </c>
      <c r="B130" s="2" t="s">
        <v>785</v>
      </c>
      <c r="C130" s="1" t="s">
        <v>1826</v>
      </c>
      <c r="D130" s="2" t="s">
        <v>1827</v>
      </c>
      <c r="E130" s="2" t="s">
        <v>1828</v>
      </c>
      <c r="F130" s="2" t="s">
        <v>1829</v>
      </c>
      <c r="G130" s="2" t="s">
        <v>1830</v>
      </c>
    </row>
    <row r="131" spans="1:7" ht="60" x14ac:dyDescent="0.25">
      <c r="A131" s="2" t="s">
        <v>1831</v>
      </c>
      <c r="B131" s="2" t="s">
        <v>785</v>
      </c>
      <c r="C131" s="1" t="s">
        <v>1832</v>
      </c>
      <c r="D131" s="2" t="s">
        <v>1833</v>
      </c>
      <c r="E131" s="2" t="s">
        <v>1834</v>
      </c>
      <c r="F131" s="2" t="s">
        <v>1835</v>
      </c>
      <c r="G131" s="2" t="s">
        <v>1836</v>
      </c>
    </row>
    <row r="132" spans="1:7" ht="60" x14ac:dyDescent="0.25">
      <c r="A132" s="2" t="s">
        <v>1837</v>
      </c>
      <c r="B132" s="2" t="s">
        <v>785</v>
      </c>
      <c r="C132" s="1" t="s">
        <v>1838</v>
      </c>
      <c r="D132" s="2" t="s">
        <v>1839</v>
      </c>
      <c r="E132" s="2" t="s">
        <v>1840</v>
      </c>
      <c r="F132" s="2" t="s">
        <v>1841</v>
      </c>
      <c r="G132" s="2" t="s">
        <v>1842</v>
      </c>
    </row>
    <row r="133" spans="1:7" ht="315" x14ac:dyDescent="0.25">
      <c r="A133" s="2" t="s">
        <v>1873</v>
      </c>
      <c r="B133" s="2" t="s">
        <v>785</v>
      </c>
      <c r="C133" s="1" t="s">
        <v>1874</v>
      </c>
      <c r="D133" s="2" t="s">
        <v>1875</v>
      </c>
      <c r="E133" s="2" t="s">
        <v>1876</v>
      </c>
      <c r="F133" s="2" t="s">
        <v>1877</v>
      </c>
      <c r="G133" s="2" t="s">
        <v>1878</v>
      </c>
    </row>
    <row r="134" spans="1:7" ht="360" x14ac:dyDescent="0.25">
      <c r="A134" s="2" t="s">
        <v>1879</v>
      </c>
      <c r="B134" s="2" t="s">
        <v>785</v>
      </c>
      <c r="C134" s="1" t="s">
        <v>1880</v>
      </c>
      <c r="D134" s="2" t="s">
        <v>1881</v>
      </c>
      <c r="E134" s="2" t="s">
        <v>1882</v>
      </c>
      <c r="F134" s="2" t="s">
        <v>1883</v>
      </c>
      <c r="G134" s="2" t="s">
        <v>1884</v>
      </c>
    </row>
    <row r="135" spans="1:7" ht="409.5" x14ac:dyDescent="0.25">
      <c r="A135" s="2" t="s">
        <v>1885</v>
      </c>
      <c r="B135" s="2" t="s">
        <v>785</v>
      </c>
      <c r="C135" s="1" t="s">
        <v>1918</v>
      </c>
      <c r="D135" s="2" t="s">
        <v>1886</v>
      </c>
      <c r="E135" s="2" t="s">
        <v>1887</v>
      </c>
      <c r="F135" s="2" t="s">
        <v>1888</v>
      </c>
      <c r="G135" s="2" t="s">
        <v>1919</v>
      </c>
    </row>
    <row r="136" spans="1:7" ht="300" x14ac:dyDescent="0.25">
      <c r="A136" s="2" t="s">
        <v>1920</v>
      </c>
      <c r="B136" s="2" t="s">
        <v>785</v>
      </c>
      <c r="C136" s="1" t="s">
        <v>1921</v>
      </c>
      <c r="D136" s="2" t="s">
        <v>1922</v>
      </c>
      <c r="E136" s="2" t="s">
        <v>1923</v>
      </c>
      <c r="F136" s="2" t="s">
        <v>1924</v>
      </c>
      <c r="G136" s="2" t="s">
        <v>1925</v>
      </c>
    </row>
    <row r="137" spans="1:7" ht="375" x14ac:dyDescent="0.25">
      <c r="A137" s="2" t="s">
        <v>1889</v>
      </c>
      <c r="B137" s="2" t="s">
        <v>785</v>
      </c>
      <c r="C137" s="1" t="s">
        <v>1926</v>
      </c>
      <c r="D137" s="2" t="s">
        <v>1927</v>
      </c>
      <c r="E137" s="2" t="s">
        <v>1890</v>
      </c>
      <c r="F137" s="2" t="s">
        <v>1891</v>
      </c>
      <c r="G137" s="2" t="s">
        <v>1928</v>
      </c>
    </row>
    <row r="138" spans="1:7" ht="409.5" x14ac:dyDescent="0.25">
      <c r="A138" s="2" t="s">
        <v>1892</v>
      </c>
      <c r="B138" s="2" t="s">
        <v>785</v>
      </c>
      <c r="C138" s="1" t="s">
        <v>1929</v>
      </c>
      <c r="D138" s="2" t="s">
        <v>1930</v>
      </c>
      <c r="E138" s="2" t="s">
        <v>1893</v>
      </c>
      <c r="F138" s="2" t="s">
        <v>1894</v>
      </c>
      <c r="G138" s="2" t="s">
        <v>1931</v>
      </c>
    </row>
    <row r="139" spans="1:7" ht="375" x14ac:dyDescent="0.25">
      <c r="A139" s="2" t="s">
        <v>1895</v>
      </c>
      <c r="B139" s="2" t="s">
        <v>785</v>
      </c>
      <c r="C139" s="1" t="s">
        <v>1896</v>
      </c>
      <c r="D139" s="2" t="s">
        <v>1932</v>
      </c>
      <c r="E139" s="2" t="s">
        <v>1897</v>
      </c>
      <c r="F139" s="2" t="s">
        <v>1898</v>
      </c>
      <c r="G139" s="2" t="s">
        <v>1899</v>
      </c>
    </row>
    <row r="140" spans="1:7" ht="375" x14ac:dyDescent="0.25">
      <c r="A140" s="2" t="s">
        <v>1900</v>
      </c>
      <c r="B140" s="2" t="s">
        <v>785</v>
      </c>
      <c r="C140" s="1" t="s">
        <v>1933</v>
      </c>
      <c r="D140" s="2" t="s">
        <v>1927</v>
      </c>
      <c r="E140" s="2" t="s">
        <v>1901</v>
      </c>
      <c r="F140" s="2" t="s">
        <v>1902</v>
      </c>
      <c r="G140"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2026-08-04T20:40:57Z</dcterms:modified>
</cp:coreProperties>
</file>