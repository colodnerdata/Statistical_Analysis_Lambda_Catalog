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8_{08A67816-9194-4F96-AE02-AD16011867B6}"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96" r:id="rId5"/>
    <sheet name="Regression" sheetId="7" r:id="rId6"/>
    <sheet name="Diagnostic Guide" sheetId="9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B21" i="7" s="1"/>
  <c r="AA21" i="7" a="1"/>
  <c r="AA21" i="7" s="1"/>
  <c r="AL19" i="7" a="1"/>
  <c r="AK62" i="7" s="1" a="1"/>
  <c r="AK62" i="7" s="1"/>
  <c r="AJ19" i="7" a="1"/>
  <c r="AJ19" i="7" s="1"/>
  <c r="AB17" i="7" a="1"/>
  <c r="AB17" i="7" s="1"/>
  <c r="AC16" i="7" a="1"/>
  <c r="AC16" i="7" s="1"/>
  <c r="AK12" i="7"/>
  <c r="AK13" i="7" s="1" a="1"/>
  <c r="AK13" i="7" s="1"/>
  <c r="AE12" i="7" a="1"/>
  <c r="AE12" i="7"/>
  <c r="AE11" i="7" a="1"/>
  <c r="AE11" i="7"/>
  <c r="AB8" i="7" a="1"/>
  <c r="AB8" i="7"/>
  <c r="BD99" i="7" s="1"/>
  <c r="AE6" i="7" a="1"/>
  <c r="AE6" i="7"/>
  <c r="BD100" i="7" s="1"/>
  <c r="BS5" i="7" a="1"/>
  <c r="BS5" i="7"/>
  <c r="BS4" i="7" a="1"/>
  <c r="BS4" i="7" s="1"/>
  <c r="AE4" i="7" a="1"/>
  <c r="AE4" i="7" s="1"/>
  <c r="BD101" i="7" s="1"/>
  <c r="O4" i="7" a="1"/>
  <c r="O4" i="7"/>
  <c r="L4" i="7" a="1"/>
  <c r="L4" i="7"/>
  <c r="K4" i="7" a="1"/>
  <c r="K4" i="7"/>
  <c r="J4" i="7" a="1"/>
  <c r="J4" i="7"/>
  <c r="A4" i="7" a="1"/>
  <c r="A4" i="7"/>
  <c r="BW3" i="7" a="1"/>
  <c r="BW3" i="7" s="1"/>
  <c r="BU3" i="7" a="1"/>
  <c r="BU3" i="7" s="1"/>
  <c r="BS3" i="7" a="1"/>
  <c r="BS3" i="7" s="1"/>
  <c r="AX3" i="7" a="1"/>
  <c r="AX3" i="7" s="1"/>
  <c r="AU3" i="7" a="1"/>
  <c r="AU3" i="7"/>
  <c r="AR3" i="7" a="1"/>
  <c r="AR3" i="7" s="1"/>
  <c r="AQ3" i="7" a="1"/>
  <c r="AQ3" i="7" s="1"/>
  <c r="AP3" i="7" a="1"/>
  <c r="AP3" i="7" s="1"/>
  <c r="AO3" i="7" a="1"/>
  <c r="AO3" i="7"/>
  <c r="AN3" i="7" a="1"/>
  <c r="AN3" i="7"/>
  <c r="Y3" i="7" a="1"/>
  <c r="Y3" i="7" s="1"/>
  <c r="X3" i="7" a="1"/>
  <c r="X3" i="7" s="1"/>
  <c r="W3" i="7" a="1"/>
  <c r="W3" i="7" s="1"/>
  <c r="V3" i="7" a="1"/>
  <c r="V3" i="7" s="1"/>
  <c r="U3" i="7" a="1"/>
  <c r="U3" i="7" s="1"/>
  <c r="T3" i="7" a="1"/>
  <c r="T3" i="7" s="1"/>
  <c r="S3" i="7" a="1"/>
  <c r="S3" i="7"/>
  <c r="BX2" i="7" a="1"/>
  <c r="BX2" i="7"/>
  <c r="BW2" i="7"/>
  <c r="BS2" i="7"/>
  <c r="AE15" i="7" s="1" a="1"/>
  <c r="AE15" i="7" s="1"/>
  <c r="AY2" i="7" a="1"/>
  <c r="AY2" i="7"/>
  <c r="AX2" i="7" a="1"/>
  <c r="AX2" i="7"/>
  <c r="AW2" i="7" a="1"/>
  <c r="AW2" i="7" s="1"/>
  <c r="AV2" i="7" a="1"/>
  <c r="AV2" i="7" s="1"/>
  <c r="AU2" i="7" a="1"/>
  <c r="AU2" i="7" s="1"/>
  <c r="AT2" i="7" a="1"/>
  <c r="AT2" i="7" s="1"/>
  <c r="AS2" i="7" a="1"/>
  <c r="AS2" i="7" s="1"/>
  <c r="AR2" i="7" a="1"/>
  <c r="AR2" i="7"/>
  <c r="AQ2" i="7" a="1"/>
  <c r="AQ2" i="7"/>
  <c r="AP2" i="7" a="1"/>
  <c r="AP2" i="7"/>
  <c r="AO2" i="7" a="1"/>
  <c r="AO2" i="7"/>
  <c r="AF2" i="7" a="1"/>
  <c r="AF2" i="7"/>
  <c r="BD95" i="7" s="1"/>
  <c r="P2" i="7" a="1"/>
  <c r="P2" i="7" s="1"/>
  <c r="M2" i="7"/>
  <c r="L2" i="7" a="1"/>
  <c r="L2" i="7"/>
  <c r="K2" i="7" a="1"/>
  <c r="K2" i="7"/>
  <c r="J2" i="7" a="1"/>
  <c r="J2" i="7"/>
  <c r="I2" i="7" a="1"/>
  <c r="I2" i="7" s="1"/>
  <c r="BY1" i="7" a="1"/>
  <c r="BY1" i="7"/>
  <c r="O1" i="7"/>
  <c r="E1" i="7" a="1"/>
  <c r="E1" i="7"/>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BA3" i="7" l="1" a="1"/>
  <c r="BA3" i="7" s="1"/>
  <c r="AH9" i="7" a="1"/>
  <c r="AH9" i="7" s="1"/>
  <c r="AZ3" i="7" a="1"/>
  <c r="AZ3" i="7" s="1"/>
  <c r="AH6" i="7" a="1"/>
  <c r="AH6" i="7" s="1"/>
  <c r="AH8" i="7" a="1"/>
  <c r="AH8" i="7" s="1"/>
  <c r="AH5" i="7" a="1"/>
  <c r="AH5" i="7" s="1"/>
  <c r="AH7" i="7" a="1"/>
  <c r="AH7" i="7" s="1"/>
  <c r="AE10" i="7" a="1"/>
  <c r="AE10" i="7" s="1"/>
  <c r="BD96" i="7" s="1"/>
  <c r="AB7" i="7" a="1"/>
  <c r="AB7" i="7" s="1"/>
  <c r="AE9" i="7" a="1"/>
  <c r="AE9" i="7" s="1"/>
  <c r="AG21" i="7" a="1"/>
  <c r="AG21" i="7" s="1"/>
  <c r="AT3" i="7" a="1"/>
  <c r="AF21" i="7" a="1"/>
  <c r="AF21" i="7" s="1"/>
  <c r="AW3" i="7" a="1"/>
  <c r="AW3" i="7" s="1"/>
  <c r="AB6" i="7" a="1"/>
  <c r="AB6" i="7" s="1"/>
  <c r="AE21" i="7" a="1"/>
  <c r="AE21" i="7" s="1"/>
  <c r="AE8" i="7" a="1"/>
  <c r="AE8" i="7" s="1"/>
  <c r="AV3" i="7" a="1"/>
  <c r="AV3" i="7" s="1"/>
  <c r="AD21" i="7" a="1"/>
  <c r="AD21" i="7" s="1"/>
  <c r="AD16" i="7" a="1"/>
  <c r="AD16" i="7" s="1"/>
  <c r="AC21" i="7" a="1"/>
  <c r="AC21" i="7" s="1"/>
  <c r="AB16" i="7" a="1"/>
  <c r="AB16" i="7" s="1"/>
  <c r="AS3" i="7" a="1"/>
  <c r="AS3" i="7" s="1"/>
  <c r="AE7" i="7" a="1"/>
  <c r="AE7" i="7" s="1"/>
  <c r="AF15" i="7" a="1"/>
  <c r="AF15" i="7" s="1"/>
  <c r="AK23" i="7" a="1"/>
  <c r="AK23" i="7" s="1"/>
  <c r="AK33" i="7" a="1"/>
  <c r="AK33" i="7" s="1"/>
  <c r="AK43" i="7" a="1"/>
  <c r="AK43" i="7" s="1"/>
  <c r="AK53" i="7" a="1"/>
  <c r="AK53" i="7" s="1"/>
  <c r="AB5" i="7" a="1"/>
  <c r="AB5" i="7" s="1"/>
  <c r="AK24" i="7" a="1"/>
  <c r="AK24" i="7" s="1"/>
  <c r="AK34" i="7" a="1"/>
  <c r="AK34" i="7" s="1"/>
  <c r="AK44" i="7" a="1"/>
  <c r="AK44" i="7" s="1"/>
  <c r="AK54" i="7" a="1"/>
  <c r="AK54" i="7" s="1"/>
  <c r="AE5" i="7" a="1"/>
  <c r="AE5" i="7" s="1"/>
  <c r="AK25" i="7" a="1"/>
  <c r="AK25" i="7" s="1"/>
  <c r="AK35" i="7" a="1"/>
  <c r="AK35" i="7" s="1"/>
  <c r="AK45" i="7" a="1"/>
  <c r="AK45" i="7" s="1"/>
  <c r="AK55" i="7" a="1"/>
  <c r="AK55" i="7" s="1"/>
  <c r="BD97" i="7"/>
  <c r="AK26" i="7" a="1"/>
  <c r="AK26" i="7" s="1"/>
  <c r="AK36" i="7" a="1"/>
  <c r="AK36" i="7" s="1"/>
  <c r="AK46" i="7" a="1"/>
  <c r="AK46" i="7" s="1"/>
  <c r="AK56" i="7" a="1"/>
  <c r="AK56" i="7" s="1"/>
  <c r="BE97" i="7"/>
  <c r="BF97" i="7"/>
  <c r="AK27" i="7" a="1"/>
  <c r="AK27" i="7" s="1"/>
  <c r="AK37" i="7" a="1"/>
  <c r="AK37" i="7" s="1"/>
  <c r="AK47" i="7" a="1"/>
  <c r="AK47" i="7" s="1"/>
  <c r="AK57" i="7" a="1"/>
  <c r="AK57" i="7" s="1"/>
  <c r="AK14" i="7" a="1"/>
  <c r="AK14" i="7" s="1"/>
  <c r="AC17" i="7" a="1"/>
  <c r="AC17" i="7" s="1"/>
  <c r="AK28" i="7" a="1"/>
  <c r="AK28" i="7" s="1"/>
  <c r="AK38" i="7" a="1"/>
  <c r="AK38" i="7" s="1"/>
  <c r="AK48" i="7" a="1"/>
  <c r="AK48" i="7" s="1"/>
  <c r="AK58" i="7" a="1"/>
  <c r="AK58" i="7" s="1"/>
  <c r="AB15" i="7" a="1"/>
  <c r="AB15" i="7" s="1"/>
  <c r="AK29" i="7" a="1"/>
  <c r="AK29" i="7" s="1"/>
  <c r="AK39" i="7" a="1"/>
  <c r="AK39" i="7" s="1"/>
  <c r="AK49" i="7" a="1"/>
  <c r="AK49" i="7" s="1"/>
  <c r="AK59" i="7" a="1"/>
  <c r="AK59" i="7" s="1"/>
  <c r="AC15" i="7" a="1"/>
  <c r="AC15" i="7" s="1"/>
  <c r="AH21" i="7" a="1"/>
  <c r="AH21" i="7" s="1"/>
  <c r="AK30" i="7" a="1"/>
  <c r="AK30" i="7" s="1"/>
  <c r="AK40" i="7" a="1"/>
  <c r="AK40" i="7" s="1"/>
  <c r="AK50" i="7" a="1"/>
  <c r="AK50" i="7" s="1"/>
  <c r="AK60" i="7" a="1"/>
  <c r="AK60" i="7" s="1"/>
  <c r="AB4" i="7" a="1"/>
  <c r="AB4" i="7" s="1"/>
  <c r="BS6" i="7" a="1"/>
  <c r="BS6" i="7" s="1"/>
  <c r="AL19" i="7"/>
  <c r="AK19" i="7" s="1" a="1"/>
  <c r="AK19" i="7" s="1"/>
  <c r="AD15" i="7" a="1"/>
  <c r="AD15"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Y3" i="7" l="1" a="1"/>
  <c r="AY3" i="7" s="1"/>
  <c r="AT3" i="7"/>
  <c r="AK3" i="7" a="1"/>
  <c r="AK3" i="7" l="1"/>
  <c r="AL3" i="7" s="1" a="1"/>
  <c r="AL3" i="7" s="1"/>
  <c r="AL9" i="7" a="1"/>
  <c r="AL9" i="7" s="1"/>
  <c r="AL8" i="7" a="1"/>
  <c r="AL8" i="7" s="1"/>
  <c r="AL7" i="7" a="1"/>
  <c r="AL7" i="7" s="1"/>
  <c r="AL10" i="7" a="1"/>
  <c r="AL10"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F1A29FBD-C7AE-43C4-968C-14519C306D2B}">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C197A84F-8D96-45AD-976F-4F1F0FC83CD0}">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2B279635-0041-4BFE-8C20-3DA0CA411EEC}">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19B1C082-F797-47DD-8618-73FBF85CCEA0}">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45527973-CE4F-47D9-8550-743CB7A36677}">
      <text>
        <r>
          <rPr>
            <b/>
            <sz val="9"/>
            <color indexed="81"/>
            <rFont val="Tahoma"/>
            <family val="2"/>
          </rPr>
          <t>Shows whether the data have a longer tail on one side. Positive means a longer right tail; negative means a longer left tail.</t>
        </r>
      </text>
    </comment>
    <comment ref="W2" authorId="0" shapeId="0" xr:uid="{22E5AAE9-B69F-4EDF-9CCA-6184799E5261}">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7849851F-24DB-4DE7-A5F3-DB387526FB33}">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0BEB6941-80EA-4881-ADD3-7F8F024ED516}">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0F80C00A-6CD9-4199-9D03-81D9126D7F16}">
      <text>
        <r>
          <rPr>
            <b/>
            <sz val="9"/>
            <color indexed="81"/>
            <rFont val="Tahoma"/>
            <family val="2"/>
          </rPr>
          <t>The actual observed outcome values.</t>
        </r>
      </text>
    </comment>
    <comment ref="AP2" authorId="0" shapeId="0" xr:uid="{8BB20D4B-B93C-46B0-A1C1-9F2C9B61F220}">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E085CC11-11FB-4521-B205-9E6619F40A92}">
      <text>
        <r>
          <rPr>
            <b/>
            <sz val="9"/>
            <color indexed="81"/>
            <rFont val="Tahoma"/>
            <family val="2"/>
          </rPr>
          <t>Actual Y minus predicted Y. Positive means the row came in above the model's prediction; negative means below.</t>
        </r>
      </text>
    </comment>
    <comment ref="AR2" authorId="0" shapeId="0" xr:uid="{E72D7ED0-01AD-481A-B9AC-6AC1FDBE2D2E}">
      <text>
        <r>
          <rPr>
            <b/>
            <sz val="9"/>
            <color indexed="81"/>
            <rFont val="Tahoma"/>
            <family val="2"/>
          </rPr>
          <t>Leverage. It shows how unusual a row's predictor values are relative to the rest of the data.</t>
        </r>
      </text>
    </comment>
    <comment ref="AS2" authorId="0" shapeId="0" xr:uid="{2CC7547E-E714-4F98-AC42-44D5015BBE8C}">
      <text>
        <r>
          <rPr>
            <b/>
            <sz val="9"/>
            <color indexed="81"/>
            <rFont val="Tahoma"/>
            <family val="2"/>
          </rPr>
          <t>Residuals scaled to account for overall error size and leverage, making outliers easier to compare fairly.</t>
        </r>
      </text>
    </comment>
    <comment ref="AT2" authorId="0" shapeId="0" xr:uid="{1CCEDC2E-2907-4CEC-8886-DA0E480518E7}">
      <text>
        <r>
          <rPr>
            <b/>
            <sz val="9"/>
            <color indexed="81"/>
            <rFont val="Tahoma"/>
            <family val="2"/>
          </rPr>
          <t>How much a single row can pull the fitted coefficients and predictions around.</t>
        </r>
      </text>
    </comment>
    <comment ref="AU2" authorId="0" shapeId="0" xr:uid="{B73363A9-B84C-4757-8DE8-C4DAE5D7CAD0}">
      <text>
        <r>
          <rPr>
            <b/>
            <sz val="9"/>
            <color indexed="81"/>
            <rFont val="Tahoma"/>
            <family val="2"/>
          </rPr>
          <t>Expected bell-curve quantiles used for the Q-Q comparison.</t>
        </r>
      </text>
    </comment>
    <comment ref="AV2" authorId="0" shapeId="0" xr:uid="{B7B02724-6082-4041-A2D4-F9CFE92ED0E7}">
      <text>
        <r>
          <rPr>
            <b/>
            <sz val="9"/>
            <color indexed="81"/>
            <rFont val="Tahoma"/>
            <family val="2"/>
          </rPr>
          <t>Studentized residuals sorted from smallest to largest for the Q-Q plot.</t>
        </r>
      </text>
    </comment>
    <comment ref="AW2" authorId="0" shapeId="0" xr:uid="{501708C3-F2E1-4BCB-869F-CBD86A543CEF}">
      <text>
        <r>
          <rPr>
            <b/>
            <sz val="9"/>
            <color indexed="81"/>
            <rFont val="Tahoma"/>
            <family val="2"/>
          </rPr>
          <t>The square root of the absolute studentized residual. A flat pattern suggests stable error spread.</t>
        </r>
      </text>
    </comment>
    <comment ref="AX2" authorId="0" shapeId="0" xr:uid="{3521E0FD-E563-4635-9832-D259EA99DB37}">
      <text>
        <r>
          <rPr>
            <b/>
            <sz val="9"/>
            <color indexed="81"/>
            <rFont val="Tahoma"/>
            <family val="2"/>
          </rPr>
          <t>The prediction error for a row when that row is left out of the fitting step (the leave-one-out / LOOCV residual). Summing its squares gives PRESS.</t>
        </r>
      </text>
    </comment>
    <comment ref="AY2" authorId="0" shapeId="0" xr:uid="{10BCB72D-9B9D-40B6-AB3E-F225FFDEA0F0}">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E2878C07-79DC-4AF8-9027-F4F3A4B19556}">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A3B20DA9-BFC8-4556-9C2D-2DEE79D20FD4}">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6D66036C-5077-456C-8DF8-0C0A99CD0A93}">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94D4FC83-17CF-4A65-ABE9-CAFFDFA20267}">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03190875-B457-4E20-AE8E-46A551B306F8}">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4E5BFAEC-3697-4923-85D3-729D924D3EE1}">
      <text>
        <r>
          <rPr>
            <b/>
            <sz val="9"/>
            <color indexed="81"/>
            <rFont val="Tahoma"/>
            <family val="2"/>
          </rPr>
          <t>Reserved for a future release — not yet used by any formula.</t>
        </r>
      </text>
    </comment>
    <comment ref="G3" authorId="0" shapeId="0" xr:uid="{F8F18A37-41E1-4EF3-82FF-6BD64DC8F941}">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32CE0BA2-5E08-4905-8B37-796AC2D6907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52358E0F-E17C-4281-BD1A-C909F84D6A2F}">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C36AF6CD-18A3-43A5-9E9A-101057B7E98E}">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0DA43047-04BE-4BFC-8A2B-D2E311AEAD3E}">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E87A1BA2-4B3C-4038-9C36-565350E4E353}">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3E91D672-CB5F-4325-BAF1-E5947F81E28A}">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E3303E4C-4E71-471B-8B35-C459B397BBDD}">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7560120F-60CC-4F42-A4A1-55CD0D749CA6}">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868BBF1C-7069-484D-B7A2-C5F4B52C994A}">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3F49AF92-743E-4BDF-9253-68B7B7F3077A}">
      <text>
        <r>
          <rPr>
            <b/>
            <sz val="9"/>
            <color indexed="81"/>
            <rFont val="Tahoma"/>
            <family val="2"/>
          </rPr>
          <t>How closely the model's predicted Y values track the actual Y values overall.</t>
        </r>
      </text>
    </comment>
    <comment ref="AD4" authorId="0" shapeId="0" xr:uid="{08C5201E-7590-479F-B070-817C853F4697}">
      <text>
        <r>
          <rPr>
            <b/>
            <sz val="9"/>
            <color indexed="81"/>
            <rFont val="Tahoma"/>
            <family val="2"/>
          </rPr>
          <t>A leave-one-out prediction error score. Lower is better because it means the model predicts unseen rows more accurately.</t>
        </r>
      </text>
    </comment>
    <comment ref="AG4" authorId="0" shapeId="0" xr:uid="{4B157F20-52AA-47D2-AE3D-C0CDE0DEE781}">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7EA67AD1-56EF-4ABE-BA8D-C3E4815D2BBA}">
      <text>
        <r>
          <rPr>
            <b/>
            <sz val="9"/>
            <color indexed="81"/>
            <rFont val="Tahoma"/>
            <family val="2"/>
          </rPr>
          <t>Standard error for the MEAN of Y at the chosen X values. Builds the confidence interval — the narrower band — for where the average response sits.</t>
        </r>
      </text>
    </comment>
    <comment ref="AA5" authorId="0" shapeId="0" xr:uid="{D87CF063-7ABA-4BD2-9B24-28EEEBD6F3AA}">
      <text>
        <r>
          <rPr>
            <b/>
            <sz val="9"/>
            <color indexed="81"/>
            <rFont val="Tahoma"/>
            <family val="2"/>
          </rPr>
          <t>The share of the outcome's variation explained by the model.</t>
        </r>
      </text>
    </comment>
    <comment ref="AD5" authorId="0" shapeId="0" xr:uid="{270F161A-587D-46D0-BBB9-A1DCF1DB8CB8}">
      <text>
        <r>
          <rPr>
            <b/>
            <sz val="9"/>
            <color indexed="81"/>
            <rFont val="Tahoma"/>
            <family val="2"/>
          </rPr>
          <t>An out-of-sample version of R Square based on leave-one-out prediction. Negative values mean the model predicts worse than just using the average Y.</t>
        </r>
      </text>
    </comment>
    <comment ref="AJ5" authorId="0" shapeId="0" xr:uid="{8CDF4FCA-94B6-4D68-80BE-5D0AC2F339BA}">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80C5E76C-3A0B-4B4D-9E92-13CD5003341A}">
      <text>
        <r>
          <rPr>
            <b/>
            <sz val="9"/>
            <color indexed="81"/>
            <rFont val="Tahoma"/>
            <family val="2"/>
          </rPr>
          <t>R Square with a penalty for adding predictors that do not help enough.</t>
        </r>
      </text>
    </comment>
    <comment ref="AD6" authorId="0" shapeId="0" xr:uid="{B29B833C-4FFB-40C0-BDB5-27FBC37968B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F95251B9-A8CB-42E8-A132-7F8C7E862074}">
      <text>
        <r>
          <rPr>
            <b/>
            <sz val="9"/>
            <color indexed="81"/>
            <rFont val="Tahoma"/>
            <family val="2"/>
          </rPr>
          <t>The t-distribution cutoff at the chosen confidence level. Multiply by SE (Mean) to get the CI half-width and by SE (New Obs) to get the PI half-width.</t>
        </r>
      </text>
    </comment>
    <comment ref="AA7" authorId="0" shapeId="0" xr:uid="{D9A0A868-00E1-48F1-A5ED-4E000BB5F933}">
      <text>
        <r>
          <rPr>
            <b/>
            <sz val="9"/>
            <color indexed="81"/>
            <rFont val="Tahoma"/>
            <family val="2"/>
          </rPr>
          <t>The typical size of the model's prediction errors, measured in the same units as Y.</t>
        </r>
      </text>
    </comment>
    <comment ref="AD7" authorId="0" shapeId="0" xr:uid="{3D5754B7-1451-4451-8DEE-86702589F6BE}">
      <text>
        <r>
          <rPr>
            <b/>
            <sz val="9"/>
            <color indexed="81"/>
            <rFont val="Tahoma"/>
            <family val="2"/>
          </rPr>
          <t>A model-comparison score that balances fit against complexity. Lower is better when comparing models on the same data.</t>
        </r>
      </text>
    </comment>
    <comment ref="AJ7" authorId="0" shapeId="0" xr:uid="{A537361A-B185-44E3-9ACD-00D39E939172}">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D06820B3-206D-40E0-BE05-6DC3A82B5400}">
      <text>
        <r>
          <rPr>
            <b/>
            <sz val="9"/>
            <color indexed="81"/>
            <rFont val="Tahoma"/>
            <family val="2"/>
          </rPr>
          <t>The number of rows actually used in the regression after filtering.</t>
        </r>
      </text>
    </comment>
    <comment ref="AD8" authorId="0" shapeId="0" xr:uid="{E822C09E-46ED-438E-8834-7F629D6970FB}">
      <text>
        <r>
          <rPr>
            <b/>
            <sz val="9"/>
            <color indexed="81"/>
            <rFont val="Tahoma"/>
            <family val="2"/>
          </rPr>
          <t>Another model-comparison score like AIC, but it penalizes extra predictors more strongly.</t>
        </r>
      </text>
    </comment>
    <comment ref="AJ8" authorId="0" shapeId="0" xr:uid="{2E7B2307-2271-48B4-9D86-B77E07C9686E}">
      <text>
        <r>
          <rPr>
            <b/>
            <sz val="9"/>
            <color indexed="81"/>
            <rFont val="Tahoma"/>
            <family val="2"/>
          </rPr>
          <t>Upper bound of the confidence interval for the MEAN response at the chosen X values.</t>
        </r>
      </text>
    </comment>
    <comment ref="AD9" authorId="0" shapeId="0" xr:uid="{81C428FB-6C6C-4030-9CE0-4079B096C696}">
      <text>
        <r>
          <rPr>
            <b/>
            <sz val="9"/>
            <color indexed="81"/>
            <rFont val="Tahoma"/>
            <family val="2"/>
          </rPr>
          <t>AIC with an extra correction for small samples.</t>
        </r>
      </text>
    </comment>
    <comment ref="AJ9" authorId="0" shapeId="0" xr:uid="{14BFC564-4D19-408F-AB2C-3EB8A79B8B39}">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56DF22C6-9118-4FBC-9103-C12D92A08669}">
      <text>
        <r>
          <rPr>
            <b/>
            <sz val="9"/>
            <color indexed="81"/>
            <rFont val="Tahoma"/>
            <family val="2"/>
          </rPr>
          <t>A numeric check of how close the residuals are to a normal bell shape. Values closer to 1 are better.</t>
        </r>
      </text>
    </comment>
    <comment ref="AJ10" authorId="0" shapeId="0" xr:uid="{ED12989C-D068-491F-99E2-FD21350B6438}">
      <text>
        <r>
          <rPr>
            <b/>
            <sz val="9"/>
            <color indexed="81"/>
            <rFont val="Tahoma"/>
            <family val="2"/>
          </rPr>
          <t>Upper bound of the prediction interval for a SINGLE new observation at the chosen X values.</t>
        </r>
      </text>
    </comment>
    <comment ref="AD11" authorId="0" shapeId="0" xr:uid="{FF52EEB4-1864-46CE-A13E-FCD3A4EC8C5C}">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A55007BD-BAC2-44D0-910D-10E8F3FDD8B3}">
      <text>
        <r>
          <rPr>
            <b/>
            <sz val="9"/>
            <color indexed="81"/>
            <rFont val="Tahoma"/>
            <family val="2"/>
          </rPr>
          <t>The probability level associated with the interval. With alpha 0.05, this is 95%.</t>
        </r>
      </text>
    </comment>
    <comment ref="AA12" authorId="0" shapeId="0" xr:uid="{9F997E7E-4F5C-4AA2-8B40-6819966F2817}">
      <text>
        <r>
          <rPr>
            <b/>
            <sz val="9"/>
            <color indexed="81"/>
            <rFont val="Tahoma"/>
            <family val="2"/>
          </rPr>
          <t>The cutoff for statistical significance. At 0.05, results with p-values below 0.05 are treated as statistically significant.</t>
        </r>
      </text>
    </comment>
    <comment ref="AD12" authorId="0" shapeId="0" xr:uid="{45E0773D-D835-4637-8BB5-9641DBE7C373}">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4BADAE55-6E01-4AF4-90DE-AF216DD6DF82}">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A74F3E46-17E5-4EDB-8611-ABD4128DA52D}">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6C85A8D0-BE19-4899-B99B-2B3B60D3B51C}">
      <text>
        <r>
          <rPr>
            <b/>
            <sz val="9"/>
            <color indexed="81"/>
            <rFont val="Tahoma"/>
            <family val="2"/>
          </rPr>
          <t>The number of independent data points available to estimate each part of the model — total rows minus one for each estimated parameter.</t>
        </r>
      </text>
    </comment>
    <comment ref="AC14" authorId="0" shapeId="0" xr:uid="{9880013A-D995-4272-AA93-FED25BA82F80}">
      <text>
        <r>
          <rPr>
            <b/>
            <sz val="9"/>
            <color indexed="81"/>
            <rFont val="Tahoma"/>
            <family val="2"/>
          </rPr>
          <t>The total variation attributed to that source — regression, residual, or total. The raw material from which MS and F are calculated.</t>
        </r>
      </text>
    </comment>
    <comment ref="AD14" authorId="0" shapeId="0" xr:uid="{874B6D5E-99C8-4833-92AF-97E3D1731FAB}">
      <text>
        <r>
          <rPr>
            <b/>
            <sz val="9"/>
            <color indexed="81"/>
            <rFont val="Tahoma"/>
            <family val="2"/>
          </rPr>
          <t>Sum of squares averaged over its degrees of freedom — a per-unit measure of variation for that source.</t>
        </r>
      </text>
    </comment>
    <comment ref="AE14" authorId="0" shapeId="0" xr:uid="{DFE5E3D0-DBC0-472C-BDD8-5091B2544133}">
      <text>
        <r>
          <rPr>
            <b/>
            <sz val="9"/>
            <color indexed="81"/>
            <rFont val="Tahoma"/>
            <family val="2"/>
          </rPr>
          <t>The model-vs-noise ratio used in the overall regression significance test.</t>
        </r>
      </text>
    </comment>
    <comment ref="AF14" authorId="0" shapeId="0" xr:uid="{2BB469F1-417A-4415-97AC-3EECA396EDE7}">
      <text>
        <r>
          <rPr>
            <b/>
            <sz val="9"/>
            <color indexed="81"/>
            <rFont val="Tahoma"/>
            <family val="2"/>
          </rPr>
          <t>The p-value for the overall F test. Small values mean the model as a whole is unlikely to be pure noise.</t>
        </r>
      </text>
    </comment>
    <comment ref="AJ14" authorId="0" shapeId="0" xr:uid="{66FB3CE1-95FA-4529-905A-B1C8A25520A1}">
      <text>
        <r>
          <rPr>
            <b/>
            <sz val="9"/>
            <color indexed="81"/>
            <rFont val="Tahoma"/>
            <family val="2"/>
          </rPr>
          <t>Number of analysis-sample observations in the selected FE group. The Tᵢ used to scale the within-group mean's standard error.</t>
        </r>
      </text>
    </comment>
    <comment ref="AA15" authorId="0" shapeId="0" xr:uid="{2B4C129B-B069-48D2-AA29-87C382B74B69}">
      <text>
        <r>
          <rPr>
            <b/>
            <sz val="9"/>
            <color indexed="81"/>
            <rFont val="Tahoma"/>
            <family val="2"/>
          </rPr>
          <t>The variation explained by the predictors taken together.</t>
        </r>
      </text>
    </comment>
    <comment ref="AA16" authorId="0" shapeId="0" xr:uid="{FD7151E7-88A9-4190-A78D-71EAEBA1E660}">
      <text>
        <r>
          <rPr>
            <b/>
            <sz val="9"/>
            <color indexed="81"/>
            <rFont val="Tahoma"/>
            <family val="2"/>
          </rPr>
          <t>The variation the model does not explain.</t>
        </r>
      </text>
    </comment>
    <comment ref="AA17" authorId="0" shapeId="0" xr:uid="{F31E723F-C86F-4D76-B157-F56313B2114C}">
      <text>
        <r>
          <rPr>
            <b/>
            <sz val="9"/>
            <color indexed="81"/>
            <rFont val="Tahoma"/>
            <family val="2"/>
          </rPr>
          <t>All variation in the outcome before splitting it into explained and unexplained parts.</t>
        </r>
      </text>
    </comment>
    <comment ref="AJ17" authorId="0" shapeId="0" xr:uid="{9A0BCB2C-CE81-478B-8B9A-B850A0EBE00B}">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EDC459C2-2C26-4A69-9257-18508F3A9C85}">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36E279E5-6ACB-46D1-9F3E-5B68FD6C5926}">
      <text>
        <r>
          <rPr>
            <b/>
            <sz val="9"/>
            <color indexed="81"/>
            <rFont val="Tahoma"/>
            <family val="2"/>
          </rPr>
          <t>The fitted weights used to turn predictor values into predictions.</t>
        </r>
      </text>
    </comment>
    <comment ref="AC20" authorId="0" shapeId="0" xr:uid="{1C888E4D-C138-49C7-9C2F-3869E4FFC1DA}">
      <text>
        <r>
          <rPr>
            <b/>
            <sz val="9"/>
            <color indexed="81"/>
            <rFont val="Tahoma"/>
            <family val="2"/>
          </rPr>
          <t>How uncertain each coefficient estimate is.</t>
        </r>
      </text>
    </comment>
    <comment ref="AD20" authorId="0" shapeId="0" xr:uid="{9C0733FF-4122-4A5A-899E-3F8F4BAAF6D2}">
      <text>
        <r>
          <rPr>
            <b/>
            <sz val="9"/>
            <color indexed="81"/>
            <rFont val="Tahoma"/>
            <family val="2"/>
          </rPr>
          <t>How many standard errors the coefficient is away from zero.</t>
        </r>
      </text>
    </comment>
    <comment ref="AE20" authorId="0" shapeId="0" xr:uid="{CD542AC2-0294-4C2C-9772-3811740F64E0}">
      <text>
        <r>
          <rPr>
            <b/>
            <sz val="9"/>
            <color indexed="81"/>
            <rFont val="Tahoma"/>
            <family val="2"/>
          </rPr>
          <t>How surprising this coefficient would be if its true effect were zero. Smaller values mean stronger evidence of a real effect.</t>
        </r>
      </text>
    </comment>
    <comment ref="AF20" authorId="0" shapeId="0" xr:uid="{44A6A931-3686-42F1-AA0C-98F0EF40918F}">
      <text>
        <r>
          <rPr>
            <b/>
            <sz val="9"/>
            <color indexed="81"/>
            <rFont val="Tahoma"/>
            <family val="2"/>
          </rPr>
          <t>The lower bound of the 95% confidence interval.</t>
        </r>
      </text>
    </comment>
    <comment ref="AG20" authorId="0" shapeId="0" xr:uid="{942539AD-B2A3-41AF-A8BE-838D5FC902C4}">
      <text>
        <r>
          <rPr>
            <b/>
            <sz val="9"/>
            <color indexed="81"/>
            <rFont val="Tahoma"/>
            <family val="2"/>
          </rPr>
          <t>The upper bound of the 95% confidence interval.</t>
        </r>
      </text>
    </comment>
    <comment ref="AH20" authorId="0" shapeId="0" xr:uid="{5852E6DF-741D-4F68-B584-C030ED9EA273}">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<sst xmlns="http://schemas.openxmlformats.org/spreadsheetml/2006/main" count="8895" uniqueCount="1944">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</sst>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2-803B-4855-B0BF-2EC50A4A36BD}"/>
            </c:ext>
          </c:extLst>
        </c:ser>
        <c:dLbls>
          <c:showLegendKey val="0"/>
          <c:showVal val="0"/>
          <c:showCatName val="0"/>
          <c:showSerName val="0"/>
          <c:showPercent val="0"/>
          <c:showBubbleSize val="0"/>
        </c:dLbls>
        <c:axId val="1627387135"/>
        <c:axId val="1627387615"/>
      </c:scatterChart>
      <c:valAx>
        <c:axId val="1627387135"/>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627387615"/>
        <c:crosses val="autoZero"/>
        <c:crossBetween val="midCat"/>
      </c:valAx>
      <c:valAx>
        <c:axId val="1627387615"/>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6273871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2-47DF-4EE8-B4C9-B294550F7E1A}"/>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47DF-4EE8-B4C9-B294550F7E1A}"/>
            </c:ext>
          </c:extLst>
        </c:ser>
        <c:dLbls>
          <c:showLegendKey val="0"/>
          <c:showVal val="0"/>
          <c:showCatName val="0"/>
          <c:showSerName val="0"/>
          <c:showPercent val="0"/>
          <c:showBubbleSize val="0"/>
        </c:dLbls>
        <c:axId val="1627391455"/>
        <c:axId val="1627394335"/>
      </c:scatterChart>
      <c:valAx>
        <c:axId val="1627391455"/>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627394335"/>
        <c:crosses val="autoZero"/>
        <c:crossBetween val="midCat"/>
      </c:valAx>
      <c:valAx>
        <c:axId val="1627394335"/>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6273914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D38F-43EF-BE0A-A03C20A695CB}"/>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3-D38F-43EF-BE0A-A03C20A695CB}"/>
            </c:ext>
          </c:extLst>
        </c:ser>
        <c:dLbls>
          <c:showLegendKey val="0"/>
          <c:showVal val="0"/>
          <c:showCatName val="0"/>
          <c:showSerName val="0"/>
          <c:showPercent val="0"/>
          <c:showBubbleSize val="0"/>
        </c:dLbls>
        <c:axId val="1627406335"/>
        <c:axId val="1627406815"/>
      </c:scatterChart>
      <c:valAx>
        <c:axId val="1627406335"/>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627406815"/>
        <c:crosses val="autoZero"/>
        <c:crossBetween val="midCat"/>
      </c:valAx>
      <c:valAx>
        <c:axId val="1627406815"/>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6274063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2-FED7-4268-B267-11002DE81F35}"/>
            </c:ext>
          </c:extLst>
        </c:ser>
        <c:dLbls>
          <c:showLegendKey val="0"/>
          <c:showVal val="0"/>
          <c:showCatName val="0"/>
          <c:showSerName val="0"/>
          <c:showPercent val="0"/>
          <c:showBubbleSize val="0"/>
        </c:dLbls>
        <c:axId val="1627411135"/>
        <c:axId val="1627407775"/>
      </c:scatterChart>
      <c:valAx>
        <c:axId val="1627411135"/>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627407775"/>
        <c:crosses val="autoZero"/>
        <c:crossBetween val="midCat"/>
      </c:valAx>
      <c:valAx>
        <c:axId val="1627407775"/>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6274111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2-29C0-47BE-AD2F-62E5643E837C}"/>
            </c:ext>
          </c:extLst>
        </c:ser>
        <c:dLbls>
          <c:showLegendKey val="0"/>
          <c:showVal val="0"/>
          <c:showCatName val="0"/>
          <c:showSerName val="0"/>
          <c:showPercent val="0"/>
          <c:showBubbleSize val="0"/>
        </c:dLbls>
        <c:gapWidth val="150"/>
        <c:axId val="1627409215"/>
        <c:axId val="1627409695"/>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3-29C0-47BE-AD2F-62E5643E837C}"/>
            </c:ext>
          </c:extLst>
        </c:ser>
        <c:dLbls>
          <c:showLegendKey val="0"/>
          <c:showVal val="0"/>
          <c:showCatName val="0"/>
          <c:showSerName val="0"/>
          <c:showPercent val="0"/>
          <c:showBubbleSize val="0"/>
        </c:dLbls>
        <c:marker val="1"/>
        <c:smooth val="0"/>
        <c:axId val="1627409215"/>
        <c:axId val="1627409695"/>
      </c:lineChart>
      <c:catAx>
        <c:axId val="1627409215"/>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627409695"/>
        <c:crosses val="autoZero"/>
        <c:auto val="1"/>
        <c:lblAlgn val="ctr"/>
        <c:lblOffset val="100"/>
        <c:noMultiLvlLbl val="0"/>
      </c:catAx>
      <c:valAx>
        <c:axId val="1627409695"/>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62740921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2-CE4D-4DDD-8EDF-4F323E949A60}"/>
            </c:ext>
          </c:extLst>
        </c:ser>
        <c:dLbls>
          <c:showLegendKey val="0"/>
          <c:showVal val="0"/>
          <c:showCatName val="0"/>
          <c:showSerName val="0"/>
          <c:showPercent val="0"/>
          <c:showBubbleSize val="0"/>
        </c:dLbls>
        <c:axId val="1627413055"/>
        <c:axId val="1627413535"/>
      </c:scatterChart>
      <c:valAx>
        <c:axId val="1627413055"/>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627413535"/>
        <c:crosses val="autoZero"/>
        <c:crossBetween val="midCat"/>
      </c:valAx>
      <c:valAx>
        <c:axId val="1627413535"/>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627413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2-27F0-4A05-B0BA-487B6559BC5B}"/>
            </c:ext>
          </c:extLst>
        </c:ser>
        <c:dLbls>
          <c:showLegendKey val="0"/>
          <c:showVal val="0"/>
          <c:showCatName val="0"/>
          <c:showSerName val="0"/>
          <c:showPercent val="0"/>
          <c:showBubbleSize val="0"/>
        </c:dLbls>
        <c:gapWidth val="150"/>
        <c:axId val="1627416415"/>
        <c:axId val="1289058543"/>
      </c:barChart>
      <c:catAx>
        <c:axId val="1627416415"/>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289058543"/>
        <c:crosses val="autoZero"/>
        <c:auto val="1"/>
        <c:lblAlgn val="ctr"/>
        <c:lblOffset val="100"/>
        <c:noMultiLvlLbl val="0"/>
      </c:catAx>
      <c:valAx>
        <c:axId val="1289058543"/>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62741641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770845C1-05AE-2152-9794-9154FA681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AC87EF25-F6BC-B1DB-61A9-8B4E718D48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6D2F68C7-5D87-0068-AC0F-A4004B062F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01CC40E8-0ACD-6C45-D7F5-AAA970D533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8F312B4E-747F-3E26-9C5D-F0AA5E5FC5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4" name="Chart 13">
          <a:extLst>
            <a:ext uri="{FF2B5EF4-FFF2-40B4-BE49-F238E27FC236}">
              <a16:creationId xmlns:a16="http://schemas.microsoft.com/office/drawing/2014/main" id="{168B5664-F353-50DB-EE84-C1C55B0526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5" name="Chart 14">
          <a:extLst>
            <a:ext uri="{FF2B5EF4-FFF2-40B4-BE49-F238E27FC236}">
              <a16:creationId xmlns:a16="http://schemas.microsoft.com/office/drawing/2014/main" id="{B29D51BB-9D54-42DD-076C-37AA1E12CF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20A54C7-725C-43ED-8B1E-15A94AA228A1}" name="MileageData" displayName="MileageData" ref="A1:L407" totalsRowShown="0">
  <autoFilter ref="A1:L407" xr:uid="{320A54C7-725C-43ED-8B1E-15A94AA228A1}"/>
  <tableColumns count="12">
    <tableColumn id="1" xr3:uid="{395F54E3-A4E0-4B9D-A4FF-7A9D88F3B26B}" name="MPG"/>
    <tableColumn id="2" xr3:uid="{DE503E60-DE44-4822-886B-C81F7D7A2371}" name="Cylinders"/>
    <tableColumn id="3" xr3:uid="{F41AD7D4-885B-48DA-8499-403027E71AC3}" name="Displacement"/>
    <tableColumn id="4" xr3:uid="{3854BED7-7605-4D5E-9F7D-D258B92970F3}" name="Horsepower"/>
    <tableColumn id="5" xr3:uid="{69D7677F-A582-4D0D-B6E2-275FDE3618BA}" name="Weight"/>
    <tableColumn id="6" xr3:uid="{84DB58FD-77B2-4B56-984C-A4832D9BCF54}" name="Acceleration"/>
    <tableColumn id="7" xr3:uid="{5F024111-AEA3-4F2A-8921-1263A7CD3FDD}" name="Model Year"/>
    <tableColumn id="8" xr3:uid="{E5F04EAC-FB4E-4164-A4D9-6551A0E8E434}" name="Origin"/>
    <tableColumn id="9" xr3:uid="{881D6A6B-D5DB-4057-A671-051EF9897B0C}" name="Car Name"/>
    <tableColumn id="10" xr3:uid="{746A7E60-BE4E-406C-B070-CEE80D7B2585}" name="Make"/>
    <tableColumn id="11" xr3:uid="{18080DBF-D835-49AA-A858-0CAC75ACE136}" name="Model?"/>
    <tableColumn id="12" xr3:uid="{35AF13C7-0244-4107-9D5A-DB1965C43A4C}"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B16FEC-A883-449C-B25B-61BE02140CF8}" name="LifeExpectancyData" displayName="LifeExpectancyData" ref="A1:W2939" totalsRowShown="0">
  <autoFilter ref="A1:W2939" xr:uid="{55B16FEC-A883-449C-B25B-61BE02140CF8}"/>
  <tableColumns count="23">
    <tableColumn id="1" xr3:uid="{45B1E4F9-D872-4F28-AD98-A0C3C1597C3F}" name="Country"/>
    <tableColumn id="2" xr3:uid="{31D4467B-11F7-4F9B-8D88-96B8F466482D}" name="Year"/>
    <tableColumn id="3" xr3:uid="{E1EF5FD6-BD48-404B-BC0B-72C3A083740D}" name="Status"/>
    <tableColumn id="4" xr3:uid="{0305CB8F-B94F-4A32-A6AA-7ECF293C8D2C}" name="Life expectancy"/>
    <tableColumn id="5" xr3:uid="{A7E3C277-40A5-4459-A3CE-29CBD77A6404}" name="Adult Mortality"/>
    <tableColumn id="6" xr3:uid="{C2C322F8-7545-4AD6-BC75-CBB239CA1D1D}" name="infant deaths"/>
    <tableColumn id="7" xr3:uid="{F5C4DC16-3D85-478B-88CC-94487DE798FB}" name="Alcohol"/>
    <tableColumn id="8" xr3:uid="{18031CD2-03F5-4C1E-A532-EA1DD94D044B}" name="percentage expenditure"/>
    <tableColumn id="9" xr3:uid="{97FC9911-014C-4519-948A-9995336D9C62}" name="Hepatitis B"/>
    <tableColumn id="10" xr3:uid="{BDEEB5D1-B05A-4AB7-B9E3-45A92C7AD203}" name="Measles"/>
    <tableColumn id="11" xr3:uid="{148839FF-F08B-4441-A1D6-32B3ABD7EC2A}" name="BMI"/>
    <tableColumn id="12" xr3:uid="{F5728056-CB4C-4239-9B0F-E55ACF1C32B6}" name="under-five deaths"/>
    <tableColumn id="13" xr3:uid="{3F968D47-CF6D-4BC5-96F0-69C9BF9262F6}" name="Polio"/>
    <tableColumn id="14" xr3:uid="{E6F98AF7-D885-442B-984A-35DD2E68CC50}" name="Total expenditure"/>
    <tableColumn id="15" xr3:uid="{C487DE08-7A4D-48B0-930C-77D063B94A98}" name="Diphtheria"/>
    <tableColumn id="16" xr3:uid="{5E1EED4C-BA72-4737-8551-BE515B8AEECE}" name="HIV/AIDS"/>
    <tableColumn id="17" xr3:uid="{C5275094-E01D-4E5B-9F55-5C632D2C137E}" name="GDP"/>
    <tableColumn id="18" xr3:uid="{9F4E7546-D19D-4089-860F-5D324BC44829}" name="Population"/>
    <tableColumn id="19" xr3:uid="{BCC27268-F856-4DB7-A404-E88367CF6A13}" name="thinness 1-19 years"/>
    <tableColumn id="20" xr3:uid="{739589F0-A965-484A-9CFB-C0B7DC350BAE}" name="thinness 5-9 years"/>
    <tableColumn id="21" xr3:uid="{85C88EEA-96ED-47D0-842E-789938E7AB42}" name="Income composition of resources"/>
    <tableColumn id="22" xr3:uid="{1BE2CFC1-7102-4CAA-8AAF-87AFBCB28EA8}" name="Schooling"/>
    <tableColumn id="23" xr3:uid="{FFBAE51B-8CDF-441B-ACEA-557366DDCF5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761747-502F-4C42-BF3E-3BCC6EF9BCCF}" name="ProductionLotsData" displayName="ProductionLotsData" ref="A1:K52" totalsRowShown="0">
  <autoFilter ref="A1:K52" xr:uid="{17761747-502F-4C42-BF3E-3BCC6EF9BCCF}"/>
  <tableColumns count="11">
    <tableColumn id="1" xr3:uid="{E43C6DE7-01BF-4622-9845-75C1017B2A2B}" name="Lot_ID"/>
    <tableColumn id="2" xr3:uid="{7851A802-48A3-4D55-81F3-D482CC7A8318}" name="Facility"/>
    <tableColumn id="3" xr3:uid="{0B9A6EB7-E28D-4340-B4C1-5C94E89FE1D2}" name="Fiscal_Year"/>
    <tableColumn id="4" xr3:uid="{16C2669B-570F-4F3C-BAAD-8676A96C3B4C}" name="Lot_Quantity"/>
    <tableColumn id="5" xr3:uid="{1ABD5F89-8E28-4ECF-BB9E-9ACE95F68002}" name="Cumulative_Units"/>
    <tableColumn id="6" xr3:uid="{D697C5BE-EDEB-40B6-9DD2-5F33A0C66DBE}" name="Experience_Stock"/>
    <tableColumn id="7" xr3:uid="{36AF3647-BF4F-4BFF-BB3C-EC6550D31AC1}" name="Unit_Cost_BY"/>
    <tableColumn id="8" xr3:uid="{772E4759-F7F2-493A-ADEA-A1E97792B897}" name="log Cum Units"/>
    <tableColumn id="9" xr3:uid="{AC4780CE-8B85-46C6-AEEA-CDCB021D234A}" name="log experience"/>
    <tableColumn id="10" xr3:uid="{A85839AC-A3E3-4E7A-9B08-570AADBC1098}" name="log Unit Cost"/>
    <tableColumn id="11" xr3:uid="{4DEA03BB-8C97-4336-9DEC-D1A3090F17E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833AB0-18C0-43E9-9FAD-86F31E4DC9A3}" name="LAMBDAFunctionsCatalog" displayName="LAMBDAFunctionsCatalog" ref="A1:G141" totalsRowShown="0" headerRowDxfId="57" dataDxfId="56">
  <autoFilter ref="A1:G141" xr:uid="{80833AB0-18C0-43E9-9FAD-86F31E4DC9A3}"/>
  <tableColumns count="7">
    <tableColumn id="1" xr3:uid="{DD5ABA25-C70B-4B4D-B95B-BA63FDD42AA8}" name="Function Name" dataDxfId="55"/>
    <tableColumn id="2" xr3:uid="{6EDBF3FC-8828-4E8F-A3B7-9AAE9C5E7318}" name="Scope" dataDxfId="54"/>
    <tableColumn id="3" xr3:uid="{DFA13A47-64AA-45D8-91D7-25CAEE50C99F}" name="Definition" dataDxfId="53"/>
    <tableColumn id="4" xr3:uid="{835E1A6F-9235-4F58-8C2C-AF27A283E921}" name="Arguments" dataDxfId="52"/>
    <tableColumn id="5" xr3:uid="{F71A7C70-E903-4149-9C21-9A97D1866154}" name="Yields" dataDxfId="51"/>
    <tableColumn id="6" xr3:uid="{CFEC0048-0A05-46FC-86B9-2059C15ED0DC}" name="Plain-Language Summary" dataDxfId="50"/>
    <tableColumn id="7" xr3:uid="{639A5BCB-F03B-43F4-B3BF-9B2F74694EA5}"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6B197-37F8-49C3-9DE6-0FC40E1A0778}">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hidden="1" customWidth="1" outlineLevel="1"/>
    <col min="74" max="74" width="2.7109375" customWidth="1" collapsed="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7" t="s">
        <v>634</v>
      </c>
      <c r="AK1" s="38"/>
      <c r="AL1" s="45"/>
      <c r="AN1" s="4" t="s">
        <v>643</v>
      </c>
      <c r="BR1" s="37" t="s">
        <v>1854</v>
      </c>
      <c r="BS1" s="46"/>
      <c r="BU1" s="4" t="s">
        <v>1843</v>
      </c>
      <c r="BW1" s="4" t="s">
        <v>1850</v>
      </c>
      <c r="BX1" s="4" t="s">
        <v>1905</v>
      </c>
      <c r="BY1" t="str" cm="1">
        <f t="array" ref="BY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611</v>
      </c>
      <c r="AB3" s="39"/>
      <c r="AD3" s="37" t="s">
        <v>616</v>
      </c>
      <c r="AE3" s="39"/>
      <c r="AG3" s="37" t="s">
        <v>1906</v>
      </c>
      <c r="AH3" s="39"/>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t="s">
        <v>798</v>
      </c>
      <c r="C4" t="b">
        <v>0</v>
      </c>
      <c r="D4" t="s">
        <v>781</v>
      </c>
      <c r="G4" t="s">
        <v>1695</v>
      </c>
      <c r="J4" t="str" cm="1">
        <f t="array" ref="J4:J15">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15">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15">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15">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t="s">
        <v>797</v>
      </c>
      <c r="C5" t="b">
        <v>0</v>
      </c>
      <c r="D5" t="s">
        <v>781</v>
      </c>
      <c r="G5" t="s">
        <v>1695</v>
      </c>
      <c r="J5" t="str">
        <v/>
      </c>
      <c r="K5" t="str">
        <v/>
      </c>
      <c r="L5" t="str">
        <v/>
      </c>
      <c r="O5">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t="s">
        <v>797</v>
      </c>
      <c r="C6" t="b">
        <v>0</v>
      </c>
      <c r="D6" t="s">
        <v>781</v>
      </c>
      <c r="G6" t="s">
        <v>1695</v>
      </c>
      <c r="J6" t="str">
        <v/>
      </c>
      <c r="K6" t="str">
        <v/>
      </c>
      <c r="L6" t="str">
        <v/>
      </c>
      <c r="O6">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t="s">
        <v>797</v>
      </c>
      <c r="C7" t="b">
        <v>1</v>
      </c>
      <c r="D7" t="s">
        <v>781</v>
      </c>
      <c r="G7" t="s">
        <v>1695</v>
      </c>
      <c r="J7" t="str">
        <v/>
      </c>
      <c r="K7" t="str">
        <v/>
      </c>
      <c r="L7" t="str">
        <v/>
      </c>
      <c r="O7">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t="s">
        <v>797</v>
      </c>
      <c r="C8" t="b">
        <v>1</v>
      </c>
      <c r="D8" t="s">
        <v>781</v>
      </c>
      <c r="G8" t="s">
        <v>1695</v>
      </c>
      <c r="J8" t="str">
        <v/>
      </c>
      <c r="K8" t="str">
        <v/>
      </c>
      <c r="L8" t="str">
        <v/>
      </c>
      <c r="O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t="s">
        <v>797</v>
      </c>
      <c r="C9" t="b">
        <v>0</v>
      </c>
      <c r="D9" t="s">
        <v>781</v>
      </c>
      <c r="G9" t="s">
        <v>1695</v>
      </c>
      <c r="J9" t="str">
        <v/>
      </c>
      <c r="K9" t="str">
        <v/>
      </c>
      <c r="L9" t="str">
        <v/>
      </c>
      <c r="O9">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t="s">
        <v>797</v>
      </c>
      <c r="C10" t="b">
        <v>1</v>
      </c>
      <c r="D10" t="s">
        <v>1693</v>
      </c>
      <c r="G10" t="s">
        <v>1695</v>
      </c>
      <c r="J10" t="str">
        <v/>
      </c>
      <c r="K10">
        <v>13</v>
      </c>
      <c r="L10">
        <v>70</v>
      </c>
      <c r="O10">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t="s">
        <v>797</v>
      </c>
      <c r="C11" t="b">
        <v>1</v>
      </c>
      <c r="D11" t="s">
        <v>1693</v>
      </c>
      <c r="G11" t="s">
        <v>1695</v>
      </c>
      <c r="J11" t="str">
        <v/>
      </c>
      <c r="K11">
        <v>3</v>
      </c>
      <c r="L11" t="str">
        <v>Asia</v>
      </c>
      <c r="O11">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t="s">
        <v>880</v>
      </c>
      <c r="C12" t="b">
        <v>0</v>
      </c>
      <c r="D12" t="s">
        <v>781</v>
      </c>
      <c r="G12" t="s">
        <v>1695</v>
      </c>
      <c r="J12" t="str">
        <v/>
      </c>
      <c r="K12" t="str">
        <v/>
      </c>
      <c r="L12" t="str">
        <v/>
      </c>
      <c r="O12" t="str">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t="s">
        <v>868</v>
      </c>
      <c r="C13" t="b">
        <v>0</v>
      </c>
      <c r="D13" t="s">
        <v>781</v>
      </c>
      <c r="G13" t="s">
        <v>1695</v>
      </c>
      <c r="J13" t="str">
        <v/>
      </c>
      <c r="K13" t="str">
        <v/>
      </c>
      <c r="L13" t="str">
        <v/>
      </c>
      <c r="O13" t="str">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t="s">
        <v>868</v>
      </c>
      <c r="C14" t="b">
        <v>0</v>
      </c>
      <c r="D14" t="s">
        <v>781</v>
      </c>
      <c r="G14" t="s">
        <v>1695</v>
      </c>
      <c r="J14" t="str">
        <v/>
      </c>
      <c r="K14" t="str">
        <v/>
      </c>
      <c r="L14" t="str">
        <v/>
      </c>
      <c r="O14" t="str">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6"/>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t="s">
        <v>868</v>
      </c>
      <c r="C15" t="b">
        <v>0</v>
      </c>
      <c r="D15" t="s">
        <v>781</v>
      </c>
      <c r="G15" t="s">
        <v>1695</v>
      </c>
      <c r="J15" t="str">
        <v/>
      </c>
      <c r="K15" t="str">
        <v/>
      </c>
      <c r="L15" t="str">
        <v/>
      </c>
      <c r="O15" t="str">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E1D955C5-22F2-425A-93CF-4F32257543BA}">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6D74E-DFA4-4A2B-A5F9-C5CF0E139D0D}">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1939</v>
      </c>
      <c r="B128" s="2" t="s">
        <v>624</v>
      </c>
      <c r="C128" s="1" t="s">
        <v>1940</v>
      </c>
      <c r="D128" s="2"/>
      <c r="E128" s="2" t="s">
        <v>1941</v>
      </c>
      <c r="F128" s="2" t="s">
        <v>1942</v>
      </c>
      <c r="G128" s="2" t="s">
        <v>1943</v>
      </c>
    </row>
    <row r="129" spans="1:7" ht="225" x14ac:dyDescent="0.25">
      <c r="A129" s="2" t="s">
        <v>1813</v>
      </c>
      <c r="B129" s="2" t="s">
        <v>785</v>
      </c>
      <c r="C129" s="1" t="s">
        <v>1814</v>
      </c>
      <c r="D129" s="2" t="s">
        <v>1815</v>
      </c>
      <c r="E129" s="2" t="s">
        <v>1816</v>
      </c>
      <c r="F129" s="2" t="s">
        <v>1817</v>
      </c>
      <c r="G129" s="2" t="s">
        <v>1818</v>
      </c>
    </row>
    <row r="130" spans="1:7" ht="60" x14ac:dyDescent="0.25">
      <c r="A130" s="2" t="s">
        <v>1819</v>
      </c>
      <c r="B130" s="2" t="s">
        <v>785</v>
      </c>
      <c r="C130" s="1" t="s">
        <v>1820</v>
      </c>
      <c r="D130" s="2" t="s">
        <v>1821</v>
      </c>
      <c r="E130" s="2" t="s">
        <v>1822</v>
      </c>
      <c r="F130" s="2" t="s">
        <v>1823</v>
      </c>
      <c r="G130" s="2" t="s">
        <v>1824</v>
      </c>
    </row>
    <row r="131" spans="1:7" ht="60" x14ac:dyDescent="0.25">
      <c r="A131" s="2" t="s">
        <v>1825</v>
      </c>
      <c r="B131" s="2" t="s">
        <v>785</v>
      </c>
      <c r="C131" s="1" t="s">
        <v>1826</v>
      </c>
      <c r="D131" s="2" t="s">
        <v>1827</v>
      </c>
      <c r="E131" s="2" t="s">
        <v>1828</v>
      </c>
      <c r="F131" s="2" t="s">
        <v>1829</v>
      </c>
      <c r="G131" s="2" t="s">
        <v>1830</v>
      </c>
    </row>
    <row r="132" spans="1:7" ht="60" x14ac:dyDescent="0.25">
      <c r="A132" s="2" t="s">
        <v>1831</v>
      </c>
      <c r="B132" s="2" t="s">
        <v>785</v>
      </c>
      <c r="C132" s="1" t="s">
        <v>1832</v>
      </c>
      <c r="D132" s="2" t="s">
        <v>1833</v>
      </c>
      <c r="E132" s="2" t="s">
        <v>1834</v>
      </c>
      <c r="F132" s="2" t="s">
        <v>1835</v>
      </c>
      <c r="G132" s="2" t="s">
        <v>1836</v>
      </c>
    </row>
    <row r="133" spans="1:7" ht="60" x14ac:dyDescent="0.25">
      <c r="A133" s="2" t="s">
        <v>1837</v>
      </c>
      <c r="B133" s="2" t="s">
        <v>785</v>
      </c>
      <c r="C133" s="1" t="s">
        <v>1838</v>
      </c>
      <c r="D133" s="2" t="s">
        <v>1839</v>
      </c>
      <c r="E133" s="2" t="s">
        <v>1840</v>
      </c>
      <c r="F133" s="2" t="s">
        <v>1841</v>
      </c>
      <c r="G133" s="2" t="s">
        <v>1842</v>
      </c>
    </row>
    <row r="134" spans="1:7" ht="315" x14ac:dyDescent="0.25">
      <c r="A134" s="2" t="s">
        <v>1873</v>
      </c>
      <c r="B134" s="2" t="s">
        <v>785</v>
      </c>
      <c r="C134" s="1" t="s">
        <v>1874</v>
      </c>
      <c r="D134" s="2" t="s">
        <v>1875</v>
      </c>
      <c r="E134" s="2" t="s">
        <v>1876</v>
      </c>
      <c r="F134" s="2" t="s">
        <v>1877</v>
      </c>
      <c r="G134" s="2" t="s">
        <v>1878</v>
      </c>
    </row>
    <row r="135" spans="1:7" ht="360" x14ac:dyDescent="0.25">
      <c r="A135" s="2" t="s">
        <v>1879</v>
      </c>
      <c r="B135" s="2" t="s">
        <v>785</v>
      </c>
      <c r="C135" s="1" t="s">
        <v>1880</v>
      </c>
      <c r="D135" s="2" t="s">
        <v>1881</v>
      </c>
      <c r="E135" s="2" t="s">
        <v>1882</v>
      </c>
      <c r="F135" s="2" t="s">
        <v>1883</v>
      </c>
      <c r="G135" s="2" t="s">
        <v>1884</v>
      </c>
    </row>
    <row r="136" spans="1:7" ht="409.5" x14ac:dyDescent="0.25">
      <c r="A136" s="2" t="s">
        <v>1885</v>
      </c>
      <c r="B136" s="2" t="s">
        <v>785</v>
      </c>
      <c r="C136" s="1" t="s">
        <v>1918</v>
      </c>
      <c r="D136" s="2" t="s">
        <v>1886</v>
      </c>
      <c r="E136" s="2" t="s">
        <v>1887</v>
      </c>
      <c r="F136" s="2" t="s">
        <v>1888</v>
      </c>
      <c r="G136" s="2" t="s">
        <v>1919</v>
      </c>
    </row>
    <row r="137" spans="1:7" ht="300" x14ac:dyDescent="0.25">
      <c r="A137" s="2" t="s">
        <v>1920</v>
      </c>
      <c r="B137" s="2" t="s">
        <v>785</v>
      </c>
      <c r="C137" s="1" t="s">
        <v>1921</v>
      </c>
      <c r="D137" s="2" t="s">
        <v>1922</v>
      </c>
      <c r="E137" s="2" t="s">
        <v>1923</v>
      </c>
      <c r="F137" s="2" t="s">
        <v>1924</v>
      </c>
      <c r="G137" s="2" t="s">
        <v>1925</v>
      </c>
    </row>
    <row r="138" spans="1:7" ht="375" x14ac:dyDescent="0.25">
      <c r="A138" s="2" t="s">
        <v>1889</v>
      </c>
      <c r="B138" s="2" t="s">
        <v>785</v>
      </c>
      <c r="C138" s="1" t="s">
        <v>1926</v>
      </c>
      <c r="D138" s="2" t="s">
        <v>1927</v>
      </c>
      <c r="E138" s="2" t="s">
        <v>1890</v>
      </c>
      <c r="F138" s="2" t="s">
        <v>1891</v>
      </c>
      <c r="G138" s="2" t="s">
        <v>1928</v>
      </c>
    </row>
    <row r="139" spans="1:7" ht="409.5" x14ac:dyDescent="0.25">
      <c r="A139" s="2" t="s">
        <v>1892</v>
      </c>
      <c r="B139" s="2" t="s">
        <v>785</v>
      </c>
      <c r="C139" s="1" t="s">
        <v>1929</v>
      </c>
      <c r="D139" s="2" t="s">
        <v>1930</v>
      </c>
      <c r="E139" s="2" t="s">
        <v>1893</v>
      </c>
      <c r="F139" s="2" t="s">
        <v>1894</v>
      </c>
      <c r="G139" s="2" t="s">
        <v>1931</v>
      </c>
    </row>
    <row r="140" spans="1:7" ht="375" x14ac:dyDescent="0.25">
      <c r="A140" s="2" t="s">
        <v>1895</v>
      </c>
      <c r="B140" s="2" t="s">
        <v>785</v>
      </c>
      <c r="C140" s="1" t="s">
        <v>1896</v>
      </c>
      <c r="D140" s="2" t="s">
        <v>1932</v>
      </c>
      <c r="E140" s="2" t="s">
        <v>1897</v>
      </c>
      <c r="F140" s="2" t="s">
        <v>1898</v>
      </c>
      <c r="G140" s="2" t="s">
        <v>1899</v>
      </c>
    </row>
    <row r="141" spans="1:7" ht="375" x14ac:dyDescent="0.25">
      <c r="A141" s="2" t="s">
        <v>1900</v>
      </c>
      <c r="B141" s="2" t="s">
        <v>785</v>
      </c>
      <c r="C141" s="1" t="s">
        <v>1933</v>
      </c>
      <c r="D141" s="2" t="s">
        <v>1927</v>
      </c>
      <c r="E141" s="2" t="s">
        <v>1901</v>
      </c>
      <c r="F141" s="2" t="s">
        <v>1902</v>
      </c>
      <c r="G141"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2026-08-05T19:44:44Z</dcterms:modified>
</cp:coreProperties>
</file>