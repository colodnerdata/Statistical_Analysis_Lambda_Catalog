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_python\Statistical_Analysis_Lambda_Catalog\"/>
    </mc:Choice>
  </mc:AlternateContent>
  <xr:revisionPtr revIDLastSave="0" documentId="8_{6C42CB90-DD11-4601-A0DA-AB423DBFA6C5}" xr6:coauthVersionLast="47" xr6:coauthVersionMax="47" xr10:uidLastSave="{00000000-0000-0000-0000-000000000000}"/>
  <bookViews>
    <workbookView xWindow="-28920" yWindow="-120" windowWidth="29040" windowHeight="15720" xr2:uid="{E1577015-2F75-4321-BA70-746370C2982D}"/>
  </bookViews>
  <sheets>
    <sheet name="Mileage Data" sheetId="3" r:id="rId1"/>
    <sheet name="Life Expectancy Data" sheetId="2" r:id="rId2"/>
    <sheet name="Production Lots" sheetId="4" r:id="rId3"/>
    <sheet name="Version History" sheetId="7" r:id="rId4"/>
    <sheet name="Regression Instructions" sheetId="9" r:id="rId5"/>
    <sheet name="Regression" sheetId="8" r:id="rId6"/>
    <sheet name="Diagnostic Guide" sheetId="10" r:id="rId7"/>
    <sheet name="LAMBDA_functions" sheetId="1" r:id="rId8"/>
  </sheets>
  <definedNames>
    <definedName name="Absorbed_Degrees_Of_Freedom" localSheetId="5">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5">Regression!$C$2</definedName>
    <definedName name="alpha" localSheetId="5">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5">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ixed_Effects_Column" localSheetId="5">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5">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OFFSET(Regression!$AL$2,1,0,MAX(IFERROR(Regression!$Y$8,1),1),1)</definedName>
    <definedName name="RegChartCookDist" comment="Cook's Distance chart: bar values" localSheetId="5">OFFSET(Regression!$AQ$2,1,0,MAX(IFERROR(Regression!$Y$8,1),1),1)</definedName>
    <definedName name="RegChartCookDistFlag" comment="Cook's Distance chart: flagged-point overlay for data labels (D &gt; 4/n or D &gt; 0.9)" localSheetId="5">OFFSET(Regression!$AV$2,1,0,MAX(IFERROR(Regression!$Y$8,1),1),1)</definedName>
    <definedName name="RegChartFitY" comment="Predicted Y: X values for the Residuals vs. Fitted, Actual vs. Predicted, and Scale-Location charts" localSheetId="5">OFFSET(Regression!$AM$2,1,0,MAX(IFERROR(Regression!$Y$8,1),1),1)</definedName>
    <definedName name="RegChartLeverage" comment="Studentized Residuals vs. Leverage chart: X values (Hat Diagonal)" localSheetId="5">OFFSET(Regression!$AO$2,1,0,MAX(IFERROR(Regression!$Y$8,1),1),1)</definedName>
    <definedName name="RegChartObsLabel" comment="Cook's Distance chart: observation identifier for flagged-point data labels" localSheetId="5">OFFSET(Regression!$AK$2,1,0,MAX(IFERROR(Regression!$Y$8,1),1),1)</definedName>
    <definedName name="RegChartPRESSResid" comment="PRESS Residuals chart: bar values" localSheetId="5">OFFSET(Regression!$AU$2,1,0,MAX(IFERROR(Regression!$Y$8,1),1),1)</definedName>
    <definedName name="RegChartQQX" comment="Normal Q-Q chart: X values (theoretical quantiles, Normal Scores Ranked)" localSheetId="5">OFFSET(Regression!$AR$2,1,0,MAX(IFERROR(Regression!$Y$8,1),1),1)</definedName>
    <definedName name="RegChartQQY" comment="Normal Q-Q chart: Y values (Studentized Residuals Ranked)" localSheetId="5">OFFSET(Regression!$AS$2,1,0,MAX(IFERROR(Regression!$Y$8,1),1),1)</definedName>
    <definedName name="RegChartResid" comment="Residuals vs. Fitted chart: Y values (Residuals)" localSheetId="5">OFFSET(Regression!$AN$2,1,0,MAX(IFERROR(Regression!$Y$8,1),1),1)</definedName>
    <definedName name="RegChartScaleLoc" comment="Scale-Location chart: Y values (sqrt of abs Studentized Residual)" localSheetId="5">OFFSET(Regression!$AT$2,1,0,MAX(IFERROR(Regression!$Y$8,1),1),1)</definedName>
    <definedName name="RegChartStudResid" comment="Studentized Residuals vs. Leverage chart: Y values" localSheetId="5">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5">_xlfn.LAMBDA(_xlfn.LET(_xlpm.n_c,COLUMNS(Regression!Source_Data),INDEX(Regression!Source_Data,0,_xlfn.XMATCH(TRUE,_xlfn.TAKE(Regression!Spec_Sequence,_xlpm.n_c),0))))</definedName>
    <definedName name="Sequence_Delta_Spectrum" localSheetId="5">_xlfn.LAMBDA(_xlfn.LET(_xlpm.d,Regression!Sequence_Deltas(),_xlpm.u,_xlfn._xlws.SORT(_xlfn.UNIQUE(_xlpm.d)),IF(COUNT(_xlpm.d)=0,NA(),_xlfn.HSTACK(_xlpm.u,_xlfn.BYROW(_xlpm.u,_xlfn.LAMBDA(_xlpm.v,SUM(--(_xlpm.d=_xlpm.v))))))))</definedName>
    <definedName name="Sequence_Deltas" localSheetId="5">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5">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Table" localSheetId="5">MileageData[#All]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Include" localSheetId="5">SpecTable[[#Data],[Include]]</definedName>
    <definedName name="Spec_Order" localSheetId="5">SpecTable[[#Data],[Order]]</definedName>
    <definedName name="Spec_Period_In_Use" localSheetId="5">SpecTable[[#Data],[Period In Use]]</definedName>
    <definedName name="Spec_Reference" localSheetId="5">SpecTable[[#Data],[Reference Level]]</definedName>
    <definedName name="Spec_Role" localSheetId="5">SpecTable[[#Data],[Role]]</definedName>
    <definedName name="Spec_Sequence" localSheetId="5">SpecTable[[#Data],[Sequence]]</definedName>
    <definedName name="Spec_Sequence_Period" localSheetId="5">SpecTable[[#Data],[Sequence Period]]</definedName>
    <definedName name="Spec_Transform" localSheetId="5">SpecTable[[#Data],[Transform]]</definedName>
    <definedName name="Spec_Type" localSheetId="5">SpecTable[[#Data],[Type]]</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5">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5">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5">_xlfn.LAMBDA(IFERROR(COLUMNS(Regression!X_s()),0)=0)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E21" i="8" l="1" a="1"/>
  <c r="AE21" i="8" s="1"/>
  <c r="AD21" i="8" a="1"/>
  <c r="AD21" i="8" s="1"/>
  <c r="AC21" i="8" a="1"/>
  <c r="AC21" i="8" s="1"/>
  <c r="AB21" i="8" a="1"/>
  <c r="AB21" i="8" s="1"/>
  <c r="AA21" i="8" a="1"/>
  <c r="AA21" i="8" s="1"/>
  <c r="Z21" i="8" a="1"/>
  <c r="Z21" i="8" s="1"/>
  <c r="Y21" i="8" a="1"/>
  <c r="Y21" i="8" s="1"/>
  <c r="X21" i="8" a="1"/>
  <c r="X21" i="8" s="1"/>
  <c r="AI19" i="8" a="1"/>
  <c r="AH62" i="8" s="1" a="1"/>
  <c r="AH62" i="8" s="1"/>
  <c r="AG19" i="8" a="1"/>
  <c r="AG19" i="8" s="1"/>
  <c r="Z17" i="8" a="1"/>
  <c r="Z17" i="8" s="1"/>
  <c r="Y17" i="8" a="1"/>
  <c r="Y17" i="8" s="1"/>
  <c r="AA16" i="8" a="1"/>
  <c r="AA16" i="8" s="1"/>
  <c r="Z16" i="8" a="1"/>
  <c r="Z16" i="8" s="1"/>
  <c r="Y16" i="8" a="1"/>
  <c r="Y16" i="8" s="1"/>
  <c r="AC15" i="8" a="1"/>
  <c r="AC15" i="8" s="1"/>
  <c r="AB15" i="8" a="1"/>
  <c r="AB15" i="8" s="1"/>
  <c r="AA15" i="8" a="1"/>
  <c r="AA15" i="8" s="1"/>
  <c r="Z15" i="8" a="1"/>
  <c r="Z15" i="8" s="1"/>
  <c r="Y15" i="8" a="1"/>
  <c r="Y15" i="8" s="1"/>
  <c r="L15" i="8"/>
  <c r="K15" i="8"/>
  <c r="J15" i="8"/>
  <c r="L14" i="8"/>
  <c r="K14" i="8"/>
  <c r="J14" i="8"/>
  <c r="AH13" i="8" a="1"/>
  <c r="AH13" i="8" s="1"/>
  <c r="L13" i="8"/>
  <c r="K13" i="8"/>
  <c r="J13" i="8"/>
  <c r="AH12" i="8"/>
  <c r="AH14" i="8" s="1" a="1"/>
  <c r="AH14" i="8" s="1"/>
  <c r="AB12" i="8" a="1"/>
  <c r="AB12" i="8" s="1"/>
  <c r="L12" i="8"/>
  <c r="K12" i="8"/>
  <c r="J12" i="8"/>
  <c r="AB11" i="8" a="1"/>
  <c r="AB11" i="8"/>
  <c r="L11" i="8"/>
  <c r="K11" i="8"/>
  <c r="J11" i="8"/>
  <c r="AB10" i="8" a="1"/>
  <c r="AB10" i="8" s="1"/>
  <c r="L10" i="8"/>
  <c r="K10" i="8"/>
  <c r="J10" i="8"/>
  <c r="AB9" i="8" a="1"/>
  <c r="AB9" i="8"/>
  <c r="L9" i="8"/>
  <c r="K9" i="8"/>
  <c r="J9" i="8"/>
  <c r="AB8" i="8" a="1"/>
  <c r="AB8" i="8" s="1"/>
  <c r="Y8" i="8" a="1"/>
  <c r="Y8" i="8" s="1"/>
  <c r="L8" i="8"/>
  <c r="K8" i="8"/>
  <c r="J8" i="8"/>
  <c r="AB7" i="8" a="1"/>
  <c r="AB7" i="8"/>
  <c r="Y7" i="8" a="1"/>
  <c r="Y7" i="8"/>
  <c r="L7" i="8"/>
  <c r="K7" i="8"/>
  <c r="J7" i="8"/>
  <c r="AB6" i="8" a="1"/>
  <c r="AB6" i="8" s="1"/>
  <c r="Y6" i="8" a="1"/>
  <c r="Y6" i="8" s="1"/>
  <c r="L6" i="8"/>
  <c r="K6" i="8"/>
  <c r="J6" i="8"/>
  <c r="AB5" i="8" a="1"/>
  <c r="AB5" i="8"/>
  <c r="Y5" i="8" a="1"/>
  <c r="Y5" i="8"/>
  <c r="L5" i="8"/>
  <c r="K5" i="8"/>
  <c r="J5" i="8"/>
  <c r="AB4" i="8" a="1"/>
  <c r="AB4" i="8" s="1"/>
  <c r="Y4" i="8" a="1"/>
  <c r="Y4" i="8" s="1"/>
  <c r="L4" i="8"/>
  <c r="K4" i="8"/>
  <c r="J4" i="8"/>
  <c r="A4" i="8" a="1"/>
  <c r="A4" i="8"/>
  <c r="AU3" i="8" a="1"/>
  <c r="AU3" i="8" s="1"/>
  <c r="AT3" i="8" a="1"/>
  <c r="AT3" i="8" s="1"/>
  <c r="AS3" i="8" a="1"/>
  <c r="AS3" i="8" s="1"/>
  <c r="AR3" i="8" a="1"/>
  <c r="AR3" i="8" s="1"/>
  <c r="AQ3" i="8" a="1"/>
  <c r="AQ3" i="8" s="1"/>
  <c r="AP3" i="8" a="1"/>
  <c r="AP3" i="8" s="1"/>
  <c r="AO3" i="8" a="1"/>
  <c r="AO3" i="8"/>
  <c r="AN3" i="8" a="1"/>
  <c r="AN3" i="8"/>
  <c r="AM3" i="8" a="1"/>
  <c r="AM3" i="8"/>
  <c r="AL3" i="8" a="1"/>
  <c r="AL3" i="8"/>
  <c r="AK3" i="8" a="1"/>
  <c r="AK3" i="8"/>
  <c r="V3" i="8" a="1"/>
  <c r="V3" i="8" s="1"/>
  <c r="U3" i="8" a="1"/>
  <c r="U3" i="8" s="1"/>
  <c r="T3" i="8" a="1"/>
  <c r="T3" i="8" s="1"/>
  <c r="S3" i="8" a="1"/>
  <c r="S3" i="8" s="1"/>
  <c r="R3" i="8" a="1"/>
  <c r="R3" i="8" s="1"/>
  <c r="Q3" i="8" a="1"/>
  <c r="Q3" i="8"/>
  <c r="P3" i="8" a="1"/>
  <c r="P3" i="8"/>
  <c r="AV2" i="8" a="1"/>
  <c r="AV2" i="8"/>
  <c r="AU2" i="8" a="1"/>
  <c r="AU2" i="8"/>
  <c r="AT2" i="8" a="1"/>
  <c r="AT2" i="8"/>
  <c r="AS2" i="8" a="1"/>
  <c r="AS2" i="8"/>
  <c r="AR2" i="8" a="1"/>
  <c r="AR2" i="8"/>
  <c r="AQ2" i="8" a="1"/>
  <c r="AQ2" i="8"/>
  <c r="AP2" i="8" a="1"/>
  <c r="AP2" i="8"/>
  <c r="AO2" i="8" a="1"/>
  <c r="AO2" i="8" s="1"/>
  <c r="AN2" i="8" a="1"/>
  <c r="AN2" i="8"/>
  <c r="AM2" i="8" a="1"/>
  <c r="AM2" i="8"/>
  <c r="AL2" i="8" a="1"/>
  <c r="AL2" i="8"/>
  <c r="AC2" i="8" a="1"/>
  <c r="AC2" i="8"/>
  <c r="M2" i="8" a="1"/>
  <c r="M2" i="8"/>
  <c r="L2" i="8" a="1"/>
  <c r="L2" i="8"/>
  <c r="K2" i="8" a="1"/>
  <c r="K2" i="8"/>
  <c r="J2" i="8" a="1"/>
  <c r="J2" i="8"/>
  <c r="I2" i="8" a="1"/>
  <c r="I2" i="8" s="1"/>
  <c r="E1" i="8" a="1"/>
  <c r="E1" i="8" s="1"/>
  <c r="B1" i="8" a="1"/>
  <c r="B1" i="8"/>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AV3" i="8" l="1" a="1"/>
  <c r="AV3" i="8" s="1"/>
  <c r="AH23" i="8" a="1"/>
  <c r="AH23" i="8" s="1"/>
  <c r="AH33" i="8" a="1"/>
  <c r="AH33" i="8" s="1"/>
  <c r="AH43" i="8" a="1"/>
  <c r="AH43" i="8" s="1"/>
  <c r="AH53" i="8" a="1"/>
  <c r="AH53" i="8" s="1"/>
  <c r="AH24" i="8" a="1"/>
  <c r="AH24" i="8" s="1"/>
  <c r="AH34" i="8" a="1"/>
  <c r="AH34" i="8" s="1"/>
  <c r="AH44" i="8" a="1"/>
  <c r="AH44" i="8" s="1"/>
  <c r="AH54" i="8" a="1"/>
  <c r="AH54" i="8" s="1"/>
  <c r="AH25" i="8" a="1"/>
  <c r="AH25" i="8" s="1"/>
  <c r="AH35" i="8" a="1"/>
  <c r="AH35" i="8" s="1"/>
  <c r="AH45" i="8" a="1"/>
  <c r="AH45" i="8" s="1"/>
  <c r="AH55" i="8" a="1"/>
  <c r="AH55" i="8" s="1"/>
  <c r="AH26" i="8" a="1"/>
  <c r="AH26" i="8" s="1"/>
  <c r="AH36" i="8" a="1"/>
  <c r="AH36" i="8" s="1"/>
  <c r="AH46" i="8" a="1"/>
  <c r="AH46" i="8" s="1"/>
  <c r="AH56" i="8" a="1"/>
  <c r="AH56" i="8" s="1"/>
  <c r="AH27" i="8" a="1"/>
  <c r="AH27" i="8" s="1"/>
  <c r="AH37" i="8" a="1"/>
  <c r="AH37" i="8" s="1"/>
  <c r="AH47" i="8" a="1"/>
  <c r="AH47" i="8" s="1"/>
  <c r="AH57" i="8" a="1"/>
  <c r="AH57" i="8" s="1"/>
  <c r="AH28" i="8" a="1"/>
  <c r="AH28" i="8" s="1"/>
  <c r="AH38" i="8" a="1"/>
  <c r="AH38" i="8" s="1"/>
  <c r="AH48" i="8" a="1"/>
  <c r="AH48" i="8" s="1"/>
  <c r="AH58" i="8" a="1"/>
  <c r="AH58" i="8" s="1"/>
  <c r="AH29" i="8" a="1"/>
  <c r="AH29" i="8" s="1"/>
  <c r="AH39" i="8" a="1"/>
  <c r="AH39" i="8" s="1"/>
  <c r="AH49" i="8" a="1"/>
  <c r="AH49" i="8" s="1"/>
  <c r="AH59" i="8" a="1"/>
  <c r="AH59" i="8" s="1"/>
  <c r="AH30" i="8" a="1"/>
  <c r="AH30" i="8" s="1"/>
  <c r="AH40" i="8" a="1"/>
  <c r="AH40" i="8" s="1"/>
  <c r="AH50" i="8" a="1"/>
  <c r="AH50" i="8" s="1"/>
  <c r="AH60" i="8" a="1"/>
  <c r="AH60" i="8" s="1"/>
  <c r="AI19" i="8"/>
  <c r="AH19" i="8" s="1" a="1"/>
  <c r="AH19" i="8" s="1"/>
  <c r="AH3" i="8" s="1" a="1"/>
  <c r="AH3" i="8" s="1"/>
  <c r="AH21" i="8" a="1"/>
  <c r="AH21" i="8" s="1"/>
  <c r="AH31" i="8" a="1"/>
  <c r="AH31" i="8" s="1"/>
  <c r="AH41" i="8" a="1"/>
  <c r="AH41" i="8" s="1"/>
  <c r="AH51" i="8" a="1"/>
  <c r="AH51" i="8" s="1"/>
  <c r="AH61" i="8" a="1"/>
  <c r="AH61" i="8" s="1"/>
  <c r="AH20" i="8" a="1"/>
  <c r="AH20" i="8" s="1"/>
  <c r="AH22" i="8" a="1"/>
  <c r="AH22" i="8" s="1"/>
  <c r="AH32" i="8" a="1"/>
  <c r="AH32" i="8" s="1"/>
  <c r="AH42" i="8" a="1"/>
  <c r="AH42" i="8" s="1"/>
  <c r="AH52" i="8" a="1"/>
  <c r="AH5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Colodner, Stephen</author>
  </authors>
  <commentList>
    <comment ref="Q2" authorId="0" shapeId="0" xr:uid="{F071DFE6-03BB-482D-8B4C-3E8A266AE3BC}">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18F0B837-2523-48C9-8487-2B08364C9399}">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DD72D6F2-B17D-4B8E-9953-8A612AF8B2CC}">
      <text>
        <r>
          <rPr>
            <b/>
            <sz val="9"/>
            <color indexed="81"/>
            <rFont val="Tahoma"/>
            <family val="2"/>
          </rPr>
          <t>Shows whether the data have a longer tail on one side. Positive means a longer right tail; negative means a longer left tail.</t>
        </r>
      </text>
    </comment>
    <comment ref="T2" authorId="0" shapeId="0" xr:uid="{7558FEA4-4A7F-4B30-A507-C3B9CB991914}">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0A9AD8BE-C7AA-4925-9CA0-CCA6321760F5}">
      <text>
        <r>
          <rPr>
            <b/>
            <sz val="9"/>
            <color indexed="81"/>
            <rFont val="Tahoma"/>
            <family val="2"/>
          </rPr>
          <t>A measure of collinearity with the other predictors, generalized so a categorical predictor's whole dummy block shares one value instead of a separate number per level. A value of 1 means no overlap; above 5 warrants review, above 10 indicates a problem — those thresholds are exact for a continuous predictor, and reflect the combined block for a multi-level categorical one.</t>
        </r>
      </text>
    </comment>
    <comment ref="V2" authorId="0" shapeId="0" xr:uid="{73F2512D-57BB-43C3-BB6B-35640C1B43AA}">
      <text>
        <r>
          <rPr>
            <b/>
            <sz val="9"/>
            <color indexed="81"/>
            <rFont val="Tahoma"/>
            <family val="2"/>
          </rPr>
          <t>The fraction of a predictor's variation not explained by the other predictors (1/GVIF) — generalized the same way, so a categorical predictor's dummy columns share one value. Values below 0.2 warrant review; below 0.1 indicate strong collinearity.</t>
        </r>
      </text>
    </comment>
    <comment ref="AL2" authorId="0" shapeId="0" xr:uid="{5CF0AD43-A4E7-445C-B5AB-84A92E7C72A9}">
      <text>
        <r>
          <rPr>
            <b/>
            <sz val="9"/>
            <color indexed="81"/>
            <rFont val="Tahoma"/>
            <family val="2"/>
          </rPr>
          <t>The actual observed outcome values.</t>
        </r>
      </text>
    </comment>
    <comment ref="AM2" authorId="0" shapeId="0" xr:uid="{59F93BC6-3387-41E7-9FB1-56F712EB79B1}">
      <text>
        <r>
          <rPr>
            <b/>
            <sz val="9"/>
            <color indexed="81"/>
            <rFont val="Tahoma"/>
            <family val="2"/>
          </rPr>
          <t>The fitted outcome values produced by the model. When the Response's Transform is Log, this is in log space — it is not back-transformed to the response's original units.</t>
        </r>
      </text>
    </comment>
    <comment ref="AN2" authorId="0" shapeId="0" xr:uid="{116EB357-6F18-44BB-99DE-190D821FDA16}">
      <text>
        <r>
          <rPr>
            <b/>
            <sz val="9"/>
            <color indexed="81"/>
            <rFont val="Tahoma"/>
            <family val="2"/>
          </rPr>
          <t>Actual Y minus predicted Y. Positive means the row came in above the model's prediction; negative means below.</t>
        </r>
      </text>
    </comment>
    <comment ref="AO2" authorId="0" shapeId="0" xr:uid="{5487D2E5-A3A0-4BE5-9835-6E0BF61C4354}">
      <text>
        <r>
          <rPr>
            <b/>
            <sz val="9"/>
            <color indexed="81"/>
            <rFont val="Tahoma"/>
            <family val="2"/>
          </rPr>
          <t>Leverage. It shows how unusual a row's predictor values are relative to the rest of the data.</t>
        </r>
      </text>
    </comment>
    <comment ref="AP2" authorId="0" shapeId="0" xr:uid="{9E61E80E-824F-4650-94C8-196B7D9CEE61}">
      <text>
        <r>
          <rPr>
            <b/>
            <sz val="9"/>
            <color indexed="81"/>
            <rFont val="Tahoma"/>
            <family val="2"/>
          </rPr>
          <t>Residuals scaled to account for overall error size and leverage, making outliers easier to compare fairly.</t>
        </r>
      </text>
    </comment>
    <comment ref="AQ2" authorId="0" shapeId="0" xr:uid="{01C03A36-B0EC-4EE7-8374-3B63B79EE6B4}">
      <text>
        <r>
          <rPr>
            <b/>
            <sz val="9"/>
            <color indexed="81"/>
            <rFont val="Tahoma"/>
            <family val="2"/>
          </rPr>
          <t>How much a single row can pull the fitted coefficients and predictions around.</t>
        </r>
      </text>
    </comment>
    <comment ref="AR2" authorId="0" shapeId="0" xr:uid="{69F9FC0F-A889-41F0-A09B-B6819E3A6368}">
      <text>
        <r>
          <rPr>
            <b/>
            <sz val="9"/>
            <color indexed="81"/>
            <rFont val="Tahoma"/>
            <family val="2"/>
          </rPr>
          <t>Expected bell-curve quantiles used for the Q-Q comparison.</t>
        </r>
      </text>
    </comment>
    <comment ref="AS2" authorId="0" shapeId="0" xr:uid="{348EF9AB-CD67-478E-95B5-CC03DDB79984}">
      <text>
        <r>
          <rPr>
            <b/>
            <sz val="9"/>
            <color indexed="81"/>
            <rFont val="Tahoma"/>
            <family val="2"/>
          </rPr>
          <t>Studentized residuals sorted from smallest to largest for the Q-Q plot.</t>
        </r>
      </text>
    </comment>
    <comment ref="AT2" authorId="0" shapeId="0" xr:uid="{06B9999B-C5D2-4F90-B2D8-29F05C7498AE}">
      <text>
        <r>
          <rPr>
            <b/>
            <sz val="9"/>
            <color indexed="81"/>
            <rFont val="Tahoma"/>
            <family val="2"/>
          </rPr>
          <t>The square root of the absolute studentized residual. A flat pattern suggests stable error spread.</t>
        </r>
      </text>
    </comment>
    <comment ref="AU2" authorId="0" shapeId="0" xr:uid="{A5151828-3D09-4AC8-90DF-D3293BAFE554}">
      <text>
        <r>
          <rPr>
            <b/>
            <sz val="9"/>
            <color indexed="81"/>
            <rFont val="Tahoma"/>
            <family val="2"/>
          </rPr>
          <t>The prediction error for a row when that row is left out of the fitting step (the leave-one-out / LOOCV residual). Summing its squares gives PRESS.</t>
        </r>
      </text>
    </comment>
    <comment ref="AG3" authorId="0" shapeId="0" xr:uid="{03CCA9EE-A961-4990-8EFD-FFB0DF68C5C1}">
      <text>
        <r>
          <rPr>
            <b/>
            <sz val="9"/>
            <color indexed="81"/>
            <rFont val="Tahoma"/>
            <family val="2"/>
          </rPr>
          <t>The model's single best predicted Y value for the inputs you entered. When the Response's Transform is Log, this is in log space — it is not back-transformed to the response's original units.</t>
        </r>
      </text>
    </comment>
    <comment ref="F4" authorId="0" shapeId="0" xr:uid="{00B8BB32-2638-466B-9C44-C73F42D7A224}">
      <text>
        <r>
          <rPr>
            <b/>
            <sz val="9"/>
            <color indexed="81"/>
            <rFont val="Tahoma"/>
            <family val="2"/>
          </rPr>
          <t>Reserved for a future release — not yet used by any formula.</t>
        </r>
      </text>
    </comment>
    <comment ref="G4" authorId="0" shapeId="0" xr:uid="{13A5E98D-8E10-4B73-8E27-673CB7C60F18}">
      <text>
        <r>
          <rPr>
            <b/>
            <sz val="9"/>
            <color indexed="81"/>
            <rFont val="Tahoma"/>
            <family val="2"/>
          </rPr>
          <t>Transform applied to this variable before fitting. “None” (default) fits the raw column. “Log” fits the natural log — available on the Response row and on Continuous Predictor rows; not allowed on Categorical Predictors (flagged red if set — dummy-coded columns are never logged). The constructed column is relabelled “Ln(name)” everywhere it appears (Predictor Summary, coefficient table, Prediction Inputs). Every model statistic (coefficients, R², residuals, prediction interval) is then in log space; predictions are NOT back-transformed to the original units. A zero, negative, or non-numeric value on an included row makes the model return #N/A rather than fit silently.</t>
        </r>
      </text>
    </comment>
    <comment ref="H4" authorId="0" shapeId="0" xr:uid="{41705549-4089-47DA-9AA7-B1F795B3DCAE}">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9ECB033E-107B-487C-A697-B20196C97F3F}">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15FA6A2D-6006-4068-9F86-AAEFF750D4DB}">
      <text>
        <r>
          <rPr>
            <b/>
            <sz val="9"/>
            <color indexed="81"/>
            <rFont val="Tahoma"/>
            <family val="2"/>
          </rPr>
          <t>How closely the model's predicted Y values track the actual Y values overall.</t>
        </r>
      </text>
    </comment>
    <comment ref="AA4" authorId="0" shapeId="0" xr:uid="{35EB2450-85B7-480C-AE80-5B1749BE8DAD}">
      <text>
        <r>
          <rPr>
            <b/>
            <sz val="9"/>
            <color indexed="81"/>
            <rFont val="Tahoma"/>
            <family val="2"/>
          </rPr>
          <t>A leave-one-out prediction error score. Lower is better because it means the model predicts unseen rows more accurately.</t>
        </r>
      </text>
    </comment>
    <comment ref="AG4" authorId="0" shapeId="0" xr:uid="{CA1707E7-2862-4DE2-B78E-9730422A91AC}">
      <text>
        <r>
          <rPr>
            <b/>
            <sz val="9"/>
            <color indexed="81"/>
            <rFont val="Tahoma"/>
            <family val="2"/>
          </rPr>
          <t>The standard error for a new prediction. It reflects both model uncertainty and ordinary row-to-row noise.</t>
        </r>
      </text>
    </comment>
    <comment ref="X5" authorId="0" shapeId="0" xr:uid="{366F3468-4A13-42C5-9647-6D8BFF8F12D3}">
      <text>
        <r>
          <rPr>
            <b/>
            <sz val="9"/>
            <color indexed="81"/>
            <rFont val="Tahoma"/>
            <family val="2"/>
          </rPr>
          <t>The share of the outcome's variation explained by the model.</t>
        </r>
      </text>
    </comment>
    <comment ref="AA5" authorId="0" shapeId="0" xr:uid="{38A9FA99-CC2F-4D21-9836-32B89DEFD14F}">
      <text>
        <r>
          <rPr>
            <b/>
            <sz val="9"/>
            <color indexed="81"/>
            <rFont val="Tahoma"/>
            <family val="2"/>
          </rPr>
          <t>An out-of-sample version of R Square based on leave-one-out prediction. Negative values mean the model predicts worse than just using the average Y.</t>
        </r>
      </text>
    </comment>
    <comment ref="AG5" authorId="0" shapeId="0" xr:uid="{1BA405EB-5C73-4657-95C8-454C3CED424E}">
      <text>
        <r>
          <rPr>
            <b/>
            <sz val="9"/>
            <color indexed="81"/>
            <rFont val="Tahoma"/>
            <family val="2"/>
          </rPr>
          <t>The t-distribution cutoff at the chosen confidence level. Multiply by SE Prediction to get the prediction interval half-width.</t>
        </r>
      </text>
    </comment>
    <comment ref="X6" authorId="0" shapeId="0" xr:uid="{EB5CF812-8CC4-4048-933E-34F2FFE2F0F7}">
      <text>
        <r>
          <rPr>
            <b/>
            <sz val="9"/>
            <color indexed="81"/>
            <rFont val="Tahoma"/>
            <family val="2"/>
          </rPr>
          <t>R Square with a penalty for adding predictors that do not help enough.</t>
        </r>
      </text>
    </comment>
    <comment ref="AA6" authorId="0" shapeId="0" xr:uid="{8628027B-3D66-4F06-A61A-41BD56CE1C85}">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48862A60-007D-4F95-BDF3-8C6E5F9CAD20}">
      <text>
        <r>
          <rPr>
            <b/>
            <sz val="9"/>
            <color indexed="81"/>
            <rFont val="Tahoma"/>
            <family val="2"/>
          </rPr>
          <t>The lower bound of the 95% confidence interval.</t>
        </r>
      </text>
    </comment>
    <comment ref="X7" authorId="0" shapeId="0" xr:uid="{11732641-74D8-4B87-9C9C-075047D98C22}">
      <text>
        <r>
          <rPr>
            <b/>
            <sz val="9"/>
            <color indexed="81"/>
            <rFont val="Tahoma"/>
            <family val="2"/>
          </rPr>
          <t>The typical size of the model's prediction errors, measured in the same units as Y.</t>
        </r>
      </text>
    </comment>
    <comment ref="AA7" authorId="0" shapeId="0" xr:uid="{D9984B0C-897D-4780-80FB-DDC53FDF8CD7}">
      <text>
        <r>
          <rPr>
            <b/>
            <sz val="9"/>
            <color indexed="81"/>
            <rFont val="Tahoma"/>
            <family val="2"/>
          </rPr>
          <t>A model-comparison score that balances fit against complexity. Lower is better when comparing models on the same data.</t>
        </r>
      </text>
    </comment>
    <comment ref="AG7" authorId="0" shapeId="0" xr:uid="{4668C08F-2EC1-4C14-A85A-B137E8B41B03}">
      <text>
        <r>
          <rPr>
            <b/>
            <sz val="9"/>
            <color indexed="81"/>
            <rFont val="Tahoma"/>
            <family val="2"/>
          </rPr>
          <t>The upper bound of the 95% confidence interval.</t>
        </r>
      </text>
    </comment>
    <comment ref="X8" authorId="0" shapeId="0" xr:uid="{7498243A-599C-439F-9969-254A4C6C83F0}">
      <text>
        <r>
          <rPr>
            <b/>
            <sz val="9"/>
            <color indexed="81"/>
            <rFont val="Tahoma"/>
            <family val="2"/>
          </rPr>
          <t>The number of rows actually used in the regression after filtering.</t>
        </r>
      </text>
    </comment>
    <comment ref="AA8" authorId="0" shapeId="0" xr:uid="{DF4CFC57-9AD1-4FAC-A22B-5C8F4B1204AC}">
      <text>
        <r>
          <rPr>
            <b/>
            <sz val="9"/>
            <color indexed="81"/>
            <rFont val="Tahoma"/>
            <family val="2"/>
          </rPr>
          <t>Another model-comparison score like AIC, but it penalizes extra predictors more strongly.</t>
        </r>
      </text>
    </comment>
    <comment ref="AG8" authorId="0" shapeId="0" xr:uid="{0A57759C-48FC-44F9-80C2-E02B23422466}">
      <text>
        <r>
          <rPr>
            <b/>
            <sz val="9"/>
            <color indexed="81"/>
            <rFont val="Tahoma"/>
            <family val="2"/>
          </rPr>
          <t>The probability level associated with the interval. With alpha 0.05, this is 95%.</t>
        </r>
      </text>
    </comment>
    <comment ref="AA9" authorId="0" shapeId="0" xr:uid="{3CD52E48-B3E9-408A-B7A5-9880186F2BB8}">
      <text>
        <r>
          <rPr>
            <b/>
            <sz val="9"/>
            <color indexed="81"/>
            <rFont val="Tahoma"/>
            <family val="2"/>
          </rPr>
          <t>AIC with an extra correction for small samples.</t>
        </r>
      </text>
    </comment>
    <comment ref="AA10" authorId="0" shapeId="0" xr:uid="{A2483BAD-C9FE-4EC5-903E-6C7CAE26BEB4}">
      <text>
        <r>
          <rPr>
            <b/>
            <sz val="9"/>
            <color indexed="81"/>
            <rFont val="Tahoma"/>
            <family val="2"/>
          </rPr>
          <t>A numeric check of how close the residuals are to a normal bell shape. Values closer to 1 are better.</t>
        </r>
      </text>
    </comment>
    <comment ref="AA11" authorId="0" shapeId="0" xr:uid="{3D2CB9A9-EEB3-4E81-A64B-33A9FC1F5C58}">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16BFCFCD-FCE8-48AC-86B6-3484C22D6F96}">
      <text>
        <r>
          <rPr>
            <b/>
            <sz val="9"/>
            <color indexed="81"/>
            <rFont val="Tahoma"/>
            <family val="2"/>
          </rPr>
          <t>The cutoff for statistical significance. At 0.05, results with p-values below 0.05 are treated as statistically significant.</t>
        </r>
      </text>
    </comment>
    <comment ref="AA12" authorId="0" shapeId="0" xr:uid="{D45E8D24-1E34-4C00-90ED-B72B37CAE433}">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3ADD3BDC-D272-4833-A9DB-D33B02E6F5D5}">
      <text>
        <r>
          <rPr>
            <b/>
            <sz val="9"/>
            <color indexed="81"/>
            <rFont val="Tahoma"/>
            <family val="2"/>
          </rPr>
          <t>The number of independent data points available to estimate each part of the model — total rows minus one for each estimated parameter.</t>
        </r>
      </text>
    </comment>
    <comment ref="Z14" authorId="0" shapeId="0" xr:uid="{D4D35ACC-7E93-40C8-9357-9A4594D2A999}">
      <text>
        <r>
          <rPr>
            <b/>
            <sz val="9"/>
            <color indexed="81"/>
            <rFont val="Tahoma"/>
            <family val="2"/>
          </rPr>
          <t>The total variation attributed to that source — regression, residual, or total. The raw material from which MS and F are calculated.</t>
        </r>
      </text>
    </comment>
    <comment ref="AA14" authorId="0" shapeId="0" xr:uid="{FE110C77-195F-4067-9C2C-B08A860D0056}">
      <text>
        <r>
          <rPr>
            <b/>
            <sz val="9"/>
            <color indexed="81"/>
            <rFont val="Tahoma"/>
            <family val="2"/>
          </rPr>
          <t>Sum of squares averaged over its degrees of freedom — a per-unit measure of variation for that source.</t>
        </r>
      </text>
    </comment>
    <comment ref="AB14" authorId="0" shapeId="0" xr:uid="{64909148-A48D-491D-B8A6-62A7ACAACDCB}">
      <text>
        <r>
          <rPr>
            <b/>
            <sz val="9"/>
            <color indexed="81"/>
            <rFont val="Tahoma"/>
            <family val="2"/>
          </rPr>
          <t>The model-vs-noise ratio used in the overall regression significance test.</t>
        </r>
      </text>
    </comment>
    <comment ref="AC14" authorId="0" shapeId="0" xr:uid="{55088ED7-9A71-466C-B423-E253C63F30F7}">
      <text>
        <r>
          <rPr>
            <b/>
            <sz val="9"/>
            <color indexed="81"/>
            <rFont val="Tahoma"/>
            <family val="2"/>
          </rPr>
          <t>The p-value for the overall F test. Small values mean the model as a whole is unlikely to be pure noise.</t>
        </r>
      </text>
    </comment>
    <comment ref="X15" authorId="0" shapeId="0" xr:uid="{05175FB6-371D-483F-BD5A-4862945CDAE1}">
      <text>
        <r>
          <rPr>
            <b/>
            <sz val="9"/>
            <color indexed="81"/>
            <rFont val="Tahoma"/>
            <family val="2"/>
          </rPr>
          <t>The variation explained by the predictors taken together.</t>
        </r>
      </text>
    </comment>
    <comment ref="X16" authorId="0" shapeId="0" xr:uid="{1714D306-1F9A-454C-995D-B74C6D75F172}">
      <text>
        <r>
          <rPr>
            <b/>
            <sz val="9"/>
            <color indexed="81"/>
            <rFont val="Tahoma"/>
            <family val="2"/>
          </rPr>
          <t>The variation the model does not explain.</t>
        </r>
      </text>
    </comment>
    <comment ref="X17" authorId="0" shapeId="0" xr:uid="{27B4DB5D-E590-4D95-AEA0-704E979BB114}">
      <text>
        <r>
          <rPr>
            <b/>
            <sz val="9"/>
            <color indexed="81"/>
            <rFont val="Tahoma"/>
            <family val="2"/>
          </rPr>
          <t>All variation in the outcome before splitting it into explained and unexplained parts.</t>
        </r>
      </text>
    </comment>
    <comment ref="AI17" authorId="0" shapeId="0" xr:uid="{EA74EEBD-2CB3-4424-A357-6ADFA71B9DDC}">
      <text>
        <r>
          <rPr>
            <b/>
            <sz val="9"/>
            <color indexed="81"/>
            <rFont val="Tahoma"/>
            <family val="2"/>
          </rPr>
          <t>Per-column average of the fitted design matrix, expressed in the units you type into Prediction Value. For a Log-transformed predictor this is the geometric mean (EXP of the log-space average), so leaving the default in place puts the prediction exactly at the model's own centroid.</t>
        </r>
      </text>
    </comment>
    <comment ref="Y20" authorId="0" shapeId="0" xr:uid="{DE8FABF5-39EC-4E40-BB13-834CA1A8E450}">
      <text>
        <r>
          <rPr>
            <b/>
            <sz val="9"/>
            <color indexed="81"/>
            <rFont val="Tahoma"/>
            <family val="2"/>
          </rPr>
          <t>The fitted weights used to turn predictor values into predictions.</t>
        </r>
      </text>
    </comment>
    <comment ref="Z20" authorId="0" shapeId="0" xr:uid="{34254D3B-FF71-4937-8302-5E182B3C0F5A}">
      <text>
        <r>
          <rPr>
            <b/>
            <sz val="9"/>
            <color indexed="81"/>
            <rFont val="Tahoma"/>
            <family val="2"/>
          </rPr>
          <t>How uncertain each coefficient estimate is.</t>
        </r>
      </text>
    </comment>
    <comment ref="AA20" authorId="0" shapeId="0" xr:uid="{A14F7FA2-7377-4F76-BFED-ED77FBDC4794}">
      <text>
        <r>
          <rPr>
            <b/>
            <sz val="9"/>
            <color indexed="81"/>
            <rFont val="Tahoma"/>
            <family val="2"/>
          </rPr>
          <t>How many standard errors the coefficient is away from zero.</t>
        </r>
      </text>
    </comment>
    <comment ref="AB20" authorId="0" shapeId="0" xr:uid="{CB456728-6FEE-4E77-84C1-6590BC5EFF91}">
      <text>
        <r>
          <rPr>
            <b/>
            <sz val="9"/>
            <color indexed="81"/>
            <rFont val="Tahoma"/>
            <family val="2"/>
          </rPr>
          <t>How surprising this coefficient would be if its true effect were zero. Smaller values mean stronger evidence of a real effect.</t>
        </r>
      </text>
    </comment>
    <comment ref="AC20" authorId="0" shapeId="0" xr:uid="{D4BA1085-EAA1-41E8-AF64-D3483306DF01}">
      <text>
        <r>
          <rPr>
            <b/>
            <sz val="9"/>
            <color indexed="81"/>
            <rFont val="Tahoma"/>
            <family val="2"/>
          </rPr>
          <t>The lower bound of the 95% confidence interval.</t>
        </r>
      </text>
    </comment>
    <comment ref="AD20" authorId="0" shapeId="0" xr:uid="{EC684519-20CB-4030-A338-A28C0FE2D63C}">
      <text>
        <r>
          <rPr>
            <b/>
            <sz val="9"/>
            <color indexed="81"/>
            <rFont val="Tahoma"/>
            <family val="2"/>
          </rPr>
          <t>The upper bound of the 95% confidence interval.</t>
        </r>
      </text>
    </comment>
    <comment ref="AE20" authorId="0" shapeId="0" xr:uid="{F2315CC7-338A-43A2-8EEF-9B5A1BCCB0B6}">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<sst xmlns="http://schemas.openxmlformats.org/spreadsheetml/2006/main" count="8750" uniqueCount="1842">
  <si>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</si>
  <si>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</si>
  <si>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</si>
  <si>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</si>
  <si>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</si>
  <si>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</si>
  <si>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</si>
  <si>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</si>
  <si>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</si>
  <si>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</si>
  <si>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</si>
  <si>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</si>
  <si>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</si>
  <si>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</si>
  <si>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Regression_Degrees_Of_Freedom</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</si>
  <si>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</si>
  <si>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</si>
  <si>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</si>
  <si>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</si>
  <si>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</si>
  <si>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Total_Degrees_Of_Freedom</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</si>
  <si>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</si>
  <si>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</si>
  <si>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</si>
  <si>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</si>
  <si>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</si>
  <si>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</si>
  <si>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</si>
  <si>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</si>
  <si>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</si>
  <si>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</si>
  <si>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</si>
  <si>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</si>
  <si>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</si>
  <si>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</si>
  <si>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</si>
  <si>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</si>
  <si>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</si>
  <si>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</si>
  <si>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</si>
  <si>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</si>
  <si>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</si>
  <si>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</si>
  <si>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</si>
  <si>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</si>
  <si>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</si>
  <si>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</si>
  <si>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</si>
  <si>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</si>
  <si>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</si>
  <si>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</si>
  <si>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</si>
  <si>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</si>
  <si>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</si>
  <si>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</si>
  <si>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</si>
  <si>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</si>
  <si>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</si>
  <si>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</si>
  <si>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</si>
  <si>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</si>
  <si>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</si>
  <si>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</si>
  <si>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</si>
  <si>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</si>
  <si>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Regression_Degrees_Of_Freedom(X_s)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</si>
  <si>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</si>
  <si>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</si>
  <si>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</si>
  <si>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</si>
  <si>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</si>
  <si>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</si>
  <si>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</si>
  <si>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</si>
  <si>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</si>
  <si>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</si>
  <si>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</si>
  <si>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</si>
  <si>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</si>
  <si>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</si>
  <si>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=LAMBDA(X_s, Y, [Allow_Intercept], [Include],
  LET(
    allow_arg, IF(ISOMITTED(Allow_Intercept), TRUE, Allow_Intercept),
    filt_arg,  IF(ISOMITTED(Include),          TRUE, Include),
    SUMSQ(LOOCV_Residual(X_s, Y, allow_arg, filt_arg))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</si>
  <si>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</si>
  <si>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</si>
  <si>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</si>
  <si>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</si>
  <si>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</si>
  <si>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</si>
  <si>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</si>
  <si>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</si>
  <si>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</si>
  <si>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BIC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</si>
  <si>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</si>
  <si>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</si>
  <si>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</si>
  <si>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</si>
  <si>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</si>
  <si>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</si>
  <si>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</si>
  <si>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</si>
  <si>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</si>
  <si>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</si>
  <si>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</si>
  <si>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</si>
  <si>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</si>
  <si>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</si>
  <si>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</si>
  <si>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</si>
  <si>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</si>
  <si>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</si>
  <si>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</si>
  <si>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</si>
  <si>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</si>
  <si>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</si>
  <si>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</si>
  <si>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</si>
  <si>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</si>
  <si>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</si>
  <si>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</si>
  <si>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</si>
  <si>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</si>
  <si>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</si>
  <si>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</si>
  <si>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</si>
  <si>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</si>
  <si>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</si>
  <si>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</si>
  <si>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</si>
  <si>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</si>
  <si>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</si>
  <si>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</si>
  <si>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</si>
  <si>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</si>
  <si>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vertical array of standard errors of the OLS coefficients — same order as Coefficients</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</si>
  <si>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</si>
  <si>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</si>
  <si>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T_Statistics</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</si>
  <si>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</si>
  <si>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</si>
  <si>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</si>
  <si>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</si>
  <si>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</si>
  <si>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</si>
  <si>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</si>
  <si>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</si>
  <si>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</si>
  <si>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</si>
  <si>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</si>
  <si>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</si>
  <si>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</si>
  <si>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</si>
  <si>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</si>
  <si>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</si>
  <si>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</si>
  <si>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</si>
  <si>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</si>
  <si>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</si>
  <si>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</si>
  <si>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</si>
  <si>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</si>
  <si>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</si>
  <si>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</si>
  <si>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</si>
  <si>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</si>
  <si>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</si>
  <si>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</si>
  <si>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</si>
  <si>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</si>
  <si>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</si>
  <si>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</si>
  <si>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</si>
  <si>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</si>
  <si>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</si>
  <si>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</si>
  <si>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</si>
  <si>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</si>
  <si>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</si>
  <si>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</si>
  <si>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</si>
  <si>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</si>
  <si>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</si>
  <si>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</si>
  <si>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</si>
  <si>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</si>
  <si>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</si>
  <si>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</si>
  <si>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</si>
  <si>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</si>
  <si>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</si>
  <si>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</si>
  <si>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</si>
  <si>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</si>
  <si>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</si>
  <si>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</si>
  <si>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</si>
  <si>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</si>
  <si>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</si>
  <si>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</si>
  <si>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</si>
  <si>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</si>
  <si>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</si>
  <si>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</si>
  <si>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</si>
  <si>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</si>
  <si>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</si>
  <si>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</si>
  <si>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</si>
  <si>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</si>
  <si>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</si>
  <si>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</si>
  <si>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</si>
  <si>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</si>
  <si>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</si>
  <si>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</si>
  <si>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</si>
  <si>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</si>
  <si>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</si>
  <si>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</si>
  <si>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</si>
  <si>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</si>
  <si>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</si>
  <si>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</si>
  <si>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</si>
  <si>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</si>
  <si>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</si>
  <si>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</si>
  <si>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</si>
  <si>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</si>
  <si>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</si>
  <si>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</si>
  <si>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</si>
  <si>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</si>
  <si>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</si>
  <si>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</si>
  <si>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</si>
  <si>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</si>
  <si>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</si>
  <si>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</si>
  <si>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</si>
  <si>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</si>
  <si>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</si>
  <si>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</si>
  <si>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</si>
  <si>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</si>
  <si>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</si>
  <si>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</si>
  <si>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</si>
  <si>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</si>
  <si>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</si>
  <si>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</si>
  <si>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</si>
  <si>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</si>
  <si>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</si>
  <si>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</si>
  <si>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</si>
  <si>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</si>
  <si>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</si>
  <si>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</si>
  <si>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</si>
  <si>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</si>
  <si>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</si>
  <si>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</si>
  <si>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</si>
  <si>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</si>
  <si>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</si>
  <si>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</si>
  <si>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</si>
  <si>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</si>
  <si>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</si>
  <si>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</si>
  <si>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</si>
  <si>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</si>
  <si>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</si>
  <si>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</si>
  <si>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</si>
  <si>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</si>
  <si>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</si>
  <si>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</si>
  <si>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</si>
  <si>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</si>
  <si>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</si>
  <si>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</si>
  <si>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</si>
  <si>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</si>
  <si>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</si>
  <si>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</si>
  <si>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</si>
  <si>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IFERROR(e / (1 - h), NA())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</si>
  <si>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</si>
  <si>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</si>
  <si>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</si>
  <si>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</si>
  <si>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</si>
  <si>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</si>
  <si>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</si>
  <si>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</si>
  <si>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</si>
  <si>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</si>
  <si>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</si>
  <si>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</si>
  <si>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</si>
  <si>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</si>
  <si>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</si>
  <si>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</si>
  <si>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</si>
  <si>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</si>
  <si>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</si>
  <si>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</si>
  <si>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</si>
  <si>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</si>
  <si>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</si>
  <si>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</si>
  <si>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</si>
  <si>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</si>
  <si>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</si>
  <si>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</si>
  <si>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</si>
  <si>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</si>
  <si>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</si>
  <si>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</si>
  <si>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</si>
  <si>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</si>
  <si>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</si>
  <si>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</si>
  <si>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</si>
  <si>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</si>
  <si>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Column_Select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</si>
  <si>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</si>
  <si>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</si>
  <si>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</si>
  <si>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</si>
  <si>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</si>
  <si>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</si>
  <si>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</si>
  <si>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</si>
  <si>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</si>
  <si>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</si>
  <si>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</si>
  <si>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</si>
  <si>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</si>
  <si>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</si>
  <si>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</si>
  <si>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</si>
  <si>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</si>
  <si>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</si>
  <si>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</si>
  <si>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</si>
  <si>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</si>
  <si>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</si>
  <si>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</si>
  <si>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</si>
  <si>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</si>
  <si>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</si>
  <si>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</si>
  <si>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</si>
  <si>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</si>
  <si>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</si>
  <si>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</si>
  <si>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</si>
  <si>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F_Statistic</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</si>
  <si>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</si>
  <si>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</si>
  <si>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</si>
  <si>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</si>
  <si>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</si>
  <si>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</si>
  <si>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</si>
  <si>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</si>
  <si>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</si>
  <si>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</si>
  <si>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</si>
  <si>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</si>
  <si>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</si>
  <si>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</si>
  <si>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</si>
  <si>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</si>
  <si>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</si>
  <si>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</si>
  <si>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</si>
  <si>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</si>
  <si>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</si>
  <si>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</si>
  <si>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</si>
  <si>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</si>
  <si>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</si>
  <si>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</si>
  <si>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</si>
  <si>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</si>
  <si>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</si>
  <si>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</si>
  <si>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</si>
  <si>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</si>
  <si>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</si>
  <si>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</si>
  <si>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</si>
  <si>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</si>
  <si>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</si>
  <si>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</si>
  <si>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</si>
  <si>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</si>
  <si>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</si>
  <si>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</si>
  <si>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</si>
  <si>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</si>
  <si>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</si>
  <si>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</si>
  <si>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</si>
  <si>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</si>
  <si>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</si>
  <si>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</si>
  <si>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</si>
  <si>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</si>
  <si>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</si>
  <si>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</si>
  <si>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</si>
  <si>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</si>
  <si>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</si>
  <si>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</si>
  <si>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</si>
  <si>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</si>
  <si>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</si>
  <si>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</si>
  <si>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</si>
  <si>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</si>
  <si>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</si>
  <si>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</si>
  <si>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</si>
  <si>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</si>
  <si>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</si>
  <si>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</si>
  <si>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</si>
  <si>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</si>
  <si>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</si>
  <si>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</si>
  <si>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</si>
  <si>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</si>
  <si>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</si>
  <si>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</si>
  <si>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</si>
  <si>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</si>
  <si>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</si>
  <si>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</si>
  <si>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</si>
  <si>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</si>
  <si>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</si>
  <si>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</si>
  <si>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</si>
  <si>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</si>
  <si>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</si>
  <si>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</si>
  <si>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</si>
  <si>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</si>
  <si>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</si>
  <si>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</si>
  <si>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</si>
  <si>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</si>
  <si>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</si>
  <si>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</si>
  <si>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</si>
  <si>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</si>
  <si>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</si>
  <si>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</si>
  <si>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</si>
  <si>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</si>
  <si>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</si>
  <si>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</si>
  <si>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</si>
  <si>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</si>
  <si>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</si>
  <si>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</si>
  <si>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</si>
  <si>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</si>
  <si>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</si>
  <si>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</si>
  <si>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</si>
  <si>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</si>
  <si>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</si>
  <si>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</si>
  <si>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</si>
  <si>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</si>
  <si>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</si>
  <si>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</si>
  <si>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</si>
  <si>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</si>
  <si>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</si>
  <si>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</si>
  <si>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</si>
  <si>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</si>
  <si>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</si>
  <si>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</si>
  <si>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</si>
  <si>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</si>
  <si>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</si>
  <si>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</si>
  <si>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</si>
  <si>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</si>
  <si>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</si>
  <si>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</si>
  <si>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</si>
  <si>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</si>
  <si>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</si>
  <si>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</si>
  <si>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</si>
  <si>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</si>
  <si>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</si>
  <si>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</si>
  <si>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</si>
  <si>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</si>
  <si>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</si>
  <si>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</si>
  <si>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</si>
  <si>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</si>
  <si>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</si>
  <si>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</si>
  <si>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</si>
  <si>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</si>
  <si>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</si>
  <si>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</si>
  <si>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</si>
  <si>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</si>
  <si>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</si>
  <si>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</si>
  <si>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</si>
  <si>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</si>
  <si>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</si>
  <si>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</si>
  <si>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</si>
  <si>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</si>
  <si>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</si>
  <si>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</si>
  <si>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</si>
  <si>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</si>
  <si>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</si>
  <si>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</si>
  <si>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</si>
  <si>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</si>
  <si>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</si>
  <si>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</si>
  <si>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</si>
  <si>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</si>
  <si>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</si>
  <si>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</si>
  <si>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</si>
  <si>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</si>
  <si>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</si>
  <si>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</si>
  <si>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</si>
  <si>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</si>
  <si>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</si>
  <si>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</si>
  <si>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</si>
  <si>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</si>
  <si>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</si>
  <si>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</si>
  <si>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</si>
  <si>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</si>
  <si>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</si>
  <si>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</si>
  <si>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</si>
  <si>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</si>
  <si>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</si>
  <si>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</si>
  <si>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</si>
  <si>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</si>
  <si>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</si>
  <si>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</si>
  <si>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</si>
  <si>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</si>
  <si>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</si>
  <si>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</si>
  <si>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</si>
  <si>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</si>
  <si>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</si>
  <si>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</si>
  <si>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</si>
  <si>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</si>
  <si>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</si>
  <si>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</si>
  <si>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</si>
  <si>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</si>
  <si>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</si>
  <si>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</si>
  <si>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</si>
  <si>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</si>
  <si>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</si>
  <si>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</si>
  <si>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</si>
  <si>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</si>
  <si>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</si>
  <si>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</si>
  <si>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</si>
  <si>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</si>
  <si>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</si>
  <si>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</si>
  <si>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</si>
  <si>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</si>
  <si>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</si>
  <si>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</si>
  <si>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</si>
  <si>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</si>
  <si>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</si>
  <si>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</si>
  <si>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</si>
  <si>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</si>
  <si>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</si>
  <si>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</si>
  <si>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</si>
  <si>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</si>
  <si>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</si>
  <si>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</si>
  <si>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</si>
  <si>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</si>
  <si>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</si>
  <si>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</si>
  <si>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</si>
  <si>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</si>
  <si>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</si>
  <si>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</si>
  <si>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</si>
  <si>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</si>
  <si>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</si>
  <si>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</si>
  <si>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</si>
  <si>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</si>
  <si>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</si>
  <si>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</si>
  <si>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</si>
  <si>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</si>
  <si>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</si>
  <si>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</si>
  <si>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</si>
  <si>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</si>
  <si>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</si>
  <si>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</si>
  <si>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</si>
  <si>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</si>
  <si>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</si>
  <si>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</si>
  <si>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</si>
  <si>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</si>
  <si>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</si>
  <si>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</si>
  <si>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</si>
  <si>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</si>
  <si>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</si>
  <si>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</si>
  <si>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</si>
  <si>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</si>
  <si>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</si>
  <si>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</si>
  <si>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</si>
  <si>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</si>
  <si>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</si>
  <si>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</si>
  <si>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</si>
  <si>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</si>
  <si>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</si>
  <si>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</si>
  <si>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</si>
  <si>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</si>
  <si>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</si>
  <si>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</si>
  <si>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</si>
  <si>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</si>
  <si>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</si>
  <si>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</si>
  <si>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</si>
  <si>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</si>
  <si>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</si>
  <si>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</si>
  <si>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</si>
  <si>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</si>
  <si>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</si>
  <si>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</si>
  <si>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</si>
  <si>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</si>
  <si>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</si>
  <si>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</si>
  <si>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</si>
  <si>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</si>
  <si>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</si>
  <si>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</si>
  <si>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</si>
  <si>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</si>
  <si>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</si>
  <si>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</si>
  <si>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</si>
  <si>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</si>
  <si>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</si>
  <si>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</si>
  <si>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</si>
  <si>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</si>
  <si>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</si>
  <si>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</si>
  <si>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</si>
  <si>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</si>
  <si>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</si>
  <si>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</si>
  <si>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</si>
  <si>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</si>
  <si>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</si>
  <si>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</si>
  <si>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</si>
  <si>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</si>
  <si>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</si>
  <si>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</si>
  <si>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</si>
  <si>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</si>
  <si>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</si>
  <si>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</si>
  <si>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</si>
  <si>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</si>
  <si>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</si>
  <si>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</si>
  <si>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</si>
  <si>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</si>
  <si>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</si>
  <si>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</si>
  <si>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</si>
  <si>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</si>
  <si>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</si>
  <si>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</si>
  <si>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</si>
  <si>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</si>
  <si>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</si>
  <si>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</si>
  <si>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</si>
  <si>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</si>
  <si>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</si>
  <si>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</si>
  <si>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</si>
  <si>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</si>
  <si>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</si>
  <si>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</si>
  <si>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</si>
  <si>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</si>
  <si>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</si>
  <si>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</si>
  <si>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</si>
  <si>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</si>
  <si>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</si>
  <si>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</si>
  <si>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</si>
  <si>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</si>
  <si>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</si>
  <si>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</si>
  <si>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</si>
  <si>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</si>
  <si>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</si>
  <si>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</si>
  <si>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</si>
  <si>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</si>
  <si>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</si>
  <si>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</si>
  <si>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</si>
  <si>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</si>
  <si>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</si>
  <si>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</si>
  <si>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</si>
  <si>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</si>
  <si>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</si>
  <si>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</si>
  <si>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</si>
  <si>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</si>
  <si>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</si>
  <si>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</si>
  <si>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</si>
  <si>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</si>
  <si>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</si>
  <si>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</si>
  <si>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</si>
  <si>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</si>
  <si>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</si>
  <si>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</si>
  <si>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</si>
  <si>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</si>
  <si>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</si>
  <si>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</si>
  <si>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</si>
  <si>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</si>
  <si>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</si>
  <si>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</si>
  <si>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</si>
  <si>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</si>
  <si>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</si>
  <si>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</si>
  <si>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</si>
  <si>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</si>
  <si>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</si>
  <si>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</si>
  <si>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</si>
  <si>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</si>
  <si>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</si>
  <si>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</si>
  <si>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</si>
  <si>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</si>
  <si>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</si>
  <si>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</si>
  <si>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</si>
  <si>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</si>
  <si>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</si>
  <si>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</si>
  <si>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</si>
  <si>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</si>
  <si>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</si>
  <si>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</si>
  <si>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</si>
  <si>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</si>
  <si>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</si>
  <si>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</si>
  <si>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</si>
  <si>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</si>
  <si>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</si>
  <si>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</si>
  <si>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</si>
  <si>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</si>
  <si>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</si>
  <si>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</si>
  <si>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</si>
  <si>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</si>
  <si>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</si>
  <si>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</si>
  <si>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</si>
  <si>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</si>
  <si>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</si>
  <si>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</si>
  <si>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</si>
  <si>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</si>
  <si>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</si>
  <si>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</si>
  <si>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</si>
  <si>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</si>
  <si>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</si>
  <si>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</si>
  <si>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</si>
  <si>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</si>
  <si>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</si>
  <si>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</si>
  <si>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</si>
  <si>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</si>
  <si>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</si>
  <si>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</si>
  <si>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</si>
  <si>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</si>
  <si>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</si>
  <si>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</si>
  <si>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</si>
  <si>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</si>
  <si>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</si>
  <si>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</si>
  <si>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</si>
  <si>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</si>
  <si>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</si>
  <si>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</si>
  <si>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</si>
  <si>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</si>
  <si>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</si>
  <si>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</si>
  <si>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</si>
  <si>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</si>
  <si>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</si>
  <si>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</si>
  <si>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</si>
  <si>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</si>
  <si>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</si>
  <si>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</si>
  <si>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</si>
  <si>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</si>
  <si>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</si>
  <si>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</si>
  <si>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</si>
  <si>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</si>
  <si>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</si>
  <si>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</si>
  <si>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</si>
  <si>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</si>
  <si>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</si>
  <si>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</si>
  <si>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</si>
  <si>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</si>
  <si>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</si>
  <si>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</si>
  <si>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</si>
  <si>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</si>
  <si>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</si>
  <si>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</si>
  <si>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</si>
  <si>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</si>
  <si>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</si>
  <si>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</si>
  <si>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</si>
  <si>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</si>
  <si>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</si>
  <si>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</si>
  <si>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</si>
  <si>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</si>
  <si>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</si>
  <si>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</si>
  <si>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</si>
  <si>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</si>
  <si>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</si>
  <si>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</si>
  <si>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</si>
  <si>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</si>
  <si>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</si>
  <si>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</si>
  <si>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</si>
  <si>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</si>
  <si>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</si>
  <si>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</si>
  <si>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</si>
  <si>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</si>
  <si>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</si>
  <si>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</si>
  <si>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</si>
  <si>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</si>
  <si>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</si>
  <si>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</si>
  <si>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</si>
  <si>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</si>
  <si>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</si>
  <si>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</si>
  <si>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</si>
  <si>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</si>
  <si>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</si>
  <si>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</si>
  <si>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</si>
  <si>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</si>
  <si>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</si>
  <si>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</si>
  <si>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MPG</t>
  </si>
  <si>
    <t>Cylinders</t>
  </si>
  <si>
    <t>Displacement</t>
  </si>
  <si>
    <t>Horsepower</t>
  </si>
  <si>
    <t>Weight</t>
  </si>
  <si>
    <t>Acceleration</t>
  </si>
  <si>
    <t>Model Year</t>
  </si>
  <si>
    <t>Origin</t>
  </si>
  <si>
    <t>Car Name</t>
  </si>
  <si>
    <t>Make</t>
  </si>
  <si>
    <t>Model?</t>
  </si>
  <si>
    <t>US</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</si>
  <si>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</si>
  <si>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</si>
  <si>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</si>
  <si>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</si>
  <si>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</si>
  <si>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</si>
  <si>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</si>
  <si>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</si>
  <si>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</si>
  <si>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</si>
  <si>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</si>
  <si>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</si>
  <si>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</si>
  <si>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</si>
  <si>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</si>
  <si>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</si>
  <si>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</si>
  <si>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</si>
  <si>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</si>
  <si>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</si>
  <si>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</si>
  <si>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</si>
  <si>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</si>
  <si>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</si>
  <si>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</si>
  <si>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</si>
  <si>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Europe</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</si>
  <si>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</si>
  <si>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</si>
  <si>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</si>
  <si>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</si>
  <si>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</si>
  <si>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</si>
  <si>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</si>
  <si>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</si>
  <si>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</si>
  <si>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</si>
  <si>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</si>
  <si>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</si>
  <si>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</si>
  <si>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</si>
  <si>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</si>
  <si>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cuda 340</t>
  </si>
  <si>
    <t>ford mustang boss 302</t>
  </si>
  <si>
    <t>mustang boss 302</t>
  </si>
  <si>
    <t>chevrolet monte carlo</t>
  </si>
  <si>
    <t>monte carlo</t>
  </si>
  <si>
    <t>buick estate wagon (sw)</t>
  </si>
  <si>
    <t>estate wagon (sw)</t>
  </si>
  <si>
    <t>Asia</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</si>
  <si>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</si>
  <si>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</si>
  <si>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</si>
  <si>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</si>
  <si>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</si>
  <si>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</si>
  <si>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</si>
  <si>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</si>
  <si>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</si>
  <si>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</si>
  <si>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</si>
  <si>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</si>
  <si>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</si>
  <si>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</si>
  <si>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</si>
  <si>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</si>
  <si>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</si>
  <si>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</si>
  <si>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</si>
  <si>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</si>
  <si>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</si>
  <si>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</si>
  <si>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</si>
  <si>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</si>
  <si>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</si>
  <si>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</si>
  <si>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</si>
  <si>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</si>
  <si>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</si>
  <si>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</si>
  <si>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</si>
  <si>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</si>
  <si>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</si>
  <si>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</si>
  <si>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</si>
  <si>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</si>
  <si>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</si>
  <si>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</si>
  <si>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</si>
  <si>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</si>
  <si>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</si>
  <si>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</si>
  <si>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</si>
  <si>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</si>
  <si>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</si>
  <si>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</si>
  <si>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</si>
  <si>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</si>
  <si>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</si>
  <si>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</si>
  <si>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</si>
  <si>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</si>
  <si>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</si>
  <si>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</si>
  <si>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</si>
  <si>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</si>
  <si>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</si>
  <si>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</si>
  <si>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</si>
  <si>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</si>
  <si>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</si>
  <si>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</si>
  <si>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</si>
  <si>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</si>
  <si>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</si>
  <si>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</si>
  <si>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</si>
  <si>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</si>
  <si>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</si>
  <si>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</si>
  <si>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</si>
  <si>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</si>
  <si>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</si>
  <si>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</si>
  <si>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</si>
  <si>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</si>
  <si>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</si>
  <si>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</si>
  <si>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</si>
  <si>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</si>
  <si>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</si>
  <si>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</si>
  <si>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</si>
  <si>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</si>
  <si>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</si>
  <si>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</si>
  <si>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</si>
  <si>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</si>
  <si>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</si>
  <si>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</si>
  <si>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</si>
  <si>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</si>
  <si>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</si>
  <si>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</si>
  <si>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</si>
  <si>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</si>
  <si>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</si>
  <si>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</si>
  <si>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</si>
  <si>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</si>
  <si>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</si>
  <si>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</si>
  <si>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</si>
  <si>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</si>
  <si>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</si>
  <si>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</si>
  <si>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</si>
  <si>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</si>
  <si>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</si>
  <si>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</si>
  <si>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</si>
  <si>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</si>
  <si>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</si>
  <si>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</si>
  <si>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</si>
  <si>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</si>
  <si>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</si>
  <si>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</si>
  <si>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</si>
  <si>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</si>
  <si>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</si>
  <si>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</si>
  <si>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</si>
  <si>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</si>
  <si>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</si>
  <si>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</si>
  <si>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</si>
  <si>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</si>
  <si>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</si>
  <si>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</si>
  <si>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</si>
  <si>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</si>
  <si>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</si>
  <si>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</si>
  <si>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</si>
  <si>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</si>
  <si>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</si>
  <si>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</si>
  <si>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</si>
  <si>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</si>
  <si>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</si>
  <si>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</si>
  <si>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</si>
  <si>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</si>
  <si>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</si>
  <si>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</si>
  <si>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</si>
  <si>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</si>
  <si>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</si>
  <si>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</si>
  <si>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</si>
  <si>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</si>
  <si>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</si>
  <si>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</si>
  <si>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</si>
  <si>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</si>
  <si>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</si>
  <si>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</si>
  <si>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</si>
  <si>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</si>
  <si>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</si>
  <si>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</si>
  <si>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</si>
  <si>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</si>
  <si>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</si>
  <si>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</si>
  <si>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</si>
  <si>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</si>
  <si>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</si>
  <si>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</si>
  <si>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</si>
  <si>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</si>
  <si>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</si>
  <si>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</si>
  <si>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</si>
  <si>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</si>
  <si>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</si>
  <si>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</si>
  <si>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</si>
  <si>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</si>
  <si>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</si>
  <si>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</si>
  <si>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</si>
  <si>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</si>
  <si>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</si>
  <si>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</si>
  <si>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</si>
  <si>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</si>
  <si>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</si>
  <si>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</si>
  <si>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</si>
  <si>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</si>
  <si>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</si>
  <si>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</si>
  <si>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</si>
  <si>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</si>
  <si>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</si>
  <si>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</si>
  <si>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</si>
  <si>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</si>
  <si>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</si>
  <si>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</si>
  <si>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</si>
  <si>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</si>
  <si>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</si>
  <si>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</si>
  <si>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</si>
  <si>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</si>
  <si>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</si>
  <si>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</si>
  <si>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</si>
  <si>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</si>
  <si>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</si>
  <si>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</si>
  <si>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</si>
  <si>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</si>
  <si>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</si>
  <si>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</si>
  <si>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</si>
  <si>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</si>
  <si>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</si>
  <si>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</si>
  <si>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</si>
  <si>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</si>
  <si>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</si>
  <si>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</si>
  <si>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</si>
  <si>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</si>
  <si>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</si>
  <si>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</si>
  <si>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</si>
  <si>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</si>
  <si>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</si>
  <si>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</si>
  <si>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</si>
  <si>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</si>
  <si>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</si>
  <si>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</si>
  <si>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</si>
  <si>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</si>
  <si>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</si>
  <si>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</si>
  <si>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</si>
  <si>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</si>
  <si>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</si>
  <si>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</si>
  <si>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</si>
  <si>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</si>
  <si>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</si>
  <si>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</si>
  <si>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</si>
  <si>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</si>
  <si>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</si>
  <si>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</si>
  <si>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</si>
  <si>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</si>
  <si>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</si>
  <si>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</si>
  <si>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</si>
  <si>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</si>
  <si>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</si>
  <si>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</si>
  <si>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</si>
  <si>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</si>
  <si>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</si>
  <si>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</si>
  <si>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</si>
  <si>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</si>
  <si>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</si>
  <si>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</si>
  <si>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</si>
  <si>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</si>
  <si>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</si>
  <si>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</si>
  <si>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</si>
  <si>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</si>
  <si>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</si>
  <si>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</si>
  <si>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</si>
  <si>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</si>
  <si>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</si>
  <si>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</si>
  <si>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</si>
  <si>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</si>
  <si>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</si>
  <si>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</si>
  <si>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</si>
  <si>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</si>
  <si>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</si>
  <si>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</si>
  <si>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</si>
  <si>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</si>
  <si>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</si>
  <si>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</si>
  <si>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</si>
  <si>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</si>
  <si>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</si>
  <si>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</si>
  <si>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</si>
  <si>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</si>
  <si>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</si>
  <si>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</si>
  <si>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</si>
  <si>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</si>
  <si>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</si>
  <si>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</si>
  <si>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</si>
  <si>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</si>
  <si>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</si>
  <si>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</si>
  <si>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</si>
  <si>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</si>
  <si>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</si>
  <si>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</si>
  <si>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</si>
  <si>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</si>
  <si>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</si>
  <si>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</si>
  <si>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</si>
  <si>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</si>
  <si>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</si>
  <si>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</si>
  <si>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</si>
  <si>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</si>
  <si>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</si>
  <si>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</si>
  <si>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</si>
  <si>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</si>
  <si>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</si>
  <si>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</si>
  <si>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</si>
  <si>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</si>
  <si>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</si>
  <si>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</si>
  <si>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</si>
  <si>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</si>
  <si>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</si>
  <si>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</si>
  <si>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</si>
  <si>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</si>
  <si>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</si>
  <si>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</si>
  <si>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</si>
  <si>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</si>
  <si>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</si>
  <si>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</si>
  <si>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</si>
  <si>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</si>
  <si>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</si>
  <si>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</si>
  <si>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</si>
  <si>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</si>
  <si>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</si>
  <si>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</si>
  <si>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</si>
  <si>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</si>
  <si>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</si>
  <si>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</si>
  <si>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</si>
  <si>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</si>
  <si>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</si>
  <si>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</si>
  <si>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</si>
  <si>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</si>
  <si>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</si>
  <si>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</si>
  <si>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</si>
  <si>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</si>
  <si>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</si>
  <si>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</si>
  <si>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</si>
  <si>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</si>
  <si>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</si>
  <si>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</si>
  <si>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</si>
  <si>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</si>
  <si>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</si>
  <si>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</si>
  <si>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</si>
  <si>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</si>
  <si>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</si>
  <si>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</si>
  <si>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</si>
  <si>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</si>
  <si>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</si>
  <si>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</si>
  <si>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</si>
  <si>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</si>
  <si>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</si>
  <si>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</si>
  <si>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</si>
  <si>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</si>
  <si>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</si>
  <si>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</si>
  <si>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</si>
  <si>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</si>
  <si>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</si>
  <si>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</si>
  <si>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</si>
  <si>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</si>
  <si>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</si>
  <si>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</si>
  <si>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</si>
  <si>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</si>
  <si>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</si>
  <si>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</si>
  <si>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</si>
  <si>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</si>
  <si>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</si>
  <si>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</si>
  <si>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</si>
  <si>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</si>
  <si>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</si>
  <si>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</si>
  <si>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</si>
  <si>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</si>
  <si>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</si>
  <si>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</si>
  <si>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</si>
  <si>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</si>
  <si>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</si>
  <si>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</si>
  <si>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</si>
  <si>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</si>
  <si>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</si>
  <si>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</si>
  <si>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</si>
  <si>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</si>
  <si>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</si>
  <si>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</si>
  <si>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</si>
  <si>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</si>
  <si>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</si>
  <si>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</si>
  <si>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</si>
  <si>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</si>
  <si>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</si>
  <si>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</si>
  <si>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</si>
  <si>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</si>
  <si>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</si>
  <si>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</si>
  <si>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</si>
  <si>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</si>
  <si>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</si>
  <si>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</si>
  <si>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</si>
  <si>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</si>
  <si>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</si>
  <si>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</si>
  <si>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</si>
  <si>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</si>
  <si>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</si>
  <si>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</si>
  <si>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</si>
  <si>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</si>
  <si>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</si>
  <si>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</si>
  <si>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</si>
  <si>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</si>
  <si>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</si>
  <si>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</si>
  <si>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</si>
  <si>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</si>
  <si>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</si>
  <si>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</si>
  <si>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</si>
  <si>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</si>
  <si>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</si>
  <si>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</si>
  <si>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</si>
  <si>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</si>
  <si>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</si>
  <si>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</si>
  <si>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</si>
  <si>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</si>
  <si>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</si>
  <si>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</si>
  <si>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</si>
  <si>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</si>
  <si>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</si>
  <si>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</si>
  <si>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</si>
  <si>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</si>
  <si>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</si>
  <si>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</si>
  <si>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</si>
  <si>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</si>
  <si>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</si>
  <si>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</si>
  <si>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</si>
  <si>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</si>
  <si>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</si>
  <si>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</si>
  <si>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</si>
  <si>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</si>
  <si>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</si>
  <si>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</si>
  <si>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</si>
  <si>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</si>
  <si>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</si>
  <si>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</si>
  <si>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</si>
  <si>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</si>
  <si>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</si>
  <si>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</si>
  <si>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</si>
  <si>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</si>
  <si>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</si>
  <si>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</si>
  <si>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</si>
  <si>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</si>
  <si>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</si>
  <si>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</si>
  <si>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</si>
  <si>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</si>
  <si>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</si>
  <si>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</si>
  <si>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</si>
  <si>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</si>
  <si>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</si>
  <si>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</si>
  <si>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</si>
  <si>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</si>
  <si>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</si>
  <si>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</si>
  <si>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</si>
  <si>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</si>
  <si>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</si>
  <si>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</si>
  <si>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</si>
  <si>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</si>
  <si>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</si>
  <si>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</si>
  <si>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</si>
  <si>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</si>
  <si>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</si>
  <si>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</si>
  <si>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</si>
  <si>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</si>
  <si>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</si>
  <si>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</si>
  <si>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</si>
  <si>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</si>
  <si>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</si>
  <si>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</si>
  <si>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</si>
  <si>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</si>
  <si>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</si>
  <si>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</si>
  <si>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</si>
  <si>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</si>
  <si>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</si>
  <si>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</si>
  <si>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</si>
  <si>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</si>
  <si>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</si>
  <si>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</si>
  <si>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</si>
  <si>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</si>
  <si>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</si>
  <si>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</si>
  <si>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</si>
  <si>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</si>
  <si>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</si>
  <si>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</si>
  <si>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</si>
  <si>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</si>
  <si>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</si>
  <si>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</si>
  <si>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</si>
  <si>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</si>
  <si>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</si>
  <si>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</si>
  <si>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</si>
  <si>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</si>
  <si>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</si>
  <si>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</si>
  <si>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</si>
  <si>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</si>
  <si>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</si>
  <si>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</si>
  <si>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</si>
  <si>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</si>
  <si>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</si>
  <si>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</si>
  <si>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</si>
  <si>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</si>
  <si>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</si>
  <si>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</si>
  <si>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</si>
  <si>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</si>
  <si>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</si>
  <si>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</si>
  <si>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</si>
  <si>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</si>
  <si>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</si>
  <si>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</si>
  <si>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</si>
  <si>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</si>
  <si>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</si>
  <si>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</si>
  <si>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</si>
  <si>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</si>
  <si>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</si>
  <si>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</si>
  <si>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</si>
  <si>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</si>
  <si>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</si>
  <si>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</si>
  <si>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</si>
  <si>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</si>
  <si>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</si>
  <si>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</si>
  <si>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</si>
  <si>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</si>
  <si>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</si>
  <si>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</si>
  <si>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</si>
  <si>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</si>
  <si>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</si>
  <si>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</si>
  <si>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</si>
  <si>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</si>
  <si>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</si>
  <si>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</si>
  <si>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</si>
  <si>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</si>
  <si>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</si>
  <si>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</si>
  <si>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</si>
  <si>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</si>
  <si>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</si>
  <si>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</si>
  <si>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</si>
  <si>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</si>
  <si>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</si>
  <si>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</si>
  <si>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</si>
  <si>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</si>
  <si>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</si>
  <si>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</si>
  <si>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</si>
  <si>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</si>
  <si>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</si>
  <si>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</si>
  <si>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</si>
  <si>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</si>
  <si>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</si>
  <si>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</si>
  <si>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</si>
  <si>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</si>
  <si>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</si>
  <si>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</si>
  <si>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How to use the Regression sheet for Multilinear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</si>
  <si>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</si>
  <si>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</si>
  <si>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</si>
  <si>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</si>
  <si>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Define your model in the MODEL SPECIFICATION block (columns A–L):</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</si>
  <si>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</si>
  <si>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</si>
  <si>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</si>
  <si>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</si>
  <si>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</si>
  <si>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</si>
  <si>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</si>
  <si>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</si>
  <si>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</si>
  <si>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</si>
  <si>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</si>
  <si>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</si>
  <si>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</si>
  <si>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</si>
  <si>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</si>
  <si>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</si>
  <si>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</si>
  <si>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</si>
  <si>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</si>
  <si>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</si>
  <si>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</si>
  <si>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</si>
  <si>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</si>
  <si>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</si>
  <si>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</si>
  <si>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</si>
  <si>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</si>
  <si>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</si>
  <si>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</si>
  <si>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</si>
  <si>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</si>
  <si>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</si>
  <si>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</si>
  <si>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</si>
  <si>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</si>
  <si>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</si>
  <si>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</si>
  <si>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</si>
  <si>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</si>
  <si>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</si>
  <si>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</si>
  <si>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</si>
  <si>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</si>
  <si>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</si>
  <si>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</si>
  <si>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GVIF (Generalized Variance Inflation Factor)</t>
  </si>
  <si>
    <t>Col U, Predictor Summary</t>
  </si>
  <si>
    <t>GVIF &gt; 5  (possible collinearity)</t>
  </si>
  <si>
    <t>GVIF &gt; 10  (strong collinearity)</t>
  </si>
  <si>
    <t>Col V,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</si>
  <si>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</si>
  <si>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</si>
  <si>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</si>
  <si>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</si>
  <si>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</si>
  <si>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</si>
  <si>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</si>
  <si>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</si>
  <si>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</si>
  <si>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</si>
  <si>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</si>
  <si>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</si>
  <si>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</si>
  <si>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</si>
  <si>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</si>
  <si>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</si>
  <si>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</si>
  <si>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</si>
  <si>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</si>
  <si>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</si>
  <si>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</si>
  <si>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</si>
  <si>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</si>
  <si>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</si>
  <si>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</si>
  <si>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</si>
  <si>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</si>
  <si>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</si>
  <si>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</si>
  <si>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</si>
  <si>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</si>
  <si>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</si>
  <si>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</si>
  <si>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</si>
  <si>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</si>
  <si>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</si>
  <si>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</si>
  <si>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</si>
  <si>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</si>
  <si>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</si>
  <si>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</si>
  <si>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</si>
  <si>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</si>
  <si>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</si>
  <si>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</si>
  <si>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</si>
  <si>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</si>
  <si>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GVIF)</t>
  </si>
  <si>
    <t>GVIF &gt; 10 for one or more predictors. A categorical predictor's dummy columns all show the same shared GVIF value — that's the whole variable's collinearity, not a per-level artifact.</t>
  </si>
  <si>
    <t>Remove or combine correlated predictors. Use the Correlation_Matrix function to identify the pairs. Partial R² shows each predictor's unique contribution after controlling for the others.</t>
  </si>
  <si>
    <t>VERSION HISTORY</t>
  </si>
  <si>
    <t>Version</t>
  </si>
  <si>
    <t>Release Date</t>
  </si>
  <si>
    <t>Breaking?</t>
  </si>
  <si>
    <t>Summary of Changes</t>
  </si>
  <si>
    <t>1.0.0</t>
  </si>
  <si>
    <t>No</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</si>
  <si>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</si>
  <si>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1.1.0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</si>
  <si>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</si>
  <si>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</si>
  <si>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</si>
  <si>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2.0.0</t>
  </si>
  <si>
    <t>Yes</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</si>
  <si>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</si>
  <si>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Variable</t>
  </si>
  <si>
    <t>Role</t>
  </si>
  <si>
    <t>Include</t>
  </si>
  <si>
    <t>Type</t>
  </si>
  <si>
    <t>Reference Level</t>
  </si>
  <si>
    <t>Order</t>
  </si>
  <si>
    <t>Transform</t>
  </si>
  <si>
    <t>Sequence</t>
  </si>
  <si>
    <t>Sequence Period</t>
  </si>
  <si>
    <t>Period In Use</t>
  </si>
  <si>
    <t>Levels</t>
  </si>
  <si>
    <t>Reference In Use</t>
  </si>
  <si>
    <t>Response (y)</t>
  </si>
  <si>
    <t>Continuous</t>
  </si>
  <si>
    <t>None</t>
  </si>
  <si>
    <t>Predictor (x)</t>
  </si>
  <si>
    <t>Categorical</t>
  </si>
  <si>
    <t>Identifier (Row Label)</t>
  </si>
  <si>
    <t>Omit</t>
  </si>
  <si>
    <t>MODEL SPECIFICATION</t>
  </si>
  <si>
    <t>FE Variable</t>
  </si>
  <si>
    <t>FE Groups</t>
  </si>
  <si>
    <t>FE df absorbed</t>
  </si>
  <si>
    <t>Δ</t>
  </si>
  <si>
    <t>Count</t>
  </si>
  <si>
    <t>Verdict</t>
  </si>
  <si>
    <t>Intercept</t>
  </si>
  <si>
    <t>PREDICTOR SUMMARY</t>
  </si>
  <si>
    <t>Pearson R</t>
  </si>
  <si>
    <t>Spearman R</t>
  </si>
  <si>
    <t>REGRESSION OUTPUTS</t>
  </si>
  <si>
    <t>Predicted Variable</t>
  </si>
  <si>
    <t>REGRESSION STATISTICS</t>
  </si>
  <si>
    <t>Multiple R</t>
  </si>
  <si>
    <t>R Square</t>
  </si>
  <si>
    <t>Adjusted R Square</t>
  </si>
  <si>
    <t>Standard Error</t>
  </si>
  <si>
    <t>DIAGNOSTICS</t>
  </si>
  <si>
    <t>Mean Leverage</t>
  </si>
  <si>
    <t>Durbin-Watson</t>
  </si>
  <si>
    <t>BFN Panel Durbin-Watson</t>
  </si>
  <si>
    <t>Alpha</t>
  </si>
  <si>
    <t>ANOVA TABLE</t>
  </si>
  <si>
    <t>df</t>
  </si>
  <si>
    <t>SS</t>
  </si>
  <si>
    <t>MS</t>
  </si>
  <si>
    <t>F</t>
  </si>
  <si>
    <t>Residual</t>
  </si>
  <si>
    <t>Total</t>
  </si>
  <si>
    <t>COEFFICIENTS</t>
  </si>
  <si>
    <t>Std Error</t>
  </si>
  <si>
    <t>t Stat</t>
  </si>
  <si>
    <t>P-value</t>
  </si>
  <si>
    <t>Lower 95%</t>
  </si>
  <si>
    <t>Upper 95%</t>
  </si>
  <si>
    <t>Beta Weight</t>
  </si>
  <si>
    <t>PREDICTION OUTPUTS</t>
  </si>
  <si>
    <t>PREDICTION INTERVAL</t>
  </si>
  <si>
    <t>Point Estimate</t>
  </si>
  <si>
    <t>SE (Mean)</t>
  </si>
  <si>
    <t>SE (New Obs)</t>
  </si>
  <si>
    <t>t Critical</t>
  </si>
  <si>
    <t>CI Lower</t>
  </si>
  <si>
    <t>CI Upper</t>
  </si>
  <si>
    <t>PI Lower</t>
  </si>
  <si>
    <t>PI Upper</t>
  </si>
  <si>
    <t>Confidence Level</t>
  </si>
  <si>
    <t>FE Group</t>
  </si>
  <si>
    <t>Group Mean (y)</t>
  </si>
  <si>
    <t>Group Count</t>
  </si>
  <si>
    <t>PREDICTION INPUTS</t>
  </si>
  <si>
    <t>Predictor</t>
  </si>
  <si>
    <t>Prediction Value</t>
  </si>
  <si>
    <t>Training Mean</t>
  </si>
  <si>
    <t>RESIDUAL OUTPUT</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</si>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</sst>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E+00"/>
  </numFmts>
  <fonts count="3" x14ac:knownFonts="1">
    <font>
      <sz val="11"/>
      <color theme="1"/>
      <name val="Aptos Narrow"/>
      <family val="2"/>
      <scheme val="minor"/>
    </font>
    <font>
      <b/>
      <sz val="11"/>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s>
  <borders count="11">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3">
    <xf numFmtId="0" fontId="0" fillId="0" borderId="0" xfId="0"/>
    <xf numFmtId="49" fontId="0" fillId="0" borderId="0" xfId="0" applyNumberFormat="1" applyAlignment="1">
      <alignment wrapText="1"/>
    </xf>
    <xf numFmtId="0" fontId="0" fillId="0" borderId="0" xfId="0" applyAlignment="1">
      <alignment wrapText="1"/>
    </xf>
    <xf numFmtId="0" fontId="0" fillId="0" borderId="0" xfId="0" quotePrefix="1"/>
    <xf numFmtId="0" fontId="1" fillId="2" borderId="0" xfId="0" applyFont="1" applyFill="1"/>
    <xf numFmtId="0" fontId="0" fillId="2" borderId="0" xfId="0" applyFill="1"/>
    <xf numFmtId="0" fontId="1" fillId="3" borderId="0" xfId="0" applyFont="1" applyFill="1"/>
    <xf numFmtId="0" fontId="0" fillId="3" borderId="0" xfId="0" applyFill="1"/>
    <xf numFmtId="0" fontId="1" fillId="0" borderId="0" xfId="0" applyFont="1"/>
    <xf numFmtId="14" fontId="0" fillId="0" borderId="0" xfId="0" applyNumberFormat="1"/>
    <xf numFmtId="0" fontId="0" fillId="4" borderId="0" xfId="0" applyFill="1"/>
    <xf numFmtId="2" fontId="0" fillId="0" borderId="0" xfId="0" applyNumberFormat="1"/>
    <xf numFmtId="164" fontId="0" fillId="0" borderId="0" xfId="0" applyNumberFormat="1"/>
    <xf numFmtId="0" fontId="0" fillId="0" borderId="1" xfId="0" applyBorder="1"/>
    <xf numFmtId="0" fontId="0" fillId="0" borderId="2" xfId="0" applyBorder="1"/>
    <xf numFmtId="1" fontId="0" fillId="0" borderId="3" xfId="0" applyNumberFormat="1" applyBorder="1"/>
    <xf numFmtId="164" fontId="0" fillId="0" borderId="4" xfId="0" applyNumberFormat="1" applyBorder="1"/>
    <xf numFmtId="1" fontId="0" fillId="0" borderId="5" xfId="0" applyNumberFormat="1" applyBorder="1"/>
    <xf numFmtId="165" fontId="0" fillId="0" borderId="4" xfId="0" applyNumberFormat="1" applyBorder="1"/>
    <xf numFmtId="167" fontId="0" fillId="0" borderId="0" xfId="0" applyNumberFormat="1"/>
    <xf numFmtId="0" fontId="1" fillId="0" borderId="1" xfId="0" applyFont="1" applyBorder="1"/>
    <xf numFmtId="0" fontId="1" fillId="2" borderId="6" xfId="0" applyFont="1" applyFill="1" applyBorder="1"/>
    <xf numFmtId="166" fontId="0" fillId="0" borderId="3" xfId="0" applyNumberFormat="1" applyBorder="1"/>
    <xf numFmtId="0" fontId="0" fillId="0" borderId="3" xfId="0" applyBorder="1"/>
    <xf numFmtId="0" fontId="0" fillId="0" borderId="7" xfId="0" applyBorder="1"/>
    <xf numFmtId="0" fontId="1" fillId="0" borderId="4" xfId="0" applyFont="1" applyBorder="1"/>
    <xf numFmtId="167" fontId="0" fillId="0" borderId="4" xfId="0" applyNumberFormat="1" applyBorder="1"/>
    <xf numFmtId="0" fontId="0" fillId="0" borderId="4" xfId="0" applyBorder="1"/>
    <xf numFmtId="0" fontId="0" fillId="0" borderId="5" xfId="0" applyBorder="1"/>
    <xf numFmtId="0" fontId="0" fillId="4" borderId="4" xfId="0" applyFill="1" applyBorder="1"/>
    <xf numFmtId="164" fontId="0" fillId="4" borderId="0" xfId="0" applyNumberFormat="1" applyFill="1"/>
    <xf numFmtId="164" fontId="1" fillId="0" borderId="0" xfId="0" applyNumberFormat="1" applyFont="1"/>
    <xf numFmtId="0" fontId="1" fillId="0" borderId="0" xfId="0" applyFont="1" applyAlignment="1">
      <alignment wrapText="1"/>
    </xf>
    <xf numFmtId="0" fontId="1" fillId="2" borderId="0" xfId="0" applyFont="1" applyFill="1" applyAlignment="1">
      <alignment wrapText="1"/>
    </xf>
    <xf numFmtId="0" fontId="1" fillId="0" borderId="1" xfId="0" applyFont="1" applyBorder="1" applyAlignment="1">
      <alignment wrapText="1"/>
    </xf>
    <xf numFmtId="0" fontId="0" fillId="0" borderId="4" xfId="0" applyBorder="1" applyAlignment="1">
      <alignment wrapText="1"/>
    </xf>
    <xf numFmtId="164" fontId="0" fillId="0" borderId="0" xfId="0" applyNumberFormat="1" applyAlignment="1">
      <alignment wrapText="1"/>
    </xf>
    <xf numFmtId="164" fontId="1" fillId="0" borderId="0" xfId="0" applyNumberFormat="1" applyFont="1" applyAlignment="1">
      <alignment wrapText="1"/>
    </xf>
    <xf numFmtId="1" fontId="0" fillId="0" borderId="0" xfId="0" applyNumberFormat="1"/>
    <xf numFmtId="166" fontId="0" fillId="0" borderId="0" xfId="0" applyNumberFormat="1"/>
    <xf numFmtId="0" fontId="1" fillId="2" borderId="8" xfId="0" applyFont="1" applyFill="1" applyBorder="1"/>
    <xf numFmtId="0" fontId="0" fillId="0" borderId="9" xfId="0" applyBorder="1"/>
    <xf numFmtId="0" fontId="0" fillId="0" borderId="10" xfId="0" applyBorder="1"/>
  </cellXfs>
  <cellStyles count="1">
    <cellStyle name="Normal" xfId="0" builtinId="0"/>
  </cellStyles>
  <dxfs count="51">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Regression!RegChartResid</c:f>
              <c:numCache>
                <c:formatCode>0.0000</c:formatCode>
                <c:ptCount val="392"/>
                <c:pt idx="0">
                  <c:v>1.1614263735683394</c:v>
                </c:pt>
                <c:pt idx="1">
                  <c:v>-0.3133329908006548</c:v>
                </c:pt>
                <c:pt idx="2">
                  <c:v>1.1418499588112212</c:v>
                </c:pt>
                <c:pt idx="3">
                  <c:v>-0.87333997003413089</c:v>
                </c:pt>
                <c:pt idx="4">
                  <c:v>4.5308664272333488E-2</c:v>
                </c:pt>
                <c:pt idx="5">
                  <c:v>3.5034938942618599</c:v>
                </c:pt>
                <c:pt idx="6">
                  <c:v>2.9265184222362794</c:v>
                </c:pt>
                <c:pt idx="7">
                  <c:v>2.6326772586336684</c:v>
                </c:pt>
                <c:pt idx="8">
                  <c:v>3.3671955646772762</c:v>
                </c:pt>
                <c:pt idx="9">
                  <c:v>0.88751741761120861</c:v>
                </c:pt>
                <c:pt idx="10">
                  <c:v>-0.89038108099812341</c:v>
                </c:pt>
                <c:pt idx="11">
                  <c:v>-1.8198331582381666</c:v>
                </c:pt>
                <c:pt idx="12">
                  <c:v>-0.21257441627583695</c:v>
                </c:pt>
                <c:pt idx="13">
                  <c:v>-3.4125760099640452</c:v>
                </c:pt>
                <c:pt idx="14">
                  <c:v>-1.1984568402167461</c:v>
                </c:pt>
                <c:pt idx="15">
                  <c:v>1.1956705034510584</c:v>
                </c:pt>
                <c:pt idx="16">
                  <c:v>-3.070591899933742</c:v>
                </c:pt>
                <c:pt idx="17">
                  <c:v>-1.2122679814030661</c:v>
                </c:pt>
                <c:pt idx="18">
                  <c:v>0.46256720925021355</c:v>
                </c:pt>
                <c:pt idx="19">
                  <c:v>-2.5910624273080991</c:v>
                </c:pt>
                <c:pt idx="20">
                  <c:v>1.3126214306398083</c:v>
                </c:pt>
                <c:pt idx="21">
                  <c:v>-0.86399020035781859</c:v>
                </c:pt>
                <c:pt idx="22">
                  <c:v>-6.1290069421541915E-2</c:v>
                </c:pt>
                <c:pt idx="23">
                  <c:v>0.51703905001074446</c:v>
                </c:pt>
                <c:pt idx="24">
                  <c:v>-0.82222393511323943</c:v>
                </c:pt>
                <c:pt idx="25">
                  <c:v>0.16686007201404429</c:v>
                </c:pt>
                <c:pt idx="26">
                  <c:v>-1.2868174053019725</c:v>
                </c:pt>
                <c:pt idx="27">
                  <c:v>-9.4073228075858495E-2</c:v>
                </c:pt>
                <c:pt idx="28">
                  <c:v>-0.59793420599519997</c:v>
                </c:pt>
                <c:pt idx="29">
                  <c:v>-0.44784298533256006</c:v>
                </c:pt>
                <c:pt idx="30">
                  <c:v>3.3230549780991581</c:v>
                </c:pt>
                <c:pt idx="31">
                  <c:v>-1.837983619376331</c:v>
                </c:pt>
                <c:pt idx="32">
                  <c:v>-3.6411561447722391</c:v>
                </c:pt>
                <c:pt idx="33">
                  <c:v>-2.4840097448355571</c:v>
                </c:pt>
                <c:pt idx="34">
                  <c:v>-2.1221559622661026</c:v>
                </c:pt>
                <c:pt idx="35">
                  <c:v>-0.45370250531675183</c:v>
                </c:pt>
                <c:pt idx="36">
                  <c:v>-1.3297516564858896</c:v>
                </c:pt>
                <c:pt idx="37">
                  <c:v>0.38892457601681052</c:v>
                </c:pt>
                <c:pt idx="38">
                  <c:v>1.8424328474069949</c:v>
                </c:pt>
                <c:pt idx="39">
                  <c:v>-8.4394636257103528E-2</c:v>
                </c:pt>
                <c:pt idx="40">
                  <c:v>-0.42677588979450043</c:v>
                </c:pt>
                <c:pt idx="41">
                  <c:v>2.4097000281970207</c:v>
                </c:pt>
                <c:pt idx="42">
                  <c:v>2.1891039991022101</c:v>
                </c:pt>
                <c:pt idx="43">
                  <c:v>4.2652301472259122</c:v>
                </c:pt>
                <c:pt idx="44">
                  <c:v>-2.8180262714785371</c:v>
                </c:pt>
                <c:pt idx="45">
                  <c:v>-2.2400842124877762</c:v>
                </c:pt>
                <c:pt idx="46">
                  <c:v>-0.36013151417659017</c:v>
                </c:pt>
                <c:pt idx="47">
                  <c:v>-2.2790219725807788</c:v>
                </c:pt>
                <c:pt idx="48">
                  <c:v>-1.9646763727801471</c:v>
                </c:pt>
                <c:pt idx="49">
                  <c:v>0.67116355321856602</c:v>
                </c:pt>
                <c:pt idx="50">
                  <c:v>2.0983327430070204</c:v>
                </c:pt>
                <c:pt idx="51">
                  <c:v>2.1501815481922115</c:v>
                </c:pt>
                <c:pt idx="52">
                  <c:v>1.3711175471393204</c:v>
                </c:pt>
                <c:pt idx="53">
                  <c:v>4.625933736534801</c:v>
                </c:pt>
                <c:pt idx="54">
                  <c:v>-2.2792258841564106</c:v>
                </c:pt>
                <c:pt idx="55">
                  <c:v>-0.56623633204274171</c:v>
                </c:pt>
                <c:pt idx="56">
                  <c:v>-1.3284562040783854</c:v>
                </c:pt>
                <c:pt idx="57">
                  <c:v>0.71831586621973997</c:v>
                </c:pt>
                <c:pt idx="58">
                  <c:v>-2.9936925029865158</c:v>
                </c:pt>
                <c:pt idx="59">
                  <c:v>-2.6914665027819247</c:v>
                </c:pt>
                <c:pt idx="60">
                  <c:v>-2.677934580547344</c:v>
                </c:pt>
                <c:pt idx="61">
                  <c:v>0.97440163554150594</c:v>
                </c:pt>
                <c:pt idx="62">
                  <c:v>2.698793322354879</c:v>
                </c:pt>
                <c:pt idx="63">
                  <c:v>2.0270551197371578</c:v>
                </c:pt>
                <c:pt idx="64">
                  <c:v>1.0453845579070826</c:v>
                </c:pt>
                <c:pt idx="65">
                  <c:v>1.6827427679381071</c:v>
                </c:pt>
                <c:pt idx="66">
                  <c:v>1.4902963613706905</c:v>
                </c:pt>
                <c:pt idx="67">
                  <c:v>1.9664719082527089</c:v>
                </c:pt>
                <c:pt idx="68">
                  <c:v>0.81474182572504539</c:v>
                </c:pt>
                <c:pt idx="69">
                  <c:v>2.1296822574173166</c:v>
                </c:pt>
                <c:pt idx="70">
                  <c:v>-6.0326912401852297</c:v>
                </c:pt>
                <c:pt idx="71">
                  <c:v>0.79667088326379165</c:v>
                </c:pt>
                <c:pt idx="72">
                  <c:v>-0.48501597509297945</c:v>
                </c:pt>
                <c:pt idx="73">
                  <c:v>0.66975702900531608</c:v>
                </c:pt>
                <c:pt idx="74">
                  <c:v>0.73338316206038634</c:v>
                </c:pt>
                <c:pt idx="75">
                  <c:v>-3.6139922210168614</c:v>
                </c:pt>
                <c:pt idx="76">
                  <c:v>-2.3352204289236127</c:v>
                </c:pt>
                <c:pt idx="77">
                  <c:v>-0.78699077756001756</c:v>
                </c:pt>
                <c:pt idx="78">
                  <c:v>-7.9261148665992209E-2</c:v>
                </c:pt>
                <c:pt idx="79">
                  <c:v>-0.8222352555926129</c:v>
                </c:pt>
                <c:pt idx="80">
                  <c:v>2.6734675962121628</c:v>
                </c:pt>
                <c:pt idx="81">
                  <c:v>-1.1415487479246806</c:v>
                </c:pt>
                <c:pt idx="82">
                  <c:v>3.9107216315941784</c:v>
                </c:pt>
                <c:pt idx="83">
                  <c:v>0.65661966075604283</c:v>
                </c:pt>
                <c:pt idx="84">
                  <c:v>0.61605239359653829</c:v>
                </c:pt>
                <c:pt idx="85">
                  <c:v>-0.95695492051195963</c:v>
                </c:pt>
                <c:pt idx="86">
                  <c:v>-0.43813124190276831</c:v>
                </c:pt>
                <c:pt idx="87">
                  <c:v>0.70539602168520155</c:v>
                </c:pt>
                <c:pt idx="88">
                  <c:v>0.57469258907529941</c:v>
                </c:pt>
                <c:pt idx="89">
                  <c:v>4.303430120607457</c:v>
                </c:pt>
                <c:pt idx="90">
                  <c:v>2.0531862946605006</c:v>
                </c:pt>
                <c:pt idx="91">
                  <c:v>1.6716834791620432</c:v>
                </c:pt>
                <c:pt idx="92">
                  <c:v>1.9038150120289981</c:v>
                </c:pt>
                <c:pt idx="93">
                  <c:v>4.4807112773373188</c:v>
                </c:pt>
                <c:pt idx="94">
                  <c:v>4.7367504737379473</c:v>
                </c:pt>
                <c:pt idx="95">
                  <c:v>-0.79661098902103156</c:v>
                </c:pt>
                <c:pt idx="96">
                  <c:v>-0.4774779563506435</c:v>
                </c:pt>
                <c:pt idx="97">
                  <c:v>-1.7637205065450203</c:v>
                </c:pt>
                <c:pt idx="98">
                  <c:v>-1.4498026083788922</c:v>
                </c:pt>
                <c:pt idx="99">
                  <c:v>-1.2598282610725171</c:v>
                </c:pt>
                <c:pt idx="100">
                  <c:v>3.2614195376336106</c:v>
                </c:pt>
                <c:pt idx="101">
                  <c:v>-1.3025277700604079</c:v>
                </c:pt>
                <c:pt idx="102">
                  <c:v>2.751930319517724</c:v>
                </c:pt>
                <c:pt idx="103">
                  <c:v>3.5671884877523024</c:v>
                </c:pt>
                <c:pt idx="104">
                  <c:v>3.3399437606035089</c:v>
                </c:pt>
                <c:pt idx="105">
                  <c:v>1.7174950897958272</c:v>
                </c:pt>
                <c:pt idx="106">
                  <c:v>-2.2396789083371083</c:v>
                </c:pt>
                <c:pt idx="107">
                  <c:v>-5.0767456065881227</c:v>
                </c:pt>
                <c:pt idx="108">
                  <c:v>-1.6588631337015549</c:v>
                </c:pt>
                <c:pt idx="109">
                  <c:v>-2.4729960533551996</c:v>
                </c:pt>
                <c:pt idx="110">
                  <c:v>-7.829085733024133</c:v>
                </c:pt>
                <c:pt idx="111">
                  <c:v>-3.9085506932811391</c:v>
                </c:pt>
                <c:pt idx="112">
                  <c:v>-0.73109303265432501</c:v>
                </c:pt>
                <c:pt idx="113">
                  <c:v>1.0068177646571854</c:v>
                </c:pt>
                <c:pt idx="114">
                  <c:v>2.0378198619182033</c:v>
                </c:pt>
                <c:pt idx="115">
                  <c:v>5.4103252625320852</c:v>
                </c:pt>
                <c:pt idx="116">
                  <c:v>1.3259268277455298</c:v>
                </c:pt>
                <c:pt idx="117">
                  <c:v>-1.7785028434634285</c:v>
                </c:pt>
                <c:pt idx="118">
                  <c:v>-3.3718766553972728</c:v>
                </c:pt>
                <c:pt idx="119">
                  <c:v>-2.5828050344495175</c:v>
                </c:pt>
                <c:pt idx="120">
                  <c:v>-1.3392384454388342</c:v>
                </c:pt>
                <c:pt idx="121">
                  <c:v>1.3315537016991179</c:v>
                </c:pt>
                <c:pt idx="122">
                  <c:v>-1.8512794433860797</c:v>
                </c:pt>
                <c:pt idx="123">
                  <c:v>-3.5103684388266547</c:v>
                </c:pt>
                <c:pt idx="124">
                  <c:v>-0.70016081502367911</c:v>
                </c:pt>
                <c:pt idx="125">
                  <c:v>-2.6367038878944342</c:v>
                </c:pt>
                <c:pt idx="126">
                  <c:v>-4.4341642053186519</c:v>
                </c:pt>
                <c:pt idx="127">
                  <c:v>1.9523448025636938</c:v>
                </c:pt>
                <c:pt idx="128">
                  <c:v>1.7600781462322104</c:v>
                </c:pt>
                <c:pt idx="129">
                  <c:v>2.3426546425333044</c:v>
                </c:pt>
                <c:pt idx="130">
                  <c:v>1.1396571614401267</c:v>
                </c:pt>
                <c:pt idx="131">
                  <c:v>-1.180991426591703</c:v>
                </c:pt>
                <c:pt idx="132">
                  <c:v>-1.7730602397086841</c:v>
                </c:pt>
                <c:pt idx="133">
                  <c:v>4.9554717836393536E-2</c:v>
                </c:pt>
                <c:pt idx="134">
                  <c:v>1.2912573129919824</c:v>
                </c:pt>
                <c:pt idx="135">
                  <c:v>1.2789483977625302</c:v>
                </c:pt>
                <c:pt idx="136">
                  <c:v>1.0536274709042779</c:v>
                </c:pt>
                <c:pt idx="137">
                  <c:v>1.8077221917050039</c:v>
                </c:pt>
                <c:pt idx="138">
                  <c:v>4.0965547880931652E-2</c:v>
                </c:pt>
                <c:pt idx="139">
                  <c:v>1.6961348422366136</c:v>
                </c:pt>
                <c:pt idx="140">
                  <c:v>-2.8598553304899319</c:v>
                </c:pt>
                <c:pt idx="141">
                  <c:v>-0.97491923870663655</c:v>
                </c:pt>
                <c:pt idx="142">
                  <c:v>0.18474212911043963</c:v>
                </c:pt>
                <c:pt idx="143">
                  <c:v>3.1232816204436418</c:v>
                </c:pt>
                <c:pt idx="144">
                  <c:v>2.0282570519364427</c:v>
                </c:pt>
                <c:pt idx="145">
                  <c:v>-3.9957839806696676</c:v>
                </c:pt>
                <c:pt idx="146">
                  <c:v>-1.2970472537835569</c:v>
                </c:pt>
                <c:pt idx="147">
                  <c:v>-1.8314383562821419</c:v>
                </c:pt>
                <c:pt idx="148">
                  <c:v>-0.39258842637774904</c:v>
                </c:pt>
                <c:pt idx="149">
                  <c:v>2.3274871252693892</c:v>
                </c:pt>
                <c:pt idx="150">
                  <c:v>-0.26139525343694814</c:v>
                </c:pt>
                <c:pt idx="151">
                  <c:v>-0.11168555895376997</c:v>
                </c:pt>
                <c:pt idx="152">
                  <c:v>-3.7841971730287796</c:v>
                </c:pt>
                <c:pt idx="153">
                  <c:v>-5.1715440075707697</c:v>
                </c:pt>
                <c:pt idx="154">
                  <c:v>5.0652238427025509</c:v>
                </c:pt>
                <c:pt idx="155">
                  <c:v>2.5048784516174081</c:v>
                </c:pt>
                <c:pt idx="156">
                  <c:v>3.8797325690618791</c:v>
                </c:pt>
                <c:pt idx="157">
                  <c:v>2.6523259339583589</c:v>
                </c:pt>
                <c:pt idx="158">
                  <c:v>1.2378593083862395</c:v>
                </c:pt>
                <c:pt idx="159">
                  <c:v>0.10604405246736626</c:v>
                </c:pt>
                <c:pt idx="160">
                  <c:v>-1.6583464934894252</c:v>
                </c:pt>
                <c:pt idx="161">
                  <c:v>1.376589056038874</c:v>
                </c:pt>
                <c:pt idx="162">
                  <c:v>0.84290656246490414</c:v>
                </c:pt>
                <c:pt idx="163">
                  <c:v>0.7644289124161503</c:v>
                </c:pt>
                <c:pt idx="164">
                  <c:v>-6.1903709804526379</c:v>
                </c:pt>
                <c:pt idx="165">
                  <c:v>1.8197370870706457</c:v>
                </c:pt>
                <c:pt idx="166">
                  <c:v>0.37919905367258977</c:v>
                </c:pt>
                <c:pt idx="167">
                  <c:v>-0.95237145896010134</c:v>
                </c:pt>
                <c:pt idx="168">
                  <c:v>6.0041341994399033E-2</c:v>
                </c:pt>
                <c:pt idx="169">
                  <c:v>-0.1506804362779981</c:v>
                </c:pt>
                <c:pt idx="170">
                  <c:v>-1.8599396988075974</c:v>
                </c:pt>
                <c:pt idx="171">
                  <c:v>-0.92938361389778379</c:v>
                </c:pt>
                <c:pt idx="172">
                  <c:v>-2.6466490817625505</c:v>
                </c:pt>
                <c:pt idx="173">
                  <c:v>0.67571731931547774</c:v>
                </c:pt>
                <c:pt idx="174">
                  <c:v>-0.61093282280583594</c:v>
                </c:pt>
                <c:pt idx="175">
                  <c:v>-1.0854465032026219</c:v>
                </c:pt>
                <c:pt idx="176">
                  <c:v>0.13254890189829638</c:v>
                </c:pt>
                <c:pt idx="177">
                  <c:v>-0.76584649394769144</c:v>
                </c:pt>
                <c:pt idx="178">
                  <c:v>1.1228260147205198</c:v>
                </c:pt>
                <c:pt idx="179">
                  <c:v>3.5587311688088441</c:v>
                </c:pt>
                <c:pt idx="180">
                  <c:v>1.8287918281424496</c:v>
                </c:pt>
                <c:pt idx="181">
                  <c:v>-2.4878378777137407</c:v>
                </c:pt>
                <c:pt idx="182">
                  <c:v>1.4110126274454373</c:v>
                </c:pt>
                <c:pt idx="183">
                  <c:v>0.59486986405739373</c:v>
                </c:pt>
                <c:pt idx="184">
                  <c:v>-0.5465045868787648</c:v>
                </c:pt>
                <c:pt idx="185">
                  <c:v>3.0093790588522271</c:v>
                </c:pt>
                <c:pt idx="186">
                  <c:v>1.5451606380097171</c:v>
                </c:pt>
                <c:pt idx="187">
                  <c:v>-0.5963669128431377</c:v>
                </c:pt>
                <c:pt idx="188">
                  <c:v>0.20421624229472179</c:v>
                </c:pt>
                <c:pt idx="189">
                  <c:v>1.8877517386659299</c:v>
                </c:pt>
                <c:pt idx="190">
                  <c:v>2.5765310522476454</c:v>
                </c:pt>
                <c:pt idx="191">
                  <c:v>2.4602681066078489</c:v>
                </c:pt>
                <c:pt idx="192">
                  <c:v>1.4760175960932465</c:v>
                </c:pt>
                <c:pt idx="193">
                  <c:v>2.0425580859860943</c:v>
                </c:pt>
                <c:pt idx="194">
                  <c:v>-1.674383518035512</c:v>
                </c:pt>
                <c:pt idx="195">
                  <c:v>-9.9355250280730445E-2</c:v>
                </c:pt>
                <c:pt idx="196">
                  <c:v>2.7836585992126359</c:v>
                </c:pt>
                <c:pt idx="197">
                  <c:v>2.0042151577847278</c:v>
                </c:pt>
                <c:pt idx="198">
                  <c:v>-0.7428611855571674</c:v>
                </c:pt>
                <c:pt idx="199">
                  <c:v>0.63619961962944416</c:v>
                </c:pt>
                <c:pt idx="200">
                  <c:v>-2.8959628057064464</c:v>
                </c:pt>
                <c:pt idx="201">
                  <c:v>-0.15020949522027038</c:v>
                </c:pt>
                <c:pt idx="202">
                  <c:v>3.0470233173706021</c:v>
                </c:pt>
                <c:pt idx="203">
                  <c:v>-3.6348436367429571E-2</c:v>
                </c:pt>
                <c:pt idx="204">
                  <c:v>2.5508408210687961</c:v>
                </c:pt>
                <c:pt idx="205">
                  <c:v>-2.4379948646307987</c:v>
                </c:pt>
                <c:pt idx="206">
                  <c:v>-2.7206667657694705</c:v>
                </c:pt>
                <c:pt idx="207">
                  <c:v>-3.057707758166373</c:v>
                </c:pt>
                <c:pt idx="208">
                  <c:v>-4.5764812301850952</c:v>
                </c:pt>
                <c:pt idx="209">
                  <c:v>-2.2533216473388435</c:v>
                </c:pt>
                <c:pt idx="210">
                  <c:v>3.4942824234881371</c:v>
                </c:pt>
                <c:pt idx="211">
                  <c:v>-2.2195683197987446</c:v>
                </c:pt>
                <c:pt idx="212">
                  <c:v>-3.3998270778984647</c:v>
                </c:pt>
                <c:pt idx="213">
                  <c:v>-3.6573790445660705</c:v>
                </c:pt>
                <c:pt idx="214">
                  <c:v>1.359339752426429</c:v>
                </c:pt>
                <c:pt idx="215">
                  <c:v>2.6710826046307474</c:v>
                </c:pt>
                <c:pt idx="216">
                  <c:v>4.7050241595151867</c:v>
                </c:pt>
                <c:pt idx="217">
                  <c:v>-0.83495458992066318</c:v>
                </c:pt>
                <c:pt idx="218">
                  <c:v>2.885481654821838</c:v>
                </c:pt>
                <c:pt idx="219">
                  <c:v>-3.9340232312689238E-2</c:v>
                </c:pt>
                <c:pt idx="220">
                  <c:v>-0.19621961996562476</c:v>
                </c:pt>
                <c:pt idx="221">
                  <c:v>-0.7228797323823386</c:v>
                </c:pt>
                <c:pt idx="222">
                  <c:v>-0.68161322134235824</c:v>
                </c:pt>
                <c:pt idx="223">
                  <c:v>-2.4304068121286662</c:v>
                </c:pt>
                <c:pt idx="224">
                  <c:v>7.3966146675417122E-3</c:v>
                </c:pt>
                <c:pt idx="225">
                  <c:v>-0.53580707400123373</c:v>
                </c:pt>
                <c:pt idx="226">
                  <c:v>-1.599927447495574</c:v>
                </c:pt>
                <c:pt idx="227">
                  <c:v>0.75046015520094222</c:v>
                </c:pt>
                <c:pt idx="228">
                  <c:v>-0.19038619316589056</c:v>
                </c:pt>
                <c:pt idx="229">
                  <c:v>0.94447198432361468</c:v>
                </c:pt>
                <c:pt idx="230">
                  <c:v>0.82941137037959045</c:v>
                </c:pt>
                <c:pt idx="231">
                  <c:v>-1.387966595675568</c:v>
                </c:pt>
                <c:pt idx="232">
                  <c:v>0.26301018510236673</c:v>
                </c:pt>
                <c:pt idx="233">
                  <c:v>-2.9130771085730984</c:v>
                </c:pt>
                <c:pt idx="234">
                  <c:v>1.3551962612826642</c:v>
                </c:pt>
                <c:pt idx="235">
                  <c:v>2.3684790614484044</c:v>
                </c:pt>
                <c:pt idx="236">
                  <c:v>5.8147271312820266</c:v>
                </c:pt>
                <c:pt idx="237">
                  <c:v>-0.46069525643412135</c:v>
                </c:pt>
                <c:pt idx="238">
                  <c:v>1.3778608081036161</c:v>
                </c:pt>
                <c:pt idx="239">
                  <c:v>-3.7710553172809824</c:v>
                </c:pt>
                <c:pt idx="240">
                  <c:v>-5.0266164271851927</c:v>
                </c:pt>
                <c:pt idx="241">
                  <c:v>-4.5409961153210432</c:v>
                </c:pt>
                <c:pt idx="242">
                  <c:v>12.602811720767161</c:v>
                </c:pt>
                <c:pt idx="243">
                  <c:v>6.8963199862834372</c:v>
                </c:pt>
                <c:pt idx="244">
                  <c:v>2.2457806066314632</c:v>
                </c:pt>
                <c:pt idx="245">
                  <c:v>9.5684176990801362</c:v>
                </c:pt>
                <c:pt idx="246">
                  <c:v>4.7389597834632013</c:v>
                </c:pt>
                <c:pt idx="247">
                  <c:v>-0.6651974601030517</c:v>
                </c:pt>
                <c:pt idx="248">
                  <c:v>1.195320056096385</c:v>
                </c:pt>
                <c:pt idx="249">
                  <c:v>1.1436375376485799</c:v>
                </c:pt>
                <c:pt idx="250">
                  <c:v>-0.58561698530090922</c:v>
                </c:pt>
                <c:pt idx="251">
                  <c:v>-1.3720389585806849</c:v>
                </c:pt>
                <c:pt idx="252">
                  <c:v>-2.7964321049882734</c:v>
                </c:pt>
                <c:pt idx="253">
                  <c:v>0.91176633516874261</c:v>
                </c:pt>
                <c:pt idx="254">
                  <c:v>0.10155334534412574</c:v>
                </c:pt>
                <c:pt idx="255">
                  <c:v>-2.2747390895169666</c:v>
                </c:pt>
                <c:pt idx="256">
                  <c:v>2.9570024355997759E-2</c:v>
                </c:pt>
                <c:pt idx="257">
                  <c:v>-1.664784595401013</c:v>
                </c:pt>
                <c:pt idx="258">
                  <c:v>-0.67405350824827792</c:v>
                </c:pt>
                <c:pt idx="259">
                  <c:v>-2.0749842078873826</c:v>
                </c:pt>
                <c:pt idx="260">
                  <c:v>-0.49312376482209785</c:v>
                </c:pt>
                <c:pt idx="261">
                  <c:v>-1.5671289334489451</c:v>
                </c:pt>
                <c:pt idx="262">
                  <c:v>-2.8044704718690312</c:v>
                </c:pt>
                <c:pt idx="263">
                  <c:v>1.0421618733116631</c:v>
                </c:pt>
                <c:pt idx="264">
                  <c:v>2.6262677635569638</c:v>
                </c:pt>
                <c:pt idx="265">
                  <c:v>0.55535020932586576</c:v>
                </c:pt>
                <c:pt idx="266">
                  <c:v>-1.0286374266973972</c:v>
                </c:pt>
                <c:pt idx="267">
                  <c:v>4.0196710083655063</c:v>
                </c:pt>
                <c:pt idx="268">
                  <c:v>-6.0724987233543857</c:v>
                </c:pt>
                <c:pt idx="269">
                  <c:v>-0.5856315812431383</c:v>
                </c:pt>
                <c:pt idx="270">
                  <c:v>0.24660383734888569</c:v>
                </c:pt>
                <c:pt idx="271">
                  <c:v>-3.7969899171101389</c:v>
                </c:pt>
                <c:pt idx="272">
                  <c:v>-5.0256878970144214</c:v>
                </c:pt>
                <c:pt idx="273">
                  <c:v>-6.3988604133503237</c:v>
                </c:pt>
                <c:pt idx="274">
                  <c:v>-3.7080665501010124</c:v>
                </c:pt>
                <c:pt idx="275">
                  <c:v>-5.7018753616404751</c:v>
                </c:pt>
                <c:pt idx="276">
                  <c:v>1.4015662037741912</c:v>
                </c:pt>
                <c:pt idx="277">
                  <c:v>-3.4940039844357784E-2</c:v>
                </c:pt>
                <c:pt idx="278">
                  <c:v>-1.99949938057404</c:v>
                </c:pt>
                <c:pt idx="279">
                  <c:v>-5.4777362910350398</c:v>
                </c:pt>
                <c:pt idx="280">
                  <c:v>-3.4353579566860972</c:v>
                </c:pt>
                <c:pt idx="281">
                  <c:v>-3.6041439871102305</c:v>
                </c:pt>
                <c:pt idx="282">
                  <c:v>-2.3984009346033197</c:v>
                </c:pt>
                <c:pt idx="283">
                  <c:v>-3.2432836802764555</c:v>
                </c:pt>
                <c:pt idx="284">
                  <c:v>-3.2418007179684238</c:v>
                </c:pt>
                <c:pt idx="285">
                  <c:v>-3.0311116189096978</c:v>
                </c:pt>
                <c:pt idx="286">
                  <c:v>-2.0127346166599196</c:v>
                </c:pt>
                <c:pt idx="287">
                  <c:v>-0.30445188157722569</c:v>
                </c:pt>
                <c:pt idx="288">
                  <c:v>-3.4648982391989804</c:v>
                </c:pt>
                <c:pt idx="289">
                  <c:v>-2.3143435995966009</c:v>
                </c:pt>
                <c:pt idx="290">
                  <c:v>-0.91222407969396357</c:v>
                </c:pt>
                <c:pt idx="291">
                  <c:v>-0.93543584763308019</c:v>
                </c:pt>
                <c:pt idx="292">
                  <c:v>1.2983341994516522</c:v>
                </c:pt>
                <c:pt idx="293">
                  <c:v>4.8980237129467525</c:v>
                </c:pt>
                <c:pt idx="294">
                  <c:v>0.42082247235989101</c:v>
                </c:pt>
                <c:pt idx="295">
                  <c:v>0.78859467635053804</c:v>
                </c:pt>
                <c:pt idx="296">
                  <c:v>2.9793327368628404</c:v>
                </c:pt>
                <c:pt idx="297">
                  <c:v>0.76965081548959446</c:v>
                </c:pt>
                <c:pt idx="298">
                  <c:v>0.8806690032328639</c:v>
                </c:pt>
                <c:pt idx="299">
                  <c:v>4.6787026337196131</c:v>
                </c:pt>
                <c:pt idx="300">
                  <c:v>4.7255371529637742</c:v>
                </c:pt>
                <c:pt idx="301">
                  <c:v>-0.77381686786809567</c:v>
                </c:pt>
                <c:pt idx="302">
                  <c:v>5.4700697595587613</c:v>
                </c:pt>
                <c:pt idx="303">
                  <c:v>1.5831867918953044</c:v>
                </c:pt>
                <c:pt idx="304">
                  <c:v>2.009349369600077</c:v>
                </c:pt>
                <c:pt idx="305">
                  <c:v>0.54099687918733608</c:v>
                </c:pt>
                <c:pt idx="306">
                  <c:v>6.1059694957719977</c:v>
                </c:pt>
                <c:pt idx="307">
                  <c:v>5.7935096405499564</c:v>
                </c:pt>
                <c:pt idx="308">
                  <c:v>1.1206073950828923</c:v>
                </c:pt>
                <c:pt idx="309">
                  <c:v>-1.8874636127849627</c:v>
                </c:pt>
                <c:pt idx="310">
                  <c:v>0.56001834522155036</c:v>
                </c:pt>
                <c:pt idx="311">
                  <c:v>-2.8374082084789976</c:v>
                </c:pt>
                <c:pt idx="312">
                  <c:v>-3.4977256262836711</c:v>
                </c:pt>
                <c:pt idx="313">
                  <c:v>-4.8918325835660497</c:v>
                </c:pt>
                <c:pt idx="314">
                  <c:v>-8.1779015490519242</c:v>
                </c:pt>
                <c:pt idx="315">
                  <c:v>-1.1512318724778297</c:v>
                </c:pt>
                <c:pt idx="316">
                  <c:v>-2.9302606022791302</c:v>
                </c:pt>
                <c:pt idx="317">
                  <c:v>-2.5295064065369779</c:v>
                </c:pt>
                <c:pt idx="318">
                  <c:v>2.8996754982406117</c:v>
                </c:pt>
                <c:pt idx="319">
                  <c:v>-3.0320431699243073</c:v>
                </c:pt>
                <c:pt idx="320">
                  <c:v>10.420779520197179</c:v>
                </c:pt>
                <c:pt idx="321">
                  <c:v>-2.076137956131646</c:v>
                </c:pt>
                <c:pt idx="322">
                  <c:v>4.6207795201971749</c:v>
                </c:pt>
                <c:pt idx="323">
                  <c:v>7.8401542785589129</c:v>
                </c:pt>
                <c:pt idx="324">
                  <c:v>8.2059816823380984</c:v>
                </c:pt>
                <c:pt idx="325">
                  <c:v>4.6284093027521749</c:v>
                </c:pt>
                <c:pt idx="326">
                  <c:v>-0.25259781271279991</c:v>
                </c:pt>
                <c:pt idx="327">
                  <c:v>7.1367918841739098</c:v>
                </c:pt>
                <c:pt idx="328">
                  <c:v>-2.1695317793666646</c:v>
                </c:pt>
                <c:pt idx="329">
                  <c:v>-7.6477299817195252</c:v>
                </c:pt>
                <c:pt idx="330">
                  <c:v>1.6592681531778375</c:v>
                </c:pt>
                <c:pt idx="331">
                  <c:v>-10.341319380742693</c:v>
                </c:pt>
                <c:pt idx="332">
                  <c:v>1.2908850469740116</c:v>
                </c:pt>
                <c:pt idx="333">
                  <c:v>-2.7541697254070172</c:v>
                </c:pt>
                <c:pt idx="334">
                  <c:v>-2.050550208008115</c:v>
                </c:pt>
                <c:pt idx="335">
                  <c:v>-1.9163703138161807</c:v>
                </c:pt>
                <c:pt idx="336">
                  <c:v>-2.6624285024146026</c:v>
                </c:pt>
                <c:pt idx="337">
                  <c:v>-4.1385252176636058</c:v>
                </c:pt>
                <c:pt idx="338">
                  <c:v>0.21780228240463018</c:v>
                </c:pt>
                <c:pt idx="339">
                  <c:v>3.6458283829900253</c:v>
                </c:pt>
                <c:pt idx="340">
                  <c:v>6.310785739624265</c:v>
                </c:pt>
                <c:pt idx="341">
                  <c:v>-0.29638220502730661</c:v>
                </c:pt>
                <c:pt idx="342">
                  <c:v>-1.4384177487419194</c:v>
                </c:pt>
                <c:pt idx="343">
                  <c:v>2.7734115219904965</c:v>
                </c:pt>
                <c:pt idx="344">
                  <c:v>3.8044504472636334</c:v>
                </c:pt>
                <c:pt idx="345">
                  <c:v>-2.7246085997710168E-2</c:v>
                </c:pt>
                <c:pt idx="346">
                  <c:v>3.7160745768104206</c:v>
                </c:pt>
                <c:pt idx="347">
                  <c:v>2.5877848061476527</c:v>
                </c:pt>
                <c:pt idx="348">
                  <c:v>-0.21600647278823715</c:v>
                </c:pt>
                <c:pt idx="349">
                  <c:v>0.13012781877232271</c:v>
                </c:pt>
                <c:pt idx="350">
                  <c:v>0.82565360107835062</c:v>
                </c:pt>
                <c:pt idx="351">
                  <c:v>0.23451694719468463</c:v>
                </c:pt>
                <c:pt idx="352">
                  <c:v>2.4822047940391521</c:v>
                </c:pt>
                <c:pt idx="353">
                  <c:v>0.86132375554942087</c:v>
                </c:pt>
                <c:pt idx="354">
                  <c:v>0.59338841021498823</c:v>
                </c:pt>
                <c:pt idx="355">
                  <c:v>2.7740110093426438</c:v>
                </c:pt>
                <c:pt idx="356">
                  <c:v>-3.3149690543959132</c:v>
                </c:pt>
                <c:pt idx="357">
                  <c:v>-4.2981240381282468</c:v>
                </c:pt>
                <c:pt idx="358">
                  <c:v>-1.7448415832330539</c:v>
                </c:pt>
                <c:pt idx="359">
                  <c:v>3.9436022376854325</c:v>
                </c:pt>
                <c:pt idx="360">
                  <c:v>-6.0995179995774045</c:v>
                </c:pt>
                <c:pt idx="361">
                  <c:v>-6.6975869013157414</c:v>
                </c:pt>
                <c:pt idx="362">
                  <c:v>-2.2817597840481199</c:v>
                </c:pt>
                <c:pt idx="363">
                  <c:v>-3.1045439475190335</c:v>
                </c:pt>
                <c:pt idx="364">
                  <c:v>2.6549451967773692</c:v>
                </c:pt>
                <c:pt idx="365">
                  <c:v>0.51763163163776227</c:v>
                </c:pt>
                <c:pt idx="366">
                  <c:v>-1.7517702810716216</c:v>
                </c:pt>
                <c:pt idx="367">
                  <c:v>-2.5910566701758526</c:v>
                </c:pt>
                <c:pt idx="368">
                  <c:v>-4.9003535563035925</c:v>
                </c:pt>
                <c:pt idx="369">
                  <c:v>0.38839689000521815</c:v>
                </c:pt>
                <c:pt idx="370">
                  <c:v>1.396850389014368</c:v>
                </c:pt>
                <c:pt idx="371">
                  <c:v>-4.8816316398170514</c:v>
                </c:pt>
                <c:pt idx="372">
                  <c:v>4.8819408018573185</c:v>
                </c:pt>
                <c:pt idx="373">
                  <c:v>2.9955958255321065</c:v>
                </c:pt>
                <c:pt idx="374">
                  <c:v>1.4051258261259463</c:v>
                </c:pt>
                <c:pt idx="375">
                  <c:v>1.4219011434101674</c:v>
                </c:pt>
                <c:pt idx="376">
                  <c:v>-0.45674863175286617</c:v>
                </c:pt>
                <c:pt idx="377">
                  <c:v>2.0768153801538176</c:v>
                </c:pt>
                <c:pt idx="378">
                  <c:v>-3.9231846198461824</c:v>
                </c:pt>
                <c:pt idx="379">
                  <c:v>2.2287146686073172</c:v>
                </c:pt>
                <c:pt idx="380">
                  <c:v>-3.2030330119305148</c:v>
                </c:pt>
                <c:pt idx="381">
                  <c:v>9.7454878622891314</c:v>
                </c:pt>
                <c:pt idx="382">
                  <c:v>-4.3180802485362832</c:v>
                </c:pt>
                <c:pt idx="383">
                  <c:v>-6.7275242056862794</c:v>
                </c:pt>
                <c:pt idx="384">
                  <c:v>9.1988637388233485E-2</c:v>
                </c:pt>
                <c:pt idx="385">
                  <c:v>4.4634167285852868</c:v>
                </c:pt>
                <c:pt idx="386">
                  <c:v>-1.5024451029257548</c:v>
                </c:pt>
                <c:pt idx="387">
                  <c:v>-2.3775203691586029</c:v>
                </c:pt>
                <c:pt idx="388">
                  <c:v>8.790691829294822</c:v>
                </c:pt>
                <c:pt idx="389">
                  <c:v>8.3668507451527319E-2</c:v>
                </c:pt>
                <c:pt idx="390">
                  <c:v>-2.326621479327649</c:v>
                </c:pt>
                <c:pt idx="391">
                  <c:v>1.2031022299690619</c:v>
                </c:pt>
              </c:numCache>
            </c:numRef>
          </c:yVal>
          <c:smooth val="0"/>
          <c:extLst>
            <c:ext xmlns:c16="http://schemas.microsoft.com/office/drawing/2014/chart" uri="{C3380CC4-5D6E-409C-BE32-E72D297353CC}">
              <c16:uniqueId val="{00000001-9C21-4880-95CB-4339D3F95736}"/>
            </c:ext>
          </c:extLst>
        </c:ser>
        <c:dLbls>
          <c:showLegendKey val="0"/>
          <c:showVal val="0"/>
          <c:showCatName val="0"/>
          <c:showSerName val="0"/>
          <c:showPercent val="0"/>
          <c:showBubbleSize val="0"/>
        </c:dLbls>
        <c:axId val="1291673744"/>
        <c:axId val="1291672784"/>
      </c:scatterChart>
      <c:valAx>
        <c:axId val="129167374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291672784"/>
        <c:crosses val="autoZero"/>
        <c:crossBetween val="midCat"/>
      </c:valAx>
      <c:valAx>
        <c:axId val="1291672784"/>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2916737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Regression!RegChartQQY</c:f>
              <c:numCache>
                <c:formatCode>0.0000</c:formatCode>
                <c:ptCount val="392"/>
                <c:pt idx="0">
                  <c:v>-3.451682617569364</c:v>
                </c:pt>
                <c:pt idx="1">
                  <c:v>-2.7327997376671536</c:v>
                </c:pt>
                <c:pt idx="2">
                  <c:v>-2.6063331092365796</c:v>
                </c:pt>
                <c:pt idx="3">
                  <c:v>-2.5586120959927139</c:v>
                </c:pt>
                <c:pt idx="4">
                  <c:v>-2.2382603266400913</c:v>
                </c:pt>
                <c:pt idx="5">
                  <c:v>-2.2366030601609661</c:v>
                </c:pt>
                <c:pt idx="6">
                  <c:v>-2.1379379429147773</c:v>
                </c:pt>
                <c:pt idx="7">
                  <c:v>-2.0636596826638138</c:v>
                </c:pt>
                <c:pt idx="8">
                  <c:v>-2.0302994659393101</c:v>
                </c:pt>
                <c:pt idx="9">
                  <c:v>-2.0195065214468055</c:v>
                </c:pt>
                <c:pt idx="10">
                  <c:v>-2.0157358299478263</c:v>
                </c:pt>
                <c:pt idx="11">
                  <c:v>-1.9076726580567738</c:v>
                </c:pt>
                <c:pt idx="12">
                  <c:v>-1.8200175308828719</c:v>
                </c:pt>
                <c:pt idx="13">
                  <c:v>-1.7231986194513169</c:v>
                </c:pt>
                <c:pt idx="14">
                  <c:v>-1.6897180627740656</c:v>
                </c:pt>
                <c:pt idx="15">
                  <c:v>-1.68524344765387</c:v>
                </c:pt>
                <c:pt idx="16">
                  <c:v>-1.6746439809266753</c:v>
                </c:pt>
                <c:pt idx="17">
                  <c:v>-1.6319415081566486</c:v>
                </c:pt>
                <c:pt idx="18">
                  <c:v>-1.6266867098316833</c:v>
                </c:pt>
                <c:pt idx="19">
                  <c:v>-1.626368466519942</c:v>
                </c:pt>
                <c:pt idx="20">
                  <c:v>-1.5268692799723573</c:v>
                </c:pt>
                <c:pt idx="21">
                  <c:v>-1.5175419689962188</c:v>
                </c:pt>
                <c:pt idx="22">
                  <c:v>-1.4769363323181717</c:v>
                </c:pt>
                <c:pt idx="23">
                  <c:v>-1.4375278289347933</c:v>
                </c:pt>
                <c:pt idx="24">
                  <c:v>-1.4339281629923626</c:v>
                </c:pt>
                <c:pt idx="25">
                  <c:v>-1.3818722583783176</c:v>
                </c:pt>
                <c:pt idx="26">
                  <c:v>-1.3375231715810592</c:v>
                </c:pt>
                <c:pt idx="27">
                  <c:v>-1.307068093232151</c:v>
                </c:pt>
                <c:pt idx="28">
                  <c:v>-1.2992210520172569</c:v>
                </c:pt>
                <c:pt idx="29">
                  <c:v>-1.2647682754399088</c:v>
                </c:pt>
                <c:pt idx="30">
                  <c:v>-1.2628813097867091</c:v>
                </c:pt>
                <c:pt idx="31">
                  <c:v>-1.260569504380137</c:v>
                </c:pt>
                <c:pt idx="32">
                  <c:v>-1.2377760380844054</c:v>
                </c:pt>
                <c:pt idx="33">
                  <c:v>-1.2151675973963221</c:v>
                </c:pt>
                <c:pt idx="34">
                  <c:v>-1.2127928346337891</c:v>
                </c:pt>
                <c:pt idx="35">
                  <c:v>-1.2081383307454165</c:v>
                </c:pt>
                <c:pt idx="36">
                  <c:v>-1.1982691301329909</c:v>
                </c:pt>
                <c:pt idx="37">
                  <c:v>-1.1807393696594954</c:v>
                </c:pt>
                <c:pt idx="38">
                  <c:v>-1.1692507528849174</c:v>
                </c:pt>
                <c:pt idx="39">
                  <c:v>-1.1670319415810073</c:v>
                </c:pt>
                <c:pt idx="40">
                  <c:v>-1.1524014899843342</c:v>
                </c:pt>
                <c:pt idx="41">
                  <c:v>-1.1408976899843095</c:v>
                </c:pt>
                <c:pt idx="42">
                  <c:v>-1.1267405125615217</c:v>
                </c:pt>
                <c:pt idx="43">
                  <c:v>-1.1208436092324714</c:v>
                </c:pt>
                <c:pt idx="44">
                  <c:v>-1.1079659887017894</c:v>
                </c:pt>
                <c:pt idx="45">
                  <c:v>-1.0776013794312584</c:v>
                </c:pt>
                <c:pt idx="46">
                  <c:v>-1.0767196379396311</c:v>
                </c:pt>
                <c:pt idx="47">
                  <c:v>-1.0639613519924846</c:v>
                </c:pt>
                <c:pt idx="48">
                  <c:v>-1.0306011185079671</c:v>
                </c:pt>
                <c:pt idx="49">
                  <c:v>-1.0254466826344892</c:v>
                </c:pt>
                <c:pt idx="50">
                  <c:v>-1.0214074988536541</c:v>
                </c:pt>
                <c:pt idx="51">
                  <c:v>-1.0101337973139408</c:v>
                </c:pt>
                <c:pt idx="52">
                  <c:v>-1.0076315540428575</c:v>
                </c:pt>
                <c:pt idx="53">
                  <c:v>-1.0042751043337586</c:v>
                </c:pt>
                <c:pt idx="54">
                  <c:v>-0.97713360215342948</c:v>
                </c:pt>
                <c:pt idx="55">
                  <c:v>-0.97305252208919468</c:v>
                </c:pt>
                <c:pt idx="56">
                  <c:v>-0.95975295748031186</c:v>
                </c:pt>
                <c:pt idx="57">
                  <c:v>-0.95733088971303293</c:v>
                </c:pt>
                <c:pt idx="58">
                  <c:v>-0.9474999235105962</c:v>
                </c:pt>
                <c:pt idx="59">
                  <c:v>-0.93736805879047014</c:v>
                </c:pt>
                <c:pt idx="60">
                  <c:v>-0.9317689403765218</c:v>
                </c:pt>
                <c:pt idx="61">
                  <c:v>-0.92704752263459622</c:v>
                </c:pt>
                <c:pt idx="62">
                  <c:v>-0.91766871471414591</c:v>
                </c:pt>
                <c:pt idx="63">
                  <c:v>-0.9031170962155961</c:v>
                </c:pt>
                <c:pt idx="64">
                  <c:v>-0.8984734746582822</c:v>
                </c:pt>
                <c:pt idx="65">
                  <c:v>-0.89544945314468549</c:v>
                </c:pt>
                <c:pt idx="66">
                  <c:v>-0.88698134092906389</c:v>
                </c:pt>
                <c:pt idx="67">
                  <c:v>-0.87909939485507615</c:v>
                </c:pt>
                <c:pt idx="68">
                  <c:v>-0.87855079557956517</c:v>
                </c:pt>
                <c:pt idx="69">
                  <c:v>-0.87508847543411206</c:v>
                </c:pt>
                <c:pt idx="70">
                  <c:v>-0.86006936817939161</c:v>
                </c:pt>
                <c:pt idx="71">
                  <c:v>-0.85847137129504036</c:v>
                </c:pt>
                <c:pt idx="72">
                  <c:v>-0.84358082508022647</c:v>
                </c:pt>
                <c:pt idx="73">
                  <c:v>-0.82893417664067315</c:v>
                </c:pt>
                <c:pt idx="74">
                  <c:v>-0.8268734431087178</c:v>
                </c:pt>
                <c:pt idx="75">
                  <c:v>-0.82281965858508455</c:v>
                </c:pt>
                <c:pt idx="76">
                  <c:v>-0.81252205315322645</c:v>
                </c:pt>
                <c:pt idx="77">
                  <c:v>-0.80833512211099245</c:v>
                </c:pt>
                <c:pt idx="78">
                  <c:v>-0.7960497214769402</c:v>
                </c:pt>
                <c:pt idx="79">
                  <c:v>-0.78933938116930435</c:v>
                </c:pt>
                <c:pt idx="80">
                  <c:v>-0.78110036437009756</c:v>
                </c:pt>
                <c:pt idx="81">
                  <c:v>-0.77256397256164122</c:v>
                </c:pt>
                <c:pt idx="82">
                  <c:v>-0.76844520954536311</c:v>
                </c:pt>
                <c:pt idx="83">
                  <c:v>-0.76325101320992295</c:v>
                </c:pt>
                <c:pt idx="84">
                  <c:v>-0.75950614299184738</c:v>
                </c:pt>
                <c:pt idx="85">
                  <c:v>-0.75751706682775866</c:v>
                </c:pt>
                <c:pt idx="86">
                  <c:v>-0.75457189916222744</c:v>
                </c:pt>
                <c:pt idx="87">
                  <c:v>-0.75452115641439021</c:v>
                </c:pt>
                <c:pt idx="88">
                  <c:v>-0.74708884873176218</c:v>
                </c:pt>
                <c:pt idx="89">
                  <c:v>-0.74192401686980725</c:v>
                </c:pt>
                <c:pt idx="90">
                  <c:v>-0.73626542374561854</c:v>
                </c:pt>
                <c:pt idx="91">
                  <c:v>-0.72283127398567082</c:v>
                </c:pt>
                <c:pt idx="92">
                  <c:v>-0.70648636894145489</c:v>
                </c:pt>
                <c:pt idx="93">
                  <c:v>-0.69392179736044635</c:v>
                </c:pt>
                <c:pt idx="94">
                  <c:v>-0.68678649689214288</c:v>
                </c:pt>
                <c:pt idx="95">
                  <c:v>-0.68324182750021734</c:v>
                </c:pt>
                <c:pt idx="96">
                  <c:v>-0.66878988326602917</c:v>
                </c:pt>
                <c:pt idx="97">
                  <c:v>-0.66377208981313185</c:v>
                </c:pt>
                <c:pt idx="98">
                  <c:v>-0.65612392430107436</c:v>
                </c:pt>
                <c:pt idx="99">
                  <c:v>-0.63802821850481273</c:v>
                </c:pt>
                <c:pt idx="100">
                  <c:v>-0.63228553332444015</c:v>
                </c:pt>
                <c:pt idx="101">
                  <c:v>-0.62096861122347391</c:v>
                </c:pt>
                <c:pt idx="102">
                  <c:v>-0.61593470926202398</c:v>
                </c:pt>
                <c:pt idx="103">
                  <c:v>-0.61509549983121248</c:v>
                </c:pt>
                <c:pt idx="104">
                  <c:v>-0.61264897901117765</c:v>
                </c:pt>
                <c:pt idx="105">
                  <c:v>-0.60409084446563865</c:v>
                </c:pt>
                <c:pt idx="106">
                  <c:v>-0.59179023453714441</c:v>
                </c:pt>
                <c:pt idx="107">
                  <c:v>-0.59082143000943876</c:v>
                </c:pt>
                <c:pt idx="108">
                  <c:v>-0.58466219481199677</c:v>
                </c:pt>
                <c:pt idx="109">
                  <c:v>-0.58163018536706346</c:v>
                </c:pt>
                <c:pt idx="110">
                  <c:v>-0.58074238683041579</c:v>
                </c:pt>
                <c:pt idx="111">
                  <c:v>-0.55753264896976451</c:v>
                </c:pt>
                <c:pt idx="112">
                  <c:v>-0.55221926921070352</c:v>
                </c:pt>
                <c:pt idx="113">
                  <c:v>-0.55194584126169699</c:v>
                </c:pt>
                <c:pt idx="114">
                  <c:v>-0.55072347548179312</c:v>
                </c:pt>
                <c:pt idx="115">
                  <c:v>-0.53338642732774066</c:v>
                </c:pt>
                <c:pt idx="116">
                  <c:v>-0.52393736657058176</c:v>
                </c:pt>
                <c:pt idx="117">
                  <c:v>-0.49892317917099432</c:v>
                </c:pt>
                <c:pt idx="118">
                  <c:v>-0.48011210341267641</c:v>
                </c:pt>
                <c:pt idx="119">
                  <c:v>-0.47899199098150291</c:v>
                </c:pt>
                <c:pt idx="120">
                  <c:v>-0.46498176646527745</c:v>
                </c:pt>
                <c:pt idx="121">
                  <c:v>-0.4545453066083554</c:v>
                </c:pt>
                <c:pt idx="122">
                  <c:v>-0.44392180663234571</c:v>
                </c:pt>
                <c:pt idx="123">
                  <c:v>-0.44348189348087957</c:v>
                </c:pt>
                <c:pt idx="124">
                  <c:v>-0.44257513070662002</c:v>
                </c:pt>
                <c:pt idx="125">
                  <c:v>-0.43529358270499241</c:v>
                </c:pt>
                <c:pt idx="126">
                  <c:v>-0.4338415062904411</c:v>
                </c:pt>
                <c:pt idx="127">
                  <c:v>-0.4283920105670963</c:v>
                </c:pt>
                <c:pt idx="128">
                  <c:v>-0.4182369320992394</c:v>
                </c:pt>
                <c:pt idx="129">
                  <c:v>-0.40591022394118104</c:v>
                </c:pt>
                <c:pt idx="130">
                  <c:v>-0.40193142131393816</c:v>
                </c:pt>
                <c:pt idx="131">
                  <c:v>-0.39486001875875998</c:v>
                </c:pt>
                <c:pt idx="132">
                  <c:v>-0.38508480762603786</c:v>
                </c:pt>
                <c:pt idx="133">
                  <c:v>-0.38135513775663438</c:v>
                </c:pt>
                <c:pt idx="134">
                  <c:v>-0.36253627723479914</c:v>
                </c:pt>
                <c:pt idx="135">
                  <c:v>-0.34222462819834187</c:v>
                </c:pt>
                <c:pt idx="136">
                  <c:v>-0.32610721496463052</c:v>
                </c:pt>
                <c:pt idx="137">
                  <c:v>-0.31654278630410199</c:v>
                </c:pt>
                <c:pt idx="138">
                  <c:v>-0.31629077006854084</c:v>
                </c:pt>
                <c:pt idx="139">
                  <c:v>-0.3131170267789195</c:v>
                </c:pt>
                <c:pt idx="140">
                  <c:v>-0.31053190188587199</c:v>
                </c:pt>
                <c:pt idx="141">
                  <c:v>-0.30358004022533047</c:v>
                </c:pt>
                <c:pt idx="142">
                  <c:v>-0.29588942339118907</c:v>
                </c:pt>
                <c:pt idx="143">
                  <c:v>-0.28991504577291533</c:v>
                </c:pt>
                <c:pt idx="144">
                  <c:v>-0.28923752793397073</c:v>
                </c:pt>
                <c:pt idx="145">
                  <c:v>-0.27897206548305931</c:v>
                </c:pt>
                <c:pt idx="146">
                  <c:v>-0.27496797490025449</c:v>
                </c:pt>
                <c:pt idx="147">
                  <c:v>-0.2744986939956594</c:v>
                </c:pt>
                <c:pt idx="148">
                  <c:v>-0.26432732427601652</c:v>
                </c:pt>
                <c:pt idx="149">
                  <c:v>-0.26364023528520003</c:v>
                </c:pt>
                <c:pt idx="150">
                  <c:v>-0.25886999570707547</c:v>
                </c:pt>
                <c:pt idx="151">
                  <c:v>-0.2557150343200344</c:v>
                </c:pt>
                <c:pt idx="152">
                  <c:v>-0.24814969353100894</c:v>
                </c:pt>
                <c:pt idx="153">
                  <c:v>-0.24289117425341836</c:v>
                </c:pt>
                <c:pt idx="154">
                  <c:v>-0.24068058859416844</c:v>
                </c:pt>
                <c:pt idx="155">
                  <c:v>-0.23318022611887829</c:v>
                </c:pt>
                <c:pt idx="156">
                  <c:v>-0.22773334599687459</c:v>
                </c:pt>
                <c:pt idx="157">
                  <c:v>-0.22349400460848995</c:v>
                </c:pt>
                <c:pt idx="158">
                  <c:v>-0.22021492268660475</c:v>
                </c:pt>
                <c:pt idx="159">
                  <c:v>-0.20291519301261843</c:v>
                </c:pt>
                <c:pt idx="160">
                  <c:v>-0.19933424776620928</c:v>
                </c:pt>
                <c:pt idx="161">
                  <c:v>-0.19789440550577833</c:v>
                </c:pt>
                <c:pt idx="162">
                  <c:v>-0.19419634887019752</c:v>
                </c:pt>
                <c:pt idx="163">
                  <c:v>-0.19410783505686549</c:v>
                </c:pt>
                <c:pt idx="164">
                  <c:v>-0.18942202796255866</c:v>
                </c:pt>
                <c:pt idx="165">
                  <c:v>-0.18217601115513996</c:v>
                </c:pt>
                <c:pt idx="166">
                  <c:v>-0.17875083851948473</c:v>
                </c:pt>
                <c:pt idx="167">
                  <c:v>-0.1637477879265988</c:v>
                </c:pt>
                <c:pt idx="168">
                  <c:v>-0.16166667853581004</c:v>
                </c:pt>
                <c:pt idx="169">
                  <c:v>-0.1580347863334722</c:v>
                </c:pt>
                <c:pt idx="170">
                  <c:v>-0.15390694742658717</c:v>
                </c:pt>
                <c:pt idx="171">
                  <c:v>-0.15234540833318785</c:v>
                </c:pt>
                <c:pt idx="172">
                  <c:v>-0.15142098901853462</c:v>
                </c:pt>
                <c:pt idx="173">
                  <c:v>-0.14983838636843658</c:v>
                </c:pt>
                <c:pt idx="174">
                  <c:v>-0.14480257381873163</c:v>
                </c:pt>
                <c:pt idx="175">
                  <c:v>-0.14215101395795629</c:v>
                </c:pt>
                <c:pt idx="176">
                  <c:v>-0.13131189884057307</c:v>
                </c:pt>
                <c:pt idx="177">
                  <c:v>-0.119856830968657</c:v>
                </c:pt>
                <c:pt idx="178">
                  <c:v>-0.10402109723738608</c:v>
                </c:pt>
                <c:pt idx="179">
                  <c:v>-0.10145734321849574</c:v>
                </c:pt>
                <c:pt idx="180">
                  <c:v>-9.8723664725633833E-2</c:v>
                </c:pt>
                <c:pt idx="181">
                  <c:v>-8.6786137087073154E-2</c:v>
                </c:pt>
                <c:pt idx="182">
                  <c:v>-8.5231484219193049E-2</c:v>
                </c:pt>
                <c:pt idx="183">
                  <c:v>-7.199900072986111E-2</c:v>
                </c:pt>
                <c:pt idx="184">
                  <c:v>-7.0617155228780759E-2</c:v>
                </c:pt>
                <c:pt idx="185">
                  <c:v>-6.5682072482442247E-2</c:v>
                </c:pt>
                <c:pt idx="186">
                  <c:v>-6.3550945766768785E-2</c:v>
                </c:pt>
                <c:pt idx="187">
                  <c:v>-5.032391780723363E-2</c:v>
                </c:pt>
                <c:pt idx="188">
                  <c:v>-5.0151452692643997E-2</c:v>
                </c:pt>
                <c:pt idx="189">
                  <c:v>-3.7067224491663844E-2</c:v>
                </c:pt>
                <c:pt idx="190">
                  <c:v>-3.3128045912269553E-2</c:v>
                </c:pt>
                <c:pt idx="191">
                  <c:v>-3.1377572652116069E-2</c:v>
                </c:pt>
                <c:pt idx="192">
                  <c:v>-2.8119699994223715E-2</c:v>
                </c:pt>
                <c:pt idx="193">
                  <c:v>-2.6512351797492825E-2</c:v>
                </c:pt>
                <c:pt idx="194">
                  <c:v>-2.0495322425387076E-2</c:v>
                </c:pt>
                <c:pt idx="195">
                  <c:v>-1.3087490477449268E-2</c:v>
                </c:pt>
                <c:pt idx="196">
                  <c:v>-1.2115968549611986E-2</c:v>
                </c:pt>
                <c:pt idx="197">
                  <c:v>-1.1623375752352078E-2</c:v>
                </c:pt>
                <c:pt idx="198">
                  <c:v>-9.0731992161399936E-3</c:v>
                </c:pt>
                <c:pt idx="199">
                  <c:v>2.4603534850325339E-3</c:v>
                </c:pt>
                <c:pt idx="200">
                  <c:v>9.7946834914373372E-3</c:v>
                </c:pt>
                <c:pt idx="201">
                  <c:v>1.3677785391091995E-2</c:v>
                </c:pt>
                <c:pt idx="202">
                  <c:v>1.5048430823993899E-2</c:v>
                </c:pt>
                <c:pt idx="203">
                  <c:v>1.6521563559615881E-2</c:v>
                </c:pt>
                <c:pt idx="204">
                  <c:v>1.9978196923054012E-2</c:v>
                </c:pt>
                <c:pt idx="205">
                  <c:v>2.781136326470084E-2</c:v>
                </c:pt>
                <c:pt idx="206">
                  <c:v>3.0723966658172362E-2</c:v>
                </c:pt>
                <c:pt idx="207">
                  <c:v>3.3677120231556792E-2</c:v>
                </c:pt>
                <c:pt idx="208">
                  <c:v>3.5295875579668894E-2</c:v>
                </c:pt>
                <c:pt idx="209">
                  <c:v>4.357517290963854E-2</c:v>
                </c:pt>
                <c:pt idx="210">
                  <c:v>4.4247006473740601E-2</c:v>
                </c:pt>
                <c:pt idx="211">
                  <c:v>5.5683358456535478E-2</c:v>
                </c:pt>
                <c:pt idx="212">
                  <c:v>6.1844508852538164E-2</c:v>
                </c:pt>
                <c:pt idx="213">
                  <c:v>6.7796750316846358E-2</c:v>
                </c:pt>
                <c:pt idx="214">
                  <c:v>7.2633416429777817E-2</c:v>
                </c:pt>
                <c:pt idx="215">
                  <c:v>7.8125519301108906E-2</c:v>
                </c:pt>
                <c:pt idx="216">
                  <c:v>8.1721707715661354E-2</c:v>
                </c:pt>
                <c:pt idx="217">
                  <c:v>8.7513237424759235E-2</c:v>
                </c:pt>
                <c:pt idx="218">
                  <c:v>0.12614744788801885</c:v>
                </c:pt>
                <c:pt idx="219">
                  <c:v>0.12974540077511315</c:v>
                </c:pt>
                <c:pt idx="220">
                  <c:v>0.12999171896584169</c:v>
                </c:pt>
                <c:pt idx="221">
                  <c:v>0.13985011155836161</c:v>
                </c:pt>
                <c:pt idx="222">
                  <c:v>0.15513508303132956</c:v>
                </c:pt>
                <c:pt idx="223">
                  <c:v>0.17184976624815418</c:v>
                </c:pt>
                <c:pt idx="224">
                  <c:v>0.17289252435540003</c:v>
                </c:pt>
                <c:pt idx="225">
                  <c:v>0.18042945365691565</c:v>
                </c:pt>
                <c:pt idx="226">
                  <c:v>0.18470642599231274</c:v>
                </c:pt>
                <c:pt idx="227">
                  <c:v>0.18658521528183183</c:v>
                </c:pt>
                <c:pt idx="228">
                  <c:v>0.18988660114211794</c:v>
                </c:pt>
                <c:pt idx="229">
                  <c:v>0.19800523327850184</c:v>
                </c:pt>
                <c:pt idx="230">
                  <c:v>0.19993267130990572</c:v>
                </c:pt>
                <c:pt idx="231">
                  <c:v>0.20398710450777527</c:v>
                </c:pt>
                <c:pt idx="232">
                  <c:v>0.21089005247032522</c:v>
                </c:pt>
                <c:pt idx="233">
                  <c:v>0.21951048018534694</c:v>
                </c:pt>
                <c:pt idx="234">
                  <c:v>0.22330383955665867</c:v>
                </c:pt>
                <c:pt idx="235">
                  <c:v>0.22503211391071432</c:v>
                </c:pt>
                <c:pt idx="236">
                  <c:v>0.22610292454868022</c:v>
                </c:pt>
                <c:pt idx="237">
                  <c:v>0.2334274183109103</c:v>
                </c:pt>
                <c:pt idx="238">
                  <c:v>0.24039254577346184</c:v>
                </c:pt>
                <c:pt idx="239">
                  <c:v>0.24386567077228774</c:v>
                </c:pt>
                <c:pt idx="240">
                  <c:v>0.25110022474118066</c:v>
                </c:pt>
                <c:pt idx="241">
                  <c:v>0.25381221692103473</c:v>
                </c:pt>
                <c:pt idx="242">
                  <c:v>0.25939653083974346</c:v>
                </c:pt>
                <c:pt idx="243">
                  <c:v>0.26483477874394723</c:v>
                </c:pt>
                <c:pt idx="244">
                  <c:v>0.26714134253452815</c:v>
                </c:pt>
                <c:pt idx="245">
                  <c:v>0.27141090048237276</c:v>
                </c:pt>
                <c:pt idx="246">
                  <c:v>0.2749672873635931</c:v>
                </c:pt>
                <c:pt idx="247">
                  <c:v>0.27649769074526315</c:v>
                </c:pt>
                <c:pt idx="248">
                  <c:v>0.2802206101814847</c:v>
                </c:pt>
                <c:pt idx="249">
                  <c:v>0.28753308488155438</c:v>
                </c:pt>
                <c:pt idx="250">
                  <c:v>0.29319660015181503</c:v>
                </c:pt>
                <c:pt idx="251">
                  <c:v>0.29552136767781301</c:v>
                </c:pt>
                <c:pt idx="252">
                  <c:v>0.30206292858297307</c:v>
                </c:pt>
                <c:pt idx="253">
                  <c:v>0.31685206458484116</c:v>
                </c:pt>
                <c:pt idx="254">
                  <c:v>0.32432388942401408</c:v>
                </c:pt>
                <c:pt idx="255">
                  <c:v>0.33488821969058197</c:v>
                </c:pt>
                <c:pt idx="256">
                  <c:v>0.34571317856571621</c:v>
                </c:pt>
                <c:pt idx="257">
                  <c:v>0.34767210505293855</c:v>
                </c:pt>
                <c:pt idx="258">
                  <c:v>0.35223603151478755</c:v>
                </c:pt>
                <c:pt idx="259">
                  <c:v>0.3734161112853604</c:v>
                </c:pt>
                <c:pt idx="260">
                  <c:v>0.37698943709717592</c:v>
                </c:pt>
                <c:pt idx="261">
                  <c:v>0.37898661019969393</c:v>
                </c:pt>
                <c:pt idx="262">
                  <c:v>0.3790485664453247</c:v>
                </c:pt>
                <c:pt idx="263">
                  <c:v>0.38024696094502353</c:v>
                </c:pt>
                <c:pt idx="264">
                  <c:v>0.38649046111355201</c:v>
                </c:pt>
                <c:pt idx="265">
                  <c:v>0.39604728421942698</c:v>
                </c:pt>
                <c:pt idx="266">
                  <c:v>0.39947920216775701</c:v>
                </c:pt>
                <c:pt idx="267">
                  <c:v>0.39968495672630688</c:v>
                </c:pt>
                <c:pt idx="268">
                  <c:v>0.4116364131495851</c:v>
                </c:pt>
                <c:pt idx="269">
                  <c:v>0.42871024250542339</c:v>
                </c:pt>
                <c:pt idx="270">
                  <c:v>0.43079556603355523</c:v>
                </c:pt>
                <c:pt idx="271">
                  <c:v>0.43174338069117302</c:v>
                </c:pt>
                <c:pt idx="272">
                  <c:v>0.43433707282313838</c:v>
                </c:pt>
                <c:pt idx="273">
                  <c:v>0.4407931061238981</c:v>
                </c:pt>
                <c:pt idx="274">
                  <c:v>0.44266880067425035</c:v>
                </c:pt>
                <c:pt idx="275">
                  <c:v>0.44275727569779938</c:v>
                </c:pt>
                <c:pt idx="276">
                  <c:v>0.45088667377233937</c:v>
                </c:pt>
                <c:pt idx="277">
                  <c:v>0.45411013125419586</c:v>
                </c:pt>
                <c:pt idx="278">
                  <c:v>0.45874200542910859</c:v>
                </c:pt>
                <c:pt idx="279">
                  <c:v>0.45897738397457388</c:v>
                </c:pt>
                <c:pt idx="280">
                  <c:v>0.46083052696320198</c:v>
                </c:pt>
                <c:pt idx="281">
                  <c:v>0.4654442793344194</c:v>
                </c:pt>
                <c:pt idx="282">
                  <c:v>0.46674163527249862</c:v>
                </c:pt>
                <c:pt idx="283">
                  <c:v>0.46857065274584953</c:v>
                </c:pt>
                <c:pt idx="284">
                  <c:v>0.46871808445674978</c:v>
                </c:pt>
                <c:pt idx="285">
                  <c:v>0.47398446164132163</c:v>
                </c:pt>
                <c:pt idx="286">
                  <c:v>0.48931010929769164</c:v>
                </c:pt>
                <c:pt idx="287">
                  <c:v>0.50018854209738339</c:v>
                </c:pt>
                <c:pt idx="288">
                  <c:v>0.51286368166818253</c:v>
                </c:pt>
                <c:pt idx="289">
                  <c:v>0.52607820754973145</c:v>
                </c:pt>
                <c:pt idx="290">
                  <c:v>0.55319696979360178</c:v>
                </c:pt>
                <c:pt idx="291">
                  <c:v>0.55656803120621701</c:v>
                </c:pt>
                <c:pt idx="292">
                  <c:v>0.55972501051096391</c:v>
                </c:pt>
                <c:pt idx="293">
                  <c:v>0.56798307093810663</c:v>
                </c:pt>
                <c:pt idx="294">
                  <c:v>0.56878580743136242</c:v>
                </c:pt>
                <c:pt idx="295">
                  <c:v>0.58752778997756971</c:v>
                </c:pt>
                <c:pt idx="296">
                  <c:v>0.60637414955155566</c:v>
                </c:pt>
                <c:pt idx="297">
                  <c:v>0.6077873084612555</c:v>
                </c:pt>
                <c:pt idx="298">
                  <c:v>0.60888968943784472</c:v>
                </c:pt>
                <c:pt idx="299">
                  <c:v>0.61570961852167438</c:v>
                </c:pt>
                <c:pt idx="300">
                  <c:v>0.62541466034937299</c:v>
                </c:pt>
                <c:pt idx="301">
                  <c:v>0.62988652393519529</c:v>
                </c:pt>
                <c:pt idx="302">
                  <c:v>0.65290692305069276</c:v>
                </c:pt>
                <c:pt idx="303">
                  <c:v>0.6556418348632248</c:v>
                </c:pt>
                <c:pt idx="304">
                  <c:v>0.66552441488229708</c:v>
                </c:pt>
                <c:pt idx="305">
                  <c:v>0.67123358040088366</c:v>
                </c:pt>
                <c:pt idx="306">
                  <c:v>0.67383986412758512</c:v>
                </c:pt>
                <c:pt idx="307">
                  <c:v>0.6741998247581702</c:v>
                </c:pt>
                <c:pt idx="308">
                  <c:v>0.67897281388579944</c:v>
                </c:pt>
                <c:pt idx="309">
                  <c:v>0.68086529918536198</c:v>
                </c:pt>
                <c:pt idx="310">
                  <c:v>0.68104115262367493</c:v>
                </c:pt>
                <c:pt idx="311">
                  <c:v>0.69192234930796725</c:v>
                </c:pt>
                <c:pt idx="312">
                  <c:v>0.70221206283556825</c:v>
                </c:pt>
                <c:pt idx="313">
                  <c:v>0.71162663600437204</c:v>
                </c:pt>
                <c:pt idx="314">
                  <c:v>0.71980311888979953</c:v>
                </c:pt>
                <c:pt idx="315">
                  <c:v>0.73255545774192499</c:v>
                </c:pt>
                <c:pt idx="316">
                  <c:v>0.74258970300151861</c:v>
                </c:pt>
                <c:pt idx="317">
                  <c:v>0.74844507336636135</c:v>
                </c:pt>
                <c:pt idx="318">
                  <c:v>0.77893428137700682</c:v>
                </c:pt>
                <c:pt idx="319">
                  <c:v>0.78371741325869382</c:v>
                </c:pt>
                <c:pt idx="320">
                  <c:v>0.7914864360088929</c:v>
                </c:pt>
                <c:pt idx="321">
                  <c:v>0.80808342930667132</c:v>
                </c:pt>
                <c:pt idx="322">
                  <c:v>0.81643234827063926</c:v>
                </c:pt>
                <c:pt idx="323">
                  <c:v>0.82794023224202973</c:v>
                </c:pt>
                <c:pt idx="324">
                  <c:v>0.83361742346055501</c:v>
                </c:pt>
                <c:pt idx="325">
                  <c:v>0.84720077695598384</c:v>
                </c:pt>
                <c:pt idx="326">
                  <c:v>0.8534981078051288</c:v>
                </c:pt>
                <c:pt idx="327">
                  <c:v>0.86418422319002008</c:v>
                </c:pt>
                <c:pt idx="328">
                  <c:v>0.87264012009621761</c:v>
                </c:pt>
                <c:pt idx="329">
                  <c:v>0.87970525767098529</c:v>
                </c:pt>
                <c:pt idx="330">
                  <c:v>0.88224971223868354</c:v>
                </c:pt>
                <c:pt idx="331">
                  <c:v>0.88428252049290279</c:v>
                </c:pt>
                <c:pt idx="332">
                  <c:v>0.89210317838710018</c:v>
                </c:pt>
                <c:pt idx="333">
                  <c:v>0.89328897781380623</c:v>
                </c:pt>
                <c:pt idx="334">
                  <c:v>0.89925474334883049</c:v>
                </c:pt>
                <c:pt idx="335">
                  <c:v>0.92150618089199277</c:v>
                </c:pt>
                <c:pt idx="336">
                  <c:v>0.9235433462638315</c:v>
                </c:pt>
                <c:pt idx="337">
                  <c:v>0.92900557209987766</c:v>
                </c:pt>
                <c:pt idx="338">
                  <c:v>0.93448737390407655</c:v>
                </c:pt>
                <c:pt idx="339">
                  <c:v>0.96387111404314918</c:v>
                </c:pt>
                <c:pt idx="340">
                  <c:v>0.96668836786536427</c:v>
                </c:pt>
                <c:pt idx="341">
                  <c:v>0.9792108710792421</c:v>
                </c:pt>
                <c:pt idx="342">
                  <c:v>0.99045257304542067</c:v>
                </c:pt>
                <c:pt idx="343">
                  <c:v>0.99590616832095791</c:v>
                </c:pt>
                <c:pt idx="344">
                  <c:v>0.99879597785625729</c:v>
                </c:pt>
                <c:pt idx="345">
                  <c:v>1.0160259092109321</c:v>
                </c:pt>
                <c:pt idx="346">
                  <c:v>1.04461770630526</c:v>
                </c:pt>
                <c:pt idx="347">
                  <c:v>1.0807560254323885</c:v>
                </c:pt>
                <c:pt idx="348">
                  <c:v>1.1069048065287981</c:v>
                </c:pt>
                <c:pt idx="349">
                  <c:v>1.1097334264431693</c:v>
                </c:pt>
                <c:pt idx="350">
                  <c:v>1.1280247387124049</c:v>
                </c:pt>
                <c:pt idx="351">
                  <c:v>1.1659795306247449</c:v>
                </c:pt>
                <c:pt idx="352">
                  <c:v>1.1660321456416034</c:v>
                </c:pt>
                <c:pt idx="353">
                  <c:v>1.1863106075738008</c:v>
                </c:pt>
                <c:pt idx="354">
                  <c:v>1.1899727275032896</c:v>
                </c:pt>
                <c:pt idx="355">
                  <c:v>1.2143705581244542</c:v>
                </c:pt>
                <c:pt idx="356">
                  <c:v>1.2394515341278651</c:v>
                </c:pt>
                <c:pt idx="357">
                  <c:v>1.26708074925088</c:v>
                </c:pt>
                <c:pt idx="358">
                  <c:v>1.2915705569901503</c:v>
                </c:pt>
                <c:pt idx="359">
                  <c:v>1.3082330687569519</c:v>
                </c:pt>
                <c:pt idx="360">
                  <c:v>1.3160037932020494</c:v>
                </c:pt>
                <c:pt idx="361">
                  <c:v>1.3348865121336095</c:v>
                </c:pt>
                <c:pt idx="362">
                  <c:v>1.4296443982960441</c:v>
                </c:pt>
                <c:pt idx="363">
                  <c:v>1.4343249307838992</c:v>
                </c:pt>
                <c:pt idx="364">
                  <c:v>1.482908951694333</c:v>
                </c:pt>
                <c:pt idx="365">
                  <c:v>1.4945061059531675</c:v>
                </c:pt>
                <c:pt idx="366">
                  <c:v>1.539587675300794</c:v>
                </c:pt>
                <c:pt idx="367">
                  <c:v>1.5500221062846573</c:v>
                </c:pt>
                <c:pt idx="368">
                  <c:v>1.5535500258921526</c:v>
                </c:pt>
                <c:pt idx="369">
                  <c:v>1.5585580298512536</c:v>
                </c:pt>
                <c:pt idx="370">
                  <c:v>1.5747836013923129</c:v>
                </c:pt>
                <c:pt idx="371">
                  <c:v>1.5748070831006031</c:v>
                </c:pt>
                <c:pt idx="372">
                  <c:v>1.5766853430851646</c:v>
                </c:pt>
                <c:pt idx="373">
                  <c:v>1.5835184219573573</c:v>
                </c:pt>
                <c:pt idx="374">
                  <c:v>1.6231038143843988</c:v>
                </c:pt>
                <c:pt idx="375">
                  <c:v>1.6395545081768079</c:v>
                </c:pt>
                <c:pt idx="376">
                  <c:v>1.6896822821993771</c:v>
                </c:pt>
                <c:pt idx="377">
                  <c:v>1.8285518903811393</c:v>
                </c:pt>
                <c:pt idx="378">
                  <c:v>1.8307638951688041</c:v>
                </c:pt>
                <c:pt idx="379">
                  <c:v>1.937883735039764</c:v>
                </c:pt>
                <c:pt idx="380">
                  <c:v>1.9447162353916565</c:v>
                </c:pt>
                <c:pt idx="381">
                  <c:v>2.0304757137130016</c:v>
                </c:pt>
                <c:pt idx="382">
                  <c:v>2.1111674999819705</c:v>
                </c:pt>
                <c:pt idx="383">
                  <c:v>2.2990445774735213</c:v>
                </c:pt>
                <c:pt idx="384">
                  <c:v>2.3790723412149868</c:v>
                </c:pt>
                <c:pt idx="385">
                  <c:v>2.6212478115325442</c:v>
                </c:pt>
                <c:pt idx="386">
                  <c:v>2.7473960479992194</c:v>
                </c:pt>
                <c:pt idx="387">
                  <c:v>2.9429591190884881</c:v>
                </c:pt>
                <c:pt idx="388">
                  <c:v>3.1819916573400091</c:v>
                </c:pt>
                <c:pt idx="389">
                  <c:v>3.2394353065249786</c:v>
                </c:pt>
                <c:pt idx="390">
                  <c:v>3.4720773077781244</c:v>
                </c:pt>
                <c:pt idx="391">
                  <c:v>4.2007262122566926</c:v>
                </c:pt>
              </c:numCache>
            </c:numRef>
          </c:yVal>
          <c:smooth val="0"/>
          <c:extLst>
            <c:ext xmlns:c16="http://schemas.microsoft.com/office/drawing/2014/chart" uri="{C3380CC4-5D6E-409C-BE32-E72D297353CC}">
              <c16:uniqueId val="{00000001-5C07-485A-9807-75EBC6755CAB}"/>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yVal>
          <c:smooth val="0"/>
          <c:extLst>
            <c:ext xmlns:c16="http://schemas.microsoft.com/office/drawing/2014/chart" uri="{C3380CC4-5D6E-409C-BE32-E72D297353CC}">
              <c16:uniqueId val="{00000002-5C07-485A-9807-75EBC6755CAB}"/>
            </c:ext>
          </c:extLst>
        </c:ser>
        <c:dLbls>
          <c:showLegendKey val="0"/>
          <c:showVal val="0"/>
          <c:showCatName val="0"/>
          <c:showSerName val="0"/>
          <c:showPercent val="0"/>
          <c:showBubbleSize val="0"/>
        </c:dLbls>
        <c:axId val="1291673744"/>
        <c:axId val="1291682384"/>
      </c:scatterChart>
      <c:valAx>
        <c:axId val="1291673744"/>
        <c:scaling>
          <c:orientation val="minMax"/>
          <c:max val="4.2007262122566926"/>
          <c:min val="-3.451682617569364"/>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291682384"/>
        <c:crosses val="autoZero"/>
        <c:crossBetween val="midCat"/>
      </c:valAx>
      <c:valAx>
        <c:axId val="1291682384"/>
        <c:scaling>
          <c:orientation val="minMax"/>
          <c:max val="4.2007262122566926"/>
          <c:min val="-3.451682617569364"/>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2916737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Regression!RegChartActY</c:f>
              <c:numCache>
                <c:formatCode>0.0000</c:formatCode>
                <c:ptCount val="392"/>
                <c:pt idx="0">
                  <c:v>18</c:v>
                </c:pt>
                <c:pt idx="1">
                  <c:v>15</c:v>
                </c:pt>
                <c:pt idx="2">
                  <c:v>18</c:v>
                </c:pt>
                <c:pt idx="3">
                  <c:v>16</c:v>
                </c:pt>
                <c:pt idx="4">
                  <c:v>17</c:v>
                </c:pt>
                <c:pt idx="5">
                  <c:v>15</c:v>
                </c:pt>
                <c:pt idx="6">
                  <c:v>14</c:v>
                </c:pt>
                <c:pt idx="7">
                  <c:v>14</c:v>
                </c:pt>
                <c:pt idx="8">
                  <c:v>14</c:v>
                </c:pt>
                <c:pt idx="9">
                  <c:v>15</c:v>
                </c:pt>
                <c:pt idx="10">
                  <c:v>15</c:v>
                </c:pt>
                <c:pt idx="11">
                  <c:v>14</c:v>
                </c:pt>
                <c:pt idx="12">
                  <c:v>15</c:v>
                </c:pt>
                <c:pt idx="13">
                  <c:v>14</c:v>
                </c:pt>
                <c:pt idx="14">
                  <c:v>24</c:v>
                </c:pt>
                <c:pt idx="15">
                  <c:v>22</c:v>
                </c:pt>
                <c:pt idx="16">
                  <c:v>18</c:v>
                </c:pt>
                <c:pt idx="17">
                  <c:v>21</c:v>
                </c:pt>
                <c:pt idx="18">
                  <c:v>27</c:v>
                </c:pt>
                <c:pt idx="19">
                  <c:v>26</c:v>
                </c:pt>
                <c:pt idx="20">
                  <c:v>25</c:v>
                </c:pt>
                <c:pt idx="21">
                  <c:v>24</c:v>
                </c:pt>
                <c:pt idx="22">
                  <c:v>25</c:v>
                </c:pt>
                <c:pt idx="23">
                  <c:v>26</c:v>
                </c:pt>
                <c:pt idx="24">
                  <c:v>21</c:v>
                </c:pt>
                <c:pt idx="25">
                  <c:v>10</c:v>
                </c:pt>
                <c:pt idx="26">
                  <c:v>10</c:v>
                </c:pt>
                <c:pt idx="27">
                  <c:v>11</c:v>
                </c:pt>
                <c:pt idx="28">
                  <c:v>9</c:v>
                </c:pt>
                <c:pt idx="29">
                  <c:v>27</c:v>
                </c:pt>
                <c:pt idx="30">
                  <c:v>28</c:v>
                </c:pt>
                <c:pt idx="31">
                  <c:v>25</c:v>
                </c:pt>
                <c:pt idx="32">
                  <c:v>19</c:v>
                </c:pt>
                <c:pt idx="33">
                  <c:v>16</c:v>
                </c:pt>
                <c:pt idx="34">
                  <c:v>17</c:v>
                </c:pt>
                <c:pt idx="35">
                  <c:v>19</c:v>
                </c:pt>
                <c:pt idx="36">
                  <c:v>18</c:v>
                </c:pt>
                <c:pt idx="37">
                  <c:v>14</c:v>
                </c:pt>
                <c:pt idx="38">
                  <c:v>14</c:v>
                </c:pt>
                <c:pt idx="39">
                  <c:v>14</c:v>
                </c:pt>
                <c:pt idx="40">
                  <c:v>14</c:v>
                </c:pt>
                <c:pt idx="41">
                  <c:v>12</c:v>
                </c:pt>
                <c:pt idx="42">
                  <c:v>13</c:v>
                </c:pt>
                <c:pt idx="43">
                  <c:v>13</c:v>
                </c:pt>
                <c:pt idx="44">
                  <c:v>18</c:v>
                </c:pt>
                <c:pt idx="45">
                  <c:v>22</c:v>
                </c:pt>
                <c:pt idx="46">
                  <c:v>19</c:v>
                </c:pt>
                <c:pt idx="47">
                  <c:v>18</c:v>
                </c:pt>
                <c:pt idx="48">
                  <c:v>23</c:v>
                </c:pt>
                <c:pt idx="49">
                  <c:v>28</c:v>
                </c:pt>
                <c:pt idx="50">
                  <c:v>30</c:v>
                </c:pt>
                <c:pt idx="51">
                  <c:v>30</c:v>
                </c:pt>
                <c:pt idx="52">
                  <c:v>31</c:v>
                </c:pt>
                <c:pt idx="53">
                  <c:v>35</c:v>
                </c:pt>
                <c:pt idx="54">
                  <c:v>27</c:v>
                </c:pt>
                <c:pt idx="55">
                  <c:v>26</c:v>
                </c:pt>
                <c:pt idx="56">
                  <c:v>24</c:v>
                </c:pt>
                <c:pt idx="57">
                  <c:v>25</c:v>
                </c:pt>
                <c:pt idx="58">
                  <c:v>23</c:v>
                </c:pt>
                <c:pt idx="59">
                  <c:v>20</c:v>
                </c:pt>
                <c:pt idx="60">
                  <c:v>21</c:v>
                </c:pt>
                <c:pt idx="61">
                  <c:v>13</c:v>
                </c:pt>
                <c:pt idx="62">
                  <c:v>14</c:v>
                </c:pt>
                <c:pt idx="63">
                  <c:v>15</c:v>
                </c:pt>
                <c:pt idx="64">
                  <c:v>14</c:v>
                </c:pt>
                <c:pt idx="65">
                  <c:v>17</c:v>
                </c:pt>
                <c:pt idx="66">
                  <c:v>11</c:v>
                </c:pt>
                <c:pt idx="67">
                  <c:v>13</c:v>
                </c:pt>
                <c:pt idx="68">
                  <c:v>12</c:v>
                </c:pt>
                <c:pt idx="69">
                  <c:v>13</c:v>
                </c:pt>
                <c:pt idx="70">
                  <c:v>19</c:v>
                </c:pt>
                <c:pt idx="71">
                  <c:v>15</c:v>
                </c:pt>
                <c:pt idx="72">
                  <c:v>13</c:v>
                </c:pt>
                <c:pt idx="73">
                  <c:v>13</c:v>
                </c:pt>
                <c:pt idx="74">
                  <c:v>14</c:v>
                </c:pt>
                <c:pt idx="75">
                  <c:v>18</c:v>
                </c:pt>
                <c:pt idx="76">
                  <c:v>22</c:v>
                </c:pt>
                <c:pt idx="77">
                  <c:v>21</c:v>
                </c:pt>
                <c:pt idx="78">
                  <c:v>26</c:v>
                </c:pt>
                <c:pt idx="79">
                  <c:v>22</c:v>
                </c:pt>
                <c:pt idx="80">
                  <c:v>28</c:v>
                </c:pt>
                <c:pt idx="81">
                  <c:v>23</c:v>
                </c:pt>
                <c:pt idx="82">
                  <c:v>28</c:v>
                </c:pt>
                <c:pt idx="83">
                  <c:v>27</c:v>
                </c:pt>
                <c:pt idx="84">
                  <c:v>13</c:v>
                </c:pt>
                <c:pt idx="85">
                  <c:v>14</c:v>
                </c:pt>
                <c:pt idx="86">
                  <c:v>13</c:v>
                </c:pt>
                <c:pt idx="87">
                  <c:v>14</c:v>
                </c:pt>
                <c:pt idx="88">
                  <c:v>15</c:v>
                </c:pt>
                <c:pt idx="89">
                  <c:v>12</c:v>
                </c:pt>
                <c:pt idx="90">
                  <c:v>13</c:v>
                </c:pt>
                <c:pt idx="91">
                  <c:v>13</c:v>
                </c:pt>
                <c:pt idx="92">
                  <c:v>14</c:v>
                </c:pt>
                <c:pt idx="93">
                  <c:v>13</c:v>
                </c:pt>
                <c:pt idx="94">
                  <c:v>12</c:v>
                </c:pt>
                <c:pt idx="95">
                  <c:v>13</c:v>
                </c:pt>
                <c:pt idx="96">
                  <c:v>18</c:v>
                </c:pt>
                <c:pt idx="97">
                  <c:v>16</c:v>
                </c:pt>
                <c:pt idx="98">
                  <c:v>18</c:v>
                </c:pt>
                <c:pt idx="99">
                  <c:v>18</c:v>
                </c:pt>
                <c:pt idx="100">
                  <c:v>23</c:v>
                </c:pt>
                <c:pt idx="101">
                  <c:v>26</c:v>
                </c:pt>
                <c:pt idx="102">
                  <c:v>11</c:v>
                </c:pt>
                <c:pt idx="103">
                  <c:v>12</c:v>
                </c:pt>
                <c:pt idx="104">
                  <c:v>13</c:v>
                </c:pt>
                <c:pt idx="105">
                  <c:v>12</c:v>
                </c:pt>
                <c:pt idx="106">
                  <c:v>18</c:v>
                </c:pt>
                <c:pt idx="107">
                  <c:v>20</c:v>
                </c:pt>
                <c:pt idx="108">
                  <c:v>21</c:v>
                </c:pt>
                <c:pt idx="109">
                  <c:v>22</c:v>
                </c:pt>
                <c:pt idx="110">
                  <c:v>18</c:v>
                </c:pt>
                <c:pt idx="111">
                  <c:v>19</c:v>
                </c:pt>
                <c:pt idx="112">
                  <c:v>21</c:v>
                </c:pt>
                <c:pt idx="113">
                  <c:v>26</c:v>
                </c:pt>
                <c:pt idx="114">
                  <c:v>15</c:v>
                </c:pt>
                <c:pt idx="115">
                  <c:v>16</c:v>
                </c:pt>
                <c:pt idx="116">
                  <c:v>29</c:v>
                </c:pt>
                <c:pt idx="117">
                  <c:v>24</c:v>
                </c:pt>
                <c:pt idx="118">
                  <c:v>20</c:v>
                </c:pt>
                <c:pt idx="119">
                  <c:v>19</c:v>
                </c:pt>
                <c:pt idx="120">
                  <c:v>15</c:v>
                </c:pt>
                <c:pt idx="121">
                  <c:v>24</c:v>
                </c:pt>
                <c:pt idx="122">
                  <c:v>20</c:v>
                </c:pt>
                <c:pt idx="123">
                  <c:v>11</c:v>
                </c:pt>
                <c:pt idx="124">
                  <c:v>20</c:v>
                </c:pt>
                <c:pt idx="125">
                  <c:v>19</c:v>
                </c:pt>
                <c:pt idx="126">
                  <c:v>15</c:v>
                </c:pt>
                <c:pt idx="127">
                  <c:v>31</c:v>
                </c:pt>
                <c:pt idx="128">
                  <c:v>26</c:v>
                </c:pt>
                <c:pt idx="129">
                  <c:v>32</c:v>
                </c:pt>
                <c:pt idx="130">
                  <c:v>25</c:v>
                </c:pt>
                <c:pt idx="131">
                  <c:v>16</c:v>
                </c:pt>
                <c:pt idx="132">
                  <c:v>16</c:v>
                </c:pt>
                <c:pt idx="133">
                  <c:v>18</c:v>
                </c:pt>
                <c:pt idx="134">
                  <c:v>16</c:v>
                </c:pt>
                <c:pt idx="135">
                  <c:v>13</c:v>
                </c:pt>
                <c:pt idx="136">
                  <c:v>14</c:v>
                </c:pt>
                <c:pt idx="137">
                  <c:v>14</c:v>
                </c:pt>
                <c:pt idx="138">
                  <c:v>14</c:v>
                </c:pt>
                <c:pt idx="139">
                  <c:v>29</c:v>
                </c:pt>
                <c:pt idx="140">
                  <c:v>26</c:v>
                </c:pt>
                <c:pt idx="141">
                  <c:v>26</c:v>
                </c:pt>
                <c:pt idx="142">
                  <c:v>31</c:v>
                </c:pt>
                <c:pt idx="143">
                  <c:v>32</c:v>
                </c:pt>
                <c:pt idx="144">
                  <c:v>28</c:v>
                </c:pt>
                <c:pt idx="145">
                  <c:v>24</c:v>
                </c:pt>
                <c:pt idx="146">
                  <c:v>26</c:v>
                </c:pt>
                <c:pt idx="147">
                  <c:v>24</c:v>
                </c:pt>
                <c:pt idx="148">
                  <c:v>26</c:v>
                </c:pt>
                <c:pt idx="149">
                  <c:v>31</c:v>
                </c:pt>
                <c:pt idx="150">
                  <c:v>19</c:v>
                </c:pt>
                <c:pt idx="151">
                  <c:v>18</c:v>
                </c:pt>
                <c:pt idx="152">
                  <c:v>15</c:v>
                </c:pt>
                <c:pt idx="153">
                  <c:v>15</c:v>
                </c:pt>
                <c:pt idx="154">
                  <c:v>16</c:v>
                </c:pt>
                <c:pt idx="155">
                  <c:v>15</c:v>
                </c:pt>
                <c:pt idx="156">
                  <c:v>16</c:v>
                </c:pt>
                <c:pt idx="157">
                  <c:v>14</c:v>
                </c:pt>
                <c:pt idx="158">
                  <c:v>17</c:v>
                </c:pt>
                <c:pt idx="159">
                  <c:v>16</c:v>
                </c:pt>
                <c:pt idx="160">
                  <c:v>15</c:v>
                </c:pt>
                <c:pt idx="161">
                  <c:v>18</c:v>
                </c:pt>
                <c:pt idx="162">
                  <c:v>21</c:v>
                </c:pt>
                <c:pt idx="163">
                  <c:v>20</c:v>
                </c:pt>
                <c:pt idx="164">
                  <c:v>13</c:v>
                </c:pt>
                <c:pt idx="165">
                  <c:v>29</c:v>
                </c:pt>
                <c:pt idx="166">
                  <c:v>23</c:v>
                </c:pt>
                <c:pt idx="167">
                  <c:v>20</c:v>
                </c:pt>
                <c:pt idx="168">
                  <c:v>23</c:v>
                </c:pt>
                <c:pt idx="169">
                  <c:v>24</c:v>
                </c:pt>
                <c:pt idx="170">
                  <c:v>25</c:v>
                </c:pt>
                <c:pt idx="171">
                  <c:v>24</c:v>
                </c:pt>
                <c:pt idx="172">
                  <c:v>18</c:v>
                </c:pt>
                <c:pt idx="173">
                  <c:v>29</c:v>
                </c:pt>
                <c:pt idx="174">
                  <c:v>19</c:v>
                </c:pt>
                <c:pt idx="175">
                  <c:v>23</c:v>
                </c:pt>
                <c:pt idx="176">
                  <c:v>23</c:v>
                </c:pt>
                <c:pt idx="177">
                  <c:v>22</c:v>
                </c:pt>
                <c:pt idx="178">
                  <c:v>25</c:v>
                </c:pt>
                <c:pt idx="179">
                  <c:v>33</c:v>
                </c:pt>
                <c:pt idx="180">
                  <c:v>28</c:v>
                </c:pt>
                <c:pt idx="181">
                  <c:v>25</c:v>
                </c:pt>
                <c:pt idx="182">
                  <c:v>25</c:v>
                </c:pt>
                <c:pt idx="183">
                  <c:v>26</c:v>
                </c:pt>
                <c:pt idx="184">
                  <c:v>27</c:v>
                </c:pt>
                <c:pt idx="185">
                  <c:v>17.5</c:v>
                </c:pt>
                <c:pt idx="186">
                  <c:v>16</c:v>
                </c:pt>
                <c:pt idx="187">
                  <c:v>15.5</c:v>
                </c:pt>
                <c:pt idx="188">
                  <c:v>14.5</c:v>
                </c:pt>
                <c:pt idx="189">
                  <c:v>22</c:v>
                </c:pt>
                <c:pt idx="190">
                  <c:v>22</c:v>
                </c:pt>
                <c:pt idx="191">
                  <c:v>24</c:v>
                </c:pt>
                <c:pt idx="192">
                  <c:v>22.5</c:v>
                </c:pt>
                <c:pt idx="193">
                  <c:v>29</c:v>
                </c:pt>
                <c:pt idx="194">
                  <c:v>24.5</c:v>
                </c:pt>
                <c:pt idx="195">
                  <c:v>29</c:v>
                </c:pt>
                <c:pt idx="196">
                  <c:v>33</c:v>
                </c:pt>
                <c:pt idx="197">
                  <c:v>20</c:v>
                </c:pt>
                <c:pt idx="198">
                  <c:v>18</c:v>
                </c:pt>
                <c:pt idx="199">
                  <c:v>18.5</c:v>
                </c:pt>
                <c:pt idx="200">
                  <c:v>17.5</c:v>
                </c:pt>
                <c:pt idx="201">
                  <c:v>29.5</c:v>
                </c:pt>
                <c:pt idx="202">
                  <c:v>32</c:v>
                </c:pt>
                <c:pt idx="203">
                  <c:v>28</c:v>
                </c:pt>
                <c:pt idx="204">
                  <c:v>26.5</c:v>
                </c:pt>
                <c:pt idx="205">
                  <c:v>20</c:v>
                </c:pt>
                <c:pt idx="206">
                  <c:v>13</c:v>
                </c:pt>
                <c:pt idx="207">
                  <c:v>19</c:v>
                </c:pt>
                <c:pt idx="208">
                  <c:v>19</c:v>
                </c:pt>
                <c:pt idx="209">
                  <c:v>16.5</c:v>
                </c:pt>
                <c:pt idx="210">
                  <c:v>16.5</c:v>
                </c:pt>
                <c:pt idx="211">
                  <c:v>13</c:v>
                </c:pt>
                <c:pt idx="212">
                  <c:v>13</c:v>
                </c:pt>
                <c:pt idx="213">
                  <c:v>13</c:v>
                </c:pt>
                <c:pt idx="214">
                  <c:v>31.5</c:v>
                </c:pt>
                <c:pt idx="215">
                  <c:v>30</c:v>
                </c:pt>
                <c:pt idx="216">
                  <c:v>36</c:v>
                </c:pt>
                <c:pt idx="217">
                  <c:v>25.5</c:v>
                </c:pt>
                <c:pt idx="218">
                  <c:v>33.5</c:v>
                </c:pt>
                <c:pt idx="219">
                  <c:v>17.5</c:v>
                </c:pt>
                <c:pt idx="220">
                  <c:v>17</c:v>
                </c:pt>
                <c:pt idx="221">
                  <c:v>15.5</c:v>
                </c:pt>
                <c:pt idx="222">
                  <c:v>15</c:v>
                </c:pt>
                <c:pt idx="223">
                  <c:v>17.5</c:v>
                </c:pt>
                <c:pt idx="224">
                  <c:v>20.5</c:v>
                </c:pt>
                <c:pt idx="225">
                  <c:v>19</c:v>
                </c:pt>
                <c:pt idx="226">
                  <c:v>18.5</c:v>
                </c:pt>
                <c:pt idx="227">
                  <c:v>16</c:v>
                </c:pt>
                <c:pt idx="228">
                  <c:v>15.5</c:v>
                </c:pt>
                <c:pt idx="229">
                  <c:v>15.5</c:v>
                </c:pt>
                <c:pt idx="230">
                  <c:v>16</c:v>
                </c:pt>
                <c:pt idx="231">
                  <c:v>29</c:v>
                </c:pt>
                <c:pt idx="232">
                  <c:v>24.5</c:v>
                </c:pt>
                <c:pt idx="233">
                  <c:v>26</c:v>
                </c:pt>
                <c:pt idx="234">
                  <c:v>25.5</c:v>
                </c:pt>
                <c:pt idx="235">
                  <c:v>30.5</c:v>
                </c:pt>
                <c:pt idx="236">
                  <c:v>33.5</c:v>
                </c:pt>
                <c:pt idx="237">
                  <c:v>30</c:v>
                </c:pt>
                <c:pt idx="238">
                  <c:v>30.5</c:v>
                </c:pt>
                <c:pt idx="239">
                  <c:v>22</c:v>
                </c:pt>
                <c:pt idx="240">
                  <c:v>21.5</c:v>
                </c:pt>
                <c:pt idx="241">
                  <c:v>21.5</c:v>
                </c:pt>
                <c:pt idx="242">
                  <c:v>43.1</c:v>
                </c:pt>
                <c:pt idx="243">
                  <c:v>36.1</c:v>
                </c:pt>
                <c:pt idx="244">
                  <c:v>32.799999999999997</c:v>
                </c:pt>
                <c:pt idx="245">
                  <c:v>39.4</c:v>
                </c:pt>
                <c:pt idx="246">
                  <c:v>36.1</c:v>
                </c:pt>
                <c:pt idx="247">
                  <c:v>19.899999999999999</c:v>
                </c:pt>
                <c:pt idx="248">
                  <c:v>19.399999999999999</c:v>
                </c:pt>
                <c:pt idx="249">
                  <c:v>20.2</c:v>
                </c:pt>
                <c:pt idx="250">
                  <c:v>19.2</c:v>
                </c:pt>
                <c:pt idx="251">
                  <c:v>20.5</c:v>
                </c:pt>
                <c:pt idx="252">
                  <c:v>20.2</c:v>
                </c:pt>
                <c:pt idx="253">
                  <c:v>25.1</c:v>
                </c:pt>
                <c:pt idx="254">
                  <c:v>20.5</c:v>
                </c:pt>
                <c:pt idx="255">
                  <c:v>19.399999999999999</c:v>
                </c:pt>
                <c:pt idx="256">
                  <c:v>20.6</c:v>
                </c:pt>
                <c:pt idx="257">
                  <c:v>20.8</c:v>
                </c:pt>
                <c:pt idx="258">
                  <c:v>18.600000000000001</c:v>
                </c:pt>
                <c:pt idx="259">
                  <c:v>18.100000000000001</c:v>
                </c:pt>
                <c:pt idx="260">
                  <c:v>19.2</c:v>
                </c:pt>
                <c:pt idx="261">
                  <c:v>17.7</c:v>
                </c:pt>
                <c:pt idx="262">
                  <c:v>18.100000000000001</c:v>
                </c:pt>
                <c:pt idx="263">
                  <c:v>17.5</c:v>
                </c:pt>
                <c:pt idx="264">
                  <c:v>30</c:v>
                </c:pt>
                <c:pt idx="265">
                  <c:v>27.5</c:v>
                </c:pt>
                <c:pt idx="266">
                  <c:v>27.2</c:v>
                </c:pt>
                <c:pt idx="267">
                  <c:v>30.9</c:v>
                </c:pt>
                <c:pt idx="268">
                  <c:v>21.1</c:v>
                </c:pt>
                <c:pt idx="269">
                  <c:v>23.2</c:v>
                </c:pt>
                <c:pt idx="270">
                  <c:v>23.8</c:v>
                </c:pt>
                <c:pt idx="271">
                  <c:v>23.9</c:v>
                </c:pt>
                <c:pt idx="272">
                  <c:v>20.3</c:v>
                </c:pt>
                <c:pt idx="273">
                  <c:v>17</c:v>
                </c:pt>
                <c:pt idx="274">
                  <c:v>21.6</c:v>
                </c:pt>
                <c:pt idx="275">
                  <c:v>16.2</c:v>
                </c:pt>
                <c:pt idx="276">
                  <c:v>31.5</c:v>
                </c:pt>
                <c:pt idx="277">
                  <c:v>29.5</c:v>
                </c:pt>
                <c:pt idx="278">
                  <c:v>21.5</c:v>
                </c:pt>
                <c:pt idx="279">
                  <c:v>19.8</c:v>
                </c:pt>
                <c:pt idx="280">
                  <c:v>22.3</c:v>
                </c:pt>
                <c:pt idx="281">
                  <c:v>20.2</c:v>
                </c:pt>
                <c:pt idx="282">
                  <c:v>20.6</c:v>
                </c:pt>
                <c:pt idx="283">
                  <c:v>17</c:v>
                </c:pt>
                <c:pt idx="284">
                  <c:v>17.600000000000001</c:v>
                </c:pt>
                <c:pt idx="285">
                  <c:v>16.5</c:v>
                </c:pt>
                <c:pt idx="286">
                  <c:v>18.2</c:v>
                </c:pt>
                <c:pt idx="287">
                  <c:v>16.899999999999999</c:v>
                </c:pt>
                <c:pt idx="288">
                  <c:v>15.5</c:v>
                </c:pt>
                <c:pt idx="289">
                  <c:v>19.2</c:v>
                </c:pt>
                <c:pt idx="290">
                  <c:v>18.5</c:v>
                </c:pt>
                <c:pt idx="291">
                  <c:v>31.9</c:v>
                </c:pt>
                <c:pt idx="292">
                  <c:v>34.1</c:v>
                </c:pt>
                <c:pt idx="293">
                  <c:v>35.700000000000003</c:v>
                </c:pt>
                <c:pt idx="294">
                  <c:v>27.4</c:v>
                </c:pt>
                <c:pt idx="295">
                  <c:v>25.4</c:v>
                </c:pt>
                <c:pt idx="296">
                  <c:v>23</c:v>
                </c:pt>
                <c:pt idx="297">
                  <c:v>27.2</c:v>
                </c:pt>
                <c:pt idx="298">
                  <c:v>23.9</c:v>
                </c:pt>
                <c:pt idx="299">
                  <c:v>34.200000000000003</c:v>
                </c:pt>
                <c:pt idx="300">
                  <c:v>34.5</c:v>
                </c:pt>
                <c:pt idx="301">
                  <c:v>31.8</c:v>
                </c:pt>
                <c:pt idx="302">
                  <c:v>37.299999999999997</c:v>
                </c:pt>
                <c:pt idx="303">
                  <c:v>28.4</c:v>
                </c:pt>
                <c:pt idx="304">
                  <c:v>28.8</c:v>
                </c:pt>
                <c:pt idx="305">
                  <c:v>26.8</c:v>
                </c:pt>
                <c:pt idx="306">
                  <c:v>33.5</c:v>
                </c:pt>
                <c:pt idx="307">
                  <c:v>41.5</c:v>
                </c:pt>
                <c:pt idx="308">
                  <c:v>38.1</c:v>
                </c:pt>
                <c:pt idx="309">
                  <c:v>32.1</c:v>
                </c:pt>
                <c:pt idx="310">
                  <c:v>37.200000000000003</c:v>
                </c:pt>
                <c:pt idx="311">
                  <c:v>28</c:v>
                </c:pt>
                <c:pt idx="312">
                  <c:v>26.4</c:v>
                </c:pt>
                <c:pt idx="313">
                  <c:v>24.3</c:v>
                </c:pt>
                <c:pt idx="314">
                  <c:v>19.100000000000001</c:v>
                </c:pt>
                <c:pt idx="315">
                  <c:v>34.299999999999997</c:v>
                </c:pt>
                <c:pt idx="316">
                  <c:v>29.8</c:v>
                </c:pt>
                <c:pt idx="317">
                  <c:v>31.3</c:v>
                </c:pt>
                <c:pt idx="318">
                  <c:v>37</c:v>
                </c:pt>
                <c:pt idx="319">
                  <c:v>32.200000000000003</c:v>
                </c:pt>
                <c:pt idx="320">
                  <c:v>46.6</c:v>
                </c:pt>
                <c:pt idx="321">
                  <c:v>27.9</c:v>
                </c:pt>
                <c:pt idx="322">
                  <c:v>40.799999999999997</c:v>
                </c:pt>
                <c:pt idx="323">
                  <c:v>44.3</c:v>
                </c:pt>
                <c:pt idx="324">
                  <c:v>43.4</c:v>
                </c:pt>
                <c:pt idx="325">
                  <c:v>36.4</c:v>
                </c:pt>
                <c:pt idx="326">
                  <c:v>30</c:v>
                </c:pt>
                <c:pt idx="327">
                  <c:v>44.6</c:v>
                </c:pt>
                <c:pt idx="328">
                  <c:v>33.799999999999997</c:v>
                </c:pt>
                <c:pt idx="329">
                  <c:v>29.8</c:v>
                </c:pt>
                <c:pt idx="330">
                  <c:v>32.700000000000003</c:v>
                </c:pt>
                <c:pt idx="331">
                  <c:v>23.7</c:v>
                </c:pt>
                <c:pt idx="332">
                  <c:v>35</c:v>
                </c:pt>
                <c:pt idx="333">
                  <c:v>32.4</c:v>
                </c:pt>
                <c:pt idx="334">
                  <c:v>27.2</c:v>
                </c:pt>
                <c:pt idx="335">
                  <c:v>26.6</c:v>
                </c:pt>
                <c:pt idx="336">
                  <c:v>25.8</c:v>
                </c:pt>
                <c:pt idx="337">
                  <c:v>23.5</c:v>
                </c:pt>
                <c:pt idx="338">
                  <c:v>30</c:v>
                </c:pt>
                <c:pt idx="339">
                  <c:v>39.1</c:v>
                </c:pt>
                <c:pt idx="340">
                  <c:v>39</c:v>
                </c:pt>
                <c:pt idx="341">
                  <c:v>35.1</c:v>
                </c:pt>
                <c:pt idx="342">
                  <c:v>32.299999999999997</c:v>
                </c:pt>
                <c:pt idx="343">
                  <c:v>37</c:v>
                </c:pt>
                <c:pt idx="344">
                  <c:v>37.700000000000003</c:v>
                </c:pt>
                <c:pt idx="345">
                  <c:v>34.1</c:v>
                </c:pt>
                <c:pt idx="346">
                  <c:v>34.700000000000003</c:v>
                </c:pt>
                <c:pt idx="347">
                  <c:v>34.4</c:v>
                </c:pt>
                <c:pt idx="348">
                  <c:v>29.9</c:v>
                </c:pt>
                <c:pt idx="349">
                  <c:v>33</c:v>
                </c:pt>
                <c:pt idx="350">
                  <c:v>33.700000000000003</c:v>
                </c:pt>
                <c:pt idx="351">
                  <c:v>32.4</c:v>
                </c:pt>
                <c:pt idx="352">
                  <c:v>32.9</c:v>
                </c:pt>
                <c:pt idx="353">
                  <c:v>31.6</c:v>
                </c:pt>
                <c:pt idx="354">
                  <c:v>28.1</c:v>
                </c:pt>
                <c:pt idx="355">
                  <c:v>30.7</c:v>
                </c:pt>
                <c:pt idx="356">
                  <c:v>25.4</c:v>
                </c:pt>
                <c:pt idx="357">
                  <c:v>24.2</c:v>
                </c:pt>
                <c:pt idx="358">
                  <c:v>22.4</c:v>
                </c:pt>
                <c:pt idx="359">
                  <c:v>26.6</c:v>
                </c:pt>
                <c:pt idx="360">
                  <c:v>20.2</c:v>
                </c:pt>
                <c:pt idx="361">
                  <c:v>17.600000000000001</c:v>
                </c:pt>
                <c:pt idx="362">
                  <c:v>28</c:v>
                </c:pt>
                <c:pt idx="363">
                  <c:v>27</c:v>
                </c:pt>
                <c:pt idx="364">
                  <c:v>34</c:v>
                </c:pt>
                <c:pt idx="365">
                  <c:v>31</c:v>
                </c:pt>
                <c:pt idx="366">
                  <c:v>29</c:v>
                </c:pt>
                <c:pt idx="367">
                  <c:v>27</c:v>
                </c:pt>
                <c:pt idx="368">
                  <c:v>24</c:v>
                </c:pt>
                <c:pt idx="369">
                  <c:v>36</c:v>
                </c:pt>
                <c:pt idx="370">
                  <c:v>37</c:v>
                </c:pt>
                <c:pt idx="371">
                  <c:v>31</c:v>
                </c:pt>
                <c:pt idx="372">
                  <c:v>38</c:v>
                </c:pt>
                <c:pt idx="373">
                  <c:v>36</c:v>
                </c:pt>
                <c:pt idx="374">
                  <c:v>36</c:v>
                </c:pt>
                <c:pt idx="375">
                  <c:v>36</c:v>
                </c:pt>
                <c:pt idx="376">
                  <c:v>34</c:v>
                </c:pt>
                <c:pt idx="377">
                  <c:v>38</c:v>
                </c:pt>
                <c:pt idx="378">
                  <c:v>32</c:v>
                </c:pt>
                <c:pt idx="379">
                  <c:v>38</c:v>
                </c:pt>
                <c:pt idx="380">
                  <c:v>25</c:v>
                </c:pt>
                <c:pt idx="381">
                  <c:v>38</c:v>
                </c:pt>
                <c:pt idx="382">
                  <c:v>26</c:v>
                </c:pt>
                <c:pt idx="383">
                  <c:v>22</c:v>
                </c:pt>
                <c:pt idx="384">
                  <c:v>32</c:v>
                </c:pt>
                <c:pt idx="385">
                  <c:v>36</c:v>
                </c:pt>
                <c:pt idx="386">
                  <c:v>27</c:v>
                </c:pt>
                <c:pt idx="387">
                  <c:v>27</c:v>
                </c:pt>
                <c:pt idx="388">
                  <c:v>44</c:v>
                </c:pt>
                <c:pt idx="389">
                  <c:v>32</c:v>
                </c:pt>
                <c:pt idx="390">
                  <c:v>28</c:v>
                </c:pt>
                <c:pt idx="391">
                  <c:v>31</c:v>
                </c:pt>
              </c:numCache>
            </c:numRef>
          </c:yVal>
          <c:smooth val="0"/>
          <c:extLst>
            <c:ext xmlns:c16="http://schemas.microsoft.com/office/drawing/2014/chart" uri="{C3380CC4-5D6E-409C-BE32-E72D297353CC}">
              <c16:uniqueId val="{00000001-6B78-430C-BF88-52FB3E9B245C}"/>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yVal>
          <c:smooth val="0"/>
          <c:extLst>
            <c:ext xmlns:c16="http://schemas.microsoft.com/office/drawing/2014/chart" uri="{C3380CC4-5D6E-409C-BE32-E72D297353CC}">
              <c16:uniqueId val="{00000002-6B78-430C-BF88-52FB3E9B245C}"/>
            </c:ext>
          </c:extLst>
        </c:ser>
        <c:dLbls>
          <c:showLegendKey val="0"/>
          <c:showVal val="0"/>
          <c:showCatName val="0"/>
          <c:showSerName val="0"/>
          <c:showPercent val="0"/>
          <c:showBubbleSize val="0"/>
        </c:dLbls>
        <c:axId val="1291683344"/>
        <c:axId val="1291685264"/>
      </c:scatterChart>
      <c:valAx>
        <c:axId val="1291683344"/>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291685264"/>
        <c:crosses val="autoZero"/>
        <c:crossBetween val="midCat"/>
      </c:valAx>
      <c:valAx>
        <c:axId val="1291685264"/>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12916833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Regression!RegChartScaleLoc</c:f>
              <c:numCache>
                <c:formatCode>0.0000</c:formatCode>
                <c:ptCount val="392"/>
                <c:pt idx="0">
                  <c:v>0.6216835699240828</c:v>
                </c:pt>
                <c:pt idx="1">
                  <c:v>0.32252301815124151</c:v>
                </c:pt>
                <c:pt idx="2">
                  <c:v>0.61566920212507359</c:v>
                </c:pt>
                <c:pt idx="3">
                  <c:v>0.53843759691622139</c:v>
                </c:pt>
                <c:pt idx="4">
                  <c:v>0.12267204581319209</c:v>
                </c:pt>
                <c:pt idx="5">
                  <c:v>1.0798296836268224</c:v>
                </c:pt>
                <c:pt idx="6">
                  <c:v>0.98955084309965702</c:v>
                </c:pt>
                <c:pt idx="7">
                  <c:v>0.93792604061886742</c:v>
                </c:pt>
                <c:pt idx="8">
                  <c:v>1.0620850901469265</c:v>
                </c:pt>
                <c:pt idx="9">
                  <c:v>0.54361877053484187</c:v>
                </c:pt>
                <c:pt idx="10">
                  <c:v>0.54395718893235434</c:v>
                </c:pt>
                <c:pt idx="11">
                  <c:v>0.77723281226775198</c:v>
                </c:pt>
                <c:pt idx="12">
                  <c:v>0.26573888542849872</c:v>
                </c:pt>
                <c:pt idx="13">
                  <c:v>1.0866183182974118</c:v>
                </c:pt>
                <c:pt idx="14">
                  <c:v>0.63398061588185661</c:v>
                </c:pt>
                <c:pt idx="15">
                  <c:v>0.63220641939662936</c:v>
                </c:pt>
                <c:pt idx="16">
                  <c:v>1.012643413366467</c:v>
                </c:pt>
                <c:pt idx="17">
                  <c:v>0.63711084117379535</c:v>
                </c:pt>
                <c:pt idx="18">
                  <c:v>0.39387191196038535</c:v>
                </c:pt>
                <c:pt idx="19">
                  <c:v>0.93546163760686207</c:v>
                </c:pt>
                <c:pt idx="20">
                  <c:v>0.66392251515059952</c:v>
                </c:pt>
                <c:pt idx="21">
                  <c:v>0.53780807723013113</c:v>
                </c:pt>
                <c:pt idx="22">
                  <c:v>0.14316187490175963</c:v>
                </c:pt>
                <c:pt idx="23">
                  <c:v>0.41580346842637089</c:v>
                </c:pt>
                <c:pt idx="24">
                  <c:v>0.52437388846151989</c:v>
                </c:pt>
                <c:pt idx="25">
                  <c:v>0.23597321554900141</c:v>
                </c:pt>
                <c:pt idx="26">
                  <c:v>0.65451662359874119</c:v>
                </c:pt>
                <c:pt idx="27">
                  <c:v>0.17713715773974717</c:v>
                </c:pt>
                <c:pt idx="28">
                  <c:v>0.44646864141416392</c:v>
                </c:pt>
                <c:pt idx="29">
                  <c:v>0.38708963609019109</c:v>
                </c:pt>
                <c:pt idx="30">
                  <c:v>1.0534388574773428</c:v>
                </c:pt>
                <c:pt idx="31">
                  <c:v>0.78428024317281664</c:v>
                </c:pt>
                <c:pt idx="32">
                  <c:v>1.1012687386073343</c:v>
                </c:pt>
                <c:pt idx="33">
                  <c:v>0.90932581790506628</c:v>
                </c:pt>
                <c:pt idx="34">
                  <c:v>0.84052743497250282</c:v>
                </c:pt>
                <c:pt idx="35">
                  <c:v>0.38912849936561394</c:v>
                </c:pt>
                <c:pt idx="36">
                  <c:v>0.66526320408288031</c:v>
                </c:pt>
                <c:pt idx="37">
                  <c:v>0.36020188891108434</c:v>
                </c:pt>
                <c:pt idx="38">
                  <c:v>0.78467166287669288</c:v>
                </c:pt>
                <c:pt idx="39">
                  <c:v>0.16768929600372146</c:v>
                </c:pt>
                <c:pt idx="40">
                  <c:v>0.37702919510026844</c:v>
                </c:pt>
                <c:pt idx="41">
                  <c:v>0.89893460791465318</c:v>
                </c:pt>
                <c:pt idx="42">
                  <c:v>0.8558945365767473</c:v>
                </c:pt>
                <c:pt idx="43">
                  <c:v>1.1976330534783595</c:v>
                </c:pt>
                <c:pt idx="44">
                  <c:v>0.9681777000068067</c:v>
                </c:pt>
                <c:pt idx="45">
                  <c:v>0.86434301566667515</c:v>
                </c:pt>
                <c:pt idx="46">
                  <c:v>0.34620345314375045</c:v>
                </c:pt>
                <c:pt idx="47">
                  <c:v>0.87149649625907699</c:v>
                </c:pt>
                <c:pt idx="48">
                  <c:v>0.81001476795245797</c:v>
                </c:pt>
                <c:pt idx="49">
                  <c:v>0.47437549885161051</c:v>
                </c:pt>
                <c:pt idx="50">
                  <c:v>0.83798094419596936</c:v>
                </c:pt>
                <c:pt idx="51">
                  <c:v>0.84841211618517065</c:v>
                </c:pt>
                <c:pt idx="52">
                  <c:v>0.67747869632526003</c:v>
                </c:pt>
                <c:pt idx="53">
                  <c:v>1.2449988378647818</c:v>
                </c:pt>
                <c:pt idx="54">
                  <c:v>0.87364238290614249</c:v>
                </c:pt>
                <c:pt idx="55">
                  <c:v>0.43522641000122991</c:v>
                </c:pt>
                <c:pt idx="56">
                  <c:v>0.66627457300451265</c:v>
                </c:pt>
                <c:pt idx="57">
                  <c:v>0.49029842522025485</c:v>
                </c:pt>
                <c:pt idx="58">
                  <c:v>1.0021352724726131</c:v>
                </c:pt>
                <c:pt idx="59">
                  <c:v>0.94787840710625015</c:v>
                </c:pt>
                <c:pt idx="60">
                  <c:v>0.94628190997434025</c:v>
                </c:pt>
                <c:pt idx="61">
                  <c:v>0.56949441562144754</c:v>
                </c:pt>
                <c:pt idx="62">
                  <c:v>0.94829043196102658</c:v>
                </c:pt>
                <c:pt idx="63">
                  <c:v>0.82109672070844986</c:v>
                </c:pt>
                <c:pt idx="64">
                  <c:v>0.5896372656582507</c:v>
                </c:pt>
                <c:pt idx="65">
                  <c:v>0.74814771971246685</c:v>
                </c:pt>
                <c:pt idx="66">
                  <c:v>0.70724008801635629</c:v>
                </c:pt>
                <c:pt idx="67">
                  <c:v>0.80971713262300726</c:v>
                </c:pt>
                <c:pt idx="68">
                  <c:v>0.52097111290586229</c:v>
                </c:pt>
                <c:pt idx="69">
                  <c:v>0.84357965599246887</c:v>
                </c:pt>
                <c:pt idx="70">
                  <c:v>1.4197661180447385</c:v>
                </c:pt>
                <c:pt idx="71">
                  <c:v>0.51462100495796637</c:v>
                </c:pt>
                <c:pt idx="72">
                  <c:v>0.40207795082024833</c:v>
                </c:pt>
                <c:pt idx="73">
                  <c:v>0.47255035663583905</c:v>
                </c:pt>
                <c:pt idx="74">
                  <c:v>0.49382757190368354</c:v>
                </c:pt>
                <c:pt idx="75">
                  <c:v>1.0991534609623064</c:v>
                </c:pt>
                <c:pt idx="76">
                  <c:v>0.88379882573473556</c:v>
                </c:pt>
                <c:pt idx="77">
                  <c:v>0.51345908822923758</c:v>
                </c:pt>
                <c:pt idx="78">
                  <c:v>0.16282613978564014</c:v>
                </c:pt>
                <c:pt idx="79">
                  <c:v>0.52392622953585688</c:v>
                </c:pt>
                <c:pt idx="80">
                  <c:v>0.94513966048082343</c:v>
                </c:pt>
                <c:pt idx="81">
                  <c:v>0.6175395839593073</c:v>
                </c:pt>
                <c:pt idx="82">
                  <c:v>1.1437801662718898</c:v>
                </c:pt>
                <c:pt idx="83">
                  <c:v>0.46851945550355423</c:v>
                </c:pt>
                <c:pt idx="84">
                  <c:v>0.45164931585000245</c:v>
                </c:pt>
                <c:pt idx="85">
                  <c:v>0.56239734180429835</c:v>
                </c:pt>
                <c:pt idx="86">
                  <c:v>0.38052933371651076</c:v>
                </c:pt>
                <c:pt idx="87">
                  <c:v>0.48314326892849319</c:v>
                </c:pt>
                <c:pt idx="88">
                  <c:v>0.43575979752854432</c:v>
                </c:pt>
                <c:pt idx="89">
                  <c:v>1.1956773805237113</c:v>
                </c:pt>
                <c:pt idx="90">
                  <c:v>0.82514562301775674</c:v>
                </c:pt>
                <c:pt idx="91">
                  <c:v>0.74377212222131706</c:v>
                </c:pt>
                <c:pt idx="92">
                  <c:v>0.79365390689846371</c:v>
                </c:pt>
                <c:pt idx="93">
                  <c:v>1.2224999410851387</c:v>
                </c:pt>
                <c:pt idx="94">
                  <c:v>1.2583792838239818</c:v>
                </c:pt>
                <c:pt idx="95">
                  <c:v>0.51412773147926627</c:v>
                </c:pt>
                <c:pt idx="96">
                  <c:v>0.39753589313855953</c:v>
                </c:pt>
                <c:pt idx="97">
                  <c:v>0.76463206499073577</c:v>
                </c:pt>
                <c:pt idx="98">
                  <c:v>0.6929012219737215</c:v>
                </c:pt>
                <c:pt idx="99">
                  <c:v>0.64671240292671006</c:v>
                </c:pt>
                <c:pt idx="100">
                  <c:v>1.0395941638122006</c:v>
                </c:pt>
                <c:pt idx="101">
                  <c:v>0.65976782484825103</c:v>
                </c:pt>
                <c:pt idx="102">
                  <c:v>0.95995113463758808</c:v>
                </c:pt>
                <c:pt idx="103">
                  <c:v>1.0891788684939683</c:v>
                </c:pt>
                <c:pt idx="104">
                  <c:v>1.0520954360364834</c:v>
                </c:pt>
                <c:pt idx="105">
                  <c:v>0.75417889617209688</c:v>
                </c:pt>
                <c:pt idx="106">
                  <c:v>0.86135011282857987</c:v>
                </c:pt>
                <c:pt idx="107">
                  <c:v>1.2998915580824677</c:v>
                </c:pt>
                <c:pt idx="108">
                  <c:v>0.74293057634054682</c:v>
                </c:pt>
                <c:pt idx="109">
                  <c:v>0.90709407372393547</c:v>
                </c:pt>
                <c:pt idx="110">
                  <c:v>1.6144141690522229</c:v>
                </c:pt>
                <c:pt idx="111">
                  <c:v>1.1398337826267726</c:v>
                </c:pt>
                <c:pt idx="112">
                  <c:v>0.49283990732632271</c:v>
                </c:pt>
                <c:pt idx="113">
                  <c:v>0.57869527360311313</c:v>
                </c:pt>
                <c:pt idx="114">
                  <c:v>0.82087749641928009</c:v>
                </c:pt>
                <c:pt idx="115">
                  <c:v>1.3530572401671719</c:v>
                </c:pt>
                <c:pt idx="116">
                  <c:v>0.66533360104104944</c:v>
                </c:pt>
                <c:pt idx="117">
                  <c:v>0.769279035550264</c:v>
                </c:pt>
                <c:pt idx="118">
                  <c:v>1.0586990173002293</c:v>
                </c:pt>
                <c:pt idx="119">
                  <c:v>0.92653730162095493</c:v>
                </c:pt>
                <c:pt idx="120">
                  <c:v>0.66594436215113317</c:v>
                </c:pt>
                <c:pt idx="121">
                  <c:v>0.66540008693852704</c:v>
                </c:pt>
                <c:pt idx="122">
                  <c:v>0.78481507966018593</c:v>
                </c:pt>
                <c:pt idx="123">
                  <c:v>1.0813189875725466</c:v>
                </c:pt>
                <c:pt idx="124">
                  <c:v>0.4828873845099686</c:v>
                </c:pt>
                <c:pt idx="125">
                  <c:v>0.93731040513778852</c:v>
                </c:pt>
                <c:pt idx="126">
                  <c:v>1.2152926940939668</c:v>
                </c:pt>
                <c:pt idx="127">
                  <c:v>0.8080265608571866</c:v>
                </c:pt>
                <c:pt idx="128">
                  <c:v>0.76650361380594267</c:v>
                </c:pt>
                <c:pt idx="129">
                  <c:v>0.88527815586893022</c:v>
                </c:pt>
                <c:pt idx="130">
                  <c:v>0.61664167953927951</c:v>
                </c:pt>
                <c:pt idx="131">
                  <c:v>0.6283788815346677</c:v>
                </c:pt>
                <c:pt idx="132">
                  <c:v>0.76864909419672045</c:v>
                </c:pt>
                <c:pt idx="133">
                  <c:v>0.12853623442288903</c:v>
                </c:pt>
                <c:pt idx="134">
                  <c:v>0.65635018552107927</c:v>
                </c:pt>
                <c:pt idx="135">
                  <c:v>0.65475968301768805</c:v>
                </c:pt>
                <c:pt idx="136">
                  <c:v>0.59349476115193089</c:v>
                </c:pt>
                <c:pt idx="137">
                  <c:v>0.77870029507606819</c:v>
                </c:pt>
                <c:pt idx="138">
                  <c:v>0.11695206450119637</c:v>
                </c:pt>
                <c:pt idx="139">
                  <c:v>0.75364651590656651</c:v>
                </c:pt>
                <c:pt idx="140">
                  <c:v>0.97843287440326376</c:v>
                </c:pt>
                <c:pt idx="141">
                  <c:v>0.57105797863669716</c:v>
                </c:pt>
                <c:pt idx="142">
                  <c:v>0.24868556221167759</c:v>
                </c:pt>
                <c:pt idx="143">
                  <c:v>1.0220654119503605</c:v>
                </c:pt>
                <c:pt idx="144">
                  <c:v>0.82399806667600828</c:v>
                </c:pt>
                <c:pt idx="145">
                  <c:v>1.1565133685267366</c:v>
                </c:pt>
                <c:pt idx="146">
                  <c:v>0.6586664605780691</c:v>
                </c:pt>
                <c:pt idx="147">
                  <c:v>0.78271896553691456</c:v>
                </c:pt>
                <c:pt idx="148">
                  <c:v>0.36236983710095555</c:v>
                </c:pt>
                <c:pt idx="149">
                  <c:v>0.88257253604279284</c:v>
                </c:pt>
                <c:pt idx="150">
                  <c:v>0.2945948694174309</c:v>
                </c:pt>
                <c:pt idx="151">
                  <c:v>0.19252850306295907</c:v>
                </c:pt>
                <c:pt idx="152">
                  <c:v>1.124619169070094</c:v>
                </c:pt>
                <c:pt idx="153">
                  <c:v>1.3127066006733252</c:v>
                </c:pt>
                <c:pt idx="154">
                  <c:v>1.2998777951020539</c:v>
                </c:pt>
                <c:pt idx="155">
                  <c:v>0.91302651848703442</c:v>
                </c:pt>
                <c:pt idx="156">
                  <c:v>1.1364728580085626</c:v>
                </c:pt>
                <c:pt idx="157">
                  <c:v>0.94036297273600833</c:v>
                </c:pt>
                <c:pt idx="158">
                  <c:v>0.64158897524005598</c:v>
                </c:pt>
                <c:pt idx="159">
                  <c:v>0.18787196592272326</c:v>
                </c:pt>
                <c:pt idx="160">
                  <c:v>0.74210745548188173</c:v>
                </c:pt>
                <c:pt idx="161">
                  <c:v>0.67730495748156794</c:v>
                </c:pt>
                <c:pt idx="162">
                  <c:v>0.52935867819606464</c:v>
                </c:pt>
                <c:pt idx="163">
                  <c:v>0.50379779368416722</c:v>
                </c:pt>
                <c:pt idx="164">
                  <c:v>1.4365443545758738</c:v>
                </c:pt>
                <c:pt idx="165">
                  <c:v>0.7796071500834606</c:v>
                </c:pt>
                <c:pt idx="166">
                  <c:v>0.35517241994279181</c:v>
                </c:pt>
                <c:pt idx="167">
                  <c:v>0.562621352513484</c:v>
                </c:pt>
                <c:pt idx="168">
                  <c:v>0.14134424969928566</c:v>
                </c:pt>
                <c:pt idx="169">
                  <c:v>0.22432993069858875</c:v>
                </c:pt>
                <c:pt idx="170">
                  <c:v>0.78801561610381421</c:v>
                </c:pt>
                <c:pt idx="171">
                  <c:v>0.55725389355828814</c:v>
                </c:pt>
                <c:pt idx="172">
                  <c:v>0.93760300493069892</c:v>
                </c:pt>
                <c:pt idx="173">
                  <c:v>0.47550281234571073</c:v>
                </c:pt>
                <c:pt idx="174">
                  <c:v>0.45046108934359519</c:v>
                </c:pt>
                <c:pt idx="175">
                  <c:v>0.60210985478963819</c:v>
                </c:pt>
                <c:pt idx="176">
                  <c:v>0.21034972420647621</c:v>
                </c:pt>
                <c:pt idx="177">
                  <c:v>0.50568274077729247</c:v>
                </c:pt>
                <c:pt idx="178">
                  <c:v>0.61399465559333322</c:v>
                </c:pt>
                <c:pt idx="179">
                  <c:v>1.0908587110635775</c:v>
                </c:pt>
                <c:pt idx="180">
                  <c:v>0.78031384034748785</c:v>
                </c:pt>
                <c:pt idx="181">
                  <c:v>0.91045822344612448</c:v>
                </c:pt>
                <c:pt idx="182">
                  <c:v>0.6846298886674097</c:v>
                </c:pt>
                <c:pt idx="183">
                  <c:v>0.44497778964629442</c:v>
                </c:pt>
                <c:pt idx="184">
                  <c:v>0.42682081855872489</c:v>
                </c:pt>
                <c:pt idx="185">
                  <c:v>0.99939780761029151</c:v>
                </c:pt>
                <c:pt idx="186">
                  <c:v>0.71614501441271139</c:v>
                </c:pt>
                <c:pt idx="187">
                  <c:v>0.4448532404128111</c:v>
                </c:pt>
                <c:pt idx="188">
                  <c:v>0.26037809108457333</c:v>
                </c:pt>
                <c:pt idx="189">
                  <c:v>0.79083162578982191</c:v>
                </c:pt>
                <c:pt idx="190">
                  <c:v>0.92384961319747749</c:v>
                </c:pt>
                <c:pt idx="191">
                  <c:v>0.90356646035067023</c:v>
                </c:pt>
                <c:pt idx="192">
                  <c:v>0.69950704735384306</c:v>
                </c:pt>
                <c:pt idx="193">
                  <c:v>0.82525217517052019</c:v>
                </c:pt>
                <c:pt idx="194">
                  <c:v>0.74668108920057996</c:v>
                </c:pt>
                <c:pt idx="195">
                  <c:v>0.18201111480420518</c:v>
                </c:pt>
                <c:pt idx="196">
                  <c:v>0.96384935135106964</c:v>
                </c:pt>
                <c:pt idx="197">
                  <c:v>0.81579679754354095</c:v>
                </c:pt>
                <c:pt idx="198">
                  <c:v>0.49814625716852368</c:v>
                </c:pt>
                <c:pt idx="199">
                  <c:v>0.45922766953911348</c:v>
                </c:pt>
                <c:pt idx="200">
                  <c:v>0.9796698206438289</c:v>
                </c:pt>
                <c:pt idx="201">
                  <c:v>0.22394520020005787</c:v>
                </c:pt>
                <c:pt idx="202">
                  <c:v>1.007981105582308</c:v>
                </c:pt>
                <c:pt idx="203">
                  <c:v>0.11007256038455718</c:v>
                </c:pt>
                <c:pt idx="204">
                  <c:v>0.92043510197948442</c:v>
                </c:pt>
                <c:pt idx="205">
                  <c:v>0.90140005167141324</c:v>
                </c:pt>
                <c:pt idx="206">
                  <c:v>0.95032473198144019</c:v>
                </c:pt>
                <c:pt idx="207">
                  <c:v>1.0106470693835974</c:v>
                </c:pt>
                <c:pt idx="208">
                  <c:v>1.2356655210745169</c:v>
                </c:pt>
                <c:pt idx="209">
                  <c:v>0.86866098056849972</c:v>
                </c:pt>
                <c:pt idx="210">
                  <c:v>1.0798053207058878</c:v>
                </c:pt>
                <c:pt idx="211">
                  <c:v>0.85805910271124008</c:v>
                </c:pt>
                <c:pt idx="212">
                  <c:v>1.0614803401672221</c:v>
                </c:pt>
                <c:pt idx="213">
                  <c:v>1.1023464053537446</c:v>
                </c:pt>
                <c:pt idx="214">
                  <c:v>0.67387694073487625</c:v>
                </c:pt>
                <c:pt idx="215">
                  <c:v>0.9445121377658946</c:v>
                </c:pt>
                <c:pt idx="216">
                  <c:v>1.2549038215705268</c:v>
                </c:pt>
                <c:pt idx="217">
                  <c:v>0.52817806228871278</c:v>
                </c:pt>
                <c:pt idx="218">
                  <c:v>0.98176937925520436</c:v>
                </c:pt>
                <c:pt idx="219">
                  <c:v>0.11440057026715063</c:v>
                </c:pt>
                <c:pt idx="220">
                  <c:v>0.25628513901988592</c:v>
                </c:pt>
                <c:pt idx="221">
                  <c:v>0.49059207962845103</c:v>
                </c:pt>
                <c:pt idx="222">
                  <c:v>0.47721415108614978</c:v>
                </c:pt>
                <c:pt idx="223">
                  <c:v>0.89907459207286711</c:v>
                </c:pt>
                <c:pt idx="224">
                  <c:v>4.9601950415608997E-2</c:v>
                </c:pt>
                <c:pt idx="225">
                  <c:v>0.42278935478496232</c:v>
                </c:pt>
                <c:pt idx="226">
                  <c:v>0.73033309340857655</c:v>
                </c:pt>
                <c:pt idx="227">
                  <c:v>0.50109901690302749</c:v>
                </c:pt>
                <c:pt idx="228">
                  <c:v>0.25209312915422505</c:v>
                </c:pt>
                <c:pt idx="229">
                  <c:v>0.56289614014029365</c:v>
                </c:pt>
                <c:pt idx="230">
                  <c:v>0.52583047719323306</c:v>
                </c:pt>
                <c:pt idx="231">
                  <c:v>0.68189571524191106</c:v>
                </c:pt>
                <c:pt idx="232">
                  <c:v>0.29582636364049641</c:v>
                </c:pt>
                <c:pt idx="233">
                  <c:v>0.9864342462066058</c:v>
                </c:pt>
                <c:pt idx="234">
                  <c:v>0.67148095562892873</c:v>
                </c:pt>
                <c:pt idx="235">
                  <c:v>0.88965523435142724</c:v>
                </c:pt>
                <c:pt idx="236">
                  <c:v>1.3945308298462449</c:v>
                </c:pt>
                <c:pt idx="237">
                  <c:v>0.3923097595352264</c:v>
                </c:pt>
                <c:pt idx="238">
                  <c:v>0.67884499479866678</c:v>
                </c:pt>
                <c:pt idx="239">
                  <c:v>1.1227508647870805</c:v>
                </c:pt>
                <c:pt idx="240">
                  <c:v>1.2981692677204579</c:v>
                </c:pt>
                <c:pt idx="241">
                  <c:v>1.2318855340477941</c:v>
                </c:pt>
                <c:pt idx="242">
                  <c:v>2.0495673231823082</c:v>
                </c:pt>
                <c:pt idx="243">
                  <c:v>1.5162600626124534</c:v>
                </c:pt>
                <c:pt idx="244">
                  <c:v>0.86512720068574966</c:v>
                </c:pt>
                <c:pt idx="245">
                  <c:v>1.7838137955907867</c:v>
                </c:pt>
                <c:pt idx="246">
                  <c:v>1.2556613170298607</c:v>
                </c:pt>
                <c:pt idx="247">
                  <c:v>0.46927062840817635</c:v>
                </c:pt>
                <c:pt idx="248">
                  <c:v>0.62932287755922789</c:v>
                </c:pt>
                <c:pt idx="249">
                  <c:v>0.615618883888152</c:v>
                </c:pt>
                <c:pt idx="250">
                  <c:v>0.44067714811435083</c:v>
                </c:pt>
                <c:pt idx="251">
                  <c:v>0.6741997527501441</c:v>
                </c:pt>
                <c:pt idx="252">
                  <c:v>0.96283307101210236</c:v>
                </c:pt>
                <c:pt idx="253">
                  <c:v>0.54960251871964072</c:v>
                </c:pt>
                <c:pt idx="254">
                  <c:v>0.18351326990590297</c:v>
                </c:pt>
                <c:pt idx="255">
                  <c:v>0.86863177262542624</c:v>
                </c:pt>
                <c:pt idx="256">
                  <c:v>9.8968093299999157E-2</c:v>
                </c:pt>
                <c:pt idx="257">
                  <c:v>0.74311457340756248</c:v>
                </c:pt>
                <c:pt idx="258">
                  <c:v>0.47275152523126773</c:v>
                </c:pt>
                <c:pt idx="259">
                  <c:v>0.82872582733503775</c:v>
                </c:pt>
                <c:pt idx="260">
                  <c:v>0.40465761814971285</c:v>
                </c:pt>
                <c:pt idx="261">
                  <c:v>0.72383517914687023</c:v>
                </c:pt>
                <c:pt idx="262">
                  <c:v>0.9652817932482316</c:v>
                </c:pt>
                <c:pt idx="263">
                  <c:v>0.58797379071325639</c:v>
                </c:pt>
                <c:pt idx="264">
                  <c:v>0.93415208617024326</c:v>
                </c:pt>
                <c:pt idx="265">
                  <c:v>0.42977485500237533</c:v>
                </c:pt>
                <c:pt idx="266">
                  <c:v>0.58499968222071874</c:v>
                </c:pt>
                <c:pt idx="267">
                  <c:v>1.1553728887824959</c:v>
                </c:pt>
                <c:pt idx="268">
                  <c:v>1.4210934246019173</c:v>
                </c:pt>
                <c:pt idx="269">
                  <c:v>0.44057670734716048</c:v>
                </c:pt>
                <c:pt idx="270">
                  <c:v>0.28587008887895454</c:v>
                </c:pt>
                <c:pt idx="271">
                  <c:v>1.1237799205301318</c:v>
                </c:pt>
                <c:pt idx="272">
                  <c:v>1.2940803610775782</c:v>
                </c:pt>
                <c:pt idx="273">
                  <c:v>1.4621689173672026</c:v>
                </c:pt>
                <c:pt idx="274">
                  <c:v>1.1125538360386904</c:v>
                </c:pt>
                <c:pt idx="275">
                  <c:v>1.3811852366923032</c:v>
                </c:pt>
                <c:pt idx="276">
                  <c:v>0.68318492026134381</c:v>
                </c:pt>
                <c:pt idx="277">
                  <c:v>0.10781176073301131</c:v>
                </c:pt>
                <c:pt idx="278">
                  <c:v>0.81472209360807923</c:v>
                </c:pt>
                <c:pt idx="279">
                  <c:v>1.3490802536850326</c:v>
                </c:pt>
                <c:pt idx="280">
                  <c:v>1.068128124329806</c:v>
                </c:pt>
                <c:pt idx="281">
                  <c:v>1.0946547995295095</c:v>
                </c:pt>
                <c:pt idx="282">
                  <c:v>0.8922161853928342</c:v>
                </c:pt>
                <c:pt idx="283">
                  <c:v>1.0380758062064921</c:v>
                </c:pt>
                <c:pt idx="284">
                  <c:v>1.0376510193411035</c:v>
                </c:pt>
                <c:pt idx="285">
                  <c:v>1.0038085245916462</c:v>
                </c:pt>
                <c:pt idx="286">
                  <c:v>0.81779574666662891</c:v>
                </c:pt>
                <c:pt idx="287">
                  <c:v>0.3185236933392801</c:v>
                </c:pt>
                <c:pt idx="288">
                  <c:v>1.0734996460103441</c:v>
                </c:pt>
                <c:pt idx="289">
                  <c:v>0.87661006698837485</c:v>
                </c:pt>
                <c:pt idx="290">
                  <c:v>0.55098097991249251</c:v>
                </c:pt>
                <c:pt idx="291">
                  <c:v>0.55956860774968387</c:v>
                </c:pt>
                <c:pt idx="292">
                  <c:v>0.65904254249869054</c:v>
                </c:pt>
                <c:pt idx="293">
                  <c:v>1.2804509003381612</c:v>
                </c:pt>
                <c:pt idx="294">
                  <c:v>0.3739653881823311</c:v>
                </c:pt>
                <c:pt idx="295">
                  <c:v>0.51685717808165166</c:v>
                </c:pt>
                <c:pt idx="296">
                  <c:v>0.99521483763327234</c:v>
                </c:pt>
                <c:pt idx="297">
                  <c:v>0.50930985739502765</c:v>
                </c:pt>
                <c:pt idx="298">
                  <c:v>0.54147631541168539</c:v>
                </c:pt>
                <c:pt idx="299">
                  <c:v>1.2484222161797882</c:v>
                </c:pt>
                <c:pt idx="300">
                  <c:v>1.254913177514924</c:v>
                </c:pt>
                <c:pt idx="301">
                  <c:v>0.5087926844079772</c:v>
                </c:pt>
                <c:pt idx="302">
                  <c:v>1.3522395832030429</c:v>
                </c:pt>
                <c:pt idx="303">
                  <c:v>0.72531248958619998</c:v>
                </c:pt>
                <c:pt idx="304">
                  <c:v>0.81928845982406195</c:v>
                </c:pt>
                <c:pt idx="305">
                  <c:v>0.42476988318019399</c:v>
                </c:pt>
                <c:pt idx="306">
                  <c:v>1.4249476178839002</c:v>
                </c:pt>
                <c:pt idx="307">
                  <c:v>1.3920789255784902</c:v>
                </c:pt>
                <c:pt idx="308">
                  <c:v>0.61107782751901607</c:v>
                </c:pt>
                <c:pt idx="309">
                  <c:v>0.79516384055390754</c:v>
                </c:pt>
                <c:pt idx="310">
                  <c:v>0.43195510794737901</c:v>
                </c:pt>
                <c:pt idx="311">
                  <c:v>0.97339607740662082</c:v>
                </c:pt>
                <c:pt idx="312">
                  <c:v>1.0802925259303646</c:v>
                </c:pt>
                <c:pt idx="313">
                  <c:v>1.2774746604753648</c:v>
                </c:pt>
                <c:pt idx="314">
                  <c:v>1.6531181862368927</c:v>
                </c:pt>
                <c:pt idx="315">
                  <c:v>0.62055201846907071</c:v>
                </c:pt>
                <c:pt idx="316">
                  <c:v>0.98850068394181168</c:v>
                </c:pt>
                <c:pt idx="317">
                  <c:v>0.91846656176489438</c:v>
                </c:pt>
                <c:pt idx="318">
                  <c:v>0.98320311628135326</c:v>
                </c:pt>
                <c:pt idx="319">
                  <c:v>1.0050541265593316</c:v>
                </c:pt>
                <c:pt idx="320">
                  <c:v>1.8633510962183495</c:v>
                </c:pt>
                <c:pt idx="321">
                  <c:v>0.83301968605816656</c:v>
                </c:pt>
                <c:pt idx="322">
                  <c:v>1.2408012231218963</c:v>
                </c:pt>
                <c:pt idx="323">
                  <c:v>1.6190268100104286</c:v>
                </c:pt>
                <c:pt idx="324">
                  <c:v>1.6575270881645403</c:v>
                </c:pt>
                <c:pt idx="325">
                  <c:v>1.2464148690914083</c:v>
                </c:pt>
                <c:pt idx="326">
                  <c:v>0.29194431698389517</c:v>
                </c:pt>
                <c:pt idx="327">
                  <c:v>1.5424241768122628</c:v>
                </c:pt>
                <c:pt idx="328">
                  <c:v>0.85019484471835682</c:v>
                </c:pt>
                <c:pt idx="329">
                  <c:v>1.5995662211964574</c:v>
                </c:pt>
                <c:pt idx="330">
                  <c:v>0.74603487264753043</c:v>
                </c:pt>
                <c:pt idx="331">
                  <c:v>1.8578704523107537</c:v>
                </c:pt>
                <c:pt idx="332">
                  <c:v>0.65707182308418388</c:v>
                </c:pt>
                <c:pt idx="333">
                  <c:v>0.95795026734906541</c:v>
                </c:pt>
                <c:pt idx="334">
                  <c:v>0.82658443458621778</c:v>
                </c:pt>
                <c:pt idx="335">
                  <c:v>0.79876668590071576</c:v>
                </c:pt>
                <c:pt idx="336">
                  <c:v>0.94179686818817987</c:v>
                </c:pt>
                <c:pt idx="337">
                  <c:v>1.1755306284305473</c:v>
                </c:pt>
                <c:pt idx="338">
                  <c:v>0.26950587457377961</c:v>
                </c:pt>
                <c:pt idx="339">
                  <c:v>1.1019848266307728</c:v>
                </c:pt>
                <c:pt idx="340">
                  <c:v>1.4529857191252675</c:v>
                </c:pt>
                <c:pt idx="341">
                  <c:v>0.31420322201663342</c:v>
                </c:pt>
                <c:pt idx="342">
                  <c:v>0.69209247285424436</c:v>
                </c:pt>
                <c:pt idx="343">
                  <c:v>0.96101162649773986</c:v>
                </c:pt>
                <c:pt idx="344">
                  <c:v>1.1256468137257263</c:v>
                </c:pt>
                <c:pt idx="345">
                  <c:v>9.5253342283302553E-2</c:v>
                </c:pt>
                <c:pt idx="346">
                  <c:v>1.1133065768816175</c:v>
                </c:pt>
                <c:pt idx="347">
                  <c:v>0.92961509410616827</c:v>
                </c:pt>
                <c:pt idx="348">
                  <c:v>0.26832629526354868</c:v>
                </c:pt>
                <c:pt idx="349">
                  <c:v>0.20874667161331828</c:v>
                </c:pt>
                <c:pt idx="350">
                  <c:v>0.52437323288245097</c:v>
                </c:pt>
                <c:pt idx="351">
                  <c:v>0.27950942613999424</c:v>
                </c:pt>
                <c:pt idx="352">
                  <c:v>0.90991221128306099</c:v>
                </c:pt>
                <c:pt idx="353">
                  <c:v>0.536221115661771</c:v>
                </c:pt>
                <c:pt idx="354">
                  <c:v>0.44713831339967469</c:v>
                </c:pt>
                <c:pt idx="355">
                  <c:v>0.96668887130455605</c:v>
                </c:pt>
                <c:pt idx="356">
                  <c:v>1.0525996336222949</c:v>
                </c:pt>
                <c:pt idx="357">
                  <c:v>1.1989694862400766</c:v>
                </c:pt>
                <c:pt idx="358">
                  <c:v>0.76206455555314723</c:v>
                </c:pt>
                <c:pt idx="359">
                  <c:v>1.1471720852609906</c:v>
                </c:pt>
                <c:pt idx="360">
                  <c:v>1.4248857729443825</c:v>
                </c:pt>
                <c:pt idx="361">
                  <c:v>1.4960816577446872</c:v>
                </c:pt>
                <c:pt idx="362">
                  <c:v>0.87035456385760324</c:v>
                </c:pt>
                <c:pt idx="363">
                  <c:v>1.0151852631455833</c:v>
                </c:pt>
                <c:pt idx="364">
                  <c:v>0.9392814872223787</c:v>
                </c:pt>
                <c:pt idx="365">
                  <c:v>0.41454766462754822</c:v>
                </c:pt>
                <c:pt idx="366">
                  <c:v>0.76264682872681211</c:v>
                </c:pt>
                <c:pt idx="367">
                  <c:v>0.92739924961118636</c:v>
                </c:pt>
                <c:pt idx="368">
                  <c:v>1.2754162888373675</c:v>
                </c:pt>
                <c:pt idx="369">
                  <c:v>0.36054364363533259</c:v>
                </c:pt>
                <c:pt idx="370">
                  <c:v>0.68223476848839903</c:v>
                </c:pt>
                <c:pt idx="371">
                  <c:v>1.2752915221704966</c:v>
                </c:pt>
                <c:pt idx="372">
                  <c:v>1.2740109161166551</c:v>
                </c:pt>
                <c:pt idx="373">
                  <c:v>0.99795098492909862</c:v>
                </c:pt>
                <c:pt idx="374">
                  <c:v>0.68452220763525962</c:v>
                </c:pt>
                <c:pt idx="375">
                  <c:v>0.68846529443489135</c:v>
                </c:pt>
                <c:pt idx="376">
                  <c:v>0.39031449926077283</c:v>
                </c:pt>
                <c:pt idx="377">
                  <c:v>0.83181869978257117</c:v>
                </c:pt>
                <c:pt idx="378">
                  <c:v>1.1432707873606107</c:v>
                </c:pt>
                <c:pt idx="379">
                  <c:v>0.86173644636949098</c:v>
                </c:pt>
                <c:pt idx="380">
                  <c:v>1.0314850226699779</c:v>
                </c:pt>
                <c:pt idx="381">
                  <c:v>1.7998431338661096</c:v>
                </c:pt>
                <c:pt idx="382">
                  <c:v>1.1974673953775787</c:v>
                </c:pt>
                <c:pt idx="383">
                  <c:v>1.4955276861900504</c:v>
                </c:pt>
                <c:pt idx="384">
                  <c:v>0.1752825338080562</c:v>
                </c:pt>
                <c:pt idx="385">
                  <c:v>1.2177474909415058</c:v>
                </c:pt>
                <c:pt idx="386">
                  <c:v>0.70634494347379195</c:v>
                </c:pt>
                <c:pt idx="387">
                  <c:v>0.88844773688118783</c:v>
                </c:pt>
                <c:pt idx="388">
                  <c:v>1.7155054995797852</c:v>
                </c:pt>
                <c:pt idx="389">
                  <c:v>0.16676739269024038</c:v>
                </c:pt>
                <c:pt idx="390">
                  <c:v>0.87895618352773497</c:v>
                </c:pt>
                <c:pt idx="391">
                  <c:v>0.63204367109224102</c:v>
                </c:pt>
              </c:numCache>
            </c:numRef>
          </c:yVal>
          <c:smooth val="0"/>
          <c:extLst>
            <c:ext xmlns:c16="http://schemas.microsoft.com/office/drawing/2014/chart" uri="{C3380CC4-5D6E-409C-BE32-E72D297353CC}">
              <c16:uniqueId val="{00000001-7250-4EE5-BD0E-DD3E7AA872ED}"/>
            </c:ext>
          </c:extLst>
        </c:ser>
        <c:dLbls>
          <c:showLegendKey val="0"/>
          <c:showVal val="0"/>
          <c:showCatName val="0"/>
          <c:showSerName val="0"/>
          <c:showPercent val="0"/>
          <c:showBubbleSize val="0"/>
        </c:dLbls>
        <c:axId val="1291684304"/>
        <c:axId val="1291635344"/>
      </c:scatterChart>
      <c:valAx>
        <c:axId val="129168430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291635344"/>
        <c:crosses val="autoZero"/>
        <c:crossBetween val="midCat"/>
      </c:valAx>
      <c:valAx>
        <c:axId val="1291635344"/>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2916843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392"/>
                <c:pt idx="0">
                  <c:v>3.6754428083898453E-4</c:v>
                </c:pt>
                <c:pt idx="1">
                  <c:v>2.34807289196539E-5</c:v>
                </c:pt>
                <c:pt idx="2">
                  <c:v>3.1059732014921516E-4</c:v>
                </c:pt>
                <c:pt idx="3">
                  <c:v>1.8173549121273713E-4</c:v>
                </c:pt>
                <c:pt idx="4">
                  <c:v>5.0380500510358217E-7</c:v>
                </c:pt>
                <c:pt idx="5">
                  <c:v>3.3692573430558702E-3</c:v>
                </c:pt>
                <c:pt idx="6">
                  <c:v>3.0063214519006724E-3</c:v>
                </c:pt>
                <c:pt idx="7">
                  <c:v>2.297282597575574E-3</c:v>
                </c:pt>
                <c:pt idx="8">
                  <c:v>4.1804729026989323E-3</c:v>
                </c:pt>
                <c:pt idx="9">
                  <c:v>2.214201314542533E-4</c:v>
                </c:pt>
                <c:pt idx="10">
                  <c:v>2.0077587758420966E-4</c:v>
                </c:pt>
                <c:pt idx="11">
                  <c:v>7.8733138753294416E-4</c:v>
                </c:pt>
                <c:pt idx="12">
                  <c:v>1.1219488900922424E-5</c:v>
                </c:pt>
                <c:pt idx="13">
                  <c:v>1.0355921898592959E-2</c:v>
                </c:pt>
                <c:pt idx="14">
                  <c:v>5.5292272908023029E-4</c:v>
                </c:pt>
                <c:pt idx="15">
                  <c:v>4.8179719659587972E-4</c:v>
                </c:pt>
                <c:pt idx="16">
                  <c:v>3.0471804305155937E-3</c:v>
                </c:pt>
                <c:pt idx="17">
                  <c:v>5.3100063365988423E-4</c:v>
                </c:pt>
                <c:pt idx="18">
                  <c:v>8.2410948129185235E-5</c:v>
                </c:pt>
                <c:pt idx="19">
                  <c:v>3.2940079133687945E-3</c:v>
                </c:pt>
                <c:pt idx="20">
                  <c:v>6.9656393771628427E-4</c:v>
                </c:pt>
                <c:pt idx="21">
                  <c:v>2.6757104145415611E-4</c:v>
                </c:pt>
                <c:pt idx="22">
                  <c:v>1.285837892010095E-6</c:v>
                </c:pt>
                <c:pt idx="23">
                  <c:v>9.1401420889604447E-5</c:v>
                </c:pt>
                <c:pt idx="24">
                  <c:v>2.3203088177442646E-4</c:v>
                </c:pt>
                <c:pt idx="25">
                  <c:v>8.705053750157693E-6</c:v>
                </c:pt>
                <c:pt idx="26">
                  <c:v>4.6074819083103937E-4</c:v>
                </c:pt>
                <c:pt idx="27">
                  <c:v>2.7027747579047299E-6</c:v>
                </c:pt>
                <c:pt idx="28">
                  <c:v>1.0654646364981789E-4</c:v>
                </c:pt>
                <c:pt idx="29">
                  <c:v>7.0215809939308985E-5</c:v>
                </c:pt>
                <c:pt idx="30">
                  <c:v>3.5652487247722739E-3</c:v>
                </c:pt>
                <c:pt idx="31">
                  <c:v>1.1944280641904474E-3</c:v>
                </c:pt>
                <c:pt idx="32">
                  <c:v>3.7854309026787501E-3</c:v>
                </c:pt>
                <c:pt idx="33">
                  <c:v>1.7090893677473593E-3</c:v>
                </c:pt>
                <c:pt idx="34">
                  <c:v>1.2533973309379685E-3</c:v>
                </c:pt>
                <c:pt idx="35">
                  <c:v>6.4644108034656565E-5</c:v>
                </c:pt>
                <c:pt idx="36">
                  <c:v>4.8578999244009346E-4</c:v>
                </c:pt>
                <c:pt idx="37">
                  <c:v>4.6561898072069656E-5</c:v>
                </c:pt>
                <c:pt idx="38">
                  <c:v>1.1301842896385282E-3</c:v>
                </c:pt>
                <c:pt idx="39">
                  <c:v>2.0682111384461643E-6</c:v>
                </c:pt>
                <c:pt idx="40">
                  <c:v>5.2020433725499967E-5</c:v>
                </c:pt>
                <c:pt idx="41">
                  <c:v>2.2281742354487285E-3</c:v>
                </c:pt>
                <c:pt idx="42">
                  <c:v>1.690061169542192E-3</c:v>
                </c:pt>
                <c:pt idx="43">
                  <c:v>7.7364623983457691E-3</c:v>
                </c:pt>
                <c:pt idx="44">
                  <c:v>2.1168747955341571E-3</c:v>
                </c:pt>
                <c:pt idx="45">
                  <c:v>1.5250187306289781E-3</c:v>
                </c:pt>
                <c:pt idx="46">
                  <c:v>3.5568681059557331E-5</c:v>
                </c:pt>
                <c:pt idx="47">
                  <c:v>1.5230080763382213E-3</c:v>
                </c:pt>
                <c:pt idx="48">
                  <c:v>1.2479823486709657E-3</c:v>
                </c:pt>
                <c:pt idx="49">
                  <c:v>1.7167428775597299E-4</c:v>
                </c:pt>
                <c:pt idx="50">
                  <c:v>1.5557403605267906E-3</c:v>
                </c:pt>
                <c:pt idx="51">
                  <c:v>1.6560625973104767E-3</c:v>
                </c:pt>
                <c:pt idx="52">
                  <c:v>6.7201268951934195E-4</c:v>
                </c:pt>
                <c:pt idx="53">
                  <c:v>7.9540200138242968E-3</c:v>
                </c:pt>
                <c:pt idx="54">
                  <c:v>1.8855578190512155E-3</c:v>
                </c:pt>
                <c:pt idx="55">
                  <c:v>1.1155389639298558E-4</c:v>
                </c:pt>
                <c:pt idx="56">
                  <c:v>5.8609937575260836E-4</c:v>
                </c:pt>
                <c:pt idx="57">
                  <c:v>1.8251494497609693E-4</c:v>
                </c:pt>
                <c:pt idx="58">
                  <c:v>3.4854916482902278E-3</c:v>
                </c:pt>
                <c:pt idx="59">
                  <c:v>2.2992117628888448E-3</c:v>
                </c:pt>
                <c:pt idx="60">
                  <c:v>2.4490999147277915E-3</c:v>
                </c:pt>
                <c:pt idx="61">
                  <c:v>2.6160164199702187E-4</c:v>
                </c:pt>
                <c:pt idx="62">
                  <c:v>2.1190915902930527E-3</c:v>
                </c:pt>
                <c:pt idx="63">
                  <c:v>1.0897083862935067E-3</c:v>
                </c:pt>
                <c:pt idx="64">
                  <c:v>2.8878407312035926E-4</c:v>
                </c:pt>
                <c:pt idx="65">
                  <c:v>7.540683395695733E-4</c:v>
                </c:pt>
                <c:pt idx="66">
                  <c:v>8.8009930219651864E-4</c:v>
                </c:pt>
                <c:pt idx="67">
                  <c:v>1.158815025469532E-3</c:v>
                </c:pt>
                <c:pt idx="68">
                  <c:v>1.9083071939234706E-4</c:v>
                </c:pt>
                <c:pt idx="69">
                  <c:v>1.5029811765241736E-3</c:v>
                </c:pt>
                <c:pt idx="70">
                  <c:v>1.2041954383457973E-2</c:v>
                </c:pt>
                <c:pt idx="71">
                  <c:v>1.6365819459319866E-4</c:v>
                </c:pt>
                <c:pt idx="72">
                  <c:v>6.9609488850078151E-5</c:v>
                </c:pt>
                <c:pt idx="73">
                  <c:v>1.3442287771775845E-4</c:v>
                </c:pt>
                <c:pt idx="74">
                  <c:v>1.4083972970042332E-4</c:v>
                </c:pt>
                <c:pt idx="75">
                  <c:v>4.4117497165024064E-3</c:v>
                </c:pt>
                <c:pt idx="76">
                  <c:v>1.8875104784440995E-3</c:v>
                </c:pt>
                <c:pt idx="77">
                  <c:v>2.2819180345161848E-4</c:v>
                </c:pt>
                <c:pt idx="78">
                  <c:v>2.1763544257762724E-6</c:v>
                </c:pt>
                <c:pt idx="79">
                  <c:v>2.1520678488999738E-4</c:v>
                </c:pt>
                <c:pt idx="80">
                  <c:v>2.3636637964117818E-3</c:v>
                </c:pt>
                <c:pt idx="81">
                  <c:v>4.2739652627326973E-4</c:v>
                </c:pt>
                <c:pt idx="82">
                  <c:v>5.3187978632043709E-3</c:v>
                </c:pt>
                <c:pt idx="83">
                  <c:v>1.4580616877093663E-4</c:v>
                </c:pt>
                <c:pt idx="84">
                  <c:v>7.7121370315234676E-5</c:v>
                </c:pt>
                <c:pt idx="85">
                  <c:v>1.633697648983552E-4</c:v>
                </c:pt>
                <c:pt idx="86">
                  <c:v>3.41072329342815E-5</c:v>
                </c:pt>
                <c:pt idx="87">
                  <c:v>9.6938152578108052E-5</c:v>
                </c:pt>
                <c:pt idx="88">
                  <c:v>5.7514649367666781E-5</c:v>
                </c:pt>
                <c:pt idx="89">
                  <c:v>4.6064966597044949E-3</c:v>
                </c:pt>
                <c:pt idx="90">
                  <c:v>9.4323127268055207E-4</c:v>
                </c:pt>
                <c:pt idx="91">
                  <c:v>5.4502843087953954E-4</c:v>
                </c:pt>
                <c:pt idx="92">
                  <c:v>6.9685566042903733E-4</c:v>
                </c:pt>
                <c:pt idx="93">
                  <c:v>6.1298740672773898E-3</c:v>
                </c:pt>
                <c:pt idx="94">
                  <c:v>7.5886080672865341E-3</c:v>
                </c:pt>
                <c:pt idx="95">
                  <c:v>1.473123904386963E-4</c:v>
                </c:pt>
                <c:pt idx="96">
                  <c:v>4.4993300213987257E-5</c:v>
                </c:pt>
                <c:pt idx="97">
                  <c:v>6.8042137360537316E-4</c:v>
                </c:pt>
                <c:pt idx="98">
                  <c:v>4.3036099915624349E-4</c:v>
                </c:pt>
                <c:pt idx="99">
                  <c:v>3.7937895031364449E-4</c:v>
                </c:pt>
                <c:pt idx="100">
                  <c:v>2.2745610997066666E-3</c:v>
                </c:pt>
                <c:pt idx="101">
                  <c:v>5.6548084865628765E-4</c:v>
                </c:pt>
                <c:pt idx="102">
                  <c:v>2.7438770542934508E-3</c:v>
                </c:pt>
                <c:pt idx="103">
                  <c:v>3.35375926789739E-3</c:v>
                </c:pt>
                <c:pt idx="104">
                  <c:v>2.4031468448560667E-3</c:v>
                </c:pt>
                <c:pt idx="105">
                  <c:v>6.0577184723648383E-4</c:v>
                </c:pt>
                <c:pt idx="106">
                  <c:v>1.0492289704715078E-3</c:v>
                </c:pt>
                <c:pt idx="107">
                  <c:v>7.0911158671741765E-3</c:v>
                </c:pt>
                <c:pt idx="108">
                  <c:v>7.443322664768201E-4</c:v>
                </c:pt>
                <c:pt idx="109">
                  <c:v>1.6532889736620513E-3</c:v>
                </c:pt>
                <c:pt idx="110">
                  <c:v>1.7043893646453555E-2</c:v>
                </c:pt>
                <c:pt idx="111">
                  <c:v>3.9250309517006171E-3</c:v>
                </c:pt>
                <c:pt idx="112">
                  <c:v>1.3339369925580096E-4</c:v>
                </c:pt>
                <c:pt idx="113">
                  <c:v>2.6968379516022147E-4</c:v>
                </c:pt>
                <c:pt idx="114">
                  <c:v>7.6627389377137119E-4</c:v>
                </c:pt>
                <c:pt idx="115">
                  <c:v>1.5232369994827872E-2</c:v>
                </c:pt>
                <c:pt idx="116">
                  <c:v>5.6051582264195177E-4</c:v>
                </c:pt>
                <c:pt idx="117">
                  <c:v>8.5837605658505305E-4</c:v>
                </c:pt>
                <c:pt idx="118">
                  <c:v>2.9233755109492575E-3</c:v>
                </c:pt>
                <c:pt idx="119">
                  <c:v>1.7068052633930145E-3</c:v>
                </c:pt>
                <c:pt idx="120">
                  <c:v>3.663291417823262E-4</c:v>
                </c:pt>
                <c:pt idx="121">
                  <c:v>4.6355127300932699E-4</c:v>
                </c:pt>
                <c:pt idx="122">
                  <c:v>9.2443789980417546E-4</c:v>
                </c:pt>
                <c:pt idx="123">
                  <c:v>3.5214511972825654E-3</c:v>
                </c:pt>
                <c:pt idx="124">
                  <c:v>1.3911385496748123E-4</c:v>
                </c:pt>
                <c:pt idx="125">
                  <c:v>2.0209788357389603E-3</c:v>
                </c:pt>
                <c:pt idx="126">
                  <c:v>5.6155672815874852E-3</c:v>
                </c:pt>
                <c:pt idx="127">
                  <c:v>1.3085644958385797E-3</c:v>
                </c:pt>
                <c:pt idx="128">
                  <c:v>9.8121962635278667E-4</c:v>
                </c:pt>
                <c:pt idx="129">
                  <c:v>1.9128386377732154E-3</c:v>
                </c:pt>
                <c:pt idx="130">
                  <c:v>4.0258837650253195E-4</c:v>
                </c:pt>
                <c:pt idx="131">
                  <c:v>4.7423777402829249E-4</c:v>
                </c:pt>
                <c:pt idx="132">
                  <c:v>9.1667782099527856E-4</c:v>
                </c:pt>
                <c:pt idx="133">
                  <c:v>7.3485180761357239E-7</c:v>
                </c:pt>
                <c:pt idx="134">
                  <c:v>5.1499756946704319E-4</c:v>
                </c:pt>
                <c:pt idx="135">
                  <c:v>6.1753686570022647E-4</c:v>
                </c:pt>
                <c:pt idx="136">
                  <c:v>3.7562131648234085E-4</c:v>
                </c:pt>
                <c:pt idx="137">
                  <c:v>1.2668404438458728E-3</c:v>
                </c:pt>
                <c:pt idx="138">
                  <c:v>5.3713449731715359E-7</c:v>
                </c:pt>
                <c:pt idx="139">
                  <c:v>1.0437196977374377E-3</c:v>
                </c:pt>
                <c:pt idx="140">
                  <c:v>2.9239765362483101E-3</c:v>
                </c:pt>
                <c:pt idx="141">
                  <c:v>3.2938884363680192E-4</c:v>
                </c:pt>
                <c:pt idx="142">
                  <c:v>1.2221370089460612E-5</c:v>
                </c:pt>
                <c:pt idx="143">
                  <c:v>3.365726204821601E-3</c:v>
                </c:pt>
                <c:pt idx="144">
                  <c:v>1.4723016665139849E-3</c:v>
                </c:pt>
                <c:pt idx="145">
                  <c:v>5.6980339185633885E-3</c:v>
                </c:pt>
                <c:pt idx="146">
                  <c:v>5.8209173033592408E-4</c:v>
                </c:pt>
                <c:pt idx="147">
                  <c:v>1.1655083173075383E-3</c:v>
                </c:pt>
                <c:pt idx="148">
                  <c:v>5.3282971853456959E-5</c:v>
                </c:pt>
                <c:pt idx="149">
                  <c:v>1.9176603742006981E-3</c:v>
                </c:pt>
                <c:pt idx="150">
                  <c:v>1.6423450272720468E-5</c:v>
                </c:pt>
                <c:pt idx="151">
                  <c:v>2.9344256287308819E-6</c:v>
                </c:pt>
                <c:pt idx="152">
                  <c:v>4.7930164375910266E-3</c:v>
                </c:pt>
                <c:pt idx="153">
                  <c:v>7.7830325589615043E-3</c:v>
                </c:pt>
                <c:pt idx="154">
                  <c:v>7.8805652842904063E-3</c:v>
                </c:pt>
                <c:pt idx="155">
                  <c:v>1.7163587022957112E-3</c:v>
                </c:pt>
                <c:pt idx="156">
                  <c:v>4.1842892969318861E-3</c:v>
                </c:pt>
                <c:pt idx="157">
                  <c:v>2.1046924450569644E-3</c:v>
                </c:pt>
                <c:pt idx="158">
                  <c:v>4.0237065341328126E-4</c:v>
                </c:pt>
                <c:pt idx="159">
                  <c:v>3.0971924792745049E-6</c:v>
                </c:pt>
                <c:pt idx="160">
                  <c:v>6.7035362396424773E-4</c:v>
                </c:pt>
                <c:pt idx="161">
                  <c:v>5.5451159645289157E-4</c:v>
                </c:pt>
                <c:pt idx="162">
                  <c:v>1.8376966255360998E-4</c:v>
                </c:pt>
                <c:pt idx="163">
                  <c:v>1.4088353926934238E-4</c:v>
                </c:pt>
                <c:pt idx="164">
                  <c:v>1.1411024261701269E-2</c:v>
                </c:pt>
                <c:pt idx="165">
                  <c:v>1.0759320631190616E-3</c:v>
                </c:pt>
                <c:pt idx="166">
                  <c:v>3.8545143009552257E-5</c:v>
                </c:pt>
                <c:pt idx="167">
                  <c:v>2.3182860362914372E-4</c:v>
                </c:pt>
                <c:pt idx="168">
                  <c:v>9.7743494523160525E-7</c:v>
                </c:pt>
                <c:pt idx="169">
                  <c:v>7.3578717392995239E-6</c:v>
                </c:pt>
                <c:pt idx="170">
                  <c:v>1.1042361165811147E-3</c:v>
                </c:pt>
                <c:pt idx="171">
                  <c:v>2.8547663095470542E-4</c:v>
                </c:pt>
                <c:pt idx="172">
                  <c:v>1.7261967878924593E-3</c:v>
                </c:pt>
                <c:pt idx="173">
                  <c:v>1.6052171099173177E-4</c:v>
                </c:pt>
                <c:pt idx="174">
                  <c:v>9.1731960876766412E-5</c:v>
                </c:pt>
                <c:pt idx="175">
                  <c:v>3.8281358385704688E-4</c:v>
                </c:pt>
                <c:pt idx="176">
                  <c:v>5.5714349909394559E-6</c:v>
                </c:pt>
                <c:pt idx="177">
                  <c:v>1.8806854102407716E-4</c:v>
                </c:pt>
                <c:pt idx="178">
                  <c:v>5.0629714512212727E-4</c:v>
                </c:pt>
                <c:pt idx="179">
                  <c:v>4.3254101044937513E-3</c:v>
                </c:pt>
                <c:pt idx="180">
                  <c:v>9.3603107765154691E-4</c:v>
                </c:pt>
                <c:pt idx="181">
                  <c:v>1.797685789047434E-3</c:v>
                </c:pt>
                <c:pt idx="182">
                  <c:v>4.9314571829620513E-4</c:v>
                </c:pt>
                <c:pt idx="183">
                  <c:v>9.765941011693387E-5</c:v>
                </c:pt>
                <c:pt idx="184">
                  <c:v>8.8700600488571737E-5</c:v>
                </c:pt>
                <c:pt idx="185">
                  <c:v>2.132490305725493E-3</c:v>
                </c:pt>
                <c:pt idx="186">
                  <c:v>5.6435892396387193E-4</c:v>
                </c:pt>
                <c:pt idx="187">
                  <c:v>8.2836039655796013E-5</c:v>
                </c:pt>
                <c:pt idx="188">
                  <c:v>9.9786410096223046E-6</c:v>
                </c:pt>
                <c:pt idx="189">
                  <c:v>7.509848928351564E-4</c:v>
                </c:pt>
                <c:pt idx="190">
                  <c:v>1.3872122881645962E-3</c:v>
                </c:pt>
                <c:pt idx="191">
                  <c:v>1.4132422684014045E-3</c:v>
                </c:pt>
                <c:pt idx="192">
                  <c:v>4.7774766919710722E-4</c:v>
                </c:pt>
                <c:pt idx="193">
                  <c:v>1.2529702681123756E-3</c:v>
                </c:pt>
                <c:pt idx="194">
                  <c:v>7.8839270533019774E-4</c:v>
                </c:pt>
                <c:pt idx="195">
                  <c:v>2.9666174993551399E-6</c:v>
                </c:pt>
                <c:pt idx="196">
                  <c:v>2.430212241802746E-3</c:v>
                </c:pt>
                <c:pt idx="197">
                  <c:v>9.7414680643075503E-4</c:v>
                </c:pt>
                <c:pt idx="198">
                  <c:v>1.804579520529167E-4</c:v>
                </c:pt>
                <c:pt idx="199">
                  <c:v>8.8371472904510444E-5</c:v>
                </c:pt>
                <c:pt idx="200">
                  <c:v>1.8054730036373983E-3</c:v>
                </c:pt>
                <c:pt idx="201">
                  <c:v>7.2135723349850473E-6</c:v>
                </c:pt>
                <c:pt idx="202">
                  <c:v>2.7975061003270257E-3</c:v>
                </c:pt>
                <c:pt idx="203">
                  <c:v>3.9129992780615229E-7</c:v>
                </c:pt>
                <c:pt idx="204">
                  <c:v>1.595401683831486E-3</c:v>
                </c:pt>
                <c:pt idx="205">
                  <c:v>1.7467117093002043E-3</c:v>
                </c:pt>
                <c:pt idx="206">
                  <c:v>1.7592596334059286E-3</c:v>
                </c:pt>
                <c:pt idx="207">
                  <c:v>3.0564674748133577E-3</c:v>
                </c:pt>
                <c:pt idx="208">
                  <c:v>6.4772014803550016E-3</c:v>
                </c:pt>
                <c:pt idx="209">
                  <c:v>1.8424991340947824E-3</c:v>
                </c:pt>
                <c:pt idx="210">
                  <c:v>3.8013662770483487E-3</c:v>
                </c:pt>
                <c:pt idx="211">
                  <c:v>1.1231914493353005E-3</c:v>
                </c:pt>
                <c:pt idx="212">
                  <c:v>2.4886122643385461E-3</c:v>
                </c:pt>
                <c:pt idx="213">
                  <c:v>3.3500178156531464E-3</c:v>
                </c:pt>
                <c:pt idx="214">
                  <c:v>6.0591474413001676E-4</c:v>
                </c:pt>
                <c:pt idx="215">
                  <c:v>2.3145490611005772E-3</c:v>
                </c:pt>
                <c:pt idx="216">
                  <c:v>7.8703278063428847E-3</c:v>
                </c:pt>
                <c:pt idx="217">
                  <c:v>2.3010283096977808E-4</c:v>
                </c:pt>
                <c:pt idx="218">
                  <c:v>2.7211822643756441E-3</c:v>
                </c:pt>
                <c:pt idx="219">
                  <c:v>4.1528067158141236E-7</c:v>
                </c:pt>
                <c:pt idx="220">
                  <c:v>1.374721736872366E-5</c:v>
                </c:pt>
                <c:pt idx="221">
                  <c:v>1.4626070451054007E-4</c:v>
                </c:pt>
                <c:pt idx="222">
                  <c:v>1.5320306744409423E-4</c:v>
                </c:pt>
                <c:pt idx="223">
                  <c:v>1.5644948348165081E-3</c:v>
                </c:pt>
                <c:pt idx="224">
                  <c:v>1.4582748947170539E-8</c:v>
                </c:pt>
                <c:pt idx="225">
                  <c:v>8.8496100589804255E-5</c:v>
                </c:pt>
                <c:pt idx="226">
                  <c:v>7.6394464843268105E-4</c:v>
                </c:pt>
                <c:pt idx="227">
                  <c:v>1.9758759791664929E-4</c:v>
                </c:pt>
                <c:pt idx="228">
                  <c:v>1.1468956821846464E-5</c:v>
                </c:pt>
                <c:pt idx="229">
                  <c:v>3.4758605236243426E-4</c:v>
                </c:pt>
                <c:pt idx="230">
                  <c:v>2.0485049891335791E-4</c:v>
                </c:pt>
                <c:pt idx="231">
                  <c:v>7.1073948431203671E-4</c:v>
                </c:pt>
                <c:pt idx="232">
                  <c:v>1.8745056327978849E-5</c:v>
                </c:pt>
                <c:pt idx="233">
                  <c:v>2.7688696773164527E-3</c:v>
                </c:pt>
                <c:pt idx="234">
                  <c:v>4.9552907027581336E-4</c:v>
                </c:pt>
                <c:pt idx="235">
                  <c:v>1.8657578421682358E-3</c:v>
                </c:pt>
                <c:pt idx="236">
                  <c:v>1.1643930329232586E-2</c:v>
                </c:pt>
                <c:pt idx="237">
                  <c:v>6.9675617228154668E-5</c:v>
                </c:pt>
                <c:pt idx="238">
                  <c:v>6.5438157939957074E-4</c:v>
                </c:pt>
                <c:pt idx="239">
                  <c:v>4.791418281541465E-3</c:v>
                </c:pt>
                <c:pt idx="240">
                  <c:v>9.6043353193524268E-3</c:v>
                </c:pt>
                <c:pt idx="241">
                  <c:v>6.8690855003637292E-3</c:v>
                </c:pt>
                <c:pt idx="242">
                  <c:v>4.6959959279888761E-2</c:v>
                </c:pt>
                <c:pt idx="243">
                  <c:v>1.4175460654412718E-2</c:v>
                </c:pt>
                <c:pt idx="244">
                  <c:v>1.4805288140072991E-3</c:v>
                </c:pt>
                <c:pt idx="245">
                  <c:v>2.409028614825447E-2</c:v>
                </c:pt>
                <c:pt idx="246">
                  <c:v>6.0570846398093712E-3</c:v>
                </c:pt>
                <c:pt idx="247">
                  <c:v>8.8675516438309517E-5</c:v>
                </c:pt>
                <c:pt idx="248">
                  <c:v>3.0289446441747052E-4</c:v>
                </c:pt>
                <c:pt idx="249">
                  <c:v>2.8027998610575947E-4</c:v>
                </c:pt>
                <c:pt idx="250">
                  <c:v>7.66746634500931E-5</c:v>
                </c:pt>
                <c:pt idx="251">
                  <c:v>3.9596916404452566E-4</c:v>
                </c:pt>
                <c:pt idx="252">
                  <c:v>1.7161009038441971E-3</c:v>
                </c:pt>
                <c:pt idx="253">
                  <c:v>1.7494475780529764E-4</c:v>
                </c:pt>
                <c:pt idx="254">
                  <c:v>2.31012867798152E-6</c:v>
                </c:pt>
                <c:pt idx="255">
                  <c:v>1.1754212964191057E-3</c:v>
                </c:pt>
                <c:pt idx="256">
                  <c:v>1.8192816649843895E-7</c:v>
                </c:pt>
                <c:pt idx="257">
                  <c:v>6.3078274113854678E-4</c:v>
                </c:pt>
                <c:pt idx="258">
                  <c:v>1.0077273787285113E-4</c:v>
                </c:pt>
                <c:pt idx="259">
                  <c:v>8.5073862793208152E-4</c:v>
                </c:pt>
                <c:pt idx="260">
                  <c:v>5.8971136076672969E-5</c:v>
                </c:pt>
                <c:pt idx="261">
                  <c:v>8.3326283140426507E-4</c:v>
                </c:pt>
                <c:pt idx="262">
                  <c:v>1.9674980339091886E-3</c:v>
                </c:pt>
                <c:pt idx="263">
                  <c:v>2.4813602777608177E-4</c:v>
                </c:pt>
                <c:pt idx="264">
                  <c:v>1.73402773982469E-3</c:v>
                </c:pt>
                <c:pt idx="265">
                  <c:v>8.1712338986331064E-5</c:v>
                </c:pt>
                <c:pt idx="266">
                  <c:v>2.8493018540551589E-4</c:v>
                </c:pt>
                <c:pt idx="267">
                  <c:v>3.9362088773436318E-3</c:v>
                </c:pt>
                <c:pt idx="268">
                  <c:v>9.7253797156011245E-3</c:v>
                </c:pt>
                <c:pt idx="269">
                  <c:v>7.4400837671903121E-5</c:v>
                </c:pt>
                <c:pt idx="270">
                  <c:v>1.3036241783376027E-5</c:v>
                </c:pt>
                <c:pt idx="271">
                  <c:v>3.8234802921392566E-3</c:v>
                </c:pt>
                <c:pt idx="272">
                  <c:v>7.3600217544443651E-3</c:v>
                </c:pt>
                <c:pt idx="273">
                  <c:v>1.3507185613380037E-2</c:v>
                </c:pt>
                <c:pt idx="274">
                  <c:v>4.3542221406322424E-3</c:v>
                </c:pt>
                <c:pt idx="275">
                  <c:v>1.1369816866149523E-2</c:v>
                </c:pt>
                <c:pt idx="276">
                  <c:v>5.5545715540963815E-4</c:v>
                </c:pt>
                <c:pt idx="277">
                  <c:v>3.2715896315122653E-7</c:v>
                </c:pt>
                <c:pt idx="278">
                  <c:v>9.5393026049185375E-4</c:v>
                </c:pt>
                <c:pt idx="279">
                  <c:v>7.5226280013666914E-3</c:v>
                </c:pt>
                <c:pt idx="280">
                  <c:v>2.8829331984404493E-3</c:v>
                </c:pt>
                <c:pt idx="281">
                  <c:v>3.3731143674384807E-3</c:v>
                </c:pt>
                <c:pt idx="282">
                  <c:v>1.3579036099850713E-3</c:v>
                </c:pt>
                <c:pt idx="283">
                  <c:v>2.6367413490506341E-3</c:v>
                </c:pt>
                <c:pt idx="284">
                  <c:v>2.5812756200590935E-3</c:v>
                </c:pt>
                <c:pt idx="285">
                  <c:v>2.3702172657121263E-3</c:v>
                </c:pt>
                <c:pt idx="286">
                  <c:v>1.0193912173724509E-3</c:v>
                </c:pt>
                <c:pt idx="287">
                  <c:v>2.7125005284353174E-5</c:v>
                </c:pt>
                <c:pt idx="288">
                  <c:v>3.1801117960045147E-3</c:v>
                </c:pt>
                <c:pt idx="289">
                  <c:v>1.2930022535661641E-3</c:v>
                </c:pt>
                <c:pt idx="290">
                  <c:v>2.2740583656844949E-4</c:v>
                </c:pt>
                <c:pt idx="291">
                  <c:v>3.12088131316136E-4</c:v>
                </c:pt>
                <c:pt idx="292">
                  <c:v>5.8692470421661575E-4</c:v>
                </c:pt>
                <c:pt idx="293">
                  <c:v>8.5663255114177064E-3</c:v>
                </c:pt>
                <c:pt idx="294">
                  <c:v>4.4908750776935722E-5</c:v>
                </c:pt>
                <c:pt idx="295">
                  <c:v>3.3430031485072394E-4</c:v>
                </c:pt>
                <c:pt idx="296">
                  <c:v>2.2941891516981274E-3</c:v>
                </c:pt>
                <c:pt idx="297">
                  <c:v>2.7179456028937041E-4</c:v>
                </c:pt>
                <c:pt idx="298">
                  <c:v>2.1635245811846756E-4</c:v>
                </c:pt>
                <c:pt idx="299">
                  <c:v>6.2860466992159317E-3</c:v>
                </c:pt>
                <c:pt idx="300">
                  <c:v>6.5431503106133538E-3</c:v>
                </c:pt>
                <c:pt idx="301">
                  <c:v>2.0855291577570649E-4</c:v>
                </c:pt>
                <c:pt idx="302">
                  <c:v>1.009198993344795E-2</c:v>
                </c:pt>
                <c:pt idx="303">
                  <c:v>6.3192329082867879E-4</c:v>
                </c:pt>
                <c:pt idx="304">
                  <c:v>1.3219268319857665E-3</c:v>
                </c:pt>
                <c:pt idx="305">
                  <c:v>8.8993893524178441E-5</c:v>
                </c:pt>
                <c:pt idx="306">
                  <c:v>9.7910413829515944E-3</c:v>
                </c:pt>
                <c:pt idx="307">
                  <c:v>1.1625515480960857E-2</c:v>
                </c:pt>
                <c:pt idx="308">
                  <c:v>3.6644549050544065E-4</c:v>
                </c:pt>
                <c:pt idx="309">
                  <c:v>1.3116666064299904E-3</c:v>
                </c:pt>
                <c:pt idx="310">
                  <c:v>9.0854569129831202E-5</c:v>
                </c:pt>
                <c:pt idx="311">
                  <c:v>2.5929603784530155E-3</c:v>
                </c:pt>
                <c:pt idx="312">
                  <c:v>3.7943507873432376E-3</c:v>
                </c:pt>
                <c:pt idx="313">
                  <c:v>7.3712586997697633E-3</c:v>
                </c:pt>
                <c:pt idx="314">
                  <c:v>2.2225518853665093E-2</c:v>
                </c:pt>
                <c:pt idx="315">
                  <c:v>4.5938133914691137E-4</c:v>
                </c:pt>
                <c:pt idx="316">
                  <c:v>2.592493482164753E-3</c:v>
                </c:pt>
                <c:pt idx="317">
                  <c:v>1.9409652460273955E-3</c:v>
                </c:pt>
                <c:pt idx="318">
                  <c:v>2.5080789491045362E-3</c:v>
                </c:pt>
                <c:pt idx="319">
                  <c:v>2.6537921553327799E-3</c:v>
                </c:pt>
                <c:pt idx="320">
                  <c:v>3.1509345424163913E-2</c:v>
                </c:pt>
                <c:pt idx="321">
                  <c:v>1.4451526667439193E-3</c:v>
                </c:pt>
                <c:pt idx="322">
                  <c:v>6.1954015492519943E-3</c:v>
                </c:pt>
                <c:pt idx="323">
                  <c:v>2.0873683660506931E-2</c:v>
                </c:pt>
                <c:pt idx="324">
                  <c:v>2.4238765461914558E-2</c:v>
                </c:pt>
                <c:pt idx="325">
                  <c:v>8.512579252521876E-3</c:v>
                </c:pt>
                <c:pt idx="326">
                  <c:v>3.0396331523534392E-5</c:v>
                </c:pt>
                <c:pt idx="327">
                  <c:v>1.5138834664552051E-2</c:v>
                </c:pt>
                <c:pt idx="328">
                  <c:v>1.362935193344648E-3</c:v>
                </c:pt>
                <c:pt idx="329">
                  <c:v>2.0426309022841115E-2</c:v>
                </c:pt>
                <c:pt idx="330">
                  <c:v>1.0666275308936534E-3</c:v>
                </c:pt>
                <c:pt idx="331">
                  <c:v>3.3725966329777535E-2</c:v>
                </c:pt>
                <c:pt idx="332">
                  <c:v>5.7449906899618758E-4</c:v>
                </c:pt>
                <c:pt idx="333">
                  <c:v>2.2025036410607212E-3</c:v>
                </c:pt>
                <c:pt idx="334">
                  <c:v>1.2221021344029587E-3</c:v>
                </c:pt>
                <c:pt idx="335">
                  <c:v>1.0261645662393696E-3</c:v>
                </c:pt>
                <c:pt idx="336">
                  <c:v>2.0445968935016087E-3</c:v>
                </c:pt>
                <c:pt idx="337">
                  <c:v>5.4963222423871387E-3</c:v>
                </c:pt>
                <c:pt idx="338">
                  <c:v>1.4363995595847449E-5</c:v>
                </c:pt>
                <c:pt idx="339">
                  <c:v>3.7984921914540185E-3</c:v>
                </c:pt>
                <c:pt idx="340">
                  <c:v>1.3865269089159291E-2</c:v>
                </c:pt>
                <c:pt idx="341">
                  <c:v>2.5143442298404685E-5</c:v>
                </c:pt>
                <c:pt idx="342">
                  <c:v>5.8371953236483322E-4</c:v>
                </c:pt>
                <c:pt idx="343">
                  <c:v>2.1699524290074955E-3</c:v>
                </c:pt>
                <c:pt idx="344">
                  <c:v>4.1160404126380449E-3</c:v>
                </c:pt>
                <c:pt idx="345">
                  <c:v>2.0974923110860871E-7</c:v>
                </c:pt>
                <c:pt idx="346">
                  <c:v>4.2137008791074829E-3</c:v>
                </c:pt>
                <c:pt idx="347">
                  <c:v>2.1614175219013573E-3</c:v>
                </c:pt>
                <c:pt idx="348">
                  <c:v>1.3799396962001494E-5</c:v>
                </c:pt>
                <c:pt idx="349">
                  <c:v>6.1398716568037402E-6</c:v>
                </c:pt>
                <c:pt idx="350">
                  <c:v>1.9321108768246162E-4</c:v>
                </c:pt>
                <c:pt idx="351">
                  <c:v>1.5831434276901405E-5</c:v>
                </c:pt>
                <c:pt idx="352">
                  <c:v>1.8833516818890722E-3</c:v>
                </c:pt>
                <c:pt idx="353">
                  <c:v>2.3559477951898205E-4</c:v>
                </c:pt>
                <c:pt idx="354">
                  <c:v>1.6001116978650996E-4</c:v>
                </c:pt>
                <c:pt idx="355">
                  <c:v>3.4755931599012753E-3</c:v>
                </c:pt>
                <c:pt idx="356">
                  <c:v>3.6816435904011803E-3</c:v>
                </c:pt>
                <c:pt idx="357">
                  <c:v>6.3685165871422179E-3</c:v>
                </c:pt>
                <c:pt idx="358">
                  <c:v>8.3750582565428268E-4</c:v>
                </c:pt>
                <c:pt idx="359">
                  <c:v>4.8578202243035511E-3</c:v>
                </c:pt>
                <c:pt idx="360">
                  <c:v>1.0279387077060626E-2</c:v>
                </c:pt>
                <c:pt idx="361">
                  <c:v>1.4946822807055393E-2</c:v>
                </c:pt>
                <c:pt idx="362">
                  <c:v>1.2464009927449339E-3</c:v>
                </c:pt>
                <c:pt idx="363">
                  <c:v>2.2981735940034403E-3</c:v>
                </c:pt>
                <c:pt idx="364">
                  <c:v>1.7811442916589161E-3</c:v>
                </c:pt>
                <c:pt idx="365">
                  <c:v>6.4192953679571388E-5</c:v>
                </c:pt>
                <c:pt idx="366">
                  <c:v>7.3928958454274989E-4</c:v>
                </c:pt>
                <c:pt idx="367">
                  <c:v>1.593021416841849E-3</c:v>
                </c:pt>
                <c:pt idx="368">
                  <c:v>5.7133387015121419E-3</c:v>
                </c:pt>
                <c:pt idx="369">
                  <c:v>5.3534806589597148E-5</c:v>
                </c:pt>
                <c:pt idx="370">
                  <c:v>5.6798869237322999E-4</c:v>
                </c:pt>
                <c:pt idx="371">
                  <c:v>6.8871388294999445E-3</c:v>
                </c:pt>
                <c:pt idx="372">
                  <c:v>6.1900720136637581E-3</c:v>
                </c:pt>
                <c:pt idx="373">
                  <c:v>2.3252585222383769E-3</c:v>
                </c:pt>
                <c:pt idx="374">
                  <c:v>5.9691306285993831E-4</c:v>
                </c:pt>
                <c:pt idx="375">
                  <c:v>6.0027357340988079E-4</c:v>
                </c:pt>
                <c:pt idx="376">
                  <c:v>6.3705487945309389E-5</c:v>
                </c:pt>
                <c:pt idx="377">
                  <c:v>1.2473156859063596E-3</c:v>
                </c:pt>
                <c:pt idx="378">
                  <c:v>4.4510051121384358E-3</c:v>
                </c:pt>
                <c:pt idx="379">
                  <c:v>1.442136083935238E-3</c:v>
                </c:pt>
                <c:pt idx="380">
                  <c:v>2.5357816141103389E-3</c:v>
                </c:pt>
                <c:pt idx="381">
                  <c:v>2.4396798261845723E-2</c:v>
                </c:pt>
                <c:pt idx="382">
                  <c:v>4.5320589621589431E-3</c:v>
                </c:pt>
                <c:pt idx="383">
                  <c:v>1.1725485358042654E-2</c:v>
                </c:pt>
                <c:pt idx="384">
                  <c:v>2.7494206600981862E-6</c:v>
                </c:pt>
                <c:pt idx="385">
                  <c:v>4.9770355711066501E-3</c:v>
                </c:pt>
                <c:pt idx="386">
                  <c:v>5.4855298049970834E-4</c:v>
                </c:pt>
                <c:pt idx="387">
                  <c:v>1.356299494152636E-3</c:v>
                </c:pt>
                <c:pt idx="388">
                  <c:v>2.7739153271081101E-2</c:v>
                </c:pt>
                <c:pt idx="389">
                  <c:v>1.7970117380838996E-6</c:v>
                </c:pt>
                <c:pt idx="390">
                  <c:v>1.3108660454863893E-3</c:v>
                </c:pt>
                <c:pt idx="391">
                  <c:v>3.4972597563339862E-4</c:v>
                </c:pt>
              </c:numCache>
            </c:numRef>
          </c:val>
          <c:extLst>
            <c:ext xmlns:c16="http://schemas.microsoft.com/office/drawing/2014/chart" uri="{C3380CC4-5D6E-409C-BE32-E72D297353CC}">
              <c16:uniqueId val="{00000001-677D-442D-9975-F9E9659BB5A1}"/>
            </c:ext>
          </c:extLst>
        </c:ser>
        <c:dLbls>
          <c:showLegendKey val="0"/>
          <c:showVal val="0"/>
          <c:showCatName val="0"/>
          <c:showSerName val="0"/>
          <c:showPercent val="0"/>
          <c:showBubbleSize val="0"/>
        </c:dLbls>
        <c:gapWidth val="150"/>
        <c:axId val="1291627664"/>
        <c:axId val="1291630064"/>
      </c:barChart>
      <c:lineChart>
        <c:grouping val="standard"/>
        <c:varyColors val="0"/>
        <c:ser>
          <c:idx val="1"/>
          <c:order val="1"/>
          <c:tx>
            <c:v>Flagged (D &gt; 4/n or D &gt; 0.9)</c:v>
          </c:tx>
          <c:spPr>
            <a:ln w="38100" cap="rnd" cmpd="sng" algn="ctr">
              <a:noFill/>
              <a:prstDash val="solid"/>
              <a:round/>
            </a:ln>
            <a:effectLst/>
            <a:extLst>
              <a:ext uri="{91240B29-F687-4F45-9708-019B960494DF}">
                <a14:hiddenLine xmlns:a14="http://schemas.microsoft.com/office/drawing/2010/main" w="38100" cap="rnd" cmpd="sng" algn="ctr">
                  <a:solidFill>
                    <a:srgbClr val="E97132"/>
                  </a:solidFill>
                  <a:prstDash val="solid"/>
                  <a:round/>
                </a14:hiddenLine>
              </a:ext>
            </a:extLst>
          </c:spPr>
          <c:marker>
            <c:symbol val="none"/>
          </c:marker>
          <c:dLbls>
            <c:numFmt formatCode="0.0E+00" sourceLinked="0"/>
            <c:spPr>
              <a:noFill/>
              <a:ln>
                <a:noFill/>
              </a:ln>
              <a:effectLst/>
            </c:sp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Regression!RegChartObsLabel</c:f>
              <c:strCache>
                <c:ptCount val="392"/>
                <c:pt idx="0">
                  <c:v>chevrolet chevelle malibu</c:v>
                </c:pt>
                <c:pt idx="1">
                  <c:v>buick skylark 320</c:v>
                </c:pt>
                <c:pt idx="2">
                  <c:v>plymouth satellite</c:v>
                </c:pt>
                <c:pt idx="3">
                  <c:v>amc rebel sst</c:v>
                </c:pt>
                <c:pt idx="4">
                  <c:v>ford torino</c:v>
                </c:pt>
                <c:pt idx="5">
                  <c:v>ford galaxie 500</c:v>
                </c:pt>
                <c:pt idx="6">
                  <c:v>chevrolet impala</c:v>
                </c:pt>
                <c:pt idx="7">
                  <c:v>plymouth fury iii</c:v>
                </c:pt>
                <c:pt idx="8">
                  <c:v>pontiac catalina</c:v>
                </c:pt>
                <c:pt idx="9">
                  <c:v>amc ambassador dpl</c:v>
                </c:pt>
                <c:pt idx="10">
                  <c:v>dodge challenger se</c:v>
                </c:pt>
                <c:pt idx="11">
                  <c:v>plymouth 'cuda 340</c:v>
                </c:pt>
                <c:pt idx="12">
                  <c:v>chevrolet monte carlo</c:v>
                </c:pt>
                <c:pt idx="13">
                  <c:v>buick estate wagon (sw)</c:v>
                </c:pt>
                <c:pt idx="14">
                  <c:v>toyota corona mark ii</c:v>
                </c:pt>
                <c:pt idx="15">
                  <c:v>plymouth duster</c:v>
                </c:pt>
                <c:pt idx="16">
                  <c:v>amc hornet</c:v>
                </c:pt>
                <c:pt idx="17">
                  <c:v>ford maverick</c:v>
                </c:pt>
                <c:pt idx="18">
                  <c:v>datsun pl510</c:v>
                </c:pt>
                <c:pt idx="19">
                  <c:v>volkswagen 1131 deluxe sedan</c:v>
                </c:pt>
                <c:pt idx="20">
                  <c:v>peugeot 504</c:v>
                </c:pt>
                <c:pt idx="21">
                  <c:v>audi 100 ls</c:v>
                </c:pt>
                <c:pt idx="22">
                  <c:v>saab 99e</c:v>
                </c:pt>
                <c:pt idx="23">
                  <c:v>bmw 2002</c:v>
                </c:pt>
                <c:pt idx="24">
                  <c:v>amc gremlin</c:v>
                </c:pt>
                <c:pt idx="25">
                  <c:v>ford f250</c:v>
                </c:pt>
                <c:pt idx="26">
                  <c:v>chevy c20</c:v>
                </c:pt>
                <c:pt idx="27">
                  <c:v>dodge d200</c:v>
                </c:pt>
                <c:pt idx="28">
                  <c:v>hi 1200d</c:v>
                </c:pt>
                <c:pt idx="29">
                  <c:v>datsun pl510</c:v>
                </c:pt>
                <c:pt idx="30">
                  <c:v>chevrolet vega 2300</c:v>
                </c:pt>
                <c:pt idx="31">
                  <c:v>toyota corona</c:v>
                </c:pt>
                <c:pt idx="32">
                  <c:v>amc gremlin</c:v>
                </c:pt>
                <c:pt idx="33">
                  <c:v>plymouth satellite custom</c:v>
                </c:pt>
                <c:pt idx="34">
                  <c:v>chevrolet chevelle malibu</c:v>
                </c:pt>
                <c:pt idx="35">
                  <c:v>ford torino 500</c:v>
                </c:pt>
                <c:pt idx="36">
                  <c:v>amc matador</c:v>
                </c:pt>
                <c:pt idx="37">
                  <c:v>chevrolet impala</c:v>
                </c:pt>
                <c:pt idx="38">
                  <c:v>pontiac catalina brougham</c:v>
                </c:pt>
                <c:pt idx="39">
                  <c:v>ford galaxie 500</c:v>
                </c:pt>
                <c:pt idx="40">
                  <c:v>plymouth fury iii</c:v>
                </c:pt>
                <c:pt idx="41">
                  <c:v>dodge monaco (sw)</c:v>
                </c:pt>
                <c:pt idx="42">
                  <c:v>ford country squire (sw)</c:v>
                </c:pt>
                <c:pt idx="43">
                  <c:v>pontiac safari (sw)</c:v>
                </c:pt>
                <c:pt idx="44">
                  <c:v>amc hornet sportabout (sw)</c:v>
                </c:pt>
                <c:pt idx="45">
                  <c:v>chevrolet vega (sw)</c:v>
                </c:pt>
                <c:pt idx="46">
                  <c:v>pontiac firebird</c:v>
                </c:pt>
                <c:pt idx="47">
                  <c:v>ford mustang</c:v>
                </c:pt>
                <c:pt idx="48">
                  <c:v>mercury capri 2000</c:v>
                </c:pt>
                <c:pt idx="49">
                  <c:v>opel 1900</c:v>
                </c:pt>
                <c:pt idx="50">
                  <c:v>peugeot 304</c:v>
                </c:pt>
                <c:pt idx="51">
                  <c:v>fiat 124b</c:v>
                </c:pt>
                <c:pt idx="52">
                  <c:v>toyota corolla 1200</c:v>
                </c:pt>
                <c:pt idx="53">
                  <c:v>datsun 1200</c:v>
                </c:pt>
                <c:pt idx="54">
                  <c:v>volkswagen model 111</c:v>
                </c:pt>
                <c:pt idx="55">
                  <c:v>plymouth cricket</c:v>
                </c:pt>
                <c:pt idx="56">
                  <c:v>toyota corona hardtop</c:v>
                </c:pt>
                <c:pt idx="57">
                  <c:v>dodge colt hardtop</c:v>
                </c:pt>
                <c:pt idx="58">
                  <c:v>volkswagen type 3</c:v>
                </c:pt>
                <c:pt idx="59">
                  <c:v>chevrolet vega</c:v>
                </c:pt>
                <c:pt idx="60">
                  <c:v>ford pinto runabout</c:v>
                </c:pt>
                <c:pt idx="61">
                  <c:v>chevrolet impala</c:v>
                </c:pt>
                <c:pt idx="62">
                  <c:v>pontiac catalina</c:v>
                </c:pt>
                <c:pt idx="63">
                  <c:v>plymouth fury iii</c:v>
                </c:pt>
                <c:pt idx="64">
                  <c:v>ford galaxie 500</c:v>
                </c:pt>
                <c:pt idx="65">
                  <c:v>amc ambassador sst</c:v>
                </c:pt>
                <c:pt idx="66">
                  <c:v>mercury marquis</c:v>
                </c:pt>
                <c:pt idx="67">
                  <c:v>buick lesabre custom</c:v>
                </c:pt>
                <c:pt idx="68">
                  <c:v>oldsmobile delta 88 royale</c:v>
                </c:pt>
                <c:pt idx="69">
                  <c:v>chrysler newport royal</c:v>
                </c:pt>
                <c:pt idx="70">
                  <c:v>mazda rx2 coupe</c:v>
                </c:pt>
                <c:pt idx="71">
                  <c:v>amc matador (sw)</c:v>
                </c:pt>
                <c:pt idx="72">
                  <c:v>chevrolet chevelle concours (sw)</c:v>
                </c:pt>
                <c:pt idx="73">
                  <c:v>ford gran torino (sw)</c:v>
                </c:pt>
                <c:pt idx="74">
                  <c:v>plymouth satellite custom (sw)</c:v>
                </c:pt>
                <c:pt idx="75">
                  <c:v>volvo 145e (sw)</c:v>
                </c:pt>
                <c:pt idx="76">
                  <c:v>volkswagen 411 (sw)</c:v>
                </c:pt>
                <c:pt idx="77">
                  <c:v>peugeot 504 (sw)</c:v>
                </c:pt>
                <c:pt idx="78">
                  <c:v>renault 12 (sw)</c:v>
                </c:pt>
                <c:pt idx="79">
                  <c:v>ford pinto (sw)</c:v>
                </c:pt>
                <c:pt idx="80">
                  <c:v>datsun 510 (sw)</c:v>
                </c:pt>
                <c:pt idx="81">
                  <c:v>toyouta corona mark ii (sw)</c:v>
                </c:pt>
                <c:pt idx="82">
                  <c:v>dodge colt (sw)</c:v>
                </c:pt>
                <c:pt idx="83">
                  <c:v>toyota corolla 1600 (sw)</c:v>
                </c:pt>
                <c:pt idx="84">
                  <c:v>buick century 350</c:v>
                </c:pt>
                <c:pt idx="85">
                  <c:v>amc matador</c:v>
                </c:pt>
                <c:pt idx="86">
                  <c:v>chevrolet malibu</c:v>
                </c:pt>
                <c:pt idx="87">
                  <c:v>ford gran torino</c:v>
                </c:pt>
                <c:pt idx="88">
                  <c:v>dodge coronet custom</c:v>
                </c:pt>
                <c:pt idx="89">
                  <c:v>mercury marquis brougham</c:v>
                </c:pt>
                <c:pt idx="90">
                  <c:v>chevrolet caprice classic</c:v>
                </c:pt>
                <c:pt idx="91">
                  <c:v>ford ltd</c:v>
                </c:pt>
                <c:pt idx="92">
                  <c:v>plymouth fury gran sedan</c:v>
                </c:pt>
                <c:pt idx="93">
                  <c:v>chrysler new yorker brougham</c:v>
                </c:pt>
                <c:pt idx="94">
                  <c:v>buick electra 225 custom</c:v>
                </c:pt>
                <c:pt idx="95">
                  <c:v>amc ambassador brougham</c:v>
                </c:pt>
                <c:pt idx="96">
                  <c:v>plymouth valiant</c:v>
                </c:pt>
                <c:pt idx="97">
                  <c:v>chevrolet nova custom</c:v>
                </c:pt>
                <c:pt idx="98">
                  <c:v>amc hornet</c:v>
                </c:pt>
                <c:pt idx="99">
                  <c:v>ford maverick</c:v>
                </c:pt>
                <c:pt idx="100">
                  <c:v>plymouth duster</c:v>
                </c:pt>
                <c:pt idx="101">
                  <c:v>volkswagen super beetle</c:v>
                </c:pt>
                <c:pt idx="102">
                  <c:v>chevrolet impala</c:v>
                </c:pt>
                <c:pt idx="103">
                  <c:v>ford country</c:v>
                </c:pt>
                <c:pt idx="104">
                  <c:v>plymouth custom suburb</c:v>
                </c:pt>
                <c:pt idx="105">
                  <c:v>oldsmobile vista cruiser</c:v>
                </c:pt>
                <c:pt idx="106">
                  <c:v>amc gremlin</c:v>
                </c:pt>
                <c:pt idx="107">
                  <c:v>toyota carina</c:v>
                </c:pt>
                <c:pt idx="108">
                  <c:v>chevrolet vega</c:v>
                </c:pt>
                <c:pt idx="109">
                  <c:v>datsun 610</c:v>
                </c:pt>
                <c:pt idx="110">
                  <c:v>maxda rx3</c:v>
                </c:pt>
                <c:pt idx="111">
                  <c:v>ford pinto</c:v>
                </c:pt>
                <c:pt idx="112">
                  <c:v>mercury capri v6</c:v>
                </c:pt>
                <c:pt idx="113">
                  <c:v>fiat 124 sport coupe</c:v>
                </c:pt>
                <c:pt idx="114">
                  <c:v>chevrolet monte carlo s</c:v>
                </c:pt>
                <c:pt idx="115">
                  <c:v>pontiac grand prix</c:v>
                </c:pt>
                <c:pt idx="116">
                  <c:v>fiat 128</c:v>
                </c:pt>
                <c:pt idx="117">
                  <c:v>opel manta</c:v>
                </c:pt>
                <c:pt idx="118">
                  <c:v>audi 100ls</c:v>
                </c:pt>
                <c:pt idx="119">
                  <c:v>volvo 144ea</c:v>
                </c:pt>
                <c:pt idx="120">
                  <c:v>dodge dart custom</c:v>
                </c:pt>
                <c:pt idx="121">
                  <c:v>saab 99le</c:v>
                </c:pt>
                <c:pt idx="122">
                  <c:v>toyota mark ii</c:v>
                </c:pt>
                <c:pt idx="123">
                  <c:v>oldsmobile omega</c:v>
                </c:pt>
                <c:pt idx="124">
                  <c:v>plymouth duster</c:v>
                </c:pt>
                <c:pt idx="125">
                  <c:v>amc hornet</c:v>
                </c:pt>
                <c:pt idx="126">
                  <c:v>chevrolet nova</c:v>
                </c:pt>
                <c:pt idx="127">
                  <c:v>datsun b210</c:v>
                </c:pt>
                <c:pt idx="128">
                  <c:v>ford pinto</c:v>
                </c:pt>
                <c:pt idx="129">
                  <c:v>toyota corolla 1200</c:v>
                </c:pt>
                <c:pt idx="130">
                  <c:v>chevrolet vega</c:v>
                </c:pt>
                <c:pt idx="131">
                  <c:v>chevrolet chevelle malibu classic</c:v>
                </c:pt>
                <c:pt idx="132">
                  <c:v>amc matador</c:v>
                </c:pt>
                <c:pt idx="133">
                  <c:v>plymouth satellite sebring</c:v>
                </c:pt>
                <c:pt idx="134">
                  <c:v>ford gran torino</c:v>
                </c:pt>
                <c:pt idx="135">
                  <c:v>buick century luxus (sw)</c:v>
                </c:pt>
                <c:pt idx="136">
                  <c:v>dodge coronet custom (sw)</c:v>
                </c:pt>
                <c:pt idx="137">
                  <c:v>ford gran torino (sw)</c:v>
                </c:pt>
                <c:pt idx="138">
                  <c:v>amc matador (sw)</c:v>
                </c:pt>
                <c:pt idx="139">
                  <c:v>audi fox</c:v>
                </c:pt>
                <c:pt idx="140">
                  <c:v>volkswagen dasher</c:v>
                </c:pt>
                <c:pt idx="141">
                  <c:v>opel manta</c:v>
                </c:pt>
                <c:pt idx="142">
                  <c:v>toyota corona</c:v>
                </c:pt>
                <c:pt idx="143">
                  <c:v>datsun 710</c:v>
                </c:pt>
                <c:pt idx="144">
                  <c:v>dodge colt</c:v>
                </c:pt>
                <c:pt idx="145">
                  <c:v>fiat 128</c:v>
                </c:pt>
                <c:pt idx="146">
                  <c:v>fiat 124 tc</c:v>
                </c:pt>
                <c:pt idx="147">
                  <c:v>honda civic</c:v>
                </c:pt>
                <c:pt idx="148">
                  <c:v>subaru</c:v>
                </c:pt>
                <c:pt idx="149">
                  <c:v>fiat x1.9</c:v>
                </c:pt>
                <c:pt idx="150">
                  <c:v>plymouth valiant custom</c:v>
                </c:pt>
                <c:pt idx="151">
                  <c:v>chevrolet nova</c:v>
                </c:pt>
                <c:pt idx="152">
                  <c:v>mercury monarch</c:v>
                </c:pt>
                <c:pt idx="153">
                  <c:v>ford maverick</c:v>
                </c:pt>
                <c:pt idx="154">
                  <c:v>pontiac catalina</c:v>
                </c:pt>
                <c:pt idx="155">
                  <c:v>chevrolet bel air</c:v>
                </c:pt>
                <c:pt idx="156">
                  <c:v>plymouth grand fury</c:v>
                </c:pt>
                <c:pt idx="157">
                  <c:v>ford ltd</c:v>
                </c:pt>
                <c:pt idx="158">
                  <c:v>buick century</c:v>
                </c:pt>
                <c:pt idx="159">
                  <c:v>chevroelt chevelle malibu</c:v>
                </c:pt>
                <c:pt idx="160">
                  <c:v>amc matador</c:v>
                </c:pt>
                <c:pt idx="161">
                  <c:v>plymouth fury</c:v>
                </c:pt>
                <c:pt idx="162">
                  <c:v>buick skyhawk</c:v>
                </c:pt>
                <c:pt idx="163">
                  <c:v>chevrolet monza 2+2</c:v>
                </c:pt>
                <c:pt idx="164">
                  <c:v>ford mustang ii</c:v>
                </c:pt>
                <c:pt idx="165">
                  <c:v>toyota corolla</c:v>
                </c:pt>
                <c:pt idx="166">
                  <c:v>ford pinto</c:v>
                </c:pt>
                <c:pt idx="167">
                  <c:v>amc gremlin</c:v>
                </c:pt>
                <c:pt idx="168">
                  <c:v>pontiac astro</c:v>
                </c:pt>
                <c:pt idx="169">
                  <c:v>toyota corona</c:v>
                </c:pt>
                <c:pt idx="170">
                  <c:v>volkswagen dasher</c:v>
                </c:pt>
                <c:pt idx="171">
                  <c:v>datsun 710</c:v>
                </c:pt>
                <c:pt idx="172">
                  <c:v>ford pinto</c:v>
                </c:pt>
                <c:pt idx="173">
                  <c:v>volkswagen rabbit</c:v>
                </c:pt>
                <c:pt idx="174">
                  <c:v>amc pacer</c:v>
                </c:pt>
                <c:pt idx="175">
                  <c:v>audi 100ls</c:v>
                </c:pt>
                <c:pt idx="176">
                  <c:v>peugeot 504</c:v>
                </c:pt>
                <c:pt idx="177">
                  <c:v>volvo 244dl</c:v>
                </c:pt>
                <c:pt idx="178">
                  <c:v>saab 99le</c:v>
                </c:pt>
                <c:pt idx="179">
                  <c:v>honda civic cvcc</c:v>
                </c:pt>
                <c:pt idx="180">
                  <c:v>fiat 131</c:v>
                </c:pt>
                <c:pt idx="181">
                  <c:v>opel 1900</c:v>
                </c:pt>
                <c:pt idx="182">
                  <c:v>capri ii</c:v>
                </c:pt>
                <c:pt idx="183">
                  <c:v>dodge colt</c:v>
                </c:pt>
                <c:pt idx="184">
                  <c:v>renault 12tl</c:v>
                </c:pt>
                <c:pt idx="185">
                  <c:v>chevrolet chevelle malibu classic</c:v>
                </c:pt>
                <c:pt idx="186">
                  <c:v>dodge coronet brougham</c:v>
                </c:pt>
                <c:pt idx="187">
                  <c:v>amc matador</c:v>
                </c:pt>
                <c:pt idx="188">
                  <c:v>ford gran torino</c:v>
                </c:pt>
                <c:pt idx="189">
                  <c:v>plymouth valiant</c:v>
                </c:pt>
                <c:pt idx="190">
                  <c:v>chevrolet nova</c:v>
                </c:pt>
                <c:pt idx="191">
                  <c:v>ford maverick</c:v>
                </c:pt>
                <c:pt idx="192">
                  <c:v>amc hornet</c:v>
                </c:pt>
                <c:pt idx="193">
                  <c:v>chevrolet chevette</c:v>
                </c:pt>
                <c:pt idx="194">
                  <c:v>chevrolet woody</c:v>
                </c:pt>
                <c:pt idx="195">
                  <c:v>vw rabbit</c:v>
                </c:pt>
                <c:pt idx="196">
                  <c:v>honda civic</c:v>
                </c:pt>
                <c:pt idx="197">
                  <c:v>dodge aspen se</c:v>
                </c:pt>
                <c:pt idx="198">
                  <c:v>ford granada ghia</c:v>
                </c:pt>
                <c:pt idx="199">
                  <c:v>pontiac ventura sj</c:v>
                </c:pt>
                <c:pt idx="200">
                  <c:v>amc pacer d/l</c:v>
                </c:pt>
                <c:pt idx="201">
                  <c:v>volkswagen rabbit</c:v>
                </c:pt>
                <c:pt idx="202">
                  <c:v>datsun b-210</c:v>
                </c:pt>
                <c:pt idx="203">
                  <c:v>toyota corolla</c:v>
                </c:pt>
                <c:pt idx="204">
                  <c:v>ford pinto</c:v>
                </c:pt>
                <c:pt idx="205">
                  <c:v>volvo 245</c:v>
                </c:pt>
                <c:pt idx="206">
                  <c:v>plymouth volare premier v8</c:v>
                </c:pt>
                <c:pt idx="207">
                  <c:v>peugeot 504</c:v>
                </c:pt>
                <c:pt idx="208">
                  <c:v>toyota mark ii</c:v>
                </c:pt>
                <c:pt idx="209">
                  <c:v>mercedes-benz 280s</c:v>
                </c:pt>
                <c:pt idx="210">
                  <c:v>cadillac seville</c:v>
                </c:pt>
                <c:pt idx="211">
                  <c:v>chevy c10</c:v>
                </c:pt>
                <c:pt idx="212">
                  <c:v>ford f108</c:v>
                </c:pt>
                <c:pt idx="213">
                  <c:v>dodge d100</c:v>
                </c:pt>
                <c:pt idx="214">
                  <c:v>honda accord cvcc</c:v>
                </c:pt>
                <c:pt idx="215">
                  <c:v>buick opel isuzu deluxe</c:v>
                </c:pt>
                <c:pt idx="216">
                  <c:v>renault 5 gtl</c:v>
                </c:pt>
                <c:pt idx="217">
                  <c:v>plymouth arrow gs</c:v>
                </c:pt>
                <c:pt idx="218">
                  <c:v>datsun f-10 hatchback</c:v>
                </c:pt>
                <c:pt idx="219">
                  <c:v>chevrolet caprice classic</c:v>
                </c:pt>
                <c:pt idx="220">
                  <c:v>oldsmobile cutlass supreme</c:v>
                </c:pt>
                <c:pt idx="221">
                  <c:v>dodge monaco brougham</c:v>
                </c:pt>
                <c:pt idx="222">
                  <c:v>mercury cougar brougham</c:v>
                </c:pt>
                <c:pt idx="223">
                  <c:v>chevrolet concours</c:v>
                </c:pt>
                <c:pt idx="224">
                  <c:v>buick skylark</c:v>
                </c:pt>
                <c:pt idx="225">
                  <c:v>plymouth volare custom</c:v>
                </c:pt>
                <c:pt idx="226">
                  <c:v>ford granada</c:v>
                </c:pt>
                <c:pt idx="227">
                  <c:v>pontiac grand prix lj</c:v>
                </c:pt>
                <c:pt idx="228">
                  <c:v>chevrolet monte carlo landau</c:v>
                </c:pt>
                <c:pt idx="229">
                  <c:v>chrysler cordoba</c:v>
                </c:pt>
                <c:pt idx="230">
                  <c:v>ford thunderbird</c:v>
                </c:pt>
                <c:pt idx="231">
                  <c:v>volkswagen rabbit custom</c:v>
                </c:pt>
                <c:pt idx="232">
                  <c:v>pontiac sunbird coupe</c:v>
                </c:pt>
                <c:pt idx="233">
                  <c:v>toyota corolla liftback</c:v>
                </c:pt>
                <c:pt idx="234">
                  <c:v>ford mustang ii 2+2</c:v>
                </c:pt>
                <c:pt idx="235">
                  <c:v>chevrolet chevette</c:v>
                </c:pt>
                <c:pt idx="236">
                  <c:v>dodge colt m/m</c:v>
                </c:pt>
                <c:pt idx="237">
                  <c:v>subaru dl</c:v>
                </c:pt>
                <c:pt idx="238">
                  <c:v>volkswagen dasher</c:v>
                </c:pt>
                <c:pt idx="239">
                  <c:v>datsun 810</c:v>
                </c:pt>
                <c:pt idx="240">
                  <c:v>bmw 320i</c:v>
                </c:pt>
                <c:pt idx="241">
                  <c:v>mazda rx-4</c:v>
                </c:pt>
                <c:pt idx="242">
                  <c:v>volkswagen rabbit custom diesel</c:v>
                </c:pt>
                <c:pt idx="243">
                  <c:v>ford fiesta</c:v>
                </c:pt>
                <c:pt idx="244">
                  <c:v>mazda glc deluxe</c:v>
                </c:pt>
                <c:pt idx="245">
                  <c:v>datsun b210 gx</c:v>
                </c:pt>
                <c:pt idx="246">
                  <c:v>honda civic cvcc</c:v>
                </c:pt>
                <c:pt idx="247">
                  <c:v>oldsmobile cutlass salon brougham</c:v>
                </c:pt>
                <c:pt idx="248">
                  <c:v>dodge diplomat</c:v>
                </c:pt>
                <c:pt idx="249">
                  <c:v>mercury monarch ghia</c:v>
                </c:pt>
                <c:pt idx="250">
                  <c:v>pontiac phoenix lj</c:v>
                </c:pt>
                <c:pt idx="251">
                  <c:v>chevrolet malibu</c:v>
                </c:pt>
                <c:pt idx="252">
                  <c:v>ford fairmont (auto)</c:v>
                </c:pt>
                <c:pt idx="253">
                  <c:v>ford fairmont (man)</c:v>
                </c:pt>
                <c:pt idx="254">
                  <c:v>plymouth volare</c:v>
                </c:pt>
                <c:pt idx="255">
                  <c:v>amc concord</c:v>
                </c:pt>
                <c:pt idx="256">
                  <c:v>buick century special</c:v>
                </c:pt>
                <c:pt idx="257">
                  <c:v>mercury zephyr</c:v>
                </c:pt>
                <c:pt idx="258">
                  <c:v>dodge aspen</c:v>
                </c:pt>
                <c:pt idx="259">
                  <c:v>amc concord d/l</c:v>
                </c:pt>
                <c:pt idx="260">
                  <c:v>chevrolet monte carlo landau</c:v>
                </c:pt>
                <c:pt idx="261">
                  <c:v>buick regal sport coupe (turbo)</c:v>
                </c:pt>
                <c:pt idx="262">
                  <c:v>ford futura</c:v>
                </c:pt>
                <c:pt idx="263">
                  <c:v>dodge magnum xe</c:v>
                </c:pt>
                <c:pt idx="264">
                  <c:v>chevrolet chevette</c:v>
                </c:pt>
                <c:pt idx="265">
                  <c:v>toyota corona</c:v>
                </c:pt>
                <c:pt idx="266">
                  <c:v>datsun 510</c:v>
                </c:pt>
                <c:pt idx="267">
                  <c:v>dodge omni</c:v>
                </c:pt>
                <c:pt idx="268">
                  <c:v>toyota celica gt liftback</c:v>
                </c:pt>
                <c:pt idx="269">
                  <c:v>plymouth sapporo</c:v>
                </c:pt>
                <c:pt idx="270">
                  <c:v>oldsmobile starfire sx</c:v>
                </c:pt>
                <c:pt idx="271">
                  <c:v>datsun 200-sx</c:v>
                </c:pt>
                <c:pt idx="272">
                  <c:v>audi 5000</c:v>
                </c:pt>
                <c:pt idx="273">
                  <c:v>volvo 264gl</c:v>
                </c:pt>
                <c:pt idx="274">
                  <c:v>saab 99gle</c:v>
                </c:pt>
                <c:pt idx="275">
                  <c:v>peugeot 604sl</c:v>
                </c:pt>
                <c:pt idx="276">
                  <c:v>volkswagen scirocco</c:v>
                </c:pt>
                <c:pt idx="277">
                  <c:v>honda accord lx</c:v>
                </c:pt>
                <c:pt idx="278">
                  <c:v>pontiac lemans v6</c:v>
                </c:pt>
                <c:pt idx="279">
                  <c:v>mercury zephyr 6</c:v>
                </c:pt>
                <c:pt idx="280">
                  <c:v>ford fairmont 4</c:v>
                </c:pt>
                <c:pt idx="281">
                  <c:v>amc concord dl 6</c:v>
                </c:pt>
                <c:pt idx="282">
                  <c:v>dodge aspen 6</c:v>
                </c:pt>
                <c:pt idx="283">
                  <c:v>chevrolet caprice classic</c:v>
                </c:pt>
                <c:pt idx="284">
                  <c:v>ford ltd landau</c:v>
                </c:pt>
                <c:pt idx="285">
                  <c:v>mercury grand marquis</c:v>
                </c:pt>
                <c:pt idx="286">
                  <c:v>dodge st. regis</c:v>
                </c:pt>
                <c:pt idx="287">
                  <c:v>buick estate wagon (sw)</c:v>
                </c:pt>
                <c:pt idx="288">
                  <c:v>ford country squire (sw)</c:v>
                </c:pt>
                <c:pt idx="289">
                  <c:v>chevrolet malibu classic (sw)</c:v>
                </c:pt>
                <c:pt idx="290">
                  <c:v>chrysler lebaron town @ country (sw)</c:v>
                </c:pt>
                <c:pt idx="291">
                  <c:v>vw rabbit custom</c:v>
                </c:pt>
                <c:pt idx="292">
                  <c:v>maxda glc deluxe</c:v>
                </c:pt>
                <c:pt idx="293">
                  <c:v>dodge colt hatchback custom</c:v>
                </c:pt>
                <c:pt idx="294">
                  <c:v>amc spirit dl</c:v>
                </c:pt>
                <c:pt idx="295">
                  <c:v>mercedes benz 300d</c:v>
                </c:pt>
                <c:pt idx="296">
                  <c:v>cadillac eldorado</c:v>
                </c:pt>
                <c:pt idx="297">
                  <c:v>peugeot 504</c:v>
                </c:pt>
                <c:pt idx="298">
                  <c:v>oldsmobile cutlass salon brougham</c:v>
                </c:pt>
                <c:pt idx="299">
                  <c:v>plymouth horizon</c:v>
                </c:pt>
                <c:pt idx="300">
                  <c:v>plymouth horizon tc3</c:v>
                </c:pt>
                <c:pt idx="301">
                  <c:v>datsun 210</c:v>
                </c:pt>
                <c:pt idx="302">
                  <c:v>fiat strada custom</c:v>
                </c:pt>
                <c:pt idx="303">
                  <c:v>buick skylark limited</c:v>
                </c:pt>
                <c:pt idx="304">
                  <c:v>chevrolet citation</c:v>
                </c:pt>
                <c:pt idx="305">
                  <c:v>oldsmobile omega brougham</c:v>
                </c:pt>
                <c:pt idx="306">
                  <c:v>pontiac phoenix</c:v>
                </c:pt>
                <c:pt idx="307">
                  <c:v>vw rabbit</c:v>
                </c:pt>
                <c:pt idx="308">
                  <c:v>toyota corolla tercel</c:v>
                </c:pt>
                <c:pt idx="309">
                  <c:v>chevrolet chevette</c:v>
                </c:pt>
                <c:pt idx="310">
                  <c:v>datsun 310</c:v>
                </c:pt>
                <c:pt idx="311">
                  <c:v>chevrolet citation</c:v>
                </c:pt>
                <c:pt idx="312">
                  <c:v>ford fairmont</c:v>
                </c:pt>
                <c:pt idx="313">
                  <c:v>amc concord</c:v>
                </c:pt>
                <c:pt idx="314">
                  <c:v>dodge aspen</c:v>
                </c:pt>
                <c:pt idx="315">
                  <c:v>audi 4000</c:v>
                </c:pt>
                <c:pt idx="316">
                  <c:v>toyota corona liftback</c:v>
                </c:pt>
                <c:pt idx="317">
                  <c:v>mazda 626</c:v>
                </c:pt>
                <c:pt idx="318">
                  <c:v>datsun 510 hatchback</c:v>
                </c:pt>
                <c:pt idx="319">
                  <c:v>toyota corolla</c:v>
                </c:pt>
                <c:pt idx="320">
                  <c:v>mazda glc</c:v>
                </c:pt>
                <c:pt idx="321">
                  <c:v>dodge colt</c:v>
                </c:pt>
                <c:pt idx="322">
                  <c:v>datsun 210</c:v>
                </c:pt>
                <c:pt idx="323">
                  <c:v>vw rabbit c (diesel)</c:v>
                </c:pt>
                <c:pt idx="324">
                  <c:v>vw dasher (diesel)</c:v>
                </c:pt>
                <c:pt idx="325">
                  <c:v>audi 5000s (diesel)</c:v>
                </c:pt>
                <c:pt idx="326">
                  <c:v>mercedes-benz 240d</c:v>
                </c:pt>
                <c:pt idx="327">
                  <c:v>honda civic 1500 gl</c:v>
                </c:pt>
                <c:pt idx="328">
                  <c:v>subaru dl</c:v>
                </c:pt>
                <c:pt idx="329">
                  <c:v>vokswagen rabbit</c:v>
                </c:pt>
                <c:pt idx="330">
                  <c:v>datsun 280-zx</c:v>
                </c:pt>
                <c:pt idx="331">
                  <c:v>mazda rx-7 gs</c:v>
                </c:pt>
                <c:pt idx="332">
                  <c:v>triumph tr7 coupe</c:v>
                </c:pt>
                <c:pt idx="333">
                  <c:v>honda accord</c:v>
                </c:pt>
                <c:pt idx="334">
                  <c:v>plymouth reliant</c:v>
                </c:pt>
                <c:pt idx="335">
                  <c:v>buick skylark</c:v>
                </c:pt>
                <c:pt idx="336">
                  <c:v>dodge aries wagon (sw)</c:v>
                </c:pt>
                <c:pt idx="337">
                  <c:v>chevrolet citation</c:v>
                </c:pt>
                <c:pt idx="338">
                  <c:v>plymouth reliant</c:v>
                </c:pt>
                <c:pt idx="339">
                  <c:v>toyota starlet</c:v>
                </c:pt>
                <c:pt idx="340">
                  <c:v>plymouth champ</c:v>
                </c:pt>
                <c:pt idx="341">
                  <c:v>honda civic 1300</c:v>
                </c:pt>
                <c:pt idx="342">
                  <c:v>subaru</c:v>
                </c:pt>
                <c:pt idx="343">
                  <c:v>datsun 210 mpg</c:v>
                </c:pt>
                <c:pt idx="344">
                  <c:v>toyota tercel</c:v>
                </c:pt>
                <c:pt idx="345">
                  <c:v>mazda glc 4</c:v>
                </c:pt>
                <c:pt idx="346">
                  <c:v>plymouth horizon 4</c:v>
                </c:pt>
                <c:pt idx="347">
                  <c:v>ford escort 4w</c:v>
                </c:pt>
                <c:pt idx="348">
                  <c:v>ford escort 2h</c:v>
                </c:pt>
                <c:pt idx="349">
                  <c:v>volkswagen jetta</c:v>
                </c:pt>
                <c:pt idx="350">
                  <c:v>honda prelude</c:v>
                </c:pt>
                <c:pt idx="351">
                  <c:v>toyota corolla</c:v>
                </c:pt>
                <c:pt idx="352">
                  <c:v>datsun 200sx</c:v>
                </c:pt>
                <c:pt idx="353">
                  <c:v>mazda 626</c:v>
                </c:pt>
                <c:pt idx="354">
                  <c:v>peugeot 505s turbo diesel</c:v>
                </c:pt>
                <c:pt idx="355">
                  <c:v>volvo diesel</c:v>
                </c:pt>
                <c:pt idx="356">
                  <c:v>toyota cressida</c:v>
                </c:pt>
                <c:pt idx="357">
                  <c:v>datsun 810 maxima</c:v>
                </c:pt>
                <c:pt idx="358">
                  <c:v>buick century</c:v>
                </c:pt>
                <c:pt idx="359">
                  <c:v>oldsmobile cutlass ls</c:v>
                </c:pt>
                <c:pt idx="360">
                  <c:v>ford granada gl</c:v>
                </c:pt>
                <c:pt idx="361">
                  <c:v>chrysler lebaron salon</c:v>
                </c:pt>
                <c:pt idx="362">
                  <c:v>chevrolet cavalier</c:v>
                </c:pt>
                <c:pt idx="363">
                  <c:v>chevrolet cavalier wagon</c:v>
                </c:pt>
                <c:pt idx="364">
                  <c:v>chevrolet cavalier 2-door</c:v>
                </c:pt>
                <c:pt idx="365">
                  <c:v>pontiac j2000 se hatchback</c:v>
                </c:pt>
                <c:pt idx="366">
                  <c:v>dodge aries se</c:v>
                </c:pt>
                <c:pt idx="367">
                  <c:v>pontiac phoenix</c:v>
                </c:pt>
                <c:pt idx="368">
                  <c:v>ford fairmont futura</c:v>
                </c:pt>
                <c:pt idx="369">
                  <c:v>volkswagen rabbit l</c:v>
                </c:pt>
                <c:pt idx="370">
                  <c:v>mazda glc custom l</c:v>
                </c:pt>
                <c:pt idx="371">
                  <c:v>mazda glc custom</c:v>
                </c:pt>
                <c:pt idx="372">
                  <c:v>plymouth horizon miser</c:v>
                </c:pt>
                <c:pt idx="373">
                  <c:v>mercury lynx l</c:v>
                </c:pt>
                <c:pt idx="374">
                  <c:v>nissan stanza xe</c:v>
                </c:pt>
                <c:pt idx="375">
                  <c:v>honda accord</c:v>
                </c:pt>
                <c:pt idx="376">
                  <c:v>toyota corolla</c:v>
                </c:pt>
                <c:pt idx="377">
                  <c:v>honda civic</c:v>
                </c:pt>
                <c:pt idx="378">
                  <c:v>honda civic (auto)</c:v>
                </c:pt>
                <c:pt idx="379">
                  <c:v>datsun 310 gx</c:v>
                </c:pt>
                <c:pt idx="380">
                  <c:v>buick century limited</c:v>
                </c:pt>
                <c:pt idx="381">
                  <c:v>oldsmobile cutlass ciera (diesel)</c:v>
                </c:pt>
                <c:pt idx="382">
                  <c:v>chrysler lebaron medallion</c:v>
                </c:pt>
                <c:pt idx="383">
                  <c:v>ford granada l</c:v>
                </c:pt>
                <c:pt idx="384">
                  <c:v>toyota celica gt</c:v>
                </c:pt>
                <c:pt idx="385">
                  <c:v>dodge charger 2.2</c:v>
                </c:pt>
                <c:pt idx="386">
                  <c:v>chevrolet camaro</c:v>
                </c:pt>
                <c:pt idx="387">
                  <c:v>ford mustang gl</c:v>
                </c:pt>
                <c:pt idx="388">
                  <c:v>vw pickup</c:v>
                </c:pt>
                <c:pt idx="389">
                  <c:v>dodge rampage</c:v>
                </c:pt>
                <c:pt idx="390">
                  <c:v>ford ranger</c:v>
                </c:pt>
                <c:pt idx="391">
                  <c:v>chevy s-10</c:v>
                </c:pt>
              </c:strCache>
            </c:strRef>
          </c:cat>
          <c:val>
            <c:numRef>
              <c:f>Regression!RegChartCookDistFlag</c:f>
              <c:numCache>
                <c:formatCode>0.0000</c:formatCode>
                <c:ptCount val="392"/>
                <c:pt idx="0">
                  <c:v>#N/A</c:v>
                </c:pt>
                <c:pt idx="1">
                  <c:v>#N/A</c:v>
                </c:pt>
                <c:pt idx="2">
                  <c:v>#N/A</c:v>
                </c:pt>
                <c:pt idx="3">
                  <c:v>#N/A</c:v>
                </c:pt>
                <c:pt idx="4">
                  <c:v>#N/A</c:v>
                </c:pt>
                <c:pt idx="5">
                  <c:v>#N/A</c:v>
                </c:pt>
                <c:pt idx="6">
                  <c:v>#N/A</c:v>
                </c:pt>
                <c:pt idx="7">
                  <c:v>#N/A</c:v>
                </c:pt>
                <c:pt idx="8">
                  <c:v>#N/A</c:v>
                </c:pt>
                <c:pt idx="9">
                  <c:v>#N/A</c:v>
                </c:pt>
                <c:pt idx="10">
                  <c:v>#N/A</c:v>
                </c:pt>
                <c:pt idx="11">
                  <c:v>#N/A</c:v>
                </c:pt>
                <c:pt idx="12">
                  <c:v>#N/A</c:v>
                </c:pt>
                <c:pt idx="13">
                  <c:v>1.0355921898592959E-2</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1.2041954383457973E-2</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1.7043893646453555E-2</c:v>
                </c:pt>
                <c:pt idx="111">
                  <c:v>#N/A</c:v>
                </c:pt>
                <c:pt idx="112">
                  <c:v>#N/A</c:v>
                </c:pt>
                <c:pt idx="113">
                  <c:v>#N/A</c:v>
                </c:pt>
                <c:pt idx="114">
                  <c:v>#N/A</c:v>
                </c:pt>
                <c:pt idx="115">
                  <c:v>1.5232369994827872E-2</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1.1411024261701269E-2</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1.1643930329232586E-2</c:v>
                </c:pt>
                <c:pt idx="237">
                  <c:v>#N/A</c:v>
                </c:pt>
                <c:pt idx="238">
                  <c:v>#N/A</c:v>
                </c:pt>
                <c:pt idx="239">
                  <c:v>#N/A</c:v>
                </c:pt>
                <c:pt idx="240">
                  <c:v>#N/A</c:v>
                </c:pt>
                <c:pt idx="241">
                  <c:v>#N/A</c:v>
                </c:pt>
                <c:pt idx="242">
                  <c:v>4.6959959279888761E-2</c:v>
                </c:pt>
                <c:pt idx="243">
                  <c:v>1.4175460654412718E-2</c:v>
                </c:pt>
                <c:pt idx="244">
                  <c:v>#N/A</c:v>
                </c:pt>
                <c:pt idx="245">
                  <c:v>2.409028614825447E-2</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1.3507185613380037E-2</c:v>
                </c:pt>
                <c:pt idx="274">
                  <c:v>#N/A</c:v>
                </c:pt>
                <c:pt idx="275">
                  <c:v>1.1369816866149523E-2</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1.1625515480960857E-2</c:v>
                </c:pt>
                <c:pt idx="308">
                  <c:v>#N/A</c:v>
                </c:pt>
                <c:pt idx="309">
                  <c:v>#N/A</c:v>
                </c:pt>
                <c:pt idx="310">
                  <c:v>#N/A</c:v>
                </c:pt>
                <c:pt idx="311">
                  <c:v>#N/A</c:v>
                </c:pt>
                <c:pt idx="312">
                  <c:v>#N/A</c:v>
                </c:pt>
                <c:pt idx="313">
                  <c:v>#N/A</c:v>
                </c:pt>
                <c:pt idx="314">
                  <c:v>2.2225518853665093E-2</c:v>
                </c:pt>
                <c:pt idx="315">
                  <c:v>#N/A</c:v>
                </c:pt>
                <c:pt idx="316">
                  <c:v>#N/A</c:v>
                </c:pt>
                <c:pt idx="317">
                  <c:v>#N/A</c:v>
                </c:pt>
                <c:pt idx="318">
                  <c:v>#N/A</c:v>
                </c:pt>
                <c:pt idx="319">
                  <c:v>#N/A</c:v>
                </c:pt>
                <c:pt idx="320">
                  <c:v>3.1509345424163913E-2</c:v>
                </c:pt>
                <c:pt idx="321">
                  <c:v>#N/A</c:v>
                </c:pt>
                <c:pt idx="322">
                  <c:v>#N/A</c:v>
                </c:pt>
                <c:pt idx="323">
                  <c:v>2.0873683660506931E-2</c:v>
                </c:pt>
                <c:pt idx="324">
                  <c:v>2.4238765461914558E-2</c:v>
                </c:pt>
                <c:pt idx="325">
                  <c:v>#N/A</c:v>
                </c:pt>
                <c:pt idx="326">
                  <c:v>#N/A</c:v>
                </c:pt>
                <c:pt idx="327">
                  <c:v>1.5138834664552051E-2</c:v>
                </c:pt>
                <c:pt idx="328">
                  <c:v>#N/A</c:v>
                </c:pt>
                <c:pt idx="329">
                  <c:v>2.0426309022841115E-2</c:v>
                </c:pt>
                <c:pt idx="330">
                  <c:v>#N/A</c:v>
                </c:pt>
                <c:pt idx="331">
                  <c:v>3.3725966329777535E-2</c:v>
                </c:pt>
                <c:pt idx="332">
                  <c:v>#N/A</c:v>
                </c:pt>
                <c:pt idx="333">
                  <c:v>#N/A</c:v>
                </c:pt>
                <c:pt idx="334">
                  <c:v>#N/A</c:v>
                </c:pt>
                <c:pt idx="335">
                  <c:v>#N/A</c:v>
                </c:pt>
                <c:pt idx="336">
                  <c:v>#N/A</c:v>
                </c:pt>
                <c:pt idx="337">
                  <c:v>#N/A</c:v>
                </c:pt>
                <c:pt idx="338">
                  <c:v>#N/A</c:v>
                </c:pt>
                <c:pt idx="339">
                  <c:v>#N/A</c:v>
                </c:pt>
                <c:pt idx="340">
                  <c:v>1.3865269089159291E-2</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1.0279387077060626E-2</c:v>
                </c:pt>
                <c:pt idx="361">
                  <c:v>1.4946822807055393E-2</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2.4396798261845723E-2</c:v>
                </c:pt>
                <c:pt idx="382">
                  <c:v>#N/A</c:v>
                </c:pt>
                <c:pt idx="383">
                  <c:v>1.1725485358042654E-2</c:v>
                </c:pt>
                <c:pt idx="384">
                  <c:v>#N/A</c:v>
                </c:pt>
                <c:pt idx="385">
                  <c:v>#N/A</c:v>
                </c:pt>
                <c:pt idx="386">
                  <c:v>#N/A</c:v>
                </c:pt>
                <c:pt idx="387">
                  <c:v>#N/A</c:v>
                </c:pt>
                <c:pt idx="388">
                  <c:v>2.7739153271081101E-2</c:v>
                </c:pt>
                <c:pt idx="389">
                  <c:v>#N/A</c:v>
                </c:pt>
                <c:pt idx="390">
                  <c:v>#N/A</c:v>
                </c:pt>
                <c:pt idx="391">
                  <c:v>#N/A</c:v>
                </c:pt>
              </c:numCache>
            </c:numRef>
          </c:val>
          <c:smooth val="0"/>
          <c:extLst>
            <c:ext xmlns:c16="http://schemas.microsoft.com/office/drawing/2014/chart" uri="{C3380CC4-5D6E-409C-BE32-E72D297353CC}">
              <c16:uniqueId val="{00000002-677D-442D-9975-F9E9659BB5A1}"/>
            </c:ext>
          </c:extLst>
        </c:ser>
        <c:dLbls>
          <c:showLegendKey val="0"/>
          <c:showVal val="0"/>
          <c:showCatName val="0"/>
          <c:showSerName val="0"/>
          <c:showPercent val="0"/>
          <c:showBubbleSize val="0"/>
        </c:dLbls>
        <c:marker val="1"/>
        <c:smooth val="0"/>
        <c:axId val="1291627664"/>
        <c:axId val="1291630064"/>
      </c:lineChart>
      <c:catAx>
        <c:axId val="129162766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291630064"/>
        <c:crosses val="autoZero"/>
        <c:auto val="1"/>
        <c:lblAlgn val="ctr"/>
        <c:lblOffset val="100"/>
        <c:noMultiLvlLbl val="0"/>
      </c:catAx>
      <c:valAx>
        <c:axId val="1291630064"/>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129162766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392"/>
                <c:pt idx="0">
                  <c:v>4.0149898039742615E-2</c:v>
                </c:pt>
                <c:pt idx="1">
                  <c:v>3.5578253857220431E-2</c:v>
                </c:pt>
                <c:pt idx="2">
                  <c:v>3.544727708510207E-2</c:v>
                </c:pt>
                <c:pt idx="3">
                  <c:v>3.5454383105468036E-2</c:v>
                </c:pt>
                <c:pt idx="4">
                  <c:v>3.6442373899522838E-2</c:v>
                </c:pt>
                <c:pt idx="5">
                  <c:v>4.042419204907835E-2</c:v>
                </c:pt>
                <c:pt idx="6">
                  <c:v>5.0603384396069082E-2</c:v>
                </c:pt>
                <c:pt idx="7">
                  <c:v>4.8040491817131645E-2</c:v>
                </c:pt>
                <c:pt idx="8">
                  <c:v>5.2897375567846273E-2</c:v>
                </c:pt>
                <c:pt idx="9">
                  <c:v>4.132014629964112E-2</c:v>
                </c:pt>
                <c:pt idx="10">
                  <c:v>3.7522532485470127E-2</c:v>
                </c:pt>
                <c:pt idx="11">
                  <c:v>3.5380032445534768E-2</c:v>
                </c:pt>
                <c:pt idx="12">
                  <c:v>3.6838396596956549E-2</c:v>
                </c:pt>
                <c:pt idx="13">
                  <c:v>0.11212017961465819</c:v>
                </c:pt>
                <c:pt idx="14">
                  <c:v>5.4985468923604633E-2</c:v>
                </c:pt>
                <c:pt idx="15">
                  <c:v>4.8771107501306768E-2</c:v>
                </c:pt>
                <c:pt idx="16">
                  <c:v>4.695010427724941E-2</c:v>
                </c:pt>
                <c:pt idx="17">
                  <c:v>5.1942024882097544E-2</c:v>
                </c:pt>
                <c:pt idx="18">
                  <c:v>5.5009922789087756E-2</c:v>
                </c:pt>
                <c:pt idx="19">
                  <c:v>6.8142656866106793E-2</c:v>
                </c:pt>
                <c:pt idx="20">
                  <c:v>5.7444350257130856E-2</c:v>
                </c:pt>
                <c:pt idx="21">
                  <c:v>5.1568524658183831E-2</c:v>
                </c:pt>
                <c:pt idx="22">
                  <c:v>4.9464537797579741E-2</c:v>
                </c:pt>
                <c:pt idx="23">
                  <c:v>4.9413009365655451E-2</c:v>
                </c:pt>
                <c:pt idx="24">
                  <c:v>4.9584288806374846E-2</c:v>
                </c:pt>
                <c:pt idx="25">
                  <c:v>4.5553437442162031E-2</c:v>
                </c:pt>
                <c:pt idx="26">
                  <c:v>4.0933470674793776E-2</c:v>
                </c:pt>
                <c:pt idx="27">
                  <c:v>4.4587292508687454E-2</c:v>
                </c:pt>
                <c:pt idx="28">
                  <c:v>4.3597810529259505E-2</c:v>
                </c:pt>
                <c:pt idx="29">
                  <c:v>5.0482475252271251E-2</c:v>
                </c:pt>
                <c:pt idx="30">
                  <c:v>4.6906901296231408E-2</c:v>
                </c:pt>
                <c:pt idx="31">
                  <c:v>5.0935386039696162E-2</c:v>
                </c:pt>
                <c:pt idx="32">
                  <c:v>4.1917364463458243E-2</c:v>
                </c:pt>
                <c:pt idx="33">
                  <c:v>4.0762584893143786E-2</c:v>
                </c:pt>
                <c:pt idx="34">
                  <c:v>4.0942536286414317E-2</c:v>
                </c:pt>
                <c:pt idx="35">
                  <c:v>4.5737615254886607E-2</c:v>
                </c:pt>
                <c:pt idx="36">
                  <c:v>4.045648501890594E-2</c:v>
                </c:pt>
                <c:pt idx="37">
                  <c:v>4.490969346053824E-2</c:v>
                </c:pt>
                <c:pt idx="38">
                  <c:v>4.8236454390409113E-2</c:v>
                </c:pt>
                <c:pt idx="39">
                  <c:v>4.2572422246359647E-2</c:v>
                </c:pt>
                <c:pt idx="40">
                  <c:v>4.1929569462095764E-2</c:v>
                </c:pt>
                <c:pt idx="41">
                  <c:v>5.4827297260499556E-2</c:v>
                </c:pt>
                <c:pt idx="42">
                  <c:v>5.0818250261889436E-2</c:v>
                </c:pt>
                <c:pt idx="43">
                  <c:v>6.0087439699154588E-2</c:v>
                </c:pt>
                <c:pt idx="44">
                  <c:v>3.9345147076828242E-2</c:v>
                </c:pt>
                <c:pt idx="45">
                  <c:v>4.4387571078158897E-2</c:v>
                </c:pt>
                <c:pt idx="46">
                  <c:v>4.0391072118825221E-2</c:v>
                </c:pt>
                <c:pt idx="47">
                  <c:v>4.2955679782943249E-2</c:v>
                </c:pt>
                <c:pt idx="48">
                  <c:v>4.6967075740257901E-2</c:v>
                </c:pt>
                <c:pt idx="49">
                  <c:v>5.4491719512995432E-2</c:v>
                </c:pt>
                <c:pt idx="50">
                  <c:v>5.0904856771056842E-2</c:v>
                </c:pt>
                <c:pt idx="51">
                  <c:v>5.1536941571397543E-2</c:v>
                </c:pt>
                <c:pt idx="52">
                  <c:v>5.1440861703403784E-2</c:v>
                </c:pt>
                <c:pt idx="53">
                  <c:v>5.3281992204502804E-2</c:v>
                </c:pt>
                <c:pt idx="54">
                  <c:v>5.2154473018058457E-2</c:v>
                </c:pt>
                <c:pt idx="55">
                  <c:v>5.0200126232252701E-2</c:v>
                </c:pt>
                <c:pt idx="56">
                  <c:v>4.812672986947801E-2</c:v>
                </c:pt>
                <c:pt idx="57">
                  <c:v>5.0955596766720554E-2</c:v>
                </c:pt>
                <c:pt idx="58">
                  <c:v>5.5489928772256662E-2</c:v>
                </c:pt>
                <c:pt idx="59">
                  <c:v>4.618302958520222E-2</c:v>
                </c:pt>
                <c:pt idx="60">
                  <c:v>4.93615349739061E-2</c:v>
                </c:pt>
                <c:pt idx="61">
                  <c:v>4.0564604334394488E-2</c:v>
                </c:pt>
                <c:pt idx="62">
                  <c:v>4.2648578571305377E-2</c:v>
                </c:pt>
                <c:pt idx="63">
                  <c:v>3.9159162685000928E-2</c:v>
                </c:pt>
                <c:pt idx="64">
                  <c:v>3.9029459660414413E-2</c:v>
                </c:pt>
                <c:pt idx="65">
                  <c:v>3.9309167670658646E-2</c:v>
                </c:pt>
                <c:pt idx="66">
                  <c:v>5.6427203997578376E-2</c:v>
                </c:pt>
                <c:pt idx="67">
                  <c:v>4.3819711275624673E-2</c:v>
                </c:pt>
                <c:pt idx="68">
                  <c:v>4.2181857106601633E-2</c:v>
                </c:pt>
                <c:pt idx="69">
                  <c:v>4.8030921024309239E-2</c:v>
                </c:pt>
                <c:pt idx="70">
                  <c:v>4.7965750122984138E-2</c:v>
                </c:pt>
                <c:pt idx="71">
                  <c:v>3.8154178376464405E-2</c:v>
                </c:pt>
                <c:pt idx="72">
                  <c:v>4.3315666055294896E-2</c:v>
                </c:pt>
                <c:pt idx="73">
                  <c:v>4.3819711639490791E-2</c:v>
                </c:pt>
                <c:pt idx="74">
                  <c:v>3.8701777045903059E-2</c:v>
                </c:pt>
                <c:pt idx="75">
                  <c:v>4.8872568958417593E-2</c:v>
                </c:pt>
                <c:pt idx="76">
                  <c:v>4.996481696967215E-2</c:v>
                </c:pt>
                <c:pt idx="77">
                  <c:v>5.286145261151471E-2</c:v>
                </c:pt>
                <c:pt idx="78">
                  <c:v>5.0003897923478341E-2</c:v>
                </c:pt>
                <c:pt idx="79">
                  <c:v>4.6305603284802668E-2</c:v>
                </c:pt>
                <c:pt idx="80">
                  <c:v>4.794178277891481E-2</c:v>
                </c:pt>
                <c:pt idx="81">
                  <c:v>4.7582585184613516E-2</c:v>
                </c:pt>
                <c:pt idx="82">
                  <c:v>5.0180308887671402E-2</c:v>
                </c:pt>
                <c:pt idx="83">
                  <c:v>4.8924810565100008E-2</c:v>
                </c:pt>
                <c:pt idx="84">
                  <c:v>3.0545392578793636E-2</c:v>
                </c:pt>
                <c:pt idx="85">
                  <c:v>2.7011897802173251E-2</c:v>
                </c:pt>
                <c:pt idx="86">
                  <c:v>2.6908924211681815E-2</c:v>
                </c:pt>
                <c:pt idx="87">
                  <c:v>2.9356198266036856E-2</c:v>
                </c:pt>
                <c:pt idx="88">
                  <c:v>2.6400911104933582E-2</c:v>
                </c:pt>
                <c:pt idx="89">
                  <c:v>3.6900707411663757E-2</c:v>
                </c:pt>
                <c:pt idx="90">
                  <c:v>3.3433098722742423E-2</c:v>
                </c:pt>
                <c:pt idx="91">
                  <c:v>2.9386956950390161E-2</c:v>
                </c:pt>
                <c:pt idx="92">
                  <c:v>2.8992761758663603E-2</c:v>
                </c:pt>
                <c:pt idx="93">
                  <c:v>4.457601353687983E-2</c:v>
                </c:pt>
                <c:pt idx="94">
                  <c:v>4.893022194556227E-2</c:v>
                </c:pt>
                <c:pt idx="95">
                  <c:v>3.4602713165386309E-2</c:v>
                </c:pt>
                <c:pt idx="96">
                  <c:v>2.9715993614829274E-2</c:v>
                </c:pt>
                <c:pt idx="97">
                  <c:v>3.273135274350103E-2</c:v>
                </c:pt>
                <c:pt idx="98">
                  <c:v>3.0762850246968242E-2</c:v>
                </c:pt>
                <c:pt idx="99">
                  <c:v>3.555927772974711E-2</c:v>
                </c:pt>
                <c:pt idx="100">
                  <c:v>3.2044006496218955E-2</c:v>
                </c:pt>
                <c:pt idx="101">
                  <c:v>4.8284679576095293E-2</c:v>
                </c:pt>
                <c:pt idx="102">
                  <c:v>5.207065402060785E-2</c:v>
                </c:pt>
                <c:pt idx="103">
                  <c:v>3.8934703793749144E-2</c:v>
                </c:pt>
                <c:pt idx="104">
                  <c:v>3.2267405941791109E-2</c:v>
                </c:pt>
                <c:pt idx="105">
                  <c:v>3.0849747810183924E-2</c:v>
                </c:pt>
                <c:pt idx="106">
                  <c:v>3.1387057487757081E-2</c:v>
                </c:pt>
                <c:pt idx="107">
                  <c:v>4.0511183142984845E-2</c:v>
                </c:pt>
                <c:pt idx="108">
                  <c:v>3.987940076710407E-2</c:v>
                </c:pt>
                <c:pt idx="109">
                  <c:v>3.9858734662671737E-2</c:v>
                </c:pt>
                <c:pt idx="110">
                  <c:v>4.0908895826768793E-2</c:v>
                </c:pt>
                <c:pt idx="111">
                  <c:v>3.8026724320240957E-2</c:v>
                </c:pt>
                <c:pt idx="112">
                  <c:v>3.7015208274130552E-2</c:v>
                </c:pt>
                <c:pt idx="113">
                  <c:v>3.9273864426025172E-2</c:v>
                </c:pt>
                <c:pt idx="114">
                  <c:v>2.788915394975712E-2</c:v>
                </c:pt>
                <c:pt idx="115">
                  <c:v>7.1718533906216742E-2</c:v>
                </c:pt>
                <c:pt idx="116">
                  <c:v>4.6372217608839757E-2</c:v>
                </c:pt>
                <c:pt idx="117">
                  <c:v>4.0000191815181163E-2</c:v>
                </c:pt>
                <c:pt idx="118">
                  <c:v>3.805348292346615E-2</c:v>
                </c:pt>
                <c:pt idx="119">
                  <c:v>3.7880044790532488E-2</c:v>
                </c:pt>
                <c:pt idx="120">
                  <c:v>3.0692356983148181E-2</c:v>
                </c:pt>
                <c:pt idx="121">
                  <c:v>3.8645493093118238E-2</c:v>
                </c:pt>
                <c:pt idx="122">
                  <c:v>3.9776770121747546E-2</c:v>
                </c:pt>
                <c:pt idx="123">
                  <c:v>4.1951063219862798E-2</c:v>
                </c:pt>
                <c:pt idx="124">
                  <c:v>4.1681720845725925E-2</c:v>
                </c:pt>
                <c:pt idx="125">
                  <c:v>4.2615099595863973E-2</c:v>
                </c:pt>
                <c:pt idx="126">
                  <c:v>4.1929203309126278E-2</c:v>
                </c:pt>
                <c:pt idx="127">
                  <c:v>4.9596337656819603E-2</c:v>
                </c:pt>
                <c:pt idx="128">
                  <c:v>4.6095974662596628E-2</c:v>
                </c:pt>
                <c:pt idx="129">
                  <c:v>5.0280943298176672E-2</c:v>
                </c:pt>
                <c:pt idx="130">
                  <c:v>4.5195292486137739E-2</c:v>
                </c:pt>
                <c:pt idx="131">
                  <c:v>4.9165845778550502E-2</c:v>
                </c:pt>
                <c:pt idx="132">
                  <c:v>4.2735154312296256E-2</c:v>
                </c:pt>
                <c:pt idx="133">
                  <c:v>4.3763467871605954E-2</c:v>
                </c:pt>
                <c:pt idx="134">
                  <c:v>4.5049751282210906E-2</c:v>
                </c:pt>
                <c:pt idx="135">
                  <c:v>5.4033117323552399E-2</c:v>
                </c:pt>
                <c:pt idx="136">
                  <c:v>4.8948096978339982E-2</c:v>
                </c:pt>
                <c:pt idx="137">
                  <c:v>5.5331075663274977E-2</c:v>
                </c:pt>
                <c:pt idx="138">
                  <c:v>4.653759851025966E-2</c:v>
                </c:pt>
                <c:pt idx="139">
                  <c:v>5.2132625039320549E-2</c:v>
                </c:pt>
                <c:pt idx="140">
                  <c:v>5.1447023247990456E-2</c:v>
                </c:pt>
                <c:pt idx="141">
                  <c:v>5.0020849802743295E-2</c:v>
                </c:pt>
                <c:pt idx="142">
                  <c:v>5.1522121063569362E-2</c:v>
                </c:pt>
                <c:pt idx="143">
                  <c:v>4.9821646072405704E-2</c:v>
                </c:pt>
                <c:pt idx="144">
                  <c:v>5.1496745076147758E-2</c:v>
                </c:pt>
                <c:pt idx="145">
                  <c:v>5.1365356097886748E-2</c:v>
                </c:pt>
                <c:pt idx="146">
                  <c:v>4.9948811373861986E-2</c:v>
                </c:pt>
                <c:pt idx="147">
                  <c:v>5.0141769981706191E-2</c:v>
                </c:pt>
                <c:pt idx="148">
                  <c:v>4.9910696077755404E-2</c:v>
                </c:pt>
                <c:pt idx="149">
                  <c:v>5.0990530009204414E-2</c:v>
                </c:pt>
                <c:pt idx="150">
                  <c:v>3.574414313936964E-2</c:v>
                </c:pt>
                <c:pt idx="151">
                  <c:v>3.503510364992779E-2</c:v>
                </c:pt>
                <c:pt idx="152">
                  <c:v>4.8468447253223503E-2</c:v>
                </c:pt>
                <c:pt idx="153">
                  <c:v>4.265740901741475E-2</c:v>
                </c:pt>
                <c:pt idx="154">
                  <c:v>4.4820942448239413E-2</c:v>
                </c:pt>
                <c:pt idx="155">
                  <c:v>4.0295891210602973E-2</c:v>
                </c:pt>
                <c:pt idx="156">
                  <c:v>4.0897736141287049E-2</c:v>
                </c:pt>
                <c:pt idx="157">
                  <c:v>4.375470825654347E-2</c:v>
                </c:pt>
                <c:pt idx="158">
                  <c:v>3.8802549304697426E-2</c:v>
                </c:pt>
                <c:pt idx="159">
                  <c:v>4.0550061485985271E-2</c:v>
                </c:pt>
                <c:pt idx="160">
                  <c:v>3.6213181908382158E-2</c:v>
                </c:pt>
                <c:pt idx="161">
                  <c:v>4.2873777663927769E-2</c:v>
                </c:pt>
                <c:pt idx="162">
                  <c:v>3.8262991290562078E-2</c:v>
                </c:pt>
                <c:pt idx="163">
                  <c:v>3.5845191221584291E-2</c:v>
                </c:pt>
                <c:pt idx="164">
                  <c:v>4.3566451925430752E-2</c:v>
                </c:pt>
                <c:pt idx="165">
                  <c:v>4.7178286413457775E-2</c:v>
                </c:pt>
                <c:pt idx="166">
                  <c:v>3.9549118220708876E-2</c:v>
                </c:pt>
                <c:pt idx="167">
                  <c:v>3.7843962917676E-2</c:v>
                </c:pt>
                <c:pt idx="168">
                  <c:v>3.9967778821523768E-2</c:v>
                </c:pt>
                <c:pt idx="169">
                  <c:v>4.7066803238434332E-2</c:v>
                </c:pt>
                <c:pt idx="170">
                  <c:v>4.6422402489413581E-2</c:v>
                </c:pt>
                <c:pt idx="171">
                  <c:v>4.7916183652933104E-2</c:v>
                </c:pt>
                <c:pt idx="172">
                  <c:v>3.6582858116322593E-2</c:v>
                </c:pt>
                <c:pt idx="173">
                  <c:v>5.0674058742774059E-2</c:v>
                </c:pt>
                <c:pt idx="174">
                  <c:v>3.649184830731441E-2</c:v>
                </c:pt>
                <c:pt idx="175">
                  <c:v>4.7178576518786146E-2</c:v>
                </c:pt>
                <c:pt idx="176">
                  <c:v>4.6145599109593788E-2</c:v>
                </c:pt>
                <c:pt idx="177">
                  <c:v>4.661450658576885E-2</c:v>
                </c:pt>
                <c:pt idx="178">
                  <c:v>5.710316922230399E-2</c:v>
                </c:pt>
                <c:pt idx="179">
                  <c:v>4.9364660077821906E-2</c:v>
                </c:pt>
                <c:pt idx="180">
                  <c:v>4.1153887070672017E-2</c:v>
                </c:pt>
                <c:pt idx="181">
                  <c:v>4.2581826113320717E-2</c:v>
                </c:pt>
                <c:pt idx="182">
                  <c:v>3.6756720464821639E-2</c:v>
                </c:pt>
                <c:pt idx="183">
                  <c:v>4.0625422118048454E-2</c:v>
                </c:pt>
                <c:pt idx="184">
                  <c:v>4.3460623886076202E-2</c:v>
                </c:pt>
                <c:pt idx="185">
                  <c:v>3.5065516812038573E-2</c:v>
                </c:pt>
                <c:pt idx="186">
                  <c:v>3.519179467288841E-2</c:v>
                </c:pt>
                <c:pt idx="187">
                  <c:v>3.4710340110544365E-2</c:v>
                </c:pt>
                <c:pt idx="188">
                  <c:v>3.5592867582380963E-2</c:v>
                </c:pt>
                <c:pt idx="189">
                  <c:v>3.1607871987985987E-2</c:v>
                </c:pt>
                <c:pt idx="190">
                  <c:v>3.1358116348539258E-2</c:v>
                </c:pt>
                <c:pt idx="191">
                  <c:v>3.4789421341587426E-2</c:v>
                </c:pt>
                <c:pt idx="192">
                  <c:v>3.2808881221181266E-2</c:v>
                </c:pt>
                <c:pt idx="193">
                  <c:v>4.3907903822605801E-2</c:v>
                </c:pt>
                <c:pt idx="194">
                  <c:v>4.1334985344032231E-2</c:v>
                </c:pt>
                <c:pt idx="195">
                  <c:v>4.393457692484759E-2</c:v>
                </c:pt>
                <c:pt idx="196">
                  <c:v>4.5682451098333909E-2</c:v>
                </c:pt>
                <c:pt idx="197">
                  <c:v>3.6041566214087523E-2</c:v>
                </c:pt>
                <c:pt idx="198">
                  <c:v>4.7455102359536781E-2</c:v>
                </c:pt>
                <c:pt idx="199">
                  <c:v>3.2675410542189164E-2</c:v>
                </c:pt>
                <c:pt idx="200">
                  <c:v>3.2246727730245492E-2</c:v>
                </c:pt>
                <c:pt idx="201">
                  <c:v>4.6489794191789918E-2</c:v>
                </c:pt>
                <c:pt idx="202">
                  <c:v>4.4040272230168237E-2</c:v>
                </c:pt>
                <c:pt idx="203">
                  <c:v>4.3350610044236071E-2</c:v>
                </c:pt>
                <c:pt idx="204">
                  <c:v>3.6411444622850564E-2</c:v>
                </c:pt>
                <c:pt idx="205">
                  <c:v>4.3042025864849058E-2</c:v>
                </c:pt>
                <c:pt idx="206">
                  <c:v>3.5371291299942126E-2</c:v>
                </c:pt>
                <c:pt idx="207">
                  <c:v>4.7441901732412563E-2</c:v>
                </c:pt>
                <c:pt idx="208">
                  <c:v>4.5101384794468423E-2</c:v>
                </c:pt>
                <c:pt idx="209">
                  <c:v>5.2143200958480455E-2</c:v>
                </c:pt>
                <c:pt idx="210">
                  <c:v>4.5377289279871169E-2</c:v>
                </c:pt>
                <c:pt idx="211">
                  <c:v>3.4025124972775156E-2</c:v>
                </c:pt>
                <c:pt idx="212">
                  <c:v>3.2249410702291689E-2</c:v>
                </c:pt>
                <c:pt idx="213">
                  <c:v>3.7135465112778508E-2</c:v>
                </c:pt>
                <c:pt idx="214">
                  <c:v>4.7573961811810575E-2</c:v>
                </c:pt>
                <c:pt idx="215">
                  <c:v>4.7111530230497453E-2</c:v>
                </c:pt>
                <c:pt idx="216">
                  <c:v>5.1189340081255051E-2</c:v>
                </c:pt>
                <c:pt idx="217">
                  <c:v>4.7857645864700191E-2</c:v>
                </c:pt>
                <c:pt idx="218">
                  <c:v>4.7431289784227601E-2</c:v>
                </c:pt>
                <c:pt idx="219">
                  <c:v>3.9585539885507684E-2</c:v>
                </c:pt>
                <c:pt idx="220">
                  <c:v>5.1387654780163682E-2</c:v>
                </c:pt>
                <c:pt idx="221">
                  <c:v>4.1156840419458537E-2</c:v>
                </c:pt>
                <c:pt idx="222">
                  <c:v>4.7817128542920702E-2</c:v>
                </c:pt>
                <c:pt idx="223">
                  <c:v>3.9112251127676453E-2</c:v>
                </c:pt>
                <c:pt idx="224">
                  <c:v>3.9342493844486986E-2</c:v>
                </c:pt>
                <c:pt idx="225">
                  <c:v>4.4967132968366005E-2</c:v>
                </c:pt>
                <c:pt idx="226">
                  <c:v>4.3655720287064367E-2</c:v>
                </c:pt>
                <c:pt idx="227">
                  <c:v>5.057933115994296E-2</c:v>
                </c:pt>
                <c:pt idx="228">
                  <c:v>4.6052506658354996E-2</c:v>
                </c:pt>
                <c:pt idx="229">
                  <c:v>5.5585416560546497E-2</c:v>
                </c:pt>
                <c:pt idx="230">
                  <c:v>4.3566983395152824E-2</c:v>
                </c:pt>
                <c:pt idx="231">
                  <c:v>5.2926272357712363E-2</c:v>
                </c:pt>
                <c:pt idx="232">
                  <c:v>3.9946930254294279E-2</c:v>
                </c:pt>
                <c:pt idx="233">
                  <c:v>4.7359583478988977E-2</c:v>
                </c:pt>
                <c:pt idx="234">
                  <c:v>3.9787848643024322E-2</c:v>
                </c:pt>
                <c:pt idx="235">
                  <c:v>4.8191117508989904E-2</c:v>
                </c:pt>
                <c:pt idx="236">
                  <c:v>4.9737029725843013E-2</c:v>
                </c:pt>
                <c:pt idx="237">
                  <c:v>4.7623568685319598E-2</c:v>
                </c:pt>
                <c:pt idx="238">
                  <c:v>4.9776381999582162E-2</c:v>
                </c:pt>
                <c:pt idx="239">
                  <c:v>4.876062171298863E-2</c:v>
                </c:pt>
                <c:pt idx="240">
                  <c:v>5.4364418410564282E-2</c:v>
                </c:pt>
                <c:pt idx="241">
                  <c:v>4.8259727863398397E-2</c:v>
                </c:pt>
                <c:pt idx="242">
                  <c:v>4.3282429427152436E-2</c:v>
                </c:pt>
                <c:pt idx="243">
                  <c:v>4.3604262924426471E-2</c:v>
                </c:pt>
                <c:pt idx="244">
                  <c:v>4.2998995586674138E-2</c:v>
                </c:pt>
                <c:pt idx="245">
                  <c:v>3.8875196033690343E-2</c:v>
                </c:pt>
                <c:pt idx="246">
                  <c:v>3.977370933084589E-2</c:v>
                </c:pt>
                <c:pt idx="247">
                  <c:v>3.0148411795750178E-2</c:v>
                </c:pt>
                <c:pt idx="248">
                  <c:v>3.1784700220696488E-2</c:v>
                </c:pt>
                <c:pt idx="249">
                  <c:v>3.2108495315757317E-2</c:v>
                </c:pt>
                <c:pt idx="250">
                  <c:v>3.340884753772768E-2</c:v>
                </c:pt>
                <c:pt idx="251">
                  <c:v>3.1552376124896538E-2</c:v>
                </c:pt>
                <c:pt idx="252">
                  <c:v>3.2831438900877988E-2</c:v>
                </c:pt>
                <c:pt idx="253">
                  <c:v>3.1566385285221446E-2</c:v>
                </c:pt>
                <c:pt idx="254">
                  <c:v>3.346812475978498E-2</c:v>
                </c:pt>
                <c:pt idx="255">
                  <c:v>3.3909202683638458E-2</c:v>
                </c:pt>
                <c:pt idx="256">
                  <c:v>3.1231166756803205E-2</c:v>
                </c:pt>
                <c:pt idx="257">
                  <c:v>3.397005111054123E-2</c:v>
                </c:pt>
                <c:pt idx="258">
                  <c:v>3.3160023066221296E-2</c:v>
                </c:pt>
                <c:pt idx="259">
                  <c:v>2.9749884328060014E-2</c:v>
                </c:pt>
                <c:pt idx="260">
                  <c:v>3.6040940985145986E-2</c:v>
                </c:pt>
                <c:pt idx="261">
                  <c:v>4.9070502455294401E-2</c:v>
                </c:pt>
                <c:pt idx="262">
                  <c:v>3.7096220197083127E-2</c:v>
                </c:pt>
                <c:pt idx="263">
                  <c:v>3.4091253908339864E-2</c:v>
                </c:pt>
                <c:pt idx="264">
                  <c:v>3.7268324735451754E-2</c:v>
                </c:pt>
                <c:pt idx="265">
                  <c:v>3.9123709977541374E-2</c:v>
                </c:pt>
                <c:pt idx="266">
                  <c:v>3.9715916765860677E-2</c:v>
                </c:pt>
                <c:pt idx="267">
                  <c:v>3.6193310154119702E-2</c:v>
                </c:pt>
                <c:pt idx="268">
                  <c:v>3.8958920979371689E-2</c:v>
                </c:pt>
                <c:pt idx="269">
                  <c:v>3.2478881764690756E-2</c:v>
                </c:pt>
                <c:pt idx="270">
                  <c:v>3.2118027257318493E-2</c:v>
                </c:pt>
                <c:pt idx="271">
                  <c:v>3.9159228669035963E-2</c:v>
                </c:pt>
                <c:pt idx="272">
                  <c:v>4.2709716114289586E-2</c:v>
                </c:pt>
                <c:pt idx="273">
                  <c:v>4.7833954880443882E-2</c:v>
                </c:pt>
                <c:pt idx="274">
                  <c:v>4.6087575958202398E-2</c:v>
                </c:pt>
                <c:pt idx="275">
                  <c:v>5.0433605497255063E-2</c:v>
                </c:pt>
                <c:pt idx="276">
                  <c:v>4.1544941705203203E-2</c:v>
                </c:pt>
                <c:pt idx="277">
                  <c:v>3.9538758919076281E-2</c:v>
                </c:pt>
                <c:pt idx="278">
                  <c:v>3.5500114423946343E-2</c:v>
                </c:pt>
                <c:pt idx="279">
                  <c:v>3.7172012207959099E-2</c:v>
                </c:pt>
                <c:pt idx="280">
                  <c:v>3.6285933243070362E-2</c:v>
                </c:pt>
                <c:pt idx="281">
                  <c:v>3.8402931379088068E-2</c:v>
                </c:pt>
                <c:pt idx="282">
                  <c:v>3.5147809350873277E-2</c:v>
                </c:pt>
                <c:pt idx="283">
                  <c:v>3.7166475367221063E-2</c:v>
                </c:pt>
                <c:pt idx="284">
                  <c:v>3.6470607710320291E-2</c:v>
                </c:pt>
                <c:pt idx="285">
                  <c:v>3.8170821658972939E-2</c:v>
                </c:pt>
                <c:pt idx="286">
                  <c:v>3.7299384768416474E-2</c:v>
                </c:pt>
                <c:pt idx="287">
                  <c:v>4.2876541042037614E-2</c:v>
                </c:pt>
                <c:pt idx="288">
                  <c:v>3.9116018286594861E-2</c:v>
                </c:pt>
                <c:pt idx="289">
                  <c:v>3.5888049414081885E-2</c:v>
                </c:pt>
                <c:pt idx="290">
                  <c:v>4.0258569851032752E-2</c:v>
                </c:pt>
                <c:pt idx="291">
                  <c:v>5.1336358751507799E-2</c:v>
                </c:pt>
                <c:pt idx="292">
                  <c:v>5.0233601015170104E-2</c:v>
                </c:pt>
                <c:pt idx="293">
                  <c:v>5.1390096085500124E-2</c:v>
                </c:pt>
                <c:pt idx="294">
                  <c:v>3.7568519575838552E-2</c:v>
                </c:pt>
                <c:pt idx="295">
                  <c:v>7.376096318342551E-2</c:v>
                </c:pt>
                <c:pt idx="296">
                  <c:v>3.823657901527007E-2</c:v>
                </c:pt>
                <c:pt idx="297">
                  <c:v>6.4256653349343162E-2</c:v>
                </c:pt>
                <c:pt idx="298">
                  <c:v>4.1029673787680812E-2</c:v>
                </c:pt>
                <c:pt idx="299">
                  <c:v>4.2138891843300122E-2</c:v>
                </c:pt>
                <c:pt idx="300">
                  <c:v>4.2926586189464336E-2</c:v>
                </c:pt>
                <c:pt idx="301">
                  <c:v>5.0247251768750244E-2</c:v>
                </c:pt>
                <c:pt idx="302">
                  <c:v>4.8806752355090292E-2</c:v>
                </c:pt>
                <c:pt idx="303">
                  <c:v>3.7365772034929169E-2</c:v>
                </c:pt>
                <c:pt idx="304">
                  <c:v>4.7508372778672189E-2</c:v>
                </c:pt>
                <c:pt idx="305">
                  <c:v>4.4408542497802156E-2</c:v>
                </c:pt>
                <c:pt idx="306">
                  <c:v>3.880551738458058E-2</c:v>
                </c:pt>
                <c:pt idx="307">
                  <c:v>4.9995549357879324E-2</c:v>
                </c:pt>
                <c:pt idx="308">
                  <c:v>4.2765216076787169E-2</c:v>
                </c:pt>
                <c:pt idx="309">
                  <c:v>5.2829218384543734E-2</c:v>
                </c:pt>
                <c:pt idx="310">
                  <c:v>4.2480429377182466E-2</c:v>
                </c:pt>
                <c:pt idx="311">
                  <c:v>4.6802528507141401E-2</c:v>
                </c:pt>
                <c:pt idx="312">
                  <c:v>4.5219370689363984E-2</c:v>
                </c:pt>
                <c:pt idx="313">
                  <c:v>4.4937923213259942E-2</c:v>
                </c:pt>
                <c:pt idx="314">
                  <c:v>4.8156061843653876E-2</c:v>
                </c:pt>
                <c:pt idx="315">
                  <c:v>5.002878398459612E-2</c:v>
                </c:pt>
                <c:pt idx="316">
                  <c:v>4.4122580147146255E-2</c:v>
                </c:pt>
                <c:pt idx="317">
                  <c:v>4.4312786169455297E-2</c:v>
                </c:pt>
                <c:pt idx="318">
                  <c:v>4.3635560442854847E-2</c:v>
                </c:pt>
                <c:pt idx="319">
                  <c:v>4.2341728892895142E-2</c:v>
                </c:pt>
                <c:pt idx="320">
                  <c:v>4.2543065339562161E-2</c:v>
                </c:pt>
                <c:pt idx="321">
                  <c:v>4.8543440672513642E-2</c:v>
                </c:pt>
                <c:pt idx="322">
                  <c:v>4.2543065339562161E-2</c:v>
                </c:pt>
                <c:pt idx="323">
                  <c:v>4.9109161636258357E-2</c:v>
                </c:pt>
                <c:pt idx="324">
                  <c:v>5.1764620516722759E-2</c:v>
                </c:pt>
                <c:pt idx="325">
                  <c:v>5.6567924201591298E-2</c:v>
                </c:pt>
                <c:pt idx="326">
                  <c:v>6.6408958190973158E-2</c:v>
                </c:pt>
                <c:pt idx="327">
                  <c:v>4.3492507562084851E-2</c:v>
                </c:pt>
                <c:pt idx="328">
                  <c:v>4.2462545848669514E-2</c:v>
                </c:pt>
                <c:pt idx="329">
                  <c:v>5.037136542363066E-2</c:v>
                </c:pt>
                <c:pt idx="330">
                  <c:v>5.5299275867682678E-2</c:v>
                </c:pt>
                <c:pt idx="331">
                  <c:v>4.5913395389664366E-2</c:v>
                </c:pt>
                <c:pt idx="332">
                  <c:v>4.9786115999968433E-2</c:v>
                </c:pt>
                <c:pt idx="333">
                  <c:v>4.2569726514608816E-2</c:v>
                </c:pt>
                <c:pt idx="334">
                  <c:v>4.2608580271655559E-2</c:v>
                </c:pt>
                <c:pt idx="335">
                  <c:v>4.1092528424654287E-2</c:v>
                </c:pt>
                <c:pt idx="336">
                  <c:v>4.2310893601892552E-2</c:v>
                </c:pt>
                <c:pt idx="337">
                  <c:v>4.6648569894361711E-2</c:v>
                </c:pt>
                <c:pt idx="338">
                  <c:v>4.4238536928883715E-2</c:v>
                </c:pt>
                <c:pt idx="339">
                  <c:v>4.1951287323382581E-2</c:v>
                </c:pt>
                <c:pt idx="340">
                  <c:v>5.022858407809927E-2</c:v>
                </c:pt>
                <c:pt idx="341">
                  <c:v>4.2013652542506719E-2</c:v>
                </c:pt>
                <c:pt idx="342">
                  <c:v>4.145794906136302E-2</c:v>
                </c:pt>
                <c:pt idx="343">
                  <c:v>4.1456844028665445E-2</c:v>
                </c:pt>
                <c:pt idx="344">
                  <c:v>4.1763111862033346E-2</c:v>
                </c:pt>
                <c:pt idx="345">
                  <c:v>4.1515795674472153E-2</c:v>
                </c:pt>
                <c:pt idx="346">
                  <c:v>4.4551350782135554E-2</c:v>
                </c:pt>
                <c:pt idx="347">
                  <c:v>4.6893881316315424E-2</c:v>
                </c:pt>
                <c:pt idx="348">
                  <c:v>4.3294655821143453E-2</c:v>
                </c:pt>
                <c:pt idx="349">
                  <c:v>5.2106229203956106E-2</c:v>
                </c:pt>
                <c:pt idx="350">
                  <c:v>4.1634199205982172E-2</c:v>
                </c:pt>
                <c:pt idx="351">
                  <c:v>4.2232188432905597E-2</c:v>
                </c:pt>
                <c:pt idx="352">
                  <c:v>4.4622841874438268E-2</c:v>
                </c:pt>
                <c:pt idx="353">
                  <c:v>4.6205507722798973E-2</c:v>
                </c:pt>
                <c:pt idx="354">
                  <c:v>6.371473386729605E-2</c:v>
                </c:pt>
                <c:pt idx="355">
                  <c:v>6.3372096018761231E-2</c:v>
                </c:pt>
                <c:pt idx="356">
                  <c:v>4.8511143620971447E-2</c:v>
                </c:pt>
                <c:pt idx="357">
                  <c:v>4.9782609569163784E-2</c:v>
                </c:pt>
                <c:pt idx="358">
                  <c:v>4.0505338903003972E-2</c:v>
                </c:pt>
                <c:pt idx="359">
                  <c:v>4.5514063559417423E-2</c:v>
                </c:pt>
                <c:pt idx="360">
                  <c:v>4.0669083135311486E-2</c:v>
                </c:pt>
                <c:pt idx="361">
                  <c:v>4.8271382998579748E-2</c:v>
                </c:pt>
                <c:pt idx="362">
                  <c:v>3.5610204688537747E-2</c:v>
                </c:pt>
                <c:pt idx="363">
                  <c:v>3.5478279036810861E-2</c:v>
                </c:pt>
                <c:pt idx="364">
                  <c:v>3.7444725577322431E-2</c:v>
                </c:pt>
                <c:pt idx="365">
                  <c:v>3.563524260105199E-2</c:v>
                </c:pt>
                <c:pt idx="366">
                  <c:v>3.5820172682296966E-2</c:v>
                </c:pt>
                <c:pt idx="367">
                  <c:v>3.5317344801761894E-2</c:v>
                </c:pt>
                <c:pt idx="368">
                  <c:v>3.5405901429528638E-2</c:v>
                </c:pt>
                <c:pt idx="369">
                  <c:v>5.1105954864069499E-2</c:v>
                </c:pt>
                <c:pt idx="370">
                  <c:v>4.2669270414959395E-2</c:v>
                </c:pt>
                <c:pt idx="371">
                  <c:v>4.2387674968809748E-2</c:v>
                </c:pt>
                <c:pt idx="372">
                  <c:v>3.8409800761363619E-2</c:v>
                </c:pt>
                <c:pt idx="373">
                  <c:v>3.8327502244710633E-2</c:v>
                </c:pt>
                <c:pt idx="374">
                  <c:v>4.4176133885526568E-2</c:v>
                </c:pt>
                <c:pt idx="375">
                  <c:v>4.3448835492164536E-2</c:v>
                </c:pt>
                <c:pt idx="376">
                  <c:v>4.4582088373450866E-2</c:v>
                </c:pt>
                <c:pt idx="377">
                  <c:v>4.2412049592578729E-2</c:v>
                </c:pt>
                <c:pt idx="378">
                  <c:v>4.2412049592578729E-2</c:v>
                </c:pt>
                <c:pt idx="379">
                  <c:v>4.2566311963328538E-2</c:v>
                </c:pt>
                <c:pt idx="380">
                  <c:v>3.6684093867170968E-2</c:v>
                </c:pt>
                <c:pt idx="381">
                  <c:v>3.8019752769928257E-2</c:v>
                </c:pt>
                <c:pt idx="382">
                  <c:v>3.6117187184438668E-2</c:v>
                </c:pt>
                <c:pt idx="383">
                  <c:v>3.8320594343835251E-2</c:v>
                </c:pt>
                <c:pt idx="384">
                  <c:v>4.7178806629519218E-2</c:v>
                </c:pt>
                <c:pt idx="385">
                  <c:v>3.7050510776076906E-2</c:v>
                </c:pt>
                <c:pt idx="386">
                  <c:v>3.611000998796679E-2</c:v>
                </c:pt>
                <c:pt idx="387">
                  <c:v>3.5685808262497551E-2</c:v>
                </c:pt>
                <c:pt idx="388">
                  <c:v>5.1635563700410413E-2</c:v>
                </c:pt>
                <c:pt idx="389">
                  <c:v>3.7995518466340882E-2</c:v>
                </c:pt>
                <c:pt idx="390">
                  <c:v>3.599303784431826E-2</c:v>
                </c:pt>
                <c:pt idx="391">
                  <c:v>3.5917225983654891E-2</c:v>
                </c:pt>
              </c:numCache>
            </c:numRef>
          </c:xVal>
          <c:yVal>
            <c:numRef>
              <c:f>Regression!RegChartStudResid</c:f>
              <c:numCache>
                <c:formatCode>0.0000</c:formatCode>
                <c:ptCount val="392"/>
                <c:pt idx="0">
                  <c:v>0.38649046111355201</c:v>
                </c:pt>
                <c:pt idx="1">
                  <c:v>-0.10402109723738608</c:v>
                </c:pt>
                <c:pt idx="2">
                  <c:v>0.3790485664453247</c:v>
                </c:pt>
                <c:pt idx="3">
                  <c:v>-0.28991504577291533</c:v>
                </c:pt>
                <c:pt idx="4">
                  <c:v>1.5048430823993899E-2</c:v>
                </c:pt>
                <c:pt idx="5">
                  <c:v>1.1660321456416034</c:v>
                </c:pt>
                <c:pt idx="6">
                  <c:v>0.9792108710792421</c:v>
                </c:pt>
                <c:pt idx="7">
                  <c:v>0.87970525767098529</c:v>
                </c:pt>
                <c:pt idx="8">
                  <c:v>1.1280247387124049</c:v>
                </c:pt>
                <c:pt idx="9">
                  <c:v>0.29552136767781301</c:v>
                </c:pt>
                <c:pt idx="10">
                  <c:v>-0.29588942339118907</c:v>
                </c:pt>
                <c:pt idx="11">
                  <c:v>-0.60409084446563865</c:v>
                </c:pt>
                <c:pt idx="12">
                  <c:v>-7.0617155228780759E-2</c:v>
                </c:pt>
                <c:pt idx="13">
                  <c:v>-1.1807393696594954</c:v>
                </c:pt>
                <c:pt idx="14">
                  <c:v>-0.40193142131393816</c:v>
                </c:pt>
                <c:pt idx="15">
                  <c:v>0.39968495672630688</c:v>
                </c:pt>
                <c:pt idx="16">
                  <c:v>-1.0254466826344892</c:v>
                </c:pt>
                <c:pt idx="17">
                  <c:v>-0.40591022394118104</c:v>
                </c:pt>
                <c:pt idx="18">
                  <c:v>0.15513508303132956</c:v>
                </c:pt>
                <c:pt idx="19">
                  <c:v>-0.87508847543411206</c:v>
                </c:pt>
                <c:pt idx="20">
                  <c:v>0.4407931061238981</c:v>
                </c:pt>
                <c:pt idx="21">
                  <c:v>-0.28923752793397073</c:v>
                </c:pt>
                <c:pt idx="22">
                  <c:v>-2.0495322425387076E-2</c:v>
                </c:pt>
                <c:pt idx="23">
                  <c:v>0.17289252435540003</c:v>
                </c:pt>
                <c:pt idx="24">
                  <c:v>-0.27496797490025449</c:v>
                </c:pt>
                <c:pt idx="25">
                  <c:v>5.5683358456535478E-2</c:v>
                </c:pt>
                <c:pt idx="26">
                  <c:v>-0.4283920105670963</c:v>
                </c:pt>
                <c:pt idx="27">
                  <c:v>-3.1377572652116069E-2</c:v>
                </c:pt>
                <c:pt idx="28">
                  <c:v>-0.19933424776620928</c:v>
                </c:pt>
                <c:pt idx="29">
                  <c:v>-0.14983838636843658</c:v>
                </c:pt>
                <c:pt idx="30">
                  <c:v>1.1097334264431693</c:v>
                </c:pt>
                <c:pt idx="31">
                  <c:v>-0.61509549983121248</c:v>
                </c:pt>
                <c:pt idx="32">
                  <c:v>-1.2127928346337891</c:v>
                </c:pt>
                <c:pt idx="33">
                  <c:v>-0.8268734431087178</c:v>
                </c:pt>
                <c:pt idx="34">
                  <c:v>-0.70648636894145489</c:v>
                </c:pt>
                <c:pt idx="35">
                  <c:v>-0.15142098901853462</c:v>
                </c:pt>
                <c:pt idx="36">
                  <c:v>-0.44257513070662002</c:v>
                </c:pt>
                <c:pt idx="37">
                  <c:v>0.12974540077511315</c:v>
                </c:pt>
                <c:pt idx="38">
                  <c:v>0.61570961852167438</c:v>
                </c:pt>
                <c:pt idx="39">
                  <c:v>-2.8119699994223715E-2</c:v>
                </c:pt>
                <c:pt idx="40">
                  <c:v>-0.14215101395795629</c:v>
                </c:pt>
                <c:pt idx="41">
                  <c:v>0.80808342930667132</c:v>
                </c:pt>
                <c:pt idx="42">
                  <c:v>0.73255545774192499</c:v>
                </c:pt>
                <c:pt idx="43">
                  <c:v>1.4343249307838992</c:v>
                </c:pt>
                <c:pt idx="44">
                  <c:v>-0.93736805879047014</c:v>
                </c:pt>
                <c:pt idx="45">
                  <c:v>-0.74708884873176218</c:v>
                </c:pt>
                <c:pt idx="46">
                  <c:v>-0.119856830968657</c:v>
                </c:pt>
                <c:pt idx="47">
                  <c:v>-0.75950614299184738</c:v>
                </c:pt>
                <c:pt idx="48">
                  <c:v>-0.65612392430107436</c:v>
                </c:pt>
                <c:pt idx="49">
                  <c:v>0.22503211391071432</c:v>
                </c:pt>
                <c:pt idx="50">
                  <c:v>0.70221206283556825</c:v>
                </c:pt>
                <c:pt idx="51">
                  <c:v>0.71980311888979953</c:v>
                </c:pt>
                <c:pt idx="52">
                  <c:v>0.45897738397457388</c:v>
                </c:pt>
                <c:pt idx="53">
                  <c:v>1.5500221062846573</c:v>
                </c:pt>
                <c:pt idx="54">
                  <c:v>-0.76325101320992295</c:v>
                </c:pt>
                <c:pt idx="55">
                  <c:v>-0.18942202796255866</c:v>
                </c:pt>
                <c:pt idx="56">
                  <c:v>-0.44392180663234571</c:v>
                </c:pt>
                <c:pt idx="57">
                  <c:v>0.24039254577346184</c:v>
                </c:pt>
                <c:pt idx="58">
                  <c:v>-1.0042751043337586</c:v>
                </c:pt>
                <c:pt idx="59">
                  <c:v>-0.8984734746582822</c:v>
                </c:pt>
                <c:pt idx="60">
                  <c:v>-0.89544945314468549</c:v>
                </c:pt>
                <c:pt idx="61">
                  <c:v>0.32432388942401408</c:v>
                </c:pt>
                <c:pt idx="62">
                  <c:v>0.89925474334883049</c:v>
                </c:pt>
                <c:pt idx="63">
                  <c:v>0.6741998247581702</c:v>
                </c:pt>
                <c:pt idx="64">
                  <c:v>0.34767210505293855</c:v>
                </c:pt>
                <c:pt idx="65">
                  <c:v>0.55972501051096391</c:v>
                </c:pt>
                <c:pt idx="66">
                  <c:v>0.50018854209738339</c:v>
                </c:pt>
                <c:pt idx="67">
                  <c:v>0.6556418348632248</c:v>
                </c:pt>
                <c:pt idx="68">
                  <c:v>0.27141090048237276</c:v>
                </c:pt>
                <c:pt idx="69">
                  <c:v>0.71162663600437204</c:v>
                </c:pt>
                <c:pt idx="70">
                  <c:v>-2.0157358299478263</c:v>
                </c:pt>
                <c:pt idx="71">
                  <c:v>0.26483477874394723</c:v>
                </c:pt>
                <c:pt idx="72">
                  <c:v>-0.16166667853581004</c:v>
                </c:pt>
                <c:pt idx="73">
                  <c:v>0.22330383955665867</c:v>
                </c:pt>
                <c:pt idx="74">
                  <c:v>0.24386567077228774</c:v>
                </c:pt>
                <c:pt idx="75">
                  <c:v>-1.2081383307454165</c:v>
                </c:pt>
                <c:pt idx="76">
                  <c:v>-0.78110036437009756</c:v>
                </c:pt>
                <c:pt idx="77">
                  <c:v>-0.26364023528520003</c:v>
                </c:pt>
                <c:pt idx="78">
                  <c:v>-2.6512351797492825E-2</c:v>
                </c:pt>
                <c:pt idx="79">
                  <c:v>-0.2744986939956594</c:v>
                </c:pt>
                <c:pt idx="80">
                  <c:v>0.89328897781380623</c:v>
                </c:pt>
                <c:pt idx="81">
                  <c:v>-0.38135513775663438</c:v>
                </c:pt>
                <c:pt idx="82">
                  <c:v>1.3082330687569519</c:v>
                </c:pt>
                <c:pt idx="83">
                  <c:v>0.21951048018534694</c:v>
                </c:pt>
                <c:pt idx="84">
                  <c:v>0.20398710450777527</c:v>
                </c:pt>
                <c:pt idx="85">
                  <c:v>-0.31629077006854084</c:v>
                </c:pt>
                <c:pt idx="86">
                  <c:v>-0.14480257381873163</c:v>
                </c:pt>
                <c:pt idx="87">
                  <c:v>0.2334274183109103</c:v>
                </c:pt>
                <c:pt idx="88">
                  <c:v>0.18988660114211794</c:v>
                </c:pt>
                <c:pt idx="89">
                  <c:v>1.4296443982960441</c:v>
                </c:pt>
                <c:pt idx="90">
                  <c:v>0.68086529918536198</c:v>
                </c:pt>
                <c:pt idx="91">
                  <c:v>0.55319696979360178</c:v>
                </c:pt>
                <c:pt idx="92">
                  <c:v>0.62988652393519529</c:v>
                </c:pt>
                <c:pt idx="93">
                  <c:v>1.4945061059531675</c:v>
                </c:pt>
                <c:pt idx="94">
                  <c:v>1.5835184219573573</c:v>
                </c:pt>
                <c:pt idx="95">
                  <c:v>-0.26432732427601652</c:v>
                </c:pt>
                <c:pt idx="96">
                  <c:v>-0.1580347863334722</c:v>
                </c:pt>
                <c:pt idx="97">
                  <c:v>-0.58466219481199677</c:v>
                </c:pt>
                <c:pt idx="98">
                  <c:v>-0.48011210341267641</c:v>
                </c:pt>
                <c:pt idx="99">
                  <c:v>-0.4182369320992394</c:v>
                </c:pt>
                <c:pt idx="100">
                  <c:v>1.0807560254323885</c:v>
                </c:pt>
                <c:pt idx="101">
                  <c:v>-0.43529358270499241</c:v>
                </c:pt>
                <c:pt idx="102">
                  <c:v>0.92150618089199277</c:v>
                </c:pt>
                <c:pt idx="103">
                  <c:v>1.1863106075738008</c:v>
                </c:pt>
                <c:pt idx="104">
                  <c:v>1.1069048065287981</c:v>
                </c:pt>
                <c:pt idx="105">
                  <c:v>0.56878580743136242</c:v>
                </c:pt>
                <c:pt idx="106">
                  <c:v>-0.74192401686980725</c:v>
                </c:pt>
                <c:pt idx="107">
                  <c:v>-1.6897180627740656</c:v>
                </c:pt>
                <c:pt idx="108">
                  <c:v>-0.55194584126169699</c:v>
                </c:pt>
                <c:pt idx="109">
                  <c:v>-0.82281965858508455</c:v>
                </c:pt>
                <c:pt idx="110">
                  <c:v>-2.6063331092365796</c:v>
                </c:pt>
                <c:pt idx="111">
                  <c:v>-1.2992210520172569</c:v>
                </c:pt>
                <c:pt idx="112">
                  <c:v>-0.24289117425341836</c:v>
                </c:pt>
                <c:pt idx="113">
                  <c:v>0.33488821969058197</c:v>
                </c:pt>
                <c:pt idx="114">
                  <c:v>0.67383986412758512</c:v>
                </c:pt>
                <c:pt idx="115">
                  <c:v>1.8307638951688041</c:v>
                </c:pt>
                <c:pt idx="116">
                  <c:v>0.44266880067425035</c:v>
                </c:pt>
                <c:pt idx="117">
                  <c:v>-0.59179023453714441</c:v>
                </c:pt>
                <c:pt idx="118">
                  <c:v>-1.1208436092324714</c:v>
                </c:pt>
                <c:pt idx="119">
                  <c:v>-0.85847137129504036</c:v>
                </c:pt>
                <c:pt idx="120">
                  <c:v>-0.44348189348087957</c:v>
                </c:pt>
                <c:pt idx="121">
                  <c:v>0.44275727569779938</c:v>
                </c:pt>
                <c:pt idx="122">
                  <c:v>-0.61593470926202398</c:v>
                </c:pt>
                <c:pt idx="123">
                  <c:v>-1.1692507528849174</c:v>
                </c:pt>
                <c:pt idx="124">
                  <c:v>-0.23318022611887829</c:v>
                </c:pt>
                <c:pt idx="125">
                  <c:v>-0.87855079557956517</c:v>
                </c:pt>
                <c:pt idx="126">
                  <c:v>-1.4769363323181717</c:v>
                </c:pt>
                <c:pt idx="127">
                  <c:v>0.65290692305069276</c:v>
                </c:pt>
                <c:pt idx="128">
                  <c:v>0.58752778997756971</c:v>
                </c:pt>
                <c:pt idx="129">
                  <c:v>0.78371741325869382</c:v>
                </c:pt>
                <c:pt idx="130">
                  <c:v>0.38024696094502353</c:v>
                </c:pt>
                <c:pt idx="131">
                  <c:v>-0.39486001875875998</c:v>
                </c:pt>
                <c:pt idx="132">
                  <c:v>-0.59082143000943876</c:v>
                </c:pt>
                <c:pt idx="133">
                  <c:v>1.6521563559615881E-2</c:v>
                </c:pt>
                <c:pt idx="134">
                  <c:v>0.43079556603355523</c:v>
                </c:pt>
                <c:pt idx="135">
                  <c:v>0.42871024250542339</c:v>
                </c:pt>
                <c:pt idx="136">
                  <c:v>0.35223603151478755</c:v>
                </c:pt>
                <c:pt idx="137">
                  <c:v>0.60637414955155566</c:v>
                </c:pt>
                <c:pt idx="138">
                  <c:v>1.3677785391091995E-2</c:v>
                </c:pt>
                <c:pt idx="139">
                  <c:v>0.56798307093810663</c:v>
                </c:pt>
                <c:pt idx="140">
                  <c:v>-0.95733088971303293</c:v>
                </c:pt>
                <c:pt idx="141">
                  <c:v>-0.32610721496463052</c:v>
                </c:pt>
                <c:pt idx="142">
                  <c:v>6.1844508852538164E-2</c:v>
                </c:pt>
                <c:pt idx="143">
                  <c:v>1.04461770630526</c:v>
                </c:pt>
                <c:pt idx="144">
                  <c:v>0.67897281388579944</c:v>
                </c:pt>
                <c:pt idx="145">
                  <c:v>-1.3375231715810592</c:v>
                </c:pt>
                <c:pt idx="146">
                  <c:v>-0.4338415062904411</c:v>
                </c:pt>
                <c:pt idx="147">
                  <c:v>-0.61264897901117765</c:v>
                </c:pt>
                <c:pt idx="148">
                  <c:v>-0.13131189884057307</c:v>
                </c:pt>
                <c:pt idx="149">
                  <c:v>0.77893428137700682</c:v>
                </c:pt>
                <c:pt idx="150">
                  <c:v>-8.6786137087073154E-2</c:v>
                </c:pt>
                <c:pt idx="151">
                  <c:v>-3.7067224491663844E-2</c:v>
                </c:pt>
                <c:pt idx="152">
                  <c:v>-1.2647682754399088</c:v>
                </c:pt>
                <c:pt idx="153">
                  <c:v>-1.7231986194513169</c:v>
                </c:pt>
                <c:pt idx="154">
                  <c:v>1.6896822821993771</c:v>
                </c:pt>
                <c:pt idx="155">
                  <c:v>0.83361742346055501</c:v>
                </c:pt>
                <c:pt idx="156">
                  <c:v>1.2915705569901503</c:v>
                </c:pt>
                <c:pt idx="157">
                  <c:v>0.88428252049290279</c:v>
                </c:pt>
                <c:pt idx="158">
                  <c:v>0.4116364131495851</c:v>
                </c:pt>
                <c:pt idx="159">
                  <c:v>3.5295875579668894E-2</c:v>
                </c:pt>
                <c:pt idx="160">
                  <c:v>-0.55072347548179312</c:v>
                </c:pt>
                <c:pt idx="161">
                  <c:v>0.45874200542910859</c:v>
                </c:pt>
                <c:pt idx="162">
                  <c:v>0.2802206101814847</c:v>
                </c:pt>
                <c:pt idx="163">
                  <c:v>0.25381221692103473</c:v>
                </c:pt>
                <c:pt idx="164">
                  <c:v>-2.0636596826638138</c:v>
                </c:pt>
                <c:pt idx="165">
                  <c:v>0.6077873084612555</c:v>
                </c:pt>
                <c:pt idx="166">
                  <c:v>0.12614744788801885</c:v>
                </c:pt>
                <c:pt idx="167">
                  <c:v>-0.31654278630410199</c:v>
                </c:pt>
                <c:pt idx="168">
                  <c:v>1.9978196923054012E-2</c:v>
                </c:pt>
                <c:pt idx="169">
                  <c:v>-5.032391780723363E-2</c:v>
                </c:pt>
                <c:pt idx="170">
                  <c:v>-0.62096861122347391</c:v>
                </c:pt>
                <c:pt idx="171">
                  <c:v>-0.31053190188587199</c:v>
                </c:pt>
                <c:pt idx="172">
                  <c:v>-0.87909939485507615</c:v>
                </c:pt>
                <c:pt idx="173">
                  <c:v>0.22610292454868022</c:v>
                </c:pt>
                <c:pt idx="174">
                  <c:v>-0.20291519301261843</c:v>
                </c:pt>
                <c:pt idx="175">
                  <c:v>-0.36253627723479914</c:v>
                </c:pt>
                <c:pt idx="176">
                  <c:v>4.4247006473740601E-2</c:v>
                </c:pt>
                <c:pt idx="177">
                  <c:v>-0.2557150343200344</c:v>
                </c:pt>
                <c:pt idx="178">
                  <c:v>0.37698943709717592</c:v>
                </c:pt>
                <c:pt idx="179">
                  <c:v>1.1899727275032896</c:v>
                </c:pt>
                <c:pt idx="180">
                  <c:v>0.60888968943784472</c:v>
                </c:pt>
                <c:pt idx="181">
                  <c:v>-0.82893417664067315</c:v>
                </c:pt>
                <c:pt idx="182">
                  <c:v>0.46871808445674978</c:v>
                </c:pt>
                <c:pt idx="183">
                  <c:v>0.19800523327850184</c:v>
                </c:pt>
                <c:pt idx="184">
                  <c:v>-0.18217601115513996</c:v>
                </c:pt>
                <c:pt idx="185">
                  <c:v>0.99879597785625729</c:v>
                </c:pt>
                <c:pt idx="186">
                  <c:v>0.51286368166818253</c:v>
                </c:pt>
                <c:pt idx="187">
                  <c:v>-0.19789440550577833</c:v>
                </c:pt>
                <c:pt idx="188">
                  <c:v>6.7796750316846358E-2</c:v>
                </c:pt>
                <c:pt idx="189">
                  <c:v>0.62541466034937299</c:v>
                </c:pt>
                <c:pt idx="190">
                  <c:v>0.8534981078051288</c:v>
                </c:pt>
                <c:pt idx="191">
                  <c:v>0.81643234827063926</c:v>
                </c:pt>
                <c:pt idx="192">
                  <c:v>0.48931010929769164</c:v>
                </c:pt>
                <c:pt idx="193">
                  <c:v>0.68104115262367493</c:v>
                </c:pt>
                <c:pt idx="194">
                  <c:v>-0.55753264896976451</c:v>
                </c:pt>
                <c:pt idx="195">
                  <c:v>-3.3128045912269553E-2</c:v>
                </c:pt>
                <c:pt idx="196">
                  <c:v>0.92900557209987766</c:v>
                </c:pt>
                <c:pt idx="197">
                  <c:v>0.66552441488229708</c:v>
                </c:pt>
                <c:pt idx="198">
                  <c:v>-0.24814969353100894</c:v>
                </c:pt>
                <c:pt idx="199">
                  <c:v>0.21089005247032522</c:v>
                </c:pt>
                <c:pt idx="200">
                  <c:v>-0.95975295748031186</c:v>
                </c:pt>
                <c:pt idx="201">
                  <c:v>-5.0151452692643997E-2</c:v>
                </c:pt>
                <c:pt idx="202">
                  <c:v>1.0160259092109321</c:v>
                </c:pt>
                <c:pt idx="203">
                  <c:v>-1.2115968549611986E-2</c:v>
                </c:pt>
                <c:pt idx="204">
                  <c:v>0.84720077695598384</c:v>
                </c:pt>
                <c:pt idx="205">
                  <c:v>-0.81252205315322645</c:v>
                </c:pt>
                <c:pt idx="206">
                  <c:v>-0.9031170962155961</c:v>
                </c:pt>
                <c:pt idx="207">
                  <c:v>-1.0214074988536541</c:v>
                </c:pt>
                <c:pt idx="208">
                  <c:v>-1.5268692799723573</c:v>
                </c:pt>
                <c:pt idx="209">
                  <c:v>-0.75457189916222744</c:v>
                </c:pt>
                <c:pt idx="210">
                  <c:v>1.1659795306247449</c:v>
                </c:pt>
                <c:pt idx="211">
                  <c:v>-0.73626542374561854</c:v>
                </c:pt>
                <c:pt idx="212">
                  <c:v>-1.1267405125615217</c:v>
                </c:pt>
                <c:pt idx="213">
                  <c:v>-1.2151675973963221</c:v>
                </c:pt>
                <c:pt idx="214">
                  <c:v>0.45411013125419586</c:v>
                </c:pt>
                <c:pt idx="215">
                  <c:v>0.89210317838710018</c:v>
                </c:pt>
                <c:pt idx="216">
                  <c:v>1.5747836013923129</c:v>
                </c:pt>
                <c:pt idx="217">
                  <c:v>-0.27897206548305931</c:v>
                </c:pt>
                <c:pt idx="218">
                  <c:v>0.96387111404314918</c:v>
                </c:pt>
                <c:pt idx="219">
                  <c:v>-1.3087490477449268E-2</c:v>
                </c:pt>
                <c:pt idx="220">
                  <c:v>-6.5682072482442247E-2</c:v>
                </c:pt>
                <c:pt idx="221">
                  <c:v>-0.24068058859416844</c:v>
                </c:pt>
                <c:pt idx="222">
                  <c:v>-0.22773334599687459</c:v>
                </c:pt>
                <c:pt idx="223">
                  <c:v>-0.80833512211099245</c:v>
                </c:pt>
                <c:pt idx="224">
                  <c:v>2.4603534850325339E-3</c:v>
                </c:pt>
                <c:pt idx="225">
                  <c:v>-0.17875083851948473</c:v>
                </c:pt>
                <c:pt idx="226">
                  <c:v>-0.53338642732774066</c:v>
                </c:pt>
                <c:pt idx="227">
                  <c:v>0.25110022474118066</c:v>
                </c:pt>
                <c:pt idx="228">
                  <c:v>-6.3550945766768785E-2</c:v>
                </c:pt>
                <c:pt idx="229">
                  <c:v>0.31685206458484116</c:v>
                </c:pt>
                <c:pt idx="230">
                  <c:v>0.27649769074526315</c:v>
                </c:pt>
                <c:pt idx="231">
                  <c:v>-0.46498176646527745</c:v>
                </c:pt>
                <c:pt idx="232">
                  <c:v>8.7513237424759235E-2</c:v>
                </c:pt>
                <c:pt idx="233">
                  <c:v>-0.97305252208919468</c:v>
                </c:pt>
                <c:pt idx="234">
                  <c:v>0.45088667377233937</c:v>
                </c:pt>
                <c:pt idx="235">
                  <c:v>0.7914864360088929</c:v>
                </c:pt>
                <c:pt idx="236">
                  <c:v>1.9447162353916565</c:v>
                </c:pt>
                <c:pt idx="237">
                  <c:v>-0.15390694742658717</c:v>
                </c:pt>
                <c:pt idx="238">
                  <c:v>0.46083052696320198</c:v>
                </c:pt>
                <c:pt idx="239">
                  <c:v>-1.260569504380137</c:v>
                </c:pt>
                <c:pt idx="240">
                  <c:v>-1.68524344765387</c:v>
                </c:pt>
                <c:pt idx="241">
                  <c:v>-1.5175419689962188</c:v>
                </c:pt>
                <c:pt idx="242">
                  <c:v>4.2007262122566926</c:v>
                </c:pt>
                <c:pt idx="243">
                  <c:v>2.2990445774735213</c:v>
                </c:pt>
                <c:pt idx="244">
                  <c:v>0.74844507336636135</c:v>
                </c:pt>
                <c:pt idx="245">
                  <c:v>3.1819916573400091</c:v>
                </c:pt>
                <c:pt idx="246">
                  <c:v>1.5766853430851646</c:v>
                </c:pt>
                <c:pt idx="247">
                  <c:v>-0.22021492268660475</c:v>
                </c:pt>
                <c:pt idx="248">
                  <c:v>0.39604728421942698</c:v>
                </c:pt>
                <c:pt idx="249">
                  <c:v>0.37898661019969393</c:v>
                </c:pt>
                <c:pt idx="250">
                  <c:v>-0.19419634887019752</c:v>
                </c:pt>
                <c:pt idx="251">
                  <c:v>-0.4545453066083554</c:v>
                </c:pt>
                <c:pt idx="252">
                  <c:v>-0.92704752263459622</c:v>
                </c:pt>
                <c:pt idx="253">
                  <c:v>0.30206292858297307</c:v>
                </c:pt>
                <c:pt idx="254">
                  <c:v>3.3677120231556792E-2</c:v>
                </c:pt>
                <c:pt idx="255">
                  <c:v>-0.75452115641439021</c:v>
                </c:pt>
                <c:pt idx="256">
                  <c:v>9.7946834914373372E-3</c:v>
                </c:pt>
                <c:pt idx="257">
                  <c:v>-0.55221926921070352</c:v>
                </c:pt>
                <c:pt idx="258">
                  <c:v>-0.22349400460848995</c:v>
                </c:pt>
                <c:pt idx="259">
                  <c:v>-0.68678649689214288</c:v>
                </c:pt>
                <c:pt idx="260">
                  <c:v>-0.1637477879265988</c:v>
                </c:pt>
                <c:pt idx="261">
                  <c:v>-0.52393736657058176</c:v>
                </c:pt>
                <c:pt idx="262">
                  <c:v>-0.9317689403765218</c:v>
                </c:pt>
                <c:pt idx="263">
                  <c:v>0.34571317856571621</c:v>
                </c:pt>
                <c:pt idx="264">
                  <c:v>0.87264012009621761</c:v>
                </c:pt>
                <c:pt idx="265">
                  <c:v>0.18470642599231274</c:v>
                </c:pt>
                <c:pt idx="266">
                  <c:v>-0.34222462819834187</c:v>
                </c:pt>
                <c:pt idx="267">
                  <c:v>1.3348865121336095</c:v>
                </c:pt>
                <c:pt idx="268">
                  <c:v>-2.0195065214468055</c:v>
                </c:pt>
                <c:pt idx="269">
                  <c:v>-0.19410783505686549</c:v>
                </c:pt>
                <c:pt idx="270">
                  <c:v>8.1721707715661354E-2</c:v>
                </c:pt>
                <c:pt idx="271">
                  <c:v>-1.2628813097867091</c:v>
                </c:pt>
                <c:pt idx="272">
                  <c:v>-1.6746439809266753</c:v>
                </c:pt>
                <c:pt idx="273">
                  <c:v>-2.1379379429147773</c:v>
                </c:pt>
                <c:pt idx="274">
                  <c:v>-1.2377760380844054</c:v>
                </c:pt>
                <c:pt idx="275">
                  <c:v>-1.9076726580567738</c:v>
                </c:pt>
                <c:pt idx="276">
                  <c:v>0.46674163527249862</c:v>
                </c:pt>
                <c:pt idx="277">
                  <c:v>-1.1623375752352078E-2</c:v>
                </c:pt>
                <c:pt idx="278">
                  <c:v>-0.66377208981313185</c:v>
                </c:pt>
                <c:pt idx="279">
                  <c:v>-1.8200175308828719</c:v>
                </c:pt>
                <c:pt idx="280">
                  <c:v>-1.1408976899843095</c:v>
                </c:pt>
                <c:pt idx="281">
                  <c:v>-1.1982691301329909</c:v>
                </c:pt>
                <c:pt idx="282">
                  <c:v>-0.7960497214769402</c:v>
                </c:pt>
                <c:pt idx="283">
                  <c:v>-1.0776013794312584</c:v>
                </c:pt>
                <c:pt idx="284">
                  <c:v>-1.0767196379396311</c:v>
                </c:pt>
                <c:pt idx="285">
                  <c:v>-1.0076315540428575</c:v>
                </c:pt>
                <c:pt idx="286">
                  <c:v>-0.66878988326602917</c:v>
                </c:pt>
                <c:pt idx="287">
                  <c:v>-0.10145734321849574</c:v>
                </c:pt>
                <c:pt idx="288">
                  <c:v>-1.1524014899843342</c:v>
                </c:pt>
                <c:pt idx="289">
                  <c:v>-0.76844520954536311</c:v>
                </c:pt>
                <c:pt idx="290">
                  <c:v>-0.30358004022533047</c:v>
                </c:pt>
                <c:pt idx="291">
                  <c:v>-0.3131170267789195</c:v>
                </c:pt>
                <c:pt idx="292">
                  <c:v>0.43433707282313838</c:v>
                </c:pt>
                <c:pt idx="293">
                  <c:v>1.6395545081768079</c:v>
                </c:pt>
                <c:pt idx="294">
                  <c:v>0.13985011155836161</c:v>
                </c:pt>
                <c:pt idx="295">
                  <c:v>0.26714134253452815</c:v>
                </c:pt>
                <c:pt idx="296">
                  <c:v>0.99045257304542067</c:v>
                </c:pt>
                <c:pt idx="297">
                  <c:v>0.25939653083974346</c:v>
                </c:pt>
                <c:pt idx="298">
                  <c:v>0.29319660015181503</c:v>
                </c:pt>
                <c:pt idx="299">
                  <c:v>1.5585580298512536</c:v>
                </c:pt>
                <c:pt idx="300">
                  <c:v>1.5748070831006031</c:v>
                </c:pt>
                <c:pt idx="301">
                  <c:v>-0.25886999570707547</c:v>
                </c:pt>
                <c:pt idx="302">
                  <c:v>1.8285518903811393</c:v>
                </c:pt>
                <c:pt idx="303">
                  <c:v>0.52607820754973145</c:v>
                </c:pt>
                <c:pt idx="304">
                  <c:v>0.67123358040088366</c:v>
                </c:pt>
                <c:pt idx="305">
                  <c:v>0.18042945365691565</c:v>
                </c:pt>
                <c:pt idx="306">
                  <c:v>2.0304757137130016</c:v>
                </c:pt>
                <c:pt idx="307">
                  <c:v>1.937883735039764</c:v>
                </c:pt>
                <c:pt idx="308">
                  <c:v>0.3734161112853604</c:v>
                </c:pt>
                <c:pt idx="309">
                  <c:v>-0.63228553332444015</c:v>
                </c:pt>
                <c:pt idx="310">
                  <c:v>0.18658521528183183</c:v>
                </c:pt>
                <c:pt idx="311">
                  <c:v>-0.9474999235105962</c:v>
                </c:pt>
                <c:pt idx="312">
                  <c:v>-1.1670319415810073</c:v>
                </c:pt>
                <c:pt idx="313">
                  <c:v>-1.6319415081566486</c:v>
                </c:pt>
                <c:pt idx="314">
                  <c:v>-2.7327997376671536</c:v>
                </c:pt>
                <c:pt idx="315">
                  <c:v>-0.38508480762603786</c:v>
                </c:pt>
                <c:pt idx="316">
                  <c:v>-0.97713360215342948</c:v>
                </c:pt>
                <c:pt idx="317">
                  <c:v>-0.84358082508022647</c:v>
                </c:pt>
                <c:pt idx="318">
                  <c:v>0.96668836786536427</c:v>
                </c:pt>
                <c:pt idx="319">
                  <c:v>-1.0101337973139408</c:v>
                </c:pt>
                <c:pt idx="320">
                  <c:v>3.4720773077781244</c:v>
                </c:pt>
                <c:pt idx="321">
                  <c:v>-0.69392179736044635</c:v>
                </c:pt>
                <c:pt idx="322">
                  <c:v>1.539587675300794</c:v>
                </c:pt>
                <c:pt idx="323">
                  <c:v>2.6212478115325442</c:v>
                </c:pt>
                <c:pt idx="324">
                  <c:v>2.7473960479992194</c:v>
                </c:pt>
                <c:pt idx="325">
                  <c:v>1.5535500258921526</c:v>
                </c:pt>
                <c:pt idx="326">
                  <c:v>-8.5231484219193049E-2</c:v>
                </c:pt>
                <c:pt idx="327">
                  <c:v>2.3790723412149868</c:v>
                </c:pt>
                <c:pt idx="328">
                  <c:v>-0.72283127398567082</c:v>
                </c:pt>
                <c:pt idx="329">
                  <c:v>-2.5586120959927139</c:v>
                </c:pt>
                <c:pt idx="330">
                  <c:v>0.55656803120621701</c:v>
                </c:pt>
                <c:pt idx="331">
                  <c:v>-3.451682617569364</c:v>
                </c:pt>
                <c:pt idx="332">
                  <c:v>0.43174338069117302</c:v>
                </c:pt>
                <c:pt idx="333">
                  <c:v>-0.91766871471414591</c:v>
                </c:pt>
                <c:pt idx="334">
                  <c:v>-0.68324182750021734</c:v>
                </c:pt>
                <c:pt idx="335">
                  <c:v>-0.63802821850481273</c:v>
                </c:pt>
                <c:pt idx="336">
                  <c:v>-0.88698134092906389</c:v>
                </c:pt>
                <c:pt idx="337">
                  <c:v>-1.3818722583783176</c:v>
                </c:pt>
                <c:pt idx="338">
                  <c:v>7.2633416429777817E-2</c:v>
                </c:pt>
                <c:pt idx="339">
                  <c:v>1.2143705581244542</c:v>
                </c:pt>
                <c:pt idx="340">
                  <c:v>2.1111674999819705</c:v>
                </c:pt>
                <c:pt idx="341">
                  <c:v>-9.8723664725633833E-2</c:v>
                </c:pt>
                <c:pt idx="342">
                  <c:v>-0.47899199098150291</c:v>
                </c:pt>
                <c:pt idx="343">
                  <c:v>0.9235433462638315</c:v>
                </c:pt>
                <c:pt idx="344">
                  <c:v>1.26708074925088</c:v>
                </c:pt>
                <c:pt idx="345">
                  <c:v>-9.0731992161399936E-3</c:v>
                </c:pt>
                <c:pt idx="346">
                  <c:v>1.2394515341278651</c:v>
                </c:pt>
                <c:pt idx="347">
                  <c:v>0.86418422319002008</c:v>
                </c:pt>
                <c:pt idx="348">
                  <c:v>-7.199900072986111E-2</c:v>
                </c:pt>
                <c:pt idx="349">
                  <c:v>4.357517290963854E-2</c:v>
                </c:pt>
                <c:pt idx="350">
                  <c:v>0.2749672873635931</c:v>
                </c:pt>
                <c:pt idx="351">
                  <c:v>7.8125519301108906E-2</c:v>
                </c:pt>
                <c:pt idx="352">
                  <c:v>0.82794023224202973</c:v>
                </c:pt>
                <c:pt idx="353">
                  <c:v>0.28753308488155438</c:v>
                </c:pt>
                <c:pt idx="354">
                  <c:v>0.19993267130990572</c:v>
                </c:pt>
                <c:pt idx="355">
                  <c:v>0.93448737390407655</c:v>
                </c:pt>
                <c:pt idx="356">
                  <c:v>-1.1079659887017894</c:v>
                </c:pt>
                <c:pt idx="357">
                  <c:v>-1.4375278289347933</c:v>
                </c:pt>
                <c:pt idx="358">
                  <c:v>-0.58074238683041579</c:v>
                </c:pt>
                <c:pt idx="359">
                  <c:v>1.3160037932020494</c:v>
                </c:pt>
                <c:pt idx="360">
                  <c:v>-2.0302994659393101</c:v>
                </c:pt>
                <c:pt idx="361">
                  <c:v>-2.2382603266400913</c:v>
                </c:pt>
                <c:pt idx="362">
                  <c:v>-0.75751706682775866</c:v>
                </c:pt>
                <c:pt idx="363">
                  <c:v>-1.0306011185079671</c:v>
                </c:pt>
                <c:pt idx="364">
                  <c:v>0.88224971223868354</c:v>
                </c:pt>
                <c:pt idx="365">
                  <c:v>0.17184976624815418</c:v>
                </c:pt>
                <c:pt idx="366">
                  <c:v>-0.58163018536706346</c:v>
                </c:pt>
                <c:pt idx="367">
                  <c:v>-0.86006936817939161</c:v>
                </c:pt>
                <c:pt idx="368">
                  <c:v>-1.6266867098316833</c:v>
                </c:pt>
                <c:pt idx="369">
                  <c:v>0.12999171896584169</c:v>
                </c:pt>
                <c:pt idx="370">
                  <c:v>0.4654442793344194</c:v>
                </c:pt>
                <c:pt idx="371">
                  <c:v>-1.626368466519942</c:v>
                </c:pt>
                <c:pt idx="372">
                  <c:v>1.6231038143843988</c:v>
                </c:pt>
                <c:pt idx="373">
                  <c:v>0.99590616832095791</c:v>
                </c:pt>
                <c:pt idx="374">
                  <c:v>0.46857065274584953</c:v>
                </c:pt>
                <c:pt idx="375">
                  <c:v>0.47398446164132163</c:v>
                </c:pt>
                <c:pt idx="376">
                  <c:v>-0.15234540833318785</c:v>
                </c:pt>
                <c:pt idx="377">
                  <c:v>0.69192234930796725</c:v>
                </c:pt>
                <c:pt idx="378">
                  <c:v>-1.307068093232151</c:v>
                </c:pt>
                <c:pt idx="379">
                  <c:v>0.74258970300151861</c:v>
                </c:pt>
                <c:pt idx="380">
                  <c:v>-1.0639613519924846</c:v>
                </c:pt>
                <c:pt idx="381">
                  <c:v>3.2394353065249786</c:v>
                </c:pt>
                <c:pt idx="382">
                  <c:v>-1.4339281629923626</c:v>
                </c:pt>
                <c:pt idx="383">
                  <c:v>-2.2366030601609661</c:v>
                </c:pt>
                <c:pt idx="384">
                  <c:v>3.0723966658172362E-2</c:v>
                </c:pt>
                <c:pt idx="385">
                  <c:v>1.482908951694333</c:v>
                </c:pt>
                <c:pt idx="386">
                  <c:v>-0.49892317917099432</c:v>
                </c:pt>
                <c:pt idx="387">
                  <c:v>-0.78933938116930435</c:v>
                </c:pt>
                <c:pt idx="388">
                  <c:v>2.9429591190884881</c:v>
                </c:pt>
                <c:pt idx="389">
                  <c:v>2.781136326470084E-2</c:v>
                </c:pt>
                <c:pt idx="390">
                  <c:v>-0.77256397256164122</c:v>
                </c:pt>
                <c:pt idx="391">
                  <c:v>0.39947920216775701</c:v>
                </c:pt>
              </c:numCache>
            </c:numRef>
          </c:yVal>
          <c:smooth val="0"/>
          <c:extLst>
            <c:ext xmlns:c16="http://schemas.microsoft.com/office/drawing/2014/chart" uri="{C3380CC4-5D6E-409C-BE32-E72D297353CC}">
              <c16:uniqueId val="{00000001-0377-4E0B-BB80-BD00FCDF2912}"/>
            </c:ext>
          </c:extLst>
        </c:ser>
        <c:dLbls>
          <c:showLegendKey val="0"/>
          <c:showVal val="0"/>
          <c:showCatName val="0"/>
          <c:showSerName val="0"/>
          <c:showPercent val="0"/>
          <c:showBubbleSize val="0"/>
        </c:dLbls>
        <c:axId val="1291637264"/>
        <c:axId val="1291635824"/>
      </c:scatterChart>
      <c:valAx>
        <c:axId val="1291637264"/>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291635824"/>
        <c:crosses val="autoZero"/>
        <c:crossBetween val="midCat"/>
      </c:valAx>
      <c:valAx>
        <c:axId val="1291635824"/>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2916372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392"/>
                <c:pt idx="0">
                  <c:v>1.2100080743820438</c:v>
                </c:pt>
                <c:pt idx="1">
                  <c:v>-0.32489208383555762</c:v>
                </c:pt>
                <c:pt idx="2">
                  <c:v>1.1838129027934601</c:v>
                </c:pt>
                <c:pt idx="3">
                  <c:v>-0.90544185234696473</c:v>
                </c:pt>
                <c:pt idx="4">
                  <c:v>4.7022267319597577E-2</c:v>
                </c:pt>
                <c:pt idx="5">
                  <c:v>3.6510860999541257</c:v>
                </c:pt>
                <c:pt idx="6">
                  <c:v>3.0825035334412481</c:v>
                </c:pt>
                <c:pt idx="7">
                  <c:v>2.7655349161426095</c:v>
                </c:pt>
                <c:pt idx="8">
                  <c:v>3.5552594595502436</c:v>
                </c:pt>
                <c:pt idx="9">
                  <c:v>0.92577038537476919</c:v>
                </c:pt>
                <c:pt idx="10">
                  <c:v>-0.92509290975654135</c:v>
                </c:pt>
                <c:pt idx="11">
                  <c:v>-1.8865804352483648</c:v>
                </c:pt>
                <c:pt idx="12">
                  <c:v>-0.22070482827052992</c:v>
                </c:pt>
                <c:pt idx="13">
                  <c:v>-3.8435111730357598</c:v>
                </c:pt>
                <c:pt idx="14">
                  <c:v>-1.2681887958396509</c:v>
                </c:pt>
                <c:pt idx="15">
                  <c:v>1.2569745440661129</c:v>
                </c:pt>
                <c:pt idx="16">
                  <c:v>-3.2218584921045945</c:v>
                </c:pt>
                <c:pt idx="17">
                  <c:v>-1.278685495211731</c:v>
                </c:pt>
                <c:pt idx="18">
                  <c:v>0.48949425015705561</c:v>
                </c:pt>
                <c:pt idx="19">
                  <c:v>-2.7805355040656736</c:v>
                </c:pt>
                <c:pt idx="20">
                  <c:v>1.3926195562011578</c:v>
                </c:pt>
                <c:pt idx="21">
                  <c:v>-0.91096744764447557</c:v>
                </c:pt>
                <c:pt idx="22">
                  <c:v>-6.4479519027655127E-2</c:v>
                </c:pt>
                <c:pt idx="23">
                  <c:v>0.54391555439414818</c:v>
                </c:pt>
                <c:pt idx="24">
                  <c:v>-0.86512031043827142</c:v>
                </c:pt>
                <c:pt idx="25">
                  <c:v>0.17482390168274384</c:v>
                </c:pt>
                <c:pt idx="26">
                  <c:v>-1.3417394580617572</c:v>
                </c:pt>
                <c:pt idx="27">
                  <c:v>-9.8463446569464735E-2</c:v>
                </c:pt>
                <c:pt idx="28">
                  <c:v>-0.62519117226831977</c:v>
                </c:pt>
                <c:pt idx="29">
                  <c:v>-0.47165320666571647</c:v>
                </c:pt>
                <c:pt idx="30">
                  <c:v>3.4866006087113623</c:v>
                </c:pt>
                <c:pt idx="31">
                  <c:v>-1.9366264344286339</c:v>
                </c:pt>
                <c:pt idx="32">
                  <c:v>-3.8004614734856697</c:v>
                </c:pt>
                <c:pt idx="33">
                  <c:v>-2.5895671975627073</c:v>
                </c:pt>
                <c:pt idx="34">
                  <c:v>-2.2127516260067042</c:v>
                </c:pt>
                <c:pt idx="35">
                  <c:v>-0.47544838041367127</c:v>
                </c:pt>
                <c:pt idx="36">
                  <c:v>-1.3858169387055779</c:v>
                </c:pt>
                <c:pt idx="37">
                  <c:v>0.40721235819677037</c:v>
                </c:pt>
                <c:pt idx="38">
                  <c:v>1.9358094307204665</c:v>
                </c:pt>
                <c:pt idx="39">
                  <c:v>-8.8147279458059918E-2</c:v>
                </c:pt>
                <c:pt idx="40">
                  <c:v>-0.4454535660336465</c:v>
                </c:pt>
                <c:pt idx="41">
                  <c:v>2.5494811913343622</c:v>
                </c:pt>
                <c:pt idx="42">
                  <c:v>2.306306457858263</c:v>
                </c:pt>
                <c:pt idx="43">
                  <c:v>4.5379009999192963</c:v>
                </c:pt>
                <c:pt idx="44">
                  <c:v>-2.9334430184822149</c:v>
                </c:pt>
                <c:pt idx="45">
                  <c:v>-2.344134656154615</c:v>
                </c:pt>
                <c:pt idx="46">
                  <c:v>-0.37528987456563562</c:v>
                </c:pt>
                <c:pt idx="47">
                  <c:v>-2.3813128863916133</c:v>
                </c:pt>
                <c:pt idx="48">
                  <c:v>-2.0614989501083483</c:v>
                </c:pt>
                <c:pt idx="49">
                  <c:v>0.70984418335592858</c:v>
                </c:pt>
                <c:pt idx="50">
                  <c:v>2.2108771264682945</c:v>
                </c:pt>
                <c:pt idx="51">
                  <c:v>2.2670166529781306</c:v>
                </c:pt>
                <c:pt idx="52">
                  <c:v>1.4454739739280213</c:v>
                </c:pt>
                <c:pt idx="53">
                  <c:v>4.8862847209451834</c:v>
                </c:pt>
                <c:pt idx="54">
                  <c:v>-2.4046385400095205</c:v>
                </c:pt>
                <c:pt idx="55">
                  <c:v>-0.59616383164649944</c:v>
                </c:pt>
                <c:pt idx="56">
                  <c:v>-1.3956229739450776</c:v>
                </c:pt>
                <c:pt idx="57">
                  <c:v>0.75688330680052984</c:v>
                </c:pt>
                <c:pt idx="58">
                  <c:v>-3.1695718173709837</c:v>
                </c:pt>
                <c:pt idx="59">
                  <c:v>-2.8217850869349226</c:v>
                </c:pt>
                <c:pt idx="60">
                  <c:v>-2.8169852988999744</c:v>
                </c:pt>
                <c:pt idx="61">
                  <c:v>1.0155990074407435</c:v>
                </c:pt>
                <c:pt idx="62">
                  <c:v>2.819020541409297</c:v>
                </c:pt>
                <c:pt idx="63">
                  <c:v>2.1096679502107949</c:v>
                </c:pt>
                <c:pt idx="64">
                  <c:v>1.0878424613700093</c:v>
                </c:pt>
                <c:pt idx="65">
                  <c:v>1.7515965712486719</c:v>
                </c:pt>
                <c:pt idx="66">
                  <c:v>1.5794185331376021</c:v>
                </c:pt>
                <c:pt idx="67">
                  <c:v>2.0565911381379207</c:v>
                </c:pt>
                <c:pt idx="68">
                  <c:v>0.85062266962688249</c:v>
                </c:pt>
                <c:pt idx="69">
                  <c:v>2.2371338570248875</c:v>
                </c:pt>
                <c:pt idx="70">
                  <c:v>-6.336632574893744</c:v>
                </c:pt>
                <c:pt idx="71">
                  <c:v>0.82827295742581797</c:v>
                </c:pt>
                <c:pt idx="72">
                  <c:v>-0.50697597722031129</c:v>
                </c:pt>
                <c:pt idx="73">
                  <c:v>0.70045057104628083</c:v>
                </c:pt>
                <c:pt idx="74">
                  <c:v>0.76290909995306022</c:v>
                </c:pt>
                <c:pt idx="75">
                  <c:v>-3.7996929781103761</c:v>
                </c:pt>
                <c:pt idx="76">
                  <c:v>-2.4580357345029671</c:v>
                </c:pt>
                <c:pt idx="77">
                  <c:v>-0.83091410409803512</c:v>
                </c:pt>
                <c:pt idx="78">
                  <c:v>-8.3433130402052719E-2</c:v>
                </c:pt>
                <c:pt idx="79">
                  <c:v>-0.86215800200214221</c:v>
                </c:pt>
                <c:pt idx="80">
                  <c:v>2.8080925597340181</c:v>
                </c:pt>
                <c:pt idx="81">
                  <c:v>-1.1985802970076465</c:v>
                </c:pt>
                <c:pt idx="82">
                  <c:v>4.1173305504062085</c:v>
                </c:pt>
                <c:pt idx="83">
                  <c:v>0.69039721364846696</c:v>
                </c:pt>
                <c:pt idx="84">
                  <c:v>0.63546285600237218</c:v>
                </c:pt>
                <c:pt idx="85">
                  <c:v>-0.98352170838507613</c:v>
                </c:pt>
                <c:pt idx="86">
                  <c:v>-0.45024690165597342</c:v>
                </c:pt>
                <c:pt idx="87">
                  <c:v>0.72673005321321626</c:v>
                </c:pt>
                <c:pt idx="88">
                  <c:v>0.59027642448547857</c:v>
                </c:pt>
                <c:pt idx="89">
                  <c:v>4.468314070755838</c:v>
                </c:pt>
                <c:pt idx="90">
                  <c:v>2.1242050518669156</c:v>
                </c:pt>
                <c:pt idx="91">
                  <c:v>1.7222965332401785</c:v>
                </c:pt>
                <c:pt idx="92">
                  <c:v>1.9606599591133218</c:v>
                </c:pt>
                <c:pt idx="93">
                  <c:v>4.6897621797464435</c:v>
                </c:pt>
                <c:pt idx="94">
                  <c:v>4.9804447402668108</c:v>
                </c:pt>
                <c:pt idx="95">
                  <c:v>-0.82516389872297458</c:v>
                </c:pt>
                <c:pt idx="96">
                  <c:v>-0.49210123346205142</c:v>
                </c:pt>
                <c:pt idx="97">
                  <c:v>-1.823402951752368</c:v>
                </c:pt>
                <c:pt idx="98">
                  <c:v>-1.4958182409210292</c:v>
                </c:pt>
                <c:pt idx="99">
                  <c:v>-1.3062785840346252</c:v>
                </c:pt>
                <c:pt idx="100">
                  <c:v>3.369388236161452</c:v>
                </c:pt>
                <c:pt idx="101">
                  <c:v>-1.3686106991324332</c:v>
                </c:pt>
                <c:pt idx="102">
                  <c:v>2.9030964503735817</c:v>
                </c:pt>
                <c:pt idx="103">
                  <c:v>3.7117025261796162</c:v>
                </c:pt>
                <c:pt idx="104">
                  <c:v>3.4513085341038043</c:v>
                </c:pt>
                <c:pt idx="105">
                  <c:v>1.7721659628268265</c:v>
                </c:pt>
                <c:pt idx="106">
                  <c:v>-2.3122537497053934</c:v>
                </c:pt>
                <c:pt idx="107">
                  <c:v>-5.2910940882228843</c:v>
                </c:pt>
                <c:pt idx="108">
                  <c:v>-1.7277653817936316</c:v>
                </c:pt>
                <c:pt idx="109">
                  <c:v>-2.5756585438355857</c:v>
                </c:pt>
                <c:pt idx="110">
                  <c:v>-8.1630261181215609</c:v>
                </c:pt>
                <c:pt idx="111">
                  <c:v>-4.0630553801187883</c:v>
                </c:pt>
                <c:pt idx="112">
                  <c:v>-0.75919478577024446</c:v>
                </c:pt>
                <c:pt idx="113">
                  <c:v>1.0479758251353011</c:v>
                </c:pt>
                <c:pt idx="114">
                  <c:v>2.096283433312172</c:v>
                </c:pt>
                <c:pt idx="115">
                  <c:v>5.8283241238228989</c:v>
                </c:pt>
                <c:pt idx="116">
                  <c:v>1.3904028932765085</c:v>
                </c:pt>
                <c:pt idx="117">
                  <c:v>-1.8526074987725742</c:v>
                </c:pt>
                <c:pt idx="118">
                  <c:v>-3.5052641654598364</c:v>
                </c:pt>
                <c:pt idx="119">
                  <c:v>-2.6844937790394372</c:v>
                </c:pt>
                <c:pt idx="120">
                  <c:v>-1.3816443675927468</c:v>
                </c:pt>
                <c:pt idx="121">
                  <c:v>1.3850808334828915</c:v>
                </c:pt>
                <c:pt idx="122">
                  <c:v>-1.9279677743484762</c:v>
                </c:pt>
                <c:pt idx="123">
                  <c:v>-3.6640805120294702</c:v>
                </c:pt>
                <c:pt idx="124">
                  <c:v>-0.73061406659338524</c:v>
                </c:pt>
                <c:pt idx="125">
                  <c:v>-2.7540688042828081</c:v>
                </c:pt>
                <c:pt idx="126">
                  <c:v>-4.6282218606746213</c:v>
                </c:pt>
                <c:pt idx="127">
                  <c:v>2.0542269352690301</c:v>
                </c:pt>
                <c:pt idx="128">
                  <c:v>1.8451312705276162</c:v>
                </c:pt>
                <c:pt idx="129">
                  <c:v>2.4666817265611751</c:v>
                </c:pt>
                <c:pt idx="130">
                  <c:v>1.1936023696485396</c:v>
                </c:pt>
                <c:pt idx="131">
                  <c:v>-1.2420582720429392</c:v>
                </c:pt>
                <c:pt idx="132">
                  <c:v>-1.8522149305868523</c:v>
                </c:pt>
                <c:pt idx="133">
                  <c:v>5.1822657021996954E-2</c:v>
                </c:pt>
                <c:pt idx="134">
                  <c:v>1.3521723406279569</c:v>
                </c:pt>
                <c:pt idx="135">
                  <c:v>1.3520012393499123</c:v>
                </c:pt>
                <c:pt idx="136">
                  <c:v>1.107854857928066</c:v>
                </c:pt>
                <c:pt idx="137">
                  <c:v>1.9136039570416161</c:v>
                </c:pt>
                <c:pt idx="138">
                  <c:v>4.2965037548334264E-2</c:v>
                </c:pt>
                <c:pt idx="139">
                  <c:v>1.7894221143617004</c:v>
                </c:pt>
                <c:pt idx="140">
                  <c:v>-3.014966375713156</c:v>
                </c:pt>
                <c:pt idx="141">
                  <c:v>-1.0262533009321322</c:v>
                </c:pt>
                <c:pt idx="142">
                  <c:v>0.19477747790765451</c:v>
                </c:pt>
                <c:pt idx="143">
                  <c:v>3.2870477500707649</c:v>
                </c:pt>
                <c:pt idx="144">
                  <c:v>2.1383764804257579</c:v>
                </c:pt>
                <c:pt idx="145">
                  <c:v>-4.2121421627966393</c:v>
                </c:pt>
                <c:pt idx="146">
                  <c:v>-1.3652393358501107</c:v>
                </c:pt>
                <c:pt idx="147">
                  <c:v>-1.9281175847124778</c:v>
                </c:pt>
                <c:pt idx="148">
                  <c:v>-0.41321213148809277</c:v>
                </c:pt>
                <c:pt idx="149">
                  <c:v>2.4525436245562053</c:v>
                </c:pt>
                <c:pt idx="150">
                  <c:v>-0.27108495279249223</c:v>
                </c:pt>
                <c:pt idx="151">
                  <c:v>-0.11574054079709488</c:v>
                </c:pt>
                <c:pt idx="152">
                  <c:v>-3.9769539560774163</c:v>
                </c:pt>
                <c:pt idx="153">
                  <c:v>-5.4019784101142578</c:v>
                </c:pt>
                <c:pt idx="154">
                  <c:v>5.3029050445110597</c:v>
                </c:pt>
                <c:pt idx="155">
                  <c:v>2.6100528576220703</c:v>
                </c:pt>
                <c:pt idx="156">
                  <c:v>4.0451709012266592</c:v>
                </c:pt>
                <c:pt idx="157">
                  <c:v>2.7736878360180524</c:v>
                </c:pt>
                <c:pt idx="158">
                  <c:v>1.2878304114215113</c:v>
                </c:pt>
                <c:pt idx="159">
                  <c:v>0.11052588385341511</c:v>
                </c:pt>
                <c:pt idx="160">
                  <c:v>-1.7206569568704999</c:v>
                </c:pt>
                <c:pt idx="161">
                  <c:v>1.4382523683020747</c:v>
                </c:pt>
                <c:pt idx="162">
                  <c:v>0.87644184931180591</c:v>
                </c:pt>
                <c:pt idx="163">
                  <c:v>0.79284872663206629</c:v>
                </c:pt>
                <c:pt idx="164">
                  <c:v>-6.4723482283894116</c:v>
                </c:pt>
                <c:pt idx="165">
                  <c:v>1.90984006884239</c:v>
                </c:pt>
                <c:pt idx="166">
                  <c:v>0.39481358273116629</c:v>
                </c:pt>
                <c:pt idx="167">
                  <c:v>-0.989830570359571</c:v>
                </c:pt>
                <c:pt idx="168">
                  <c:v>6.2540965469571427E-2</c:v>
                </c:pt>
                <c:pt idx="169">
                  <c:v>-0.15812276956041443</c:v>
                </c:pt>
                <c:pt idx="170">
                  <c:v>-1.9504859422695788</c:v>
                </c:pt>
                <c:pt idx="171">
                  <c:v>-0.97615734869186344</c:v>
                </c:pt>
                <c:pt idx="172">
                  <c:v>-2.7471475923583948</c:v>
                </c:pt>
                <c:pt idx="173">
                  <c:v>0.71178642650447477</c:v>
                </c:pt>
                <c:pt idx="174">
                  <c:v>-0.63407125485399651</c:v>
                </c:pt>
                <c:pt idx="175">
                  <c:v>-1.1391919581707672</c:v>
                </c:pt>
                <c:pt idx="176">
                  <c:v>0.13896135696869913</c:v>
                </c:pt>
                <c:pt idx="177">
                  <c:v>-0.80329153237382334</c:v>
                </c:pt>
                <c:pt idx="178">
                  <c:v>1.1908259504853984</c:v>
                </c:pt>
                <c:pt idx="179">
                  <c:v>3.7435292160505758</c:v>
                </c:pt>
                <c:pt idx="180">
                  <c:v>1.9072839775669417</c:v>
                </c:pt>
                <c:pt idx="181">
                  <c:v>-2.5984861636940297</c:v>
                </c:pt>
                <c:pt idx="182">
                  <c:v>1.464855927285923</c:v>
                </c:pt>
                <c:pt idx="183">
                  <c:v>0.62006006597622276</c:v>
                </c:pt>
                <c:pt idx="184">
                  <c:v>-0.57133516980661769</c:v>
                </c:pt>
                <c:pt idx="185">
                  <c:v>3.1187392629080959</c:v>
                </c:pt>
                <c:pt idx="186">
                  <c:v>1.6015210375266666</c:v>
                </c:pt>
                <c:pt idx="187">
                  <c:v>-0.61781135510291629</c:v>
                </c:pt>
                <c:pt idx="188">
                  <c:v>0.21175314390591801</c:v>
                </c:pt>
                <c:pt idx="189">
                  <c:v>1.9493670839118078</c:v>
                </c:pt>
                <c:pt idx="190">
                  <c:v>2.6599418172327756</c:v>
                </c:pt>
                <c:pt idx="191">
                  <c:v>2.5489444075794121</c:v>
                </c:pt>
                <c:pt idx="192">
                  <c:v>1.5260867965339415</c:v>
                </c:pt>
                <c:pt idx="193">
                  <c:v>2.1363612293758742</c:v>
                </c:pt>
                <c:pt idx="194">
                  <c:v>-1.7465783067471083</c:v>
                </c:pt>
                <c:pt idx="195">
                  <c:v>-0.10392097432114804</c:v>
                </c:pt>
                <c:pt idx="196">
                  <c:v>2.9169102071070339</c:v>
                </c:pt>
                <c:pt idx="197">
                  <c:v>2.0791510168267773</c:v>
                </c:pt>
                <c:pt idx="198">
                  <c:v>-0.77986999604669482</c:v>
                </c:pt>
                <c:pt idx="199">
                  <c:v>0.65768990736195021</c:v>
                </c:pt>
                <c:pt idx="200">
                  <c:v>-2.9924598435242666</c:v>
                </c:pt>
                <c:pt idx="201">
                  <c:v>-0.15753318035327213</c:v>
                </c:pt>
                <c:pt idx="202">
                  <c:v>3.1873971558185135</c:v>
                </c:pt>
                <c:pt idx="203">
                  <c:v>-3.7995567392888153E-2</c:v>
                </c:pt>
                <c:pt idx="204">
                  <c:v>2.6472303005616276</c:v>
                </c:pt>
                <c:pt idx="205">
                  <c:v>-2.547650921488096</c:v>
                </c:pt>
                <c:pt idx="206">
                  <c:v>-2.8204289808416183</c:v>
                </c:pt>
                <c:pt idx="207">
                  <c:v>-3.2099960765935545</c:v>
                </c:pt>
                <c:pt idx="208">
                  <c:v>-4.7926357388214011</c:v>
                </c:pt>
                <c:pt idx="209">
                  <c:v>-2.377280671107092</c:v>
                </c:pt>
                <c:pt idx="210">
                  <c:v>3.6603805715581514</c:v>
                </c:pt>
                <c:pt idx="211">
                  <c:v>-2.2977495348791437</c:v>
                </c:pt>
                <c:pt idx="212">
                  <c:v>-3.5131232318501628</c:v>
                </c:pt>
                <c:pt idx="213">
                  <c:v>-3.7984357217959559</c:v>
                </c:pt>
                <c:pt idx="214">
                  <c:v>1.4272391744059372</c:v>
                </c:pt>
                <c:pt idx="215">
                  <c:v>2.8031429588783507</c:v>
                </c:pt>
                <c:pt idx="216">
                  <c:v>4.9588651964746262</c:v>
                </c:pt>
                <c:pt idx="217">
                  <c:v>-0.87692201307328443</c:v>
                </c:pt>
                <c:pt idx="218">
                  <c:v>3.0291585518993474</c:v>
                </c:pt>
                <c:pt idx="219">
                  <c:v>-4.0961724283076116E-2</c:v>
                </c:pt>
                <c:pt idx="220">
                  <c:v>-0.20684911065557746</c:v>
                </c:pt>
                <c:pt idx="221">
                  <c:v>-0.75390821236976013</c:v>
                </c:pt>
                <c:pt idx="222">
                  <c:v>-0.71584276694593196</c:v>
                </c:pt>
                <c:pt idx="223">
                  <c:v>-2.5293347896056928</c:v>
                </c:pt>
                <c:pt idx="224">
                  <c:v>7.6995335175618082E-3</c:v>
                </c:pt>
                <c:pt idx="225">
                  <c:v>-0.56103521930778322</c:v>
                </c:pt>
                <c:pt idx="226">
                  <c:v>-1.672961799882174</c:v>
                </c:pt>
                <c:pt idx="227">
                  <c:v>0.7904400860767099</c:v>
                </c:pt>
                <c:pt idx="228">
                  <c:v>-0.19957722463211716</c:v>
                </c:pt>
                <c:pt idx="229">
                  <c:v>1.0000607793284515</c:v>
                </c:pt>
                <c:pt idx="230">
                  <c:v>0.86719232395786683</c:v>
                </c:pt>
                <c:pt idx="231">
                  <c:v>-1.4655317270080654</c:v>
                </c:pt>
                <c:pt idx="232">
                  <c:v>0.27395379837911632</c:v>
                </c:pt>
                <c:pt idx="233">
                  <c:v>-3.0578978784161723</c:v>
                </c:pt>
                <c:pt idx="234">
                  <c:v>1.4113508763323765</c:v>
                </c:pt>
                <c:pt idx="235">
                  <c:v>2.4883977288064179</c:v>
                </c:pt>
                <c:pt idx="236">
                  <c:v>6.1190715761600609</c:v>
                </c:pt>
                <c:pt idx="237">
                  <c:v>-0.4837323155909769</c:v>
                </c:pt>
                <c:pt idx="238">
                  <c:v>1.4500384772618966</c:v>
                </c:pt>
                <c:pt idx="239">
                  <c:v>-3.9643599743230626</c:v>
                </c:pt>
                <c:pt idx="240">
                  <c:v>-5.3155956956869108</c:v>
                </c:pt>
                <c:pt idx="241">
                  <c:v>-4.7712556127595303</c:v>
                </c:pt>
                <c:pt idx="242">
                  <c:v>13.172969859036932</c:v>
                </c:pt>
                <c:pt idx="243">
                  <c:v>7.2107389430349329</c:v>
                </c:pt>
                <c:pt idx="244">
                  <c:v>2.3466857362476885</c:v>
                </c:pt>
                <c:pt idx="245">
                  <c:v>9.9554372747366315</c:v>
                </c:pt>
                <c:pt idx="246">
                  <c:v>4.9352531059743807</c:v>
                </c:pt>
                <c:pt idx="247">
                  <c:v>-0.68587551764978061</c:v>
                </c:pt>
                <c:pt idx="248">
                  <c:v>1.2345601813654961</c:v>
                </c:pt>
                <c:pt idx="249">
                  <c:v>1.1815761705870858</c:v>
                </c:pt>
                <c:pt idx="250">
                  <c:v>-0.60585800295101178</c:v>
                </c:pt>
                <c:pt idx="251">
                  <c:v>-1.4167404873075831</c:v>
                </c:pt>
                <c:pt idx="252">
                  <c:v>-2.8913596010713132</c:v>
                </c:pt>
                <c:pt idx="253">
                  <c:v>0.94148563341357638</c:v>
                </c:pt>
                <c:pt idx="254">
                  <c:v>0.10506983571430212</c:v>
                </c:pt>
                <c:pt idx="255">
                  <c:v>-2.3545810557722016</c:v>
                </c:pt>
                <c:pt idx="256">
                  <c:v>3.052330271299571E-2</c:v>
                </c:pt>
                <c:pt idx="257">
                  <c:v>-1.7233260700818205</c:v>
                </c:pt>
                <c:pt idx="258">
                  <c:v>-0.69717173920131104</c:v>
                </c:pt>
                <c:pt idx="259">
                  <c:v>-2.1386075346668387</c:v>
                </c:pt>
                <c:pt idx="260">
                  <c:v>-0.51156090106779017</c:v>
                </c:pt>
                <c:pt idx="261">
                  <c:v>-1.6479969729567365</c:v>
                </c:pt>
                <c:pt idx="262">
                  <c:v>-2.9125137222361288</c:v>
                </c:pt>
                <c:pt idx="263">
                  <c:v>1.0789444422452377</c:v>
                </c:pt>
                <c:pt idx="264">
                  <c:v>2.7279332663852509</c:v>
                </c:pt>
                <c:pt idx="265">
                  <c:v>0.57796223623426646</c:v>
                </c:pt>
                <c:pt idx="266">
                  <c:v>-1.0711803357534062</c:v>
                </c:pt>
                <c:pt idx="267">
                  <c:v>4.1706195347204753</c:v>
                </c:pt>
                <c:pt idx="268">
                  <c:v>-6.3186671786628619</c:v>
                </c:pt>
                <c:pt idx="269">
                  <c:v>-0.60529074787668646</c:v>
                </c:pt>
                <c:pt idx="270">
                  <c:v>0.25478709625109125</c:v>
                </c:pt>
                <c:pt idx="271">
                  <c:v>-3.951736885447231</c:v>
                </c:pt>
                <c:pt idx="272">
                  <c:v>-5.24991006553915</c:v>
                </c:pt>
                <c:pt idx="273">
                  <c:v>-6.7203198918386846</c:v>
                </c:pt>
                <c:pt idx="274">
                  <c:v>-3.8872190534951416</c:v>
                </c:pt>
                <c:pt idx="275">
                  <c:v>-6.0047147778711674</c:v>
                </c:pt>
                <c:pt idx="276">
                  <c:v>1.4623181250331556</c:v>
                </c:pt>
                <c:pt idx="277">
                  <c:v>-3.6378396493163552E-2</c:v>
                </c:pt>
                <c:pt idx="278">
                  <c:v>-2.0730944715248216</c:v>
                </c:pt>
                <c:pt idx="279">
                  <c:v>-5.689215893688961</c:v>
                </c:pt>
                <c:pt idx="280">
                  <c:v>-3.5647066647545076</c:v>
                </c:pt>
                <c:pt idx="281">
                  <c:v>-3.7480812959207177</c:v>
                </c:pt>
                <c:pt idx="282">
                  <c:v>-2.4857703157514104</c:v>
                </c:pt>
                <c:pt idx="283">
                  <c:v>-3.3684781400953314</c:v>
                </c:pt>
                <c:pt idx="284">
                  <c:v>-3.3645063076537625</c:v>
                </c:pt>
                <c:pt idx="285">
                  <c:v>-3.1514032711481996</c:v>
                </c:pt>
                <c:pt idx="286">
                  <c:v>-2.0907170773706674</c:v>
                </c:pt>
                <c:pt idx="287">
                  <c:v>-0.31809050204316169</c:v>
                </c:pt>
                <c:pt idx="288">
                  <c:v>-3.6059485901935107</c:v>
                </c:pt>
                <c:pt idx="289">
                  <c:v>-2.4004925965185979</c:v>
                </c:pt>
                <c:pt idx="290">
                  <c:v>-0.95048942458634067</c:v>
                </c:pt>
                <c:pt idx="291">
                  <c:v>-0.98605639233943487</c:v>
                </c:pt>
                <c:pt idx="292">
                  <c:v>1.3670037188506494</c:v>
                </c:pt>
                <c:pt idx="293">
                  <c:v>5.1633697821778402</c:v>
                </c:pt>
                <c:pt idx="294">
                  <c:v>0.43724928051441825</c:v>
                </c:pt>
                <c:pt idx="295">
                  <c:v>0.851394343150218</c:v>
                </c:pt>
                <c:pt idx="296">
                  <c:v>3.0977812961657061</c:v>
                </c:pt>
                <c:pt idx="297">
                  <c:v>0.82250204422445117</c:v>
                </c:pt>
                <c:pt idx="298">
                  <c:v>0.91834854443439884</c:v>
                </c:pt>
                <c:pt idx="299">
                  <c:v>4.8845313729495397</c:v>
                </c:pt>
                <c:pt idx="300">
                  <c:v>4.9374865969260453</c:v>
                </c:pt>
                <c:pt idx="301">
                  <c:v>-0.81475612395878372</c:v>
                </c:pt>
                <c:pt idx="302">
                  <c:v>5.7507449438926157</c:v>
                </c:pt>
                <c:pt idx="303">
                  <c:v>1.6446400365817351</c:v>
                </c:pt>
                <c:pt idx="304">
                  <c:v>2.109571687744789</c:v>
                </c:pt>
                <c:pt idx="305">
                  <c:v>0.56613825389506667</c:v>
                </c:pt>
                <c:pt idx="306">
                  <c:v>6.3524807998872364</c:v>
                </c:pt>
                <c:pt idx="307">
                  <c:v>6.0984026302550962</c:v>
                </c:pt>
                <c:pt idx="308">
                  <c:v>1.1706714109260627</c:v>
                </c:pt>
                <c:pt idx="309">
                  <c:v>-1.9927384262907486</c:v>
                </c:pt>
                <c:pt idx="310">
                  <c:v>0.5848636021687651</c:v>
                </c:pt>
                <c:pt idx="311">
                  <c:v>-2.976726537089073</c:v>
                </c:pt>
                <c:pt idx="312">
                  <c:v>-3.6633814291028028</c:v>
                </c:pt>
                <c:pt idx="313">
                  <c:v>-5.1220048439410162</c:v>
                </c:pt>
                <c:pt idx="314">
                  <c:v>-8.591641151691249</c:v>
                </c:pt>
                <c:pt idx="315">
                  <c:v>-1.2118597417157555</c:v>
                </c:pt>
                <c:pt idx="316">
                  <c:v>-3.0655192197449437</c:v>
                </c:pt>
                <c:pt idx="317">
                  <c:v>-2.6467931870703998</c:v>
                </c:pt>
                <c:pt idx="318">
                  <c:v>3.0319775373322515</c:v>
                </c:pt>
                <c:pt idx="319">
                  <c:v>-3.1661013760358392</c:v>
                </c:pt>
                <c:pt idx="320">
                  <c:v>10.883810167287482</c:v>
                </c:pt>
                <c:pt idx="321">
                  <c:v>-2.1820627918095523</c:v>
                </c:pt>
                <c:pt idx="322">
                  <c:v>4.8260964571069032</c:v>
                </c:pt>
                <c:pt idx="323">
                  <c:v>8.2450623796628069</c:v>
                </c:pt>
                <c:pt idx="324">
                  <c:v>8.6539501266128589</c:v>
                </c:pt>
                <c:pt idx="325">
                  <c:v>4.905927433975827</c:v>
                </c:pt>
                <c:pt idx="326">
                  <c:v>-0.27056580601216901</c:v>
                </c:pt>
                <c:pt idx="327">
                  <c:v>7.461302645924798</c:v>
                </c:pt>
                <c:pt idx="328">
                  <c:v>-2.2657409064896892</c:v>
                </c:pt>
                <c:pt idx="329">
                  <c:v>-8.0533902446309327</c:v>
                </c:pt>
                <c:pt idx="330">
                  <c:v>1.7563955555362059</c:v>
                </c:pt>
                <c:pt idx="331">
                  <c:v>-10.838973454580943</c:v>
                </c:pt>
                <c:pt idx="332">
                  <c:v>1.3585205064989019</c:v>
                </c:pt>
                <c:pt idx="333">
                  <c:v>-2.876626947862059</c:v>
                </c:pt>
                <c:pt idx="334">
                  <c:v>-2.1418096775819753</c:v>
                </c:pt>
                <c:pt idx="335">
                  <c:v>-1.9984934632617499</c:v>
                </c:pt>
                <c:pt idx="336">
                  <c:v>-2.7800551187514939</c:v>
                </c:pt>
                <c:pt idx="337">
                  <c:v>-4.3410279640583607</c:v>
                </c:pt>
                <c:pt idx="338">
                  <c:v>0.22788351573076968</c:v>
                </c:pt>
                <c:pt idx="339">
                  <c:v>3.8054728687064672</c:v>
                </c:pt>
                <c:pt idx="340">
                  <c:v>6.6445311301547934</c:v>
                </c:pt>
                <c:pt idx="341">
                  <c:v>-0.30938040590443527</c:v>
                </c:pt>
                <c:pt idx="342">
                  <c:v>-1.5006308250466132</c:v>
                </c:pt>
                <c:pt idx="343">
                  <c:v>2.8933611436410236</c:v>
                </c:pt>
                <c:pt idx="344">
                  <c:v>3.9702608972363729</c:v>
                </c:pt>
                <c:pt idx="345">
                  <c:v>-2.8426223274991645E-2</c:v>
                </c:pt>
                <c:pt idx="346">
                  <c:v>3.8893503903662641</c:v>
                </c:pt>
                <c:pt idx="347">
                  <c:v>2.7151066973755134</c:v>
                </c:pt>
                <c:pt idx="348">
                  <c:v>-0.22578160987867821</c:v>
                </c:pt>
                <c:pt idx="349">
                  <c:v>0.13728101479455973</c:v>
                </c:pt>
                <c:pt idx="350">
                  <c:v>0.86152239613964365</c:v>
                </c:pt>
                <c:pt idx="351">
                  <c:v>0.24485782917570523</c:v>
                </c:pt>
                <c:pt idx="352">
                  <c:v>2.5981412397478789</c:v>
                </c:pt>
                <c:pt idx="353">
                  <c:v>0.90304962182471338</c:v>
                </c:pt>
                <c:pt idx="354">
                  <c:v>0.63376882204497342</c:v>
                </c:pt>
                <c:pt idx="355">
                  <c:v>2.9617001560079603</c:v>
                </c:pt>
                <c:pt idx="356">
                  <c:v>-3.4839809548703582</c:v>
                </c:pt>
                <c:pt idx="357">
                  <c:v>-4.5233060154576235</c:v>
                </c:pt>
                <c:pt idx="358">
                  <c:v>-1.8185005649100394</c:v>
                </c:pt>
                <c:pt idx="359">
                  <c:v>4.1316504383413974</c:v>
                </c:pt>
                <c:pt idx="360">
                  <c:v>-6.358095931602012</c:v>
                </c:pt>
                <c:pt idx="361">
                  <c:v>-7.0372864508557127</c:v>
                </c:pt>
                <c:pt idx="362">
                  <c:v>-2.366014027876763</c:v>
                </c:pt>
                <c:pt idx="363">
                  <c:v>-3.218739277762225</c:v>
                </c:pt>
                <c:pt idx="364">
                  <c:v>2.7582262206913315</c:v>
                </c:pt>
                <c:pt idx="365">
                  <c:v>0.53675917505934245</c:v>
                </c:pt>
                <c:pt idx="366">
                  <c:v>-1.8168501678208238</c:v>
                </c:pt>
                <c:pt idx="367">
                  <c:v>-2.6859160950119931</c:v>
                </c:pt>
                <c:pt idx="368">
                  <c:v>-5.0802234469046796</c:v>
                </c:pt>
                <c:pt idx="369">
                  <c:v>0.40931534136625308</c:v>
                </c:pt>
                <c:pt idx="370">
                  <c:v>1.4591095280309649</c:v>
                </c:pt>
                <c:pt idx="371">
                  <c:v>-5.0977117902675833</c:v>
                </c:pt>
                <c:pt idx="372">
                  <c:v>5.0769452576812029</c:v>
                </c:pt>
                <c:pt idx="373">
                  <c:v>3.1149854368554237</c:v>
                </c:pt>
                <c:pt idx="374">
                  <c:v>1.4700677352177169</c:v>
                </c:pt>
                <c:pt idx="375">
                  <c:v>1.4864872849135713</c:v>
                </c:pt>
                <c:pt idx="376">
                  <c:v>-0.47806161701037769</c:v>
                </c:pt>
                <c:pt idx="377">
                  <c:v>2.1687985727788273</c:v>
                </c:pt>
                <c:pt idx="378">
                  <c:v>-4.0969444301977695</c:v>
                </c:pt>
                <c:pt idx="379">
                  <c:v>2.3278005531407135</c:v>
                </c:pt>
                <c:pt idx="380">
                  <c:v>-3.3250079143703637</c:v>
                </c:pt>
                <c:pt idx="381">
                  <c:v>10.130652776239755</c:v>
                </c:pt>
                <c:pt idx="382">
                  <c:v>-4.4798809472729406</c:v>
                </c:pt>
                <c:pt idx="383">
                  <c:v>-6.9955997457344044</c:v>
                </c:pt>
                <c:pt idx="384">
                  <c:v>9.6543441758296406E-2</c:v>
                </c:pt>
                <c:pt idx="385">
                  <c:v>4.6351514576143771</c:v>
                </c:pt>
                <c:pt idx="386">
                  <c:v>-1.5587308909671302</c:v>
                </c:pt>
                <c:pt idx="387">
                  <c:v>-2.4655038674426057</c:v>
                </c:pt>
                <c:pt idx="388">
                  <c:v>9.2693183050970411</c:v>
                </c:pt>
                <c:pt idx="389">
                  <c:v>8.6973095300076186E-2</c:v>
                </c:pt>
                <c:pt idx="390">
                  <c:v>-2.4134903280417519</c:v>
                </c:pt>
                <c:pt idx="391">
                  <c:v>1.247924205674755</c:v>
                </c:pt>
              </c:numCache>
            </c:numRef>
          </c:val>
          <c:extLst>
            <c:ext xmlns:c16="http://schemas.microsoft.com/office/drawing/2014/chart" uri="{C3380CC4-5D6E-409C-BE32-E72D297353CC}">
              <c16:uniqueId val="{00000001-8F45-4141-A736-7D82D604C843}"/>
            </c:ext>
          </c:extLst>
        </c:ser>
        <c:dLbls>
          <c:showLegendKey val="0"/>
          <c:showVal val="0"/>
          <c:showCatName val="0"/>
          <c:showSerName val="0"/>
          <c:showPercent val="0"/>
          <c:showBubbleSize val="0"/>
        </c:dLbls>
        <c:gapWidth val="150"/>
        <c:axId val="1291634384"/>
        <c:axId val="1291622384"/>
      </c:barChart>
      <c:catAx>
        <c:axId val="129163438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291622384"/>
        <c:crosses val="autoZero"/>
        <c:auto val="1"/>
        <c:lblAlgn val="ctr"/>
        <c:lblOffset val="100"/>
        <c:noMultiLvlLbl val="0"/>
      </c:catAx>
      <c:valAx>
        <c:axId val="1291622384"/>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129163438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48</xdr:col>
      <xdr:colOff>0</xdr:colOff>
      <xdr:row>2</xdr:row>
      <xdr:rowOff>0</xdr:rowOff>
    </xdr:from>
    <xdr:to>
      <xdr:col>53</xdr:col>
      <xdr:colOff>450850</xdr:colOff>
      <xdr:row>22</xdr:row>
      <xdr:rowOff>127000</xdr:rowOff>
    </xdr:to>
    <xdr:graphicFrame macro="">
      <xdr:nvGraphicFramePr>
        <xdr:cNvPr id="9" name="Chart 8">
          <a:extLst>
            <a:ext uri="{FF2B5EF4-FFF2-40B4-BE49-F238E27FC236}">
              <a16:creationId xmlns:a16="http://schemas.microsoft.com/office/drawing/2014/main" id="{1C5EE157-AF8C-5FE3-98BB-C1EFF57AE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577850</xdr:colOff>
      <xdr:row>2</xdr:row>
      <xdr:rowOff>0</xdr:rowOff>
    </xdr:from>
    <xdr:to>
      <xdr:col>60</xdr:col>
      <xdr:colOff>247650</xdr:colOff>
      <xdr:row>22</xdr:row>
      <xdr:rowOff>127000</xdr:rowOff>
    </xdr:to>
    <xdr:graphicFrame macro="">
      <xdr:nvGraphicFramePr>
        <xdr:cNvPr id="10" name="Chart 9">
          <a:extLst>
            <a:ext uri="{FF2B5EF4-FFF2-40B4-BE49-F238E27FC236}">
              <a16:creationId xmlns:a16="http://schemas.microsoft.com/office/drawing/2014/main" id="{18FA39FA-1E8E-C774-E72A-D0A87A192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0</xdr:colOff>
      <xdr:row>23</xdr:row>
      <xdr:rowOff>63500</xdr:rowOff>
    </xdr:from>
    <xdr:to>
      <xdr:col>53</xdr:col>
      <xdr:colOff>450850</xdr:colOff>
      <xdr:row>44</xdr:row>
      <xdr:rowOff>0</xdr:rowOff>
    </xdr:to>
    <xdr:graphicFrame macro="">
      <xdr:nvGraphicFramePr>
        <xdr:cNvPr id="11" name="Chart 10">
          <a:extLst>
            <a:ext uri="{FF2B5EF4-FFF2-40B4-BE49-F238E27FC236}">
              <a16:creationId xmlns:a16="http://schemas.microsoft.com/office/drawing/2014/main" id="{14A394A3-CBD6-1E0B-B062-D0596EBC7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577850</xdr:colOff>
      <xdr:row>23</xdr:row>
      <xdr:rowOff>63500</xdr:rowOff>
    </xdr:from>
    <xdr:to>
      <xdr:col>60</xdr:col>
      <xdr:colOff>247650</xdr:colOff>
      <xdr:row>44</xdr:row>
      <xdr:rowOff>0</xdr:rowOff>
    </xdr:to>
    <xdr:graphicFrame macro="">
      <xdr:nvGraphicFramePr>
        <xdr:cNvPr id="12" name="Chart 11">
          <a:extLst>
            <a:ext uri="{FF2B5EF4-FFF2-40B4-BE49-F238E27FC236}">
              <a16:creationId xmlns:a16="http://schemas.microsoft.com/office/drawing/2014/main" id="{FA4FB5C7-250E-3307-D786-3C443DC7B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0</xdr:colOff>
      <xdr:row>44</xdr:row>
      <xdr:rowOff>127000</xdr:rowOff>
    </xdr:from>
    <xdr:to>
      <xdr:col>53</xdr:col>
      <xdr:colOff>450850</xdr:colOff>
      <xdr:row>65</xdr:row>
      <xdr:rowOff>63500</xdr:rowOff>
    </xdr:to>
    <xdr:graphicFrame macro="">
      <xdr:nvGraphicFramePr>
        <xdr:cNvPr id="13" name="Chart 12">
          <a:extLst>
            <a:ext uri="{FF2B5EF4-FFF2-40B4-BE49-F238E27FC236}">
              <a16:creationId xmlns:a16="http://schemas.microsoft.com/office/drawing/2014/main" id="{CD773F99-B479-9146-7226-A1E4FAB0B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577850</xdr:colOff>
      <xdr:row>44</xdr:row>
      <xdr:rowOff>127000</xdr:rowOff>
    </xdr:from>
    <xdr:to>
      <xdr:col>60</xdr:col>
      <xdr:colOff>247650</xdr:colOff>
      <xdr:row>65</xdr:row>
      <xdr:rowOff>63500</xdr:rowOff>
    </xdr:to>
    <xdr:graphicFrame macro="">
      <xdr:nvGraphicFramePr>
        <xdr:cNvPr id="14" name="Chart 13">
          <a:extLst>
            <a:ext uri="{FF2B5EF4-FFF2-40B4-BE49-F238E27FC236}">
              <a16:creationId xmlns:a16="http://schemas.microsoft.com/office/drawing/2014/main" id="{97DB54A4-F0F0-B529-1715-BC5AF1EBF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0</xdr:colOff>
      <xdr:row>66</xdr:row>
      <xdr:rowOff>0</xdr:rowOff>
    </xdr:from>
    <xdr:to>
      <xdr:col>53</xdr:col>
      <xdr:colOff>450850</xdr:colOff>
      <xdr:row>86</xdr:row>
      <xdr:rowOff>127000</xdr:rowOff>
    </xdr:to>
    <xdr:graphicFrame macro="">
      <xdr:nvGraphicFramePr>
        <xdr:cNvPr id="15" name="Chart 14">
          <a:extLst>
            <a:ext uri="{FF2B5EF4-FFF2-40B4-BE49-F238E27FC236}">
              <a16:creationId xmlns:a16="http://schemas.microsoft.com/office/drawing/2014/main" id="{85320B57-8FBB-CCCF-330F-B7BC1D15D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49DADB-49D0-4924-8DEB-02A3D6E25058}" name="MileageData" displayName="MileageData" ref="A1:L407" totalsRowShown="0">
  <autoFilter ref="A1:L407" xr:uid="{D349DADB-49D0-4924-8DEB-02A3D6E25058}"/>
  <tableColumns count="12">
    <tableColumn id="1" xr3:uid="{DF5E1C0E-D6E4-46E2-B0B0-EE30D28E904F}" name="MPG"/>
    <tableColumn id="2" xr3:uid="{90773FCD-E853-4F25-9F99-BCAF6AA2084B}" name="Cylinders"/>
    <tableColumn id="3" xr3:uid="{A5FBDF54-A0AC-4F64-9C1A-2D51DA524102}" name="Displacement"/>
    <tableColumn id="4" xr3:uid="{061B48CE-A9CA-4526-BA01-8370E08C96A9}" name="Horsepower"/>
    <tableColumn id="5" xr3:uid="{4470CC9F-75A9-407A-BE4D-769986121A38}" name="Weight"/>
    <tableColumn id="6" xr3:uid="{0A2119B7-D5A7-472E-9001-D8020884B9A1}" name="Acceleration"/>
    <tableColumn id="7" xr3:uid="{0EC53524-AC76-428B-9651-CB5D9E2EA3D5}" name="Model Year"/>
    <tableColumn id="8" xr3:uid="{651430C2-172B-4769-ACF5-1D6A6D44C035}" name="Origin"/>
    <tableColumn id="9" xr3:uid="{78121034-D0EF-48C1-B7ED-1ADE989CCA04}" name="Car Name"/>
    <tableColumn id="10" xr3:uid="{C51DE126-5CCF-46FC-94F1-4C8CA5834288}" name="Make"/>
    <tableColumn id="11" xr3:uid="{342E44FA-CFC5-4F43-A39F-A228B55F7267}" name="Model?"/>
    <tableColumn id="12" xr3:uid="{F95A0474-34B9-48DF-8EF2-643E5CE6A73E}"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C25BF6-D238-48C3-B608-D37B716D354B}" name="LifeExpectancyData" displayName="LifeExpectancyData" ref="A1:W2939" totalsRowShown="0">
  <autoFilter ref="A1:W2939" xr:uid="{46C25BF6-D238-48C3-B608-D37B716D354B}"/>
  <tableColumns count="23">
    <tableColumn id="1" xr3:uid="{7C6E792D-ED61-40F4-B595-0A5B48FBEBE3}" name="Country"/>
    <tableColumn id="2" xr3:uid="{89C1719E-A0E9-44F4-B4DD-A8C54097846B}" name="Year"/>
    <tableColumn id="3" xr3:uid="{293404CA-9896-4BAC-9D94-DD82BDBC82BB}" name="Status"/>
    <tableColumn id="4" xr3:uid="{8232B83E-17DD-49C8-A511-9C162777AC45}" name="Life expectancy"/>
    <tableColumn id="5" xr3:uid="{9E9C8B37-C75B-4E5E-A222-2B1AB3B336DD}" name="Adult Mortality"/>
    <tableColumn id="6" xr3:uid="{DADDD428-8641-4DAC-BB03-08B03BEBC69C}" name="infant deaths"/>
    <tableColumn id="7" xr3:uid="{F6EE1D45-85C9-4206-AFA6-19879ABF2D85}" name="Alcohol"/>
    <tableColumn id="8" xr3:uid="{56457583-0113-4845-9BBB-E896B471CF8F}" name="percentage expenditure"/>
    <tableColumn id="9" xr3:uid="{3822B72D-E4EA-490C-8F77-4ADB495D5BC2}" name="Hepatitis B"/>
    <tableColumn id="10" xr3:uid="{9E8A4070-41DB-4FBC-BA22-9C2FC5D3E7AE}" name="Measles"/>
    <tableColumn id="11" xr3:uid="{2B524A98-B763-4215-8FA5-E243D01F9873}" name="BMI"/>
    <tableColumn id="12" xr3:uid="{6D5B4B11-77DF-4AD5-ACE0-BEF740779161}" name="under-five deaths"/>
    <tableColumn id="13" xr3:uid="{0EBE6602-FCDC-4AF3-809E-18BA7ECBF06C}" name="Polio"/>
    <tableColumn id="14" xr3:uid="{0A774AC8-9D90-4E90-8B1C-D881A3BD76B0}" name="Total expenditure"/>
    <tableColumn id="15" xr3:uid="{FDB1FB3A-2DC4-425B-B2A6-11AFAEF39707}" name="Diphtheria"/>
    <tableColumn id="16" xr3:uid="{0FEF8D01-C154-4774-8809-A2AF9AF7DEE4}" name="HIV/AIDS"/>
    <tableColumn id="17" xr3:uid="{326C9FAB-AC6E-4DC4-B57D-515B57A06FB3}" name="GDP"/>
    <tableColumn id="18" xr3:uid="{2DC3B084-6487-4D02-BA49-3A73871B5F97}" name="Population"/>
    <tableColumn id="19" xr3:uid="{57776BBA-C0EF-42D3-8273-C050534F041A}" name="thinness 1-19 years"/>
    <tableColumn id="20" xr3:uid="{0BEEBE43-7F6A-4069-BA2F-B1D2E87531F7}" name="thinness 5-9 years"/>
    <tableColumn id="21" xr3:uid="{0317E22E-32A2-4075-A4E8-A531060BBDC6}" name="Income composition of resources"/>
    <tableColumn id="22" xr3:uid="{F3F7AC2F-7217-409C-8295-F0B4CC27ECA8}" name="Schooling"/>
    <tableColumn id="23" xr3:uid="{1440FCA1-C2DC-4309-81FD-C3E01009345B}"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4519D8-2DBB-4DD6-9F26-E4AB48C953E9}" name="ProductionLotsData" displayName="ProductionLotsData" ref="A1:K52" totalsRowShown="0">
  <autoFilter ref="A1:K52" xr:uid="{A64519D8-2DBB-4DD6-9F26-E4AB48C953E9}"/>
  <tableColumns count="11">
    <tableColumn id="1" xr3:uid="{40DF389E-0E73-455C-B893-290646CE8025}" name="Lot_ID"/>
    <tableColumn id="2" xr3:uid="{3EBC69E6-26E3-4850-9786-2715C26A994D}" name="Facility"/>
    <tableColumn id="3" xr3:uid="{6897D6CF-B285-4BD0-B86D-8284FB6B124A}" name="Fiscal_Year"/>
    <tableColumn id="4" xr3:uid="{79121C2F-CF6C-4B93-B874-7FE8DEE7D635}" name="Lot_Quantity"/>
    <tableColumn id="5" xr3:uid="{ADDB7F54-2D39-4280-92D8-2AA0A176A6BA}" name="Cumulative_Units"/>
    <tableColumn id="6" xr3:uid="{F8DA5A61-C766-445C-89E9-D047F52424F6}" name="Experience_Stock"/>
    <tableColumn id="7" xr3:uid="{AE2E0AD3-EF42-4FEC-B566-E222FFD422C5}" name="Unit_Cost_BY"/>
    <tableColumn id="8" xr3:uid="{73208CCA-CCC0-43E4-9FD2-3BC99E3C2491}" name="log Cum Units"/>
    <tableColumn id="9" xr3:uid="{F54332FC-9777-4F18-8818-BF07FB63254B}" name="log experience"/>
    <tableColumn id="10" xr3:uid="{2AFA41A6-E31D-4170-802D-E53DCCEC9734}" name="log Unit Cost"/>
    <tableColumn id="11" xr3:uid="{49E261F9-9530-4C9D-8BF3-DB145D19C0AD}"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0BAB63-D1AE-4067-AADD-2C671DCFDFB1}" name="SpecTable" displayName="SpecTable" ref="B3:L15" totalsRowShown="0" headerRowDxfId="50">
  <autoFilter ref="B3:L15" xr:uid="{640BAB63-D1AE-4067-AADD-2C671DCFDFB1}"/>
  <tableColumns count="11">
    <tableColumn id="1" xr3:uid="{33B3D1A1-3DE5-4E51-A184-C30C21583EF2}" name="Role"/>
    <tableColumn id="2" xr3:uid="{A73094AD-BFA9-40B1-B292-F0F365DF4F36}" name="Include"/>
    <tableColumn id="3" xr3:uid="{071BA320-BC25-4FE2-BF94-A582082A5088}" name="Type"/>
    <tableColumn id="4" xr3:uid="{EF39139E-27AE-4D31-8D3F-10421CF39BB5}" name="Reference Level"/>
    <tableColumn id="5" xr3:uid="{E58B3CCC-775A-4EC7-8FE6-997C3EEAC656}" name="Order"/>
    <tableColumn id="6" xr3:uid="{FD8684EB-29A4-4F60-8BF5-2C99FB9FBA0C}" name="Transform"/>
    <tableColumn id="7" xr3:uid="{F49086B5-143C-4F60-9EB8-17230753E962}" name="Sequence"/>
    <tableColumn id="8" xr3:uid="{EB545F7F-2E38-475A-BA67-6958D457A0FB}" name="Sequence Period"/>
    <tableColumn id="9" xr3:uid="{1CC1BE0C-4F2D-4367-B510-8CD3E4557D90}" name="Period In Use" dataDxfId="49">
      <calculatedColumnFormula>IF(SpecTable[[#This Row],[Sequence]]&lt;&gt;TRUE,"",IF(N(SpecTable[[#This Row],[Sequence Period]])&lt;&gt;0,SpecTable[[#This Row],[Sequence Period]],IFERROR(Base_Period_Delta_Candidate(),"")))</calculatedColumnFormula>
    </tableColumn>
    <tableColumn id="10" xr3:uid="{31A665BB-B58A-4B67-A1BC-52454F7F8A48}" name="Levels" dataDxfId="48">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86D6C773-6558-4154-B161-DA8EE38B4866}" name="Reference In Use" dataDxfId="47">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34006-A24F-4611-832B-83527C01CE76}" name="LAMBDAFunctionsCatalog" displayName="LAMBDAFunctionsCatalog" ref="A1:G127" totalsRowShown="0" headerRowDxfId="46" dataDxfId="45">
  <autoFilter ref="A1:G127" xr:uid="{D1B34006-A24F-4611-832B-83527C01CE76}"/>
  <tableColumns count="7">
    <tableColumn id="1" xr3:uid="{6450AF3F-1DD9-4A14-A604-AF1A5047E37E}" name="Function Name" dataDxfId="44"/>
    <tableColumn id="2" xr3:uid="{BC4E0769-9E13-4725-AA1E-9DE83C602515}" name="Scope" dataDxfId="43"/>
    <tableColumn id="3" xr3:uid="{57293F38-4FBE-483F-A302-9CC6D3605692}" name="Definition" dataDxfId="42"/>
    <tableColumn id="4" xr3:uid="{29A769A7-D082-4852-AE28-BA96CDCCBC12}" name="Arguments" dataDxfId="41"/>
    <tableColumn id="5" xr3:uid="{32B0D6FF-0484-4C10-BD4D-FDBFDC815767}" name="Yields" dataDxfId="40"/>
    <tableColumn id="6" xr3:uid="{DED9046F-F0A7-44E0-B5B3-791F8F055FD1}" name="Plain-Language Summary" dataDxfId="39"/>
    <tableColumn id="7" xr3:uid="{E5D2CCDB-B1B1-4EFA-B73B-69EDC35413BB}" name="Description"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6034-CB89-4DDC-B9B3-33CFF28F0673}">
  <sheetPr>
    <tabColor rgb="FFD9D9D9"/>
  </sheetPr>
  <dimension ref="A1:L407"/>
  <sheetViews>
    <sheetView tabSelected="1" workbookViewId="0">
      <pane ySplit="1" topLeftCell="A2" activePane="bottomLeft" state="frozenSplit"/>
      <selection pane="bottomLeft"/>
    </sheetView>
  </sheetViews>
  <sheetFormatPr defaultRowHeight="15" x14ac:dyDescent="0.25"/>
  <cols>
    <col min="1" max="1" width="7.42578125" bestFit="1" customWidth="1"/>
    <col min="2" max="2" width="12" bestFit="1" customWidth="1"/>
    <col min="3" max="3" width="16" bestFit="1" customWidth="1"/>
    <col min="4" max="4" width="14.28515625" bestFit="1" customWidth="1"/>
    <col min="5" max="5" width="9.7109375" bestFit="1" customWidth="1"/>
    <col min="6" max="6" width="14.5703125" bestFit="1" customWidth="1"/>
    <col min="7" max="7" width="13.28515625" bestFit="1" customWidth="1"/>
    <col min="8" max="8" width="8.7109375" bestFit="1" customWidth="1"/>
    <col min="9" max="9" width="34.28515625" bestFit="1" customWidth="1"/>
    <col min="10" max="10" width="14.5703125" bestFit="1" customWidth="1"/>
    <col min="11" max="11" width="26.5703125" bestFit="1" customWidth="1"/>
    <col min="12" max="12" width="12.7109375" customWidth="1"/>
  </cols>
  <sheetData>
    <row r="1" spans="1:12" x14ac:dyDescent="0.25">
      <c r="A1" t="s">
        <v>929</v>
      </c>
      <c r="B1" t="s">
        <v>930</v>
      </c>
      <c r="C1" t="s">
        <v>931</v>
      </c>
      <c r="D1" t="s">
        <v>932</v>
      </c>
      <c r="E1" t="s">
        <v>933</v>
      </c>
      <c r="F1" t="s">
        <v>934</v>
      </c>
      <c r="G1" t="s">
        <v>935</v>
      </c>
      <c r="H1" t="s">
        <v>936</v>
      </c>
      <c r="I1" t="s">
        <v>937</v>
      </c>
      <c r="J1" t="s">
        <v>938</v>
      </c>
      <c r="K1" t="s">
        <v>939</v>
      </c>
      <c r="L1" t="s">
        <v>733</v>
      </c>
    </row>
    <row r="2" spans="1:12" x14ac:dyDescent="0.25">
      <c r="A2">
        <v>18</v>
      </c>
      <c r="B2">
        <v>8</v>
      </c>
      <c r="C2">
        <v>307</v>
      </c>
      <c r="D2">
        <v>130</v>
      </c>
      <c r="E2">
        <v>3504</v>
      </c>
      <c r="F2">
        <v>12</v>
      </c>
      <c r="G2">
        <v>70</v>
      </c>
      <c r="H2" t="s">
        <v>940</v>
      </c>
      <c r="I2" t="s">
        <v>941</v>
      </c>
      <c r="J2" t="s">
        <v>942</v>
      </c>
      <c r="K2" t="s">
        <v>943</v>
      </c>
      <c r="L2" t="b">
        <f>Data_Completeness(MileageData[[#This Row],[MPG]:[Acceleration]])</f>
        <v>1</v>
      </c>
    </row>
    <row r="3" spans="1:12" x14ac:dyDescent="0.25">
      <c r="A3">
        <v>15</v>
      </c>
      <c r="B3">
        <v>8</v>
      </c>
      <c r="C3">
        <v>350</v>
      </c>
      <c r="D3">
        <v>165</v>
      </c>
      <c r="E3">
        <v>3693</v>
      </c>
      <c r="F3">
        <v>11.5</v>
      </c>
      <c r="G3">
        <v>70</v>
      </c>
      <c r="H3" t="s">
        <v>940</v>
      </c>
      <c r="I3" t="s">
        <v>944</v>
      </c>
      <c r="J3" t="s">
        <v>945</v>
      </c>
      <c r="K3" t="s">
        <v>946</v>
      </c>
      <c r="L3" t="b">
        <f>Data_Completeness(MileageData[[#This Row],[MPG]:[Acceleration]])</f>
        <v>1</v>
      </c>
    </row>
    <row r="4" spans="1:12" x14ac:dyDescent="0.25">
      <c r="A4">
        <v>18</v>
      </c>
      <c r="B4">
        <v>8</v>
      </c>
      <c r="C4">
        <v>318</v>
      </c>
      <c r="D4">
        <v>150</v>
      </c>
      <c r="E4">
        <v>3436</v>
      </c>
      <c r="F4">
        <v>11</v>
      </c>
      <c r="G4">
        <v>70</v>
      </c>
      <c r="H4" t="s">
        <v>940</v>
      </c>
      <c r="I4" t="s">
        <v>947</v>
      </c>
      <c r="J4" t="s">
        <v>948</v>
      </c>
      <c r="K4" t="s">
        <v>949</v>
      </c>
      <c r="L4" t="b">
        <f>Data_Completeness(MileageData[[#This Row],[MPG]:[Acceleration]])</f>
        <v>1</v>
      </c>
    </row>
    <row r="5" spans="1:12" x14ac:dyDescent="0.25">
      <c r="A5">
        <v>16</v>
      </c>
      <c r="B5">
        <v>8</v>
      </c>
      <c r="C5">
        <v>304</v>
      </c>
      <c r="D5">
        <v>150</v>
      </c>
      <c r="E5">
        <v>3433</v>
      </c>
      <c r="F5">
        <v>12</v>
      </c>
      <c r="G5">
        <v>70</v>
      </c>
      <c r="H5" t="s">
        <v>940</v>
      </c>
      <c r="I5" t="s">
        <v>950</v>
      </c>
      <c r="J5" t="s">
        <v>951</v>
      </c>
      <c r="K5" t="s">
        <v>952</v>
      </c>
      <c r="L5" t="b">
        <f>Data_Completeness(MileageData[[#This Row],[MPG]:[Acceleration]])</f>
        <v>1</v>
      </c>
    </row>
    <row r="6" spans="1:12" x14ac:dyDescent="0.25">
      <c r="A6">
        <v>17</v>
      </c>
      <c r="B6">
        <v>8</v>
      </c>
      <c r="C6">
        <v>302</v>
      </c>
      <c r="D6">
        <v>140</v>
      </c>
      <c r="E6">
        <v>3449</v>
      </c>
      <c r="F6">
        <v>10.5</v>
      </c>
      <c r="G6">
        <v>70</v>
      </c>
      <c r="H6" t="s">
        <v>940</v>
      </c>
      <c r="I6" t="s">
        <v>953</v>
      </c>
      <c r="J6" t="s">
        <v>954</v>
      </c>
      <c r="K6" t="s">
        <v>955</v>
      </c>
      <c r="L6" t="b">
        <f>Data_Completeness(MileageData[[#This Row],[MPG]:[Acceleration]])</f>
        <v>1</v>
      </c>
    </row>
    <row r="7" spans="1:12" x14ac:dyDescent="0.25">
      <c r="A7">
        <v>15</v>
      </c>
      <c r="B7">
        <v>8</v>
      </c>
      <c r="C7">
        <v>429</v>
      </c>
      <c r="D7">
        <v>198</v>
      </c>
      <c r="E7">
        <v>4341</v>
      </c>
      <c r="F7">
        <v>10</v>
      </c>
      <c r="G7">
        <v>70</v>
      </c>
      <c r="H7" t="s">
        <v>940</v>
      </c>
      <c r="I7" t="s">
        <v>956</v>
      </c>
      <c r="J7" t="s">
        <v>954</v>
      </c>
      <c r="K7" t="s">
        <v>957</v>
      </c>
      <c r="L7" t="b">
        <f>Data_Completeness(MileageData[[#This Row],[MPG]:[Acceleration]])</f>
        <v>1</v>
      </c>
    </row>
    <row r="8" spans="1:12" x14ac:dyDescent="0.25">
      <c r="A8">
        <v>14</v>
      </c>
      <c r="B8">
        <v>8</v>
      </c>
      <c r="C8">
        <v>454</v>
      </c>
      <c r="D8">
        <v>220</v>
      </c>
      <c r="E8">
        <v>4354</v>
      </c>
      <c r="F8">
        <v>9</v>
      </c>
      <c r="G8">
        <v>70</v>
      </c>
      <c r="H8" t="s">
        <v>940</v>
      </c>
      <c r="I8" t="s">
        <v>958</v>
      </c>
      <c r="J8" t="s">
        <v>942</v>
      </c>
      <c r="K8" t="s">
        <v>959</v>
      </c>
      <c r="L8" t="b">
        <f>Data_Completeness(MileageData[[#This Row],[MPG]:[Acceleration]])</f>
        <v>1</v>
      </c>
    </row>
    <row r="9" spans="1:12" x14ac:dyDescent="0.25">
      <c r="A9">
        <v>14</v>
      </c>
      <c r="B9">
        <v>8</v>
      </c>
      <c r="C9">
        <v>440</v>
      </c>
      <c r="D9">
        <v>215</v>
      </c>
      <c r="E9">
        <v>4312</v>
      </c>
      <c r="F9">
        <v>8.5</v>
      </c>
      <c r="G9">
        <v>70</v>
      </c>
      <c r="H9" t="s">
        <v>940</v>
      </c>
      <c r="I9" t="s">
        <v>960</v>
      </c>
      <c r="J9" t="s">
        <v>948</v>
      </c>
      <c r="K9" t="s">
        <v>961</v>
      </c>
      <c r="L9" t="b">
        <f>Data_Completeness(MileageData[[#This Row],[MPG]:[Acceleration]])</f>
        <v>1</v>
      </c>
    </row>
    <row r="10" spans="1:12" x14ac:dyDescent="0.25">
      <c r="A10">
        <v>14</v>
      </c>
      <c r="B10">
        <v>8</v>
      </c>
      <c r="C10">
        <v>455</v>
      </c>
      <c r="D10">
        <v>225</v>
      </c>
      <c r="E10">
        <v>4425</v>
      </c>
      <c r="F10">
        <v>10</v>
      </c>
      <c r="G10">
        <v>70</v>
      </c>
      <c r="H10" t="s">
        <v>940</v>
      </c>
      <c r="I10" t="s">
        <v>962</v>
      </c>
      <c r="J10" t="s">
        <v>963</v>
      </c>
      <c r="K10" t="s">
        <v>964</v>
      </c>
      <c r="L10" t="b">
        <f>Data_Completeness(MileageData[[#This Row],[MPG]:[Acceleration]])</f>
        <v>1</v>
      </c>
    </row>
    <row r="11" spans="1:12" x14ac:dyDescent="0.25">
      <c r="A11">
        <v>15</v>
      </c>
      <c r="B11">
        <v>8</v>
      </c>
      <c r="C11">
        <v>390</v>
      </c>
      <c r="D11">
        <v>190</v>
      </c>
      <c r="E11">
        <v>3850</v>
      </c>
      <c r="F11">
        <v>8.5</v>
      </c>
      <c r="G11">
        <v>70</v>
      </c>
      <c r="H11" t="s">
        <v>940</v>
      </c>
      <c r="I11" t="s">
        <v>965</v>
      </c>
      <c r="J11" t="s">
        <v>951</v>
      </c>
      <c r="K11" t="s">
        <v>966</v>
      </c>
      <c r="L11" t="b">
        <f>Data_Completeness(MileageData[[#This Row],[MPG]:[Acceleration]])</f>
        <v>1</v>
      </c>
    </row>
    <row r="12" spans="1:12" x14ac:dyDescent="0.25">
      <c r="B12">
        <v>4</v>
      </c>
      <c r="C12">
        <v>133</v>
      </c>
      <c r="D12">
        <v>115</v>
      </c>
      <c r="E12">
        <v>3090</v>
      </c>
      <c r="F12">
        <v>17.5</v>
      </c>
      <c r="G12">
        <v>70</v>
      </c>
      <c r="H12" t="s">
        <v>967</v>
      </c>
      <c r="I12" t="s">
        <v>968</v>
      </c>
      <c r="J12" t="s">
        <v>969</v>
      </c>
      <c r="K12" t="s">
        <v>970</v>
      </c>
      <c r="L12" t="b">
        <f>Data_Completeness(MileageData[[#This Row],[MPG]:[Acceleration]])</f>
        <v>0</v>
      </c>
    </row>
    <row r="13" spans="1:12" x14ac:dyDescent="0.25">
      <c r="B13">
        <v>8</v>
      </c>
      <c r="C13">
        <v>350</v>
      </c>
      <c r="D13">
        <v>165</v>
      </c>
      <c r="E13">
        <v>4142</v>
      </c>
      <c r="F13">
        <v>11.5</v>
      </c>
      <c r="G13">
        <v>70</v>
      </c>
      <c r="H13" t="s">
        <v>940</v>
      </c>
      <c r="I13" t="s">
        <v>971</v>
      </c>
      <c r="J13" t="s">
        <v>942</v>
      </c>
      <c r="K13" t="s">
        <v>972</v>
      </c>
      <c r="L13" t="b">
        <f>Data_Completeness(MileageData[[#This Row],[MPG]:[Acceleration]])</f>
        <v>0</v>
      </c>
    </row>
    <row r="14" spans="1:12" x14ac:dyDescent="0.25">
      <c r="B14">
        <v>8</v>
      </c>
      <c r="C14">
        <v>351</v>
      </c>
      <c r="D14">
        <v>153</v>
      </c>
      <c r="E14">
        <v>4034</v>
      </c>
      <c r="F14">
        <v>11</v>
      </c>
      <c r="G14">
        <v>70</v>
      </c>
      <c r="H14" t="s">
        <v>940</v>
      </c>
      <c r="I14" t="s">
        <v>973</v>
      </c>
      <c r="J14" t="s">
        <v>954</v>
      </c>
      <c r="K14" t="s">
        <v>974</v>
      </c>
      <c r="L14" t="b">
        <f>Data_Completeness(MileageData[[#This Row],[MPG]:[Acceleration]])</f>
        <v>0</v>
      </c>
    </row>
    <row r="15" spans="1:12" x14ac:dyDescent="0.25">
      <c r="B15">
        <v>8</v>
      </c>
      <c r="C15">
        <v>383</v>
      </c>
      <c r="D15">
        <v>175</v>
      </c>
      <c r="E15">
        <v>4166</v>
      </c>
      <c r="F15">
        <v>10.5</v>
      </c>
      <c r="G15">
        <v>70</v>
      </c>
      <c r="H15" t="s">
        <v>940</v>
      </c>
      <c r="I15" t="s">
        <v>975</v>
      </c>
      <c r="J15" t="s">
        <v>948</v>
      </c>
      <c r="K15" t="s">
        <v>976</v>
      </c>
      <c r="L15" t="b">
        <f>Data_Completeness(MileageData[[#This Row],[MPG]:[Acceleration]])</f>
        <v>0</v>
      </c>
    </row>
    <row r="16" spans="1:12" x14ac:dyDescent="0.25">
      <c r="B16">
        <v>8</v>
      </c>
      <c r="C16">
        <v>360</v>
      </c>
      <c r="D16">
        <v>175</v>
      </c>
      <c r="E16">
        <v>3850</v>
      </c>
      <c r="F16">
        <v>11</v>
      </c>
      <c r="G16">
        <v>70</v>
      </c>
      <c r="H16" t="s">
        <v>940</v>
      </c>
      <c r="I16" t="s">
        <v>977</v>
      </c>
      <c r="J16" t="s">
        <v>951</v>
      </c>
      <c r="K16" t="s">
        <v>978</v>
      </c>
      <c r="L16" t="b">
        <f>Data_Completeness(MileageData[[#This Row],[MPG]:[Acceleration]])</f>
        <v>0</v>
      </c>
    </row>
    <row r="17" spans="1:12" x14ac:dyDescent="0.25">
      <c r="A17">
        <v>15</v>
      </c>
      <c r="B17">
        <v>8</v>
      </c>
      <c r="C17">
        <v>383</v>
      </c>
      <c r="D17">
        <v>170</v>
      </c>
      <c r="E17">
        <v>3563</v>
      </c>
      <c r="F17">
        <v>10</v>
      </c>
      <c r="G17">
        <v>70</v>
      </c>
      <c r="H17" t="s">
        <v>940</v>
      </c>
      <c r="I17" t="s">
        <v>979</v>
      </c>
      <c r="J17" t="s">
        <v>980</v>
      </c>
      <c r="K17" t="s">
        <v>981</v>
      </c>
      <c r="L17" t="b">
        <f>Data_Completeness(MileageData[[#This Row],[MPG]:[Acceleration]])</f>
        <v>1</v>
      </c>
    </row>
    <row r="18" spans="1:12" x14ac:dyDescent="0.25">
      <c r="A18">
        <v>14</v>
      </c>
      <c r="B18">
        <v>8</v>
      </c>
      <c r="C18">
        <v>340</v>
      </c>
      <c r="D18">
        <v>160</v>
      </c>
      <c r="E18">
        <v>3609</v>
      </c>
      <c r="F18">
        <v>8</v>
      </c>
      <c r="G18">
        <v>70</v>
      </c>
      <c r="H18" t="s">
        <v>940</v>
      </c>
      <c r="I18" t="s">
        <v>982</v>
      </c>
      <c r="J18" t="s">
        <v>948</v>
      </c>
      <c r="K18" s="3" t="s">
        <v>983</v>
      </c>
      <c r="L18" t="b">
        <f>Data_Completeness(MileageData[[#This Row],[MPG]:[Acceleration]])</f>
        <v>1</v>
      </c>
    </row>
    <row r="19" spans="1:12" x14ac:dyDescent="0.25">
      <c r="B19">
        <v>8</v>
      </c>
      <c r="C19">
        <v>302</v>
      </c>
      <c r="D19">
        <v>140</v>
      </c>
      <c r="E19">
        <v>3353</v>
      </c>
      <c r="F19">
        <v>8</v>
      </c>
      <c r="G19">
        <v>70</v>
      </c>
      <c r="H19" t="s">
        <v>940</v>
      </c>
      <c r="I19" t="s">
        <v>984</v>
      </c>
      <c r="J19" t="s">
        <v>954</v>
      </c>
      <c r="K19" t="s">
        <v>985</v>
      </c>
      <c r="L19" t="b">
        <f>Data_Completeness(MileageData[[#This Row],[MPG]:[Acceleration]])</f>
        <v>0</v>
      </c>
    </row>
    <row r="20" spans="1:12" x14ac:dyDescent="0.25">
      <c r="A20">
        <v>15</v>
      </c>
      <c r="B20">
        <v>8</v>
      </c>
      <c r="C20">
        <v>400</v>
      </c>
      <c r="D20">
        <v>150</v>
      </c>
      <c r="E20">
        <v>3761</v>
      </c>
      <c r="F20">
        <v>9.5</v>
      </c>
      <c r="G20">
        <v>70</v>
      </c>
      <c r="H20" t="s">
        <v>940</v>
      </c>
      <c r="I20" t="s">
        <v>986</v>
      </c>
      <c r="J20" t="s">
        <v>942</v>
      </c>
      <c r="K20" t="s">
        <v>987</v>
      </c>
      <c r="L20" t="b">
        <f>Data_Completeness(MileageData[[#This Row],[MPG]:[Acceleration]])</f>
        <v>1</v>
      </c>
    </row>
    <row r="21" spans="1:12" x14ac:dyDescent="0.25">
      <c r="A21">
        <v>14</v>
      </c>
      <c r="B21">
        <v>8</v>
      </c>
      <c r="C21">
        <v>455</v>
      </c>
      <c r="D21">
        <v>225</v>
      </c>
      <c r="E21">
        <v>3086</v>
      </c>
      <c r="F21">
        <v>10</v>
      </c>
      <c r="G21">
        <v>70</v>
      </c>
      <c r="H21" t="s">
        <v>940</v>
      </c>
      <c r="I21" t="s">
        <v>988</v>
      </c>
      <c r="J21" t="s">
        <v>945</v>
      </c>
      <c r="K21" t="s">
        <v>989</v>
      </c>
      <c r="L21" t="b">
        <f>Data_Completeness(MileageData[[#This Row],[MPG]:[Acceleration]])</f>
        <v>1</v>
      </c>
    </row>
    <row r="22" spans="1:12" x14ac:dyDescent="0.25">
      <c r="A22">
        <v>24</v>
      </c>
      <c r="B22">
        <v>4</v>
      </c>
      <c r="C22">
        <v>113</v>
      </c>
      <c r="D22">
        <v>95</v>
      </c>
      <c r="E22">
        <v>2372</v>
      </c>
      <c r="F22">
        <v>15</v>
      </c>
      <c r="G22">
        <v>70</v>
      </c>
      <c r="H22" t="s">
        <v>990</v>
      </c>
      <c r="I22" t="s">
        <v>991</v>
      </c>
      <c r="J22" t="s">
        <v>992</v>
      </c>
      <c r="K22" t="s">
        <v>993</v>
      </c>
      <c r="L22" t="b">
        <f>Data_Completeness(MileageData[[#This Row],[MPG]:[Acceleration]])</f>
        <v>1</v>
      </c>
    </row>
    <row r="23" spans="1:12" x14ac:dyDescent="0.25">
      <c r="A23">
        <v>22</v>
      </c>
      <c r="B23">
        <v>6</v>
      </c>
      <c r="C23">
        <v>198</v>
      </c>
      <c r="D23">
        <v>95</v>
      </c>
      <c r="E23">
        <v>2833</v>
      </c>
      <c r="F23">
        <v>15.5</v>
      </c>
      <c r="G23">
        <v>70</v>
      </c>
      <c r="H23" t="s">
        <v>940</v>
      </c>
      <c r="I23" t="s">
        <v>994</v>
      </c>
      <c r="J23" t="s">
        <v>948</v>
      </c>
      <c r="K23" t="s">
        <v>995</v>
      </c>
      <c r="L23" t="b">
        <f>Data_Completeness(MileageData[[#This Row],[MPG]:[Acceleration]])</f>
        <v>1</v>
      </c>
    </row>
    <row r="24" spans="1:12" x14ac:dyDescent="0.25">
      <c r="A24">
        <v>18</v>
      </c>
      <c r="B24">
        <v>6</v>
      </c>
      <c r="C24">
        <v>199</v>
      </c>
      <c r="D24">
        <v>97</v>
      </c>
      <c r="E24">
        <v>2774</v>
      </c>
      <c r="F24">
        <v>15.5</v>
      </c>
      <c r="G24">
        <v>70</v>
      </c>
      <c r="H24" t="s">
        <v>940</v>
      </c>
      <c r="I24" t="s">
        <v>996</v>
      </c>
      <c r="J24" t="s">
        <v>951</v>
      </c>
      <c r="K24" t="s">
        <v>997</v>
      </c>
      <c r="L24" t="b">
        <f>Data_Completeness(MileageData[[#This Row],[MPG]:[Acceleration]])</f>
        <v>1</v>
      </c>
    </row>
    <row r="25" spans="1:12" x14ac:dyDescent="0.25">
      <c r="A25">
        <v>21</v>
      </c>
      <c r="B25">
        <v>6</v>
      </c>
      <c r="C25">
        <v>200</v>
      </c>
      <c r="D25">
        <v>85</v>
      </c>
      <c r="E25">
        <v>2587</v>
      </c>
      <c r="F25">
        <v>16</v>
      </c>
      <c r="G25">
        <v>70</v>
      </c>
      <c r="H25" t="s">
        <v>940</v>
      </c>
      <c r="I25" t="s">
        <v>998</v>
      </c>
      <c r="J25" t="s">
        <v>954</v>
      </c>
      <c r="K25" t="s">
        <v>999</v>
      </c>
      <c r="L25" t="b">
        <f>Data_Completeness(MileageData[[#This Row],[MPG]:[Acceleration]])</f>
        <v>1</v>
      </c>
    </row>
    <row r="26" spans="1:12" x14ac:dyDescent="0.25">
      <c r="A26">
        <v>27</v>
      </c>
      <c r="B26">
        <v>4</v>
      </c>
      <c r="C26">
        <v>97</v>
      </c>
      <c r="D26">
        <v>88</v>
      </c>
      <c r="E26">
        <v>2130</v>
      </c>
      <c r="F26">
        <v>14.5</v>
      </c>
      <c r="G26">
        <v>70</v>
      </c>
      <c r="H26" t="s">
        <v>990</v>
      </c>
      <c r="I26" t="s">
        <v>1000</v>
      </c>
      <c r="J26" t="s">
        <v>1001</v>
      </c>
      <c r="K26" t="s">
        <v>1002</v>
      </c>
      <c r="L26" t="b">
        <f>Data_Completeness(MileageData[[#This Row],[MPG]:[Acceleration]])</f>
        <v>1</v>
      </c>
    </row>
    <row r="27" spans="1:12" x14ac:dyDescent="0.25">
      <c r="A27">
        <v>26</v>
      </c>
      <c r="B27">
        <v>4</v>
      </c>
      <c r="C27">
        <v>97</v>
      </c>
      <c r="D27">
        <v>46</v>
      </c>
      <c r="E27">
        <v>1835</v>
      </c>
      <c r="F27">
        <v>20.5</v>
      </c>
      <c r="G27">
        <v>70</v>
      </c>
      <c r="H27" t="s">
        <v>967</v>
      </c>
      <c r="I27" t="s">
        <v>1003</v>
      </c>
      <c r="J27" t="s">
        <v>1004</v>
      </c>
      <c r="K27" t="s">
        <v>1005</v>
      </c>
      <c r="L27" t="b">
        <f>Data_Completeness(MileageData[[#This Row],[MPG]:[Acceleration]])</f>
        <v>1</v>
      </c>
    </row>
    <row r="28" spans="1:12" x14ac:dyDescent="0.25">
      <c r="A28">
        <v>25</v>
      </c>
      <c r="B28">
        <v>4</v>
      </c>
      <c r="C28">
        <v>110</v>
      </c>
      <c r="D28">
        <v>87</v>
      </c>
      <c r="E28">
        <v>2672</v>
      </c>
      <c r="F28">
        <v>17.5</v>
      </c>
      <c r="G28">
        <v>70</v>
      </c>
      <c r="H28" t="s">
        <v>967</v>
      </c>
      <c r="I28" t="s">
        <v>1006</v>
      </c>
      <c r="J28" t="s">
        <v>1007</v>
      </c>
      <c r="K28">
        <v>504</v>
      </c>
      <c r="L28" t="b">
        <f>Data_Completeness(MileageData[[#This Row],[MPG]:[Acceleration]])</f>
        <v>1</v>
      </c>
    </row>
    <row r="29" spans="1:12" x14ac:dyDescent="0.25">
      <c r="A29">
        <v>24</v>
      </c>
      <c r="B29">
        <v>4</v>
      </c>
      <c r="C29">
        <v>107</v>
      </c>
      <c r="D29">
        <v>90</v>
      </c>
      <c r="E29">
        <v>2430</v>
      </c>
      <c r="F29">
        <v>14.5</v>
      </c>
      <c r="G29">
        <v>70</v>
      </c>
      <c r="H29" t="s">
        <v>967</v>
      </c>
      <c r="I29" t="s">
        <v>1008</v>
      </c>
      <c r="J29" t="s">
        <v>1009</v>
      </c>
      <c r="K29" t="s">
        <v>1010</v>
      </c>
      <c r="L29" t="b">
        <f>Data_Completeness(MileageData[[#This Row],[MPG]:[Acceleration]])</f>
        <v>1</v>
      </c>
    </row>
    <row r="30" spans="1:12" x14ac:dyDescent="0.25">
      <c r="A30">
        <v>25</v>
      </c>
      <c r="B30">
        <v>4</v>
      </c>
      <c r="C30">
        <v>104</v>
      </c>
      <c r="D30">
        <v>95</v>
      </c>
      <c r="E30">
        <v>2375</v>
      </c>
      <c r="F30">
        <v>17.5</v>
      </c>
      <c r="G30">
        <v>70</v>
      </c>
      <c r="H30" t="s">
        <v>967</v>
      </c>
      <c r="I30" t="s">
        <v>1011</v>
      </c>
      <c r="J30" t="s">
        <v>1012</v>
      </c>
      <c r="K30" t="s">
        <v>1013</v>
      </c>
      <c r="L30" t="b">
        <f>Data_Completeness(MileageData[[#This Row],[MPG]:[Acceleration]])</f>
        <v>1</v>
      </c>
    </row>
    <row r="31" spans="1:12" x14ac:dyDescent="0.25">
      <c r="A31">
        <v>26</v>
      </c>
      <c r="B31">
        <v>4</v>
      </c>
      <c r="C31">
        <v>121</v>
      </c>
      <c r="D31">
        <v>113</v>
      </c>
      <c r="E31">
        <v>2234</v>
      </c>
      <c r="F31">
        <v>12.5</v>
      </c>
      <c r="G31">
        <v>70</v>
      </c>
      <c r="H31" t="s">
        <v>967</v>
      </c>
      <c r="I31" t="s">
        <v>1014</v>
      </c>
      <c r="J31" t="s">
        <v>1015</v>
      </c>
      <c r="K31">
        <v>2002</v>
      </c>
      <c r="L31" t="b">
        <f>Data_Completeness(MileageData[[#This Row],[MPG]:[Acceleration]])</f>
        <v>1</v>
      </c>
    </row>
    <row r="32" spans="1:12" x14ac:dyDescent="0.25">
      <c r="A32">
        <v>21</v>
      </c>
      <c r="B32">
        <v>6</v>
      </c>
      <c r="C32">
        <v>199</v>
      </c>
      <c r="D32">
        <v>90</v>
      </c>
      <c r="E32">
        <v>2648</v>
      </c>
      <c r="F32">
        <v>15</v>
      </c>
      <c r="G32">
        <v>70</v>
      </c>
      <c r="H32" t="s">
        <v>940</v>
      </c>
      <c r="I32" t="s">
        <v>1016</v>
      </c>
      <c r="J32" t="s">
        <v>951</v>
      </c>
      <c r="K32" t="s">
        <v>1017</v>
      </c>
      <c r="L32" t="b">
        <f>Data_Completeness(MileageData[[#This Row],[MPG]:[Acceleration]])</f>
        <v>1</v>
      </c>
    </row>
    <row r="33" spans="1:12" x14ac:dyDescent="0.25">
      <c r="A33">
        <v>10</v>
      </c>
      <c r="B33">
        <v>8</v>
      </c>
      <c r="C33">
        <v>360</v>
      </c>
      <c r="D33">
        <v>215</v>
      </c>
      <c r="E33">
        <v>4615</v>
      </c>
      <c r="F33">
        <v>14</v>
      </c>
      <c r="G33">
        <v>70</v>
      </c>
      <c r="H33" t="s">
        <v>940</v>
      </c>
      <c r="I33" t="s">
        <v>1018</v>
      </c>
      <c r="J33" t="s">
        <v>954</v>
      </c>
      <c r="K33" t="s">
        <v>1019</v>
      </c>
      <c r="L33" t="b">
        <f>Data_Completeness(MileageData[[#This Row],[MPG]:[Acceleration]])</f>
        <v>1</v>
      </c>
    </row>
    <row r="34" spans="1:12" x14ac:dyDescent="0.25">
      <c r="A34">
        <v>10</v>
      </c>
      <c r="B34">
        <v>8</v>
      </c>
      <c r="C34">
        <v>307</v>
      </c>
      <c r="D34">
        <v>200</v>
      </c>
      <c r="E34">
        <v>4376</v>
      </c>
      <c r="F34">
        <v>15</v>
      </c>
      <c r="G34">
        <v>70</v>
      </c>
      <c r="H34" t="s">
        <v>940</v>
      </c>
      <c r="I34" t="s">
        <v>1020</v>
      </c>
      <c r="J34" t="s">
        <v>1021</v>
      </c>
      <c r="K34" t="s">
        <v>1022</v>
      </c>
      <c r="L34" t="b">
        <f>Data_Completeness(MileageData[[#This Row],[MPG]:[Acceleration]])</f>
        <v>1</v>
      </c>
    </row>
    <row r="35" spans="1:12" x14ac:dyDescent="0.25">
      <c r="A35">
        <v>11</v>
      </c>
      <c r="B35">
        <v>8</v>
      </c>
      <c r="C35">
        <v>318</v>
      </c>
      <c r="D35">
        <v>210</v>
      </c>
      <c r="E35">
        <v>4382</v>
      </c>
      <c r="F35">
        <v>13.5</v>
      </c>
      <c r="G35">
        <v>70</v>
      </c>
      <c r="H35" t="s">
        <v>940</v>
      </c>
      <c r="I35" t="s">
        <v>1023</v>
      </c>
      <c r="J35" t="s">
        <v>980</v>
      </c>
      <c r="K35" t="s">
        <v>1024</v>
      </c>
      <c r="L35" t="b">
        <f>Data_Completeness(MileageData[[#This Row],[MPG]:[Acceleration]])</f>
        <v>1</v>
      </c>
    </row>
    <row r="36" spans="1:12" x14ac:dyDescent="0.25">
      <c r="A36">
        <v>9</v>
      </c>
      <c r="B36">
        <v>8</v>
      </c>
      <c r="C36">
        <v>304</v>
      </c>
      <c r="D36">
        <v>193</v>
      </c>
      <c r="E36">
        <v>4732</v>
      </c>
      <c r="F36">
        <v>18.5</v>
      </c>
      <c r="G36">
        <v>70</v>
      </c>
      <c r="H36" t="s">
        <v>940</v>
      </c>
      <c r="I36" t="s">
        <v>1025</v>
      </c>
      <c r="J36" t="s">
        <v>1026</v>
      </c>
      <c r="K36" t="s">
        <v>1027</v>
      </c>
      <c r="L36" t="b">
        <f>Data_Completeness(MileageData[[#This Row],[MPG]:[Acceleration]])</f>
        <v>1</v>
      </c>
    </row>
    <row r="37" spans="1:12" x14ac:dyDescent="0.25">
      <c r="A37">
        <v>27</v>
      </c>
      <c r="B37">
        <v>4</v>
      </c>
      <c r="C37">
        <v>97</v>
      </c>
      <c r="D37">
        <v>88</v>
      </c>
      <c r="E37">
        <v>2130</v>
      </c>
      <c r="F37">
        <v>14.5</v>
      </c>
      <c r="G37">
        <v>71</v>
      </c>
      <c r="H37" t="s">
        <v>990</v>
      </c>
      <c r="I37" t="s">
        <v>1000</v>
      </c>
      <c r="J37" t="s">
        <v>1001</v>
      </c>
      <c r="K37" t="s">
        <v>1002</v>
      </c>
      <c r="L37" t="b">
        <f>Data_Completeness(MileageData[[#This Row],[MPG]:[Acceleration]])</f>
        <v>1</v>
      </c>
    </row>
    <row r="38" spans="1:12" x14ac:dyDescent="0.25">
      <c r="A38">
        <v>28</v>
      </c>
      <c r="B38">
        <v>4</v>
      </c>
      <c r="C38">
        <v>140</v>
      </c>
      <c r="D38">
        <v>90</v>
      </c>
      <c r="E38">
        <v>2264</v>
      </c>
      <c r="F38">
        <v>15.5</v>
      </c>
      <c r="G38">
        <v>71</v>
      </c>
      <c r="H38" t="s">
        <v>940</v>
      </c>
      <c r="I38" t="s">
        <v>1028</v>
      </c>
      <c r="J38" t="s">
        <v>942</v>
      </c>
      <c r="K38" t="s">
        <v>1029</v>
      </c>
      <c r="L38" t="b">
        <f>Data_Completeness(MileageData[[#This Row],[MPG]:[Acceleration]])</f>
        <v>1</v>
      </c>
    </row>
    <row r="39" spans="1:12" x14ac:dyDescent="0.25">
      <c r="A39">
        <v>25</v>
      </c>
      <c r="B39">
        <v>4</v>
      </c>
      <c r="C39">
        <v>113</v>
      </c>
      <c r="D39">
        <v>95</v>
      </c>
      <c r="E39">
        <v>2228</v>
      </c>
      <c r="F39">
        <v>14</v>
      </c>
      <c r="G39">
        <v>71</v>
      </c>
      <c r="H39" t="s">
        <v>990</v>
      </c>
      <c r="I39" t="s">
        <v>1030</v>
      </c>
      <c r="J39" t="s">
        <v>992</v>
      </c>
      <c r="K39" t="s">
        <v>1031</v>
      </c>
      <c r="L39" t="b">
        <f>Data_Completeness(MileageData[[#This Row],[MPG]:[Acceleration]])</f>
        <v>1</v>
      </c>
    </row>
    <row r="40" spans="1:12" x14ac:dyDescent="0.25">
      <c r="A40">
        <v>25</v>
      </c>
      <c r="B40">
        <v>4</v>
      </c>
      <c r="C40">
        <v>98</v>
      </c>
      <c r="E40">
        <v>2046</v>
      </c>
      <c r="F40">
        <v>19</v>
      </c>
      <c r="G40">
        <v>71</v>
      </c>
      <c r="H40" t="s">
        <v>940</v>
      </c>
      <c r="I40" t="s">
        <v>1032</v>
      </c>
      <c r="J40" t="s">
        <v>954</v>
      </c>
      <c r="K40" t="s">
        <v>1033</v>
      </c>
      <c r="L40" t="b">
        <f>Data_Completeness(MileageData[[#This Row],[MPG]:[Acceleration]])</f>
        <v>0</v>
      </c>
    </row>
    <row r="41" spans="1:12" x14ac:dyDescent="0.25">
      <c r="B41">
        <v>4</v>
      </c>
      <c r="C41">
        <v>97</v>
      </c>
      <c r="D41">
        <v>48</v>
      </c>
      <c r="E41">
        <v>1978</v>
      </c>
      <c r="F41">
        <v>20</v>
      </c>
      <c r="G41">
        <v>71</v>
      </c>
      <c r="H41" t="s">
        <v>967</v>
      </c>
      <c r="I41" t="s">
        <v>1034</v>
      </c>
      <c r="J41" t="s">
        <v>1004</v>
      </c>
      <c r="K41" t="s">
        <v>1035</v>
      </c>
      <c r="L41" t="b">
        <f>Data_Completeness(MileageData[[#This Row],[MPG]:[Acceleration]])</f>
        <v>0</v>
      </c>
    </row>
    <row r="42" spans="1:12" x14ac:dyDescent="0.25">
      <c r="A42">
        <v>19</v>
      </c>
      <c r="B42">
        <v>6</v>
      </c>
      <c r="C42">
        <v>232</v>
      </c>
      <c r="D42">
        <v>100</v>
      </c>
      <c r="E42">
        <v>2634</v>
      </c>
      <c r="F42">
        <v>13</v>
      </c>
      <c r="G42">
        <v>71</v>
      </c>
      <c r="H42" t="s">
        <v>940</v>
      </c>
      <c r="I42" t="s">
        <v>1016</v>
      </c>
      <c r="J42" t="s">
        <v>951</v>
      </c>
      <c r="K42" t="s">
        <v>1017</v>
      </c>
      <c r="L42" t="b">
        <f>Data_Completeness(MileageData[[#This Row],[MPG]:[Acceleration]])</f>
        <v>1</v>
      </c>
    </row>
    <row r="43" spans="1:12" x14ac:dyDescent="0.25">
      <c r="A43">
        <v>16</v>
      </c>
      <c r="B43">
        <v>6</v>
      </c>
      <c r="C43">
        <v>225</v>
      </c>
      <c r="D43">
        <v>105</v>
      </c>
      <c r="E43">
        <v>3439</v>
      </c>
      <c r="F43">
        <v>15.5</v>
      </c>
      <c r="G43">
        <v>71</v>
      </c>
      <c r="H43" t="s">
        <v>940</v>
      </c>
      <c r="I43" t="s">
        <v>1036</v>
      </c>
      <c r="J43" t="s">
        <v>948</v>
      </c>
      <c r="K43" t="s">
        <v>1037</v>
      </c>
      <c r="L43" t="b">
        <f>Data_Completeness(MileageData[[#This Row],[MPG]:[Acceleration]])</f>
        <v>1</v>
      </c>
    </row>
    <row r="44" spans="1:12" x14ac:dyDescent="0.25">
      <c r="A44">
        <v>17</v>
      </c>
      <c r="B44">
        <v>6</v>
      </c>
      <c r="C44">
        <v>250</v>
      </c>
      <c r="D44">
        <v>100</v>
      </c>
      <c r="E44">
        <v>3329</v>
      </c>
      <c r="F44">
        <v>15.5</v>
      </c>
      <c r="G44">
        <v>71</v>
      </c>
      <c r="H44" t="s">
        <v>940</v>
      </c>
      <c r="I44" t="s">
        <v>941</v>
      </c>
      <c r="J44" t="s">
        <v>942</v>
      </c>
      <c r="K44" t="s">
        <v>943</v>
      </c>
      <c r="L44" t="b">
        <f>Data_Completeness(MileageData[[#This Row],[MPG]:[Acceleration]])</f>
        <v>1</v>
      </c>
    </row>
    <row r="45" spans="1:12" x14ac:dyDescent="0.25">
      <c r="A45">
        <v>19</v>
      </c>
      <c r="B45">
        <v>6</v>
      </c>
      <c r="C45">
        <v>250</v>
      </c>
      <c r="D45">
        <v>88</v>
      </c>
      <c r="E45">
        <v>3302</v>
      </c>
      <c r="F45">
        <v>15.5</v>
      </c>
      <c r="G45">
        <v>71</v>
      </c>
      <c r="H45" t="s">
        <v>940</v>
      </c>
      <c r="I45" t="s">
        <v>1038</v>
      </c>
      <c r="J45" t="s">
        <v>954</v>
      </c>
      <c r="K45" t="s">
        <v>1039</v>
      </c>
      <c r="L45" t="b">
        <f>Data_Completeness(MileageData[[#This Row],[MPG]:[Acceleration]])</f>
        <v>1</v>
      </c>
    </row>
    <row r="46" spans="1:12" x14ac:dyDescent="0.25">
      <c r="A46">
        <v>18</v>
      </c>
      <c r="B46">
        <v>6</v>
      </c>
      <c r="C46">
        <v>232</v>
      </c>
      <c r="D46">
        <v>100</v>
      </c>
      <c r="E46">
        <v>3288</v>
      </c>
      <c r="F46">
        <v>15.5</v>
      </c>
      <c r="G46">
        <v>71</v>
      </c>
      <c r="H46" t="s">
        <v>940</v>
      </c>
      <c r="I46" t="s">
        <v>1040</v>
      </c>
      <c r="J46" t="s">
        <v>951</v>
      </c>
      <c r="K46" t="s">
        <v>1041</v>
      </c>
      <c r="L46" t="b">
        <f>Data_Completeness(MileageData[[#This Row],[MPG]:[Acceleration]])</f>
        <v>1</v>
      </c>
    </row>
    <row r="47" spans="1:12" x14ac:dyDescent="0.25">
      <c r="A47">
        <v>14</v>
      </c>
      <c r="B47">
        <v>8</v>
      </c>
      <c r="C47">
        <v>350</v>
      </c>
      <c r="D47">
        <v>165</v>
      </c>
      <c r="E47">
        <v>4209</v>
      </c>
      <c r="F47">
        <v>12</v>
      </c>
      <c r="G47">
        <v>71</v>
      </c>
      <c r="H47" t="s">
        <v>940</v>
      </c>
      <c r="I47" t="s">
        <v>958</v>
      </c>
      <c r="J47" t="s">
        <v>942</v>
      </c>
      <c r="K47" t="s">
        <v>959</v>
      </c>
      <c r="L47" t="b">
        <f>Data_Completeness(MileageData[[#This Row],[MPG]:[Acceleration]])</f>
        <v>1</v>
      </c>
    </row>
    <row r="48" spans="1:12" x14ac:dyDescent="0.25">
      <c r="A48">
        <v>14</v>
      </c>
      <c r="B48">
        <v>8</v>
      </c>
      <c r="C48">
        <v>400</v>
      </c>
      <c r="D48">
        <v>175</v>
      </c>
      <c r="E48">
        <v>4464</v>
      </c>
      <c r="F48">
        <v>11.5</v>
      </c>
      <c r="G48">
        <v>71</v>
      </c>
      <c r="H48" t="s">
        <v>940</v>
      </c>
      <c r="I48" t="s">
        <v>1042</v>
      </c>
      <c r="J48" t="s">
        <v>963</v>
      </c>
      <c r="K48" t="s">
        <v>1043</v>
      </c>
      <c r="L48" t="b">
        <f>Data_Completeness(MileageData[[#This Row],[MPG]:[Acceleration]])</f>
        <v>1</v>
      </c>
    </row>
    <row r="49" spans="1:12" x14ac:dyDescent="0.25">
      <c r="A49">
        <v>14</v>
      </c>
      <c r="B49">
        <v>8</v>
      </c>
      <c r="C49">
        <v>351</v>
      </c>
      <c r="D49">
        <v>153</v>
      </c>
      <c r="E49">
        <v>4154</v>
      </c>
      <c r="F49">
        <v>13.5</v>
      </c>
      <c r="G49">
        <v>71</v>
      </c>
      <c r="H49" t="s">
        <v>940</v>
      </c>
      <c r="I49" t="s">
        <v>956</v>
      </c>
      <c r="J49" t="s">
        <v>954</v>
      </c>
      <c r="K49" t="s">
        <v>957</v>
      </c>
      <c r="L49" t="b">
        <f>Data_Completeness(MileageData[[#This Row],[MPG]:[Acceleration]])</f>
        <v>1</v>
      </c>
    </row>
    <row r="50" spans="1:12" x14ac:dyDescent="0.25">
      <c r="A50">
        <v>14</v>
      </c>
      <c r="B50">
        <v>8</v>
      </c>
      <c r="C50">
        <v>318</v>
      </c>
      <c r="D50">
        <v>150</v>
      </c>
      <c r="E50">
        <v>4096</v>
      </c>
      <c r="F50">
        <v>13</v>
      </c>
      <c r="G50">
        <v>71</v>
      </c>
      <c r="H50" t="s">
        <v>940</v>
      </c>
      <c r="I50" t="s">
        <v>960</v>
      </c>
      <c r="J50" t="s">
        <v>948</v>
      </c>
      <c r="K50" t="s">
        <v>961</v>
      </c>
      <c r="L50" t="b">
        <f>Data_Completeness(MileageData[[#This Row],[MPG]:[Acceleration]])</f>
        <v>1</v>
      </c>
    </row>
    <row r="51" spans="1:12" x14ac:dyDescent="0.25">
      <c r="A51">
        <v>12</v>
      </c>
      <c r="B51">
        <v>8</v>
      </c>
      <c r="C51">
        <v>383</v>
      </c>
      <c r="D51">
        <v>180</v>
      </c>
      <c r="E51">
        <v>4955</v>
      </c>
      <c r="F51">
        <v>11.5</v>
      </c>
      <c r="G51">
        <v>71</v>
      </c>
      <c r="H51" t="s">
        <v>940</v>
      </c>
      <c r="I51" t="s">
        <v>1044</v>
      </c>
      <c r="J51" t="s">
        <v>980</v>
      </c>
      <c r="K51" t="s">
        <v>1045</v>
      </c>
      <c r="L51" t="b">
        <f>Data_Completeness(MileageData[[#This Row],[MPG]:[Acceleration]])</f>
        <v>1</v>
      </c>
    </row>
    <row r="52" spans="1:12" x14ac:dyDescent="0.25">
      <c r="A52">
        <v>13</v>
      </c>
      <c r="B52">
        <v>8</v>
      </c>
      <c r="C52">
        <v>400</v>
      </c>
      <c r="D52">
        <v>170</v>
      </c>
      <c r="E52">
        <v>4746</v>
      </c>
      <c r="F52">
        <v>12</v>
      </c>
      <c r="G52">
        <v>71</v>
      </c>
      <c r="H52" t="s">
        <v>940</v>
      </c>
      <c r="I52" t="s">
        <v>1046</v>
      </c>
      <c r="J52" t="s">
        <v>954</v>
      </c>
      <c r="K52" t="s">
        <v>1047</v>
      </c>
      <c r="L52" t="b">
        <f>Data_Completeness(MileageData[[#This Row],[MPG]:[Acceleration]])</f>
        <v>1</v>
      </c>
    </row>
    <row r="53" spans="1:12" x14ac:dyDescent="0.25">
      <c r="A53">
        <v>13</v>
      </c>
      <c r="B53">
        <v>8</v>
      </c>
      <c r="C53">
        <v>400</v>
      </c>
      <c r="D53">
        <v>175</v>
      </c>
      <c r="E53">
        <v>5140</v>
      </c>
      <c r="F53">
        <v>12</v>
      </c>
      <c r="G53">
        <v>71</v>
      </c>
      <c r="H53" t="s">
        <v>940</v>
      </c>
      <c r="I53" t="s">
        <v>1048</v>
      </c>
      <c r="J53" t="s">
        <v>963</v>
      </c>
      <c r="K53" t="s">
        <v>1049</v>
      </c>
      <c r="L53" t="b">
        <f>Data_Completeness(MileageData[[#This Row],[MPG]:[Acceleration]])</f>
        <v>1</v>
      </c>
    </row>
    <row r="54" spans="1:12" x14ac:dyDescent="0.25">
      <c r="A54">
        <v>18</v>
      </c>
      <c r="B54">
        <v>6</v>
      </c>
      <c r="C54">
        <v>258</v>
      </c>
      <c r="D54">
        <v>110</v>
      </c>
      <c r="E54">
        <v>2962</v>
      </c>
      <c r="F54">
        <v>13.5</v>
      </c>
      <c r="G54">
        <v>71</v>
      </c>
      <c r="H54" t="s">
        <v>940</v>
      </c>
      <c r="I54" t="s">
        <v>1050</v>
      </c>
      <c r="J54" t="s">
        <v>951</v>
      </c>
      <c r="K54" t="s">
        <v>1051</v>
      </c>
      <c r="L54" t="b">
        <f>Data_Completeness(MileageData[[#This Row],[MPG]:[Acceleration]])</f>
        <v>1</v>
      </c>
    </row>
    <row r="55" spans="1:12" x14ac:dyDescent="0.25">
      <c r="A55">
        <v>22</v>
      </c>
      <c r="B55">
        <v>4</v>
      </c>
      <c r="C55">
        <v>140</v>
      </c>
      <c r="D55">
        <v>72</v>
      </c>
      <c r="E55">
        <v>2408</v>
      </c>
      <c r="F55">
        <v>19</v>
      </c>
      <c r="G55">
        <v>71</v>
      </c>
      <c r="H55" t="s">
        <v>940</v>
      </c>
      <c r="I55" t="s">
        <v>1052</v>
      </c>
      <c r="J55" t="s">
        <v>942</v>
      </c>
      <c r="K55" t="s">
        <v>1053</v>
      </c>
      <c r="L55" t="b">
        <f>Data_Completeness(MileageData[[#This Row],[MPG]:[Acceleration]])</f>
        <v>1</v>
      </c>
    </row>
    <row r="56" spans="1:12" x14ac:dyDescent="0.25">
      <c r="A56">
        <v>19</v>
      </c>
      <c r="B56">
        <v>6</v>
      </c>
      <c r="C56">
        <v>250</v>
      </c>
      <c r="D56">
        <v>100</v>
      </c>
      <c r="E56">
        <v>3282</v>
      </c>
      <c r="F56">
        <v>15</v>
      </c>
      <c r="G56">
        <v>71</v>
      </c>
      <c r="H56" t="s">
        <v>940</v>
      </c>
      <c r="I56" t="s">
        <v>1054</v>
      </c>
      <c r="J56" t="s">
        <v>963</v>
      </c>
      <c r="K56" t="s">
        <v>1055</v>
      </c>
      <c r="L56" t="b">
        <f>Data_Completeness(MileageData[[#This Row],[MPG]:[Acceleration]])</f>
        <v>1</v>
      </c>
    </row>
    <row r="57" spans="1:12" x14ac:dyDescent="0.25">
      <c r="A57">
        <v>18</v>
      </c>
      <c r="B57">
        <v>6</v>
      </c>
      <c r="C57">
        <v>250</v>
      </c>
      <c r="D57">
        <v>88</v>
      </c>
      <c r="E57">
        <v>3139</v>
      </c>
      <c r="F57">
        <v>14.5</v>
      </c>
      <c r="G57">
        <v>71</v>
      </c>
      <c r="H57" t="s">
        <v>940</v>
      </c>
      <c r="I57" t="s">
        <v>1056</v>
      </c>
      <c r="J57" t="s">
        <v>954</v>
      </c>
      <c r="K57" t="s">
        <v>1057</v>
      </c>
      <c r="L57" t="b">
        <f>Data_Completeness(MileageData[[#This Row],[MPG]:[Acceleration]])</f>
        <v>1</v>
      </c>
    </row>
    <row r="58" spans="1:12" x14ac:dyDescent="0.25">
      <c r="A58">
        <v>23</v>
      </c>
      <c r="B58">
        <v>4</v>
      </c>
      <c r="C58">
        <v>122</v>
      </c>
      <c r="D58">
        <v>86</v>
      </c>
      <c r="E58">
        <v>2220</v>
      </c>
      <c r="F58">
        <v>14</v>
      </c>
      <c r="G58">
        <v>71</v>
      </c>
      <c r="H58" t="s">
        <v>940</v>
      </c>
      <c r="I58" t="s">
        <v>1058</v>
      </c>
      <c r="J58" t="s">
        <v>1059</v>
      </c>
      <c r="K58" t="s">
        <v>1060</v>
      </c>
      <c r="L58" t="b">
        <f>Data_Completeness(MileageData[[#This Row],[MPG]:[Acceleration]])</f>
        <v>1</v>
      </c>
    </row>
    <row r="59" spans="1:12" x14ac:dyDescent="0.25">
      <c r="A59">
        <v>28</v>
      </c>
      <c r="B59">
        <v>4</v>
      </c>
      <c r="C59">
        <v>116</v>
      </c>
      <c r="D59">
        <v>90</v>
      </c>
      <c r="E59">
        <v>2123</v>
      </c>
      <c r="F59">
        <v>14</v>
      </c>
      <c r="G59">
        <v>71</v>
      </c>
      <c r="H59" t="s">
        <v>967</v>
      </c>
      <c r="I59" t="s">
        <v>1061</v>
      </c>
      <c r="J59" t="s">
        <v>1062</v>
      </c>
      <c r="K59">
        <v>1900</v>
      </c>
      <c r="L59" t="b">
        <f>Data_Completeness(MileageData[[#This Row],[MPG]:[Acceleration]])</f>
        <v>1</v>
      </c>
    </row>
    <row r="60" spans="1:12" x14ac:dyDescent="0.25">
      <c r="A60">
        <v>30</v>
      </c>
      <c r="B60">
        <v>4</v>
      </c>
      <c r="C60">
        <v>79</v>
      </c>
      <c r="D60">
        <v>70</v>
      </c>
      <c r="E60">
        <v>2074</v>
      </c>
      <c r="F60">
        <v>19.5</v>
      </c>
      <c r="G60">
        <v>71</v>
      </c>
      <c r="H60" t="s">
        <v>967</v>
      </c>
      <c r="I60" t="s">
        <v>1063</v>
      </c>
      <c r="J60" t="s">
        <v>1007</v>
      </c>
      <c r="K60">
        <v>304</v>
      </c>
      <c r="L60" t="b">
        <f>Data_Completeness(MileageData[[#This Row],[MPG]:[Acceleration]])</f>
        <v>1</v>
      </c>
    </row>
    <row r="61" spans="1:12" x14ac:dyDescent="0.25">
      <c r="A61">
        <v>30</v>
      </c>
      <c r="B61">
        <v>4</v>
      </c>
      <c r="C61">
        <v>88</v>
      </c>
      <c r="D61">
        <v>76</v>
      </c>
      <c r="E61">
        <v>2065</v>
      </c>
      <c r="F61">
        <v>14.5</v>
      </c>
      <c r="G61">
        <v>71</v>
      </c>
      <c r="H61" t="s">
        <v>967</v>
      </c>
      <c r="I61" t="s">
        <v>1064</v>
      </c>
      <c r="J61" t="s">
        <v>1065</v>
      </c>
      <c r="K61" t="s">
        <v>1066</v>
      </c>
      <c r="L61" t="b">
        <f>Data_Completeness(MileageData[[#This Row],[MPG]:[Acceleration]])</f>
        <v>1</v>
      </c>
    </row>
    <row r="62" spans="1:12" x14ac:dyDescent="0.25">
      <c r="A62">
        <v>31</v>
      </c>
      <c r="B62">
        <v>4</v>
      </c>
      <c r="C62">
        <v>71</v>
      </c>
      <c r="D62">
        <v>65</v>
      </c>
      <c r="E62">
        <v>1773</v>
      </c>
      <c r="F62">
        <v>19</v>
      </c>
      <c r="G62">
        <v>71</v>
      </c>
      <c r="H62" t="s">
        <v>990</v>
      </c>
      <c r="I62" t="s">
        <v>1067</v>
      </c>
      <c r="J62" t="s">
        <v>992</v>
      </c>
      <c r="K62" t="s">
        <v>1068</v>
      </c>
      <c r="L62" t="b">
        <f>Data_Completeness(MileageData[[#This Row],[MPG]:[Acceleration]])</f>
        <v>1</v>
      </c>
    </row>
    <row r="63" spans="1:12" x14ac:dyDescent="0.25">
      <c r="A63">
        <v>35</v>
      </c>
      <c r="B63">
        <v>4</v>
      </c>
      <c r="C63">
        <v>72</v>
      </c>
      <c r="D63">
        <v>69</v>
      </c>
      <c r="E63">
        <v>1613</v>
      </c>
      <c r="F63">
        <v>18</v>
      </c>
      <c r="G63">
        <v>71</v>
      </c>
      <c r="H63" t="s">
        <v>990</v>
      </c>
      <c r="I63" t="s">
        <v>1069</v>
      </c>
      <c r="J63" t="s">
        <v>1001</v>
      </c>
      <c r="K63">
        <v>1200</v>
      </c>
      <c r="L63" t="b">
        <f>Data_Completeness(MileageData[[#This Row],[MPG]:[Acceleration]])</f>
        <v>1</v>
      </c>
    </row>
    <row r="64" spans="1:12" x14ac:dyDescent="0.25">
      <c r="A64">
        <v>27</v>
      </c>
      <c r="B64">
        <v>4</v>
      </c>
      <c r="C64">
        <v>97</v>
      </c>
      <c r="D64">
        <v>60</v>
      </c>
      <c r="E64">
        <v>1834</v>
      </c>
      <c r="F64">
        <v>19</v>
      </c>
      <c r="G64">
        <v>71</v>
      </c>
      <c r="H64" t="s">
        <v>967</v>
      </c>
      <c r="I64" t="s">
        <v>1070</v>
      </c>
      <c r="J64" t="s">
        <v>1004</v>
      </c>
      <c r="K64" t="s">
        <v>1071</v>
      </c>
      <c r="L64" t="b">
        <f>Data_Completeness(MileageData[[#This Row],[MPG]:[Acceleration]])</f>
        <v>1</v>
      </c>
    </row>
    <row r="65" spans="1:12" x14ac:dyDescent="0.25">
      <c r="A65">
        <v>26</v>
      </c>
      <c r="B65">
        <v>4</v>
      </c>
      <c r="C65">
        <v>91</v>
      </c>
      <c r="D65">
        <v>70</v>
      </c>
      <c r="E65">
        <v>1955</v>
      </c>
      <c r="F65">
        <v>20.5</v>
      </c>
      <c r="G65">
        <v>71</v>
      </c>
      <c r="H65" t="s">
        <v>940</v>
      </c>
      <c r="I65" t="s">
        <v>1072</v>
      </c>
      <c r="J65" t="s">
        <v>948</v>
      </c>
      <c r="K65" t="s">
        <v>1073</v>
      </c>
      <c r="L65" t="b">
        <f>Data_Completeness(MileageData[[#This Row],[MPG]:[Acceleration]])</f>
        <v>1</v>
      </c>
    </row>
    <row r="66" spans="1:12" x14ac:dyDescent="0.25">
      <c r="A66">
        <v>24</v>
      </c>
      <c r="B66">
        <v>4</v>
      </c>
      <c r="C66">
        <v>113</v>
      </c>
      <c r="D66">
        <v>95</v>
      </c>
      <c r="E66">
        <v>2278</v>
      </c>
      <c r="F66">
        <v>15.5</v>
      </c>
      <c r="G66">
        <v>72</v>
      </c>
      <c r="H66" t="s">
        <v>990</v>
      </c>
      <c r="I66" t="s">
        <v>1074</v>
      </c>
      <c r="J66" t="s">
        <v>992</v>
      </c>
      <c r="K66" t="s">
        <v>1075</v>
      </c>
      <c r="L66" t="b">
        <f>Data_Completeness(MileageData[[#This Row],[MPG]:[Acceleration]])</f>
        <v>1</v>
      </c>
    </row>
    <row r="67" spans="1:12" x14ac:dyDescent="0.25">
      <c r="A67">
        <v>25</v>
      </c>
      <c r="B67">
        <v>4</v>
      </c>
      <c r="C67">
        <v>97.5</v>
      </c>
      <c r="D67">
        <v>80</v>
      </c>
      <c r="E67">
        <v>2126</v>
      </c>
      <c r="F67">
        <v>17</v>
      </c>
      <c r="G67">
        <v>72</v>
      </c>
      <c r="H67" t="s">
        <v>940</v>
      </c>
      <c r="I67" t="s">
        <v>1076</v>
      </c>
      <c r="J67" t="s">
        <v>980</v>
      </c>
      <c r="K67" t="s">
        <v>1077</v>
      </c>
      <c r="L67" t="b">
        <f>Data_Completeness(MileageData[[#This Row],[MPG]:[Acceleration]])</f>
        <v>1</v>
      </c>
    </row>
    <row r="68" spans="1:12" x14ac:dyDescent="0.25">
      <c r="A68">
        <v>23</v>
      </c>
      <c r="B68">
        <v>4</v>
      </c>
      <c r="C68">
        <v>97</v>
      </c>
      <c r="D68">
        <v>54</v>
      </c>
      <c r="E68">
        <v>2254</v>
      </c>
      <c r="F68">
        <v>23.5</v>
      </c>
      <c r="G68">
        <v>72</v>
      </c>
      <c r="H68" t="s">
        <v>967</v>
      </c>
      <c r="I68" t="s">
        <v>1078</v>
      </c>
      <c r="J68" t="s">
        <v>1004</v>
      </c>
      <c r="K68" t="s">
        <v>1079</v>
      </c>
      <c r="L68" t="b">
        <f>Data_Completeness(MileageData[[#This Row],[MPG]:[Acceleration]])</f>
        <v>1</v>
      </c>
    </row>
    <row r="69" spans="1:12" x14ac:dyDescent="0.25">
      <c r="A69">
        <v>20</v>
      </c>
      <c r="B69">
        <v>4</v>
      </c>
      <c r="C69">
        <v>140</v>
      </c>
      <c r="D69">
        <v>90</v>
      </c>
      <c r="E69">
        <v>2408</v>
      </c>
      <c r="F69">
        <v>19.5</v>
      </c>
      <c r="G69">
        <v>72</v>
      </c>
      <c r="H69" t="s">
        <v>940</v>
      </c>
      <c r="I69" t="s">
        <v>1080</v>
      </c>
      <c r="J69" t="s">
        <v>942</v>
      </c>
      <c r="K69" t="s">
        <v>1081</v>
      </c>
      <c r="L69" t="b">
        <f>Data_Completeness(MileageData[[#This Row],[MPG]:[Acceleration]])</f>
        <v>1</v>
      </c>
    </row>
    <row r="70" spans="1:12" x14ac:dyDescent="0.25">
      <c r="A70">
        <v>21</v>
      </c>
      <c r="B70">
        <v>4</v>
      </c>
      <c r="C70">
        <v>122</v>
      </c>
      <c r="D70">
        <v>86</v>
      </c>
      <c r="E70">
        <v>2226</v>
      </c>
      <c r="F70">
        <v>16.5</v>
      </c>
      <c r="G70">
        <v>72</v>
      </c>
      <c r="H70" t="s">
        <v>940</v>
      </c>
      <c r="I70" t="s">
        <v>1082</v>
      </c>
      <c r="J70" t="s">
        <v>954</v>
      </c>
      <c r="K70" t="s">
        <v>1083</v>
      </c>
      <c r="L70" t="b">
        <f>Data_Completeness(MileageData[[#This Row],[MPG]:[Acceleration]])</f>
        <v>1</v>
      </c>
    </row>
    <row r="71" spans="1:12" x14ac:dyDescent="0.25">
      <c r="A71">
        <v>13</v>
      </c>
      <c r="B71">
        <v>8</v>
      </c>
      <c r="C71">
        <v>350</v>
      </c>
      <c r="D71">
        <v>165</v>
      </c>
      <c r="E71">
        <v>4274</v>
      </c>
      <c r="F71">
        <v>12</v>
      </c>
      <c r="G71">
        <v>72</v>
      </c>
      <c r="H71" t="s">
        <v>940</v>
      </c>
      <c r="I71" t="s">
        <v>958</v>
      </c>
      <c r="J71" t="s">
        <v>942</v>
      </c>
      <c r="K71" t="s">
        <v>959</v>
      </c>
      <c r="L71" t="b">
        <f>Data_Completeness(MileageData[[#This Row],[MPG]:[Acceleration]])</f>
        <v>1</v>
      </c>
    </row>
    <row r="72" spans="1:12" x14ac:dyDescent="0.25">
      <c r="A72">
        <v>14</v>
      </c>
      <c r="B72">
        <v>8</v>
      </c>
      <c r="C72">
        <v>400</v>
      </c>
      <c r="D72">
        <v>175</v>
      </c>
      <c r="E72">
        <v>4385</v>
      </c>
      <c r="F72">
        <v>12</v>
      </c>
      <c r="G72">
        <v>72</v>
      </c>
      <c r="H72" t="s">
        <v>940</v>
      </c>
      <c r="I72" t="s">
        <v>962</v>
      </c>
      <c r="J72" t="s">
        <v>963</v>
      </c>
      <c r="K72" t="s">
        <v>964</v>
      </c>
      <c r="L72" t="b">
        <f>Data_Completeness(MileageData[[#This Row],[MPG]:[Acceleration]])</f>
        <v>1</v>
      </c>
    </row>
    <row r="73" spans="1:12" x14ac:dyDescent="0.25">
      <c r="A73">
        <v>15</v>
      </c>
      <c r="B73">
        <v>8</v>
      </c>
      <c r="C73">
        <v>318</v>
      </c>
      <c r="D73">
        <v>150</v>
      </c>
      <c r="E73">
        <v>4135</v>
      </c>
      <c r="F73">
        <v>13.5</v>
      </c>
      <c r="G73">
        <v>72</v>
      </c>
      <c r="H73" t="s">
        <v>940</v>
      </c>
      <c r="I73" t="s">
        <v>960</v>
      </c>
      <c r="J73" t="s">
        <v>948</v>
      </c>
      <c r="K73" t="s">
        <v>961</v>
      </c>
      <c r="L73" t="b">
        <f>Data_Completeness(MileageData[[#This Row],[MPG]:[Acceleration]])</f>
        <v>1</v>
      </c>
    </row>
    <row r="74" spans="1:12" x14ac:dyDescent="0.25">
      <c r="A74">
        <v>14</v>
      </c>
      <c r="B74">
        <v>8</v>
      </c>
      <c r="C74">
        <v>351</v>
      </c>
      <c r="D74">
        <v>153</v>
      </c>
      <c r="E74">
        <v>4129</v>
      </c>
      <c r="F74">
        <v>13</v>
      </c>
      <c r="G74">
        <v>72</v>
      </c>
      <c r="H74" t="s">
        <v>940</v>
      </c>
      <c r="I74" t="s">
        <v>956</v>
      </c>
      <c r="J74" t="s">
        <v>954</v>
      </c>
      <c r="K74" t="s">
        <v>957</v>
      </c>
      <c r="L74" t="b">
        <f>Data_Completeness(MileageData[[#This Row],[MPG]:[Acceleration]])</f>
        <v>1</v>
      </c>
    </row>
    <row r="75" spans="1:12" x14ac:dyDescent="0.25">
      <c r="A75">
        <v>17</v>
      </c>
      <c r="B75">
        <v>8</v>
      </c>
      <c r="C75">
        <v>304</v>
      </c>
      <c r="D75">
        <v>150</v>
      </c>
      <c r="E75">
        <v>3672</v>
      </c>
      <c r="F75">
        <v>11.5</v>
      </c>
      <c r="G75">
        <v>72</v>
      </c>
      <c r="H75" t="s">
        <v>940</v>
      </c>
      <c r="I75" t="s">
        <v>1084</v>
      </c>
      <c r="J75" t="s">
        <v>951</v>
      </c>
      <c r="K75" t="s">
        <v>1085</v>
      </c>
      <c r="L75" t="b">
        <f>Data_Completeness(MileageData[[#This Row],[MPG]:[Acceleration]])</f>
        <v>1</v>
      </c>
    </row>
    <row r="76" spans="1:12" x14ac:dyDescent="0.25">
      <c r="A76">
        <v>11</v>
      </c>
      <c r="B76">
        <v>8</v>
      </c>
      <c r="C76">
        <v>429</v>
      </c>
      <c r="D76">
        <v>208</v>
      </c>
      <c r="E76">
        <v>4633</v>
      </c>
      <c r="F76">
        <v>11</v>
      </c>
      <c r="G76">
        <v>72</v>
      </c>
      <c r="H76" t="s">
        <v>940</v>
      </c>
      <c r="I76" t="s">
        <v>1086</v>
      </c>
      <c r="J76" t="s">
        <v>1059</v>
      </c>
      <c r="K76" t="s">
        <v>1087</v>
      </c>
      <c r="L76" t="b">
        <f>Data_Completeness(MileageData[[#This Row],[MPG]:[Acceleration]])</f>
        <v>1</v>
      </c>
    </row>
    <row r="77" spans="1:12" x14ac:dyDescent="0.25">
      <c r="A77">
        <v>13</v>
      </c>
      <c r="B77">
        <v>8</v>
      </c>
      <c r="C77">
        <v>350</v>
      </c>
      <c r="D77">
        <v>155</v>
      </c>
      <c r="E77">
        <v>4502</v>
      </c>
      <c r="F77">
        <v>13.5</v>
      </c>
      <c r="G77">
        <v>72</v>
      </c>
      <c r="H77" t="s">
        <v>940</v>
      </c>
      <c r="I77" t="s">
        <v>1088</v>
      </c>
      <c r="J77" t="s">
        <v>945</v>
      </c>
      <c r="K77" t="s">
        <v>1089</v>
      </c>
      <c r="L77" t="b">
        <f>Data_Completeness(MileageData[[#This Row],[MPG]:[Acceleration]])</f>
        <v>1</v>
      </c>
    </row>
    <row r="78" spans="1:12" x14ac:dyDescent="0.25">
      <c r="A78">
        <v>12</v>
      </c>
      <c r="B78">
        <v>8</v>
      </c>
      <c r="C78">
        <v>350</v>
      </c>
      <c r="D78">
        <v>160</v>
      </c>
      <c r="E78">
        <v>4456</v>
      </c>
      <c r="F78">
        <v>13.5</v>
      </c>
      <c r="G78">
        <v>72</v>
      </c>
      <c r="H78" t="s">
        <v>940</v>
      </c>
      <c r="I78" t="s">
        <v>1090</v>
      </c>
      <c r="J78" t="s">
        <v>1091</v>
      </c>
      <c r="K78" t="s">
        <v>1092</v>
      </c>
      <c r="L78" t="b">
        <f>Data_Completeness(MileageData[[#This Row],[MPG]:[Acceleration]])</f>
        <v>1</v>
      </c>
    </row>
    <row r="79" spans="1:12" x14ac:dyDescent="0.25">
      <c r="A79">
        <v>13</v>
      </c>
      <c r="B79">
        <v>8</v>
      </c>
      <c r="C79">
        <v>400</v>
      </c>
      <c r="D79">
        <v>190</v>
      </c>
      <c r="E79">
        <v>4422</v>
      </c>
      <c r="F79">
        <v>12.5</v>
      </c>
      <c r="G79">
        <v>72</v>
      </c>
      <c r="H79" t="s">
        <v>940</v>
      </c>
      <c r="I79" t="s">
        <v>1093</v>
      </c>
      <c r="J79" t="s">
        <v>1094</v>
      </c>
      <c r="K79" t="s">
        <v>1095</v>
      </c>
      <c r="L79" t="b">
        <f>Data_Completeness(MileageData[[#This Row],[MPG]:[Acceleration]])</f>
        <v>1</v>
      </c>
    </row>
    <row r="80" spans="1:12" x14ac:dyDescent="0.25">
      <c r="A80">
        <v>19</v>
      </c>
      <c r="B80">
        <v>3</v>
      </c>
      <c r="C80">
        <v>70</v>
      </c>
      <c r="D80">
        <v>97</v>
      </c>
      <c r="E80">
        <v>2330</v>
      </c>
      <c r="F80">
        <v>13.5</v>
      </c>
      <c r="G80">
        <v>72</v>
      </c>
      <c r="H80" t="s">
        <v>990</v>
      </c>
      <c r="I80" t="s">
        <v>1096</v>
      </c>
      <c r="J80" t="s">
        <v>1097</v>
      </c>
      <c r="K80" t="s">
        <v>1098</v>
      </c>
      <c r="L80" t="b">
        <f>Data_Completeness(MileageData[[#This Row],[MPG]:[Acceleration]])</f>
        <v>1</v>
      </c>
    </row>
    <row r="81" spans="1:12" x14ac:dyDescent="0.25">
      <c r="A81">
        <v>15</v>
      </c>
      <c r="B81">
        <v>8</v>
      </c>
      <c r="C81">
        <v>304</v>
      </c>
      <c r="D81">
        <v>150</v>
      </c>
      <c r="E81">
        <v>3892</v>
      </c>
      <c r="F81">
        <v>12.5</v>
      </c>
      <c r="G81">
        <v>72</v>
      </c>
      <c r="H81" t="s">
        <v>940</v>
      </c>
      <c r="I81" t="s">
        <v>1099</v>
      </c>
      <c r="J81" t="s">
        <v>951</v>
      </c>
      <c r="K81" t="s">
        <v>1100</v>
      </c>
      <c r="L81" t="b">
        <f>Data_Completeness(MileageData[[#This Row],[MPG]:[Acceleration]])</f>
        <v>1</v>
      </c>
    </row>
    <row r="82" spans="1:12" x14ac:dyDescent="0.25">
      <c r="A82">
        <v>13</v>
      </c>
      <c r="B82">
        <v>8</v>
      </c>
      <c r="C82">
        <v>307</v>
      </c>
      <c r="D82">
        <v>130</v>
      </c>
      <c r="E82">
        <v>4098</v>
      </c>
      <c r="F82">
        <v>14</v>
      </c>
      <c r="G82">
        <v>72</v>
      </c>
      <c r="H82" t="s">
        <v>940</v>
      </c>
      <c r="I82" t="s">
        <v>971</v>
      </c>
      <c r="J82" t="s">
        <v>942</v>
      </c>
      <c r="K82" t="s">
        <v>972</v>
      </c>
      <c r="L82" t="b">
        <f>Data_Completeness(MileageData[[#This Row],[MPG]:[Acceleration]])</f>
        <v>1</v>
      </c>
    </row>
    <row r="83" spans="1:12" x14ac:dyDescent="0.25">
      <c r="A83">
        <v>13</v>
      </c>
      <c r="B83">
        <v>8</v>
      </c>
      <c r="C83">
        <v>302</v>
      </c>
      <c r="D83">
        <v>140</v>
      </c>
      <c r="E83">
        <v>4294</v>
      </c>
      <c r="F83">
        <v>16</v>
      </c>
      <c r="G83">
        <v>72</v>
      </c>
      <c r="H83" t="s">
        <v>940</v>
      </c>
      <c r="I83" t="s">
        <v>1101</v>
      </c>
      <c r="J83" t="s">
        <v>954</v>
      </c>
      <c r="K83" t="s">
        <v>1102</v>
      </c>
      <c r="L83" t="b">
        <f>Data_Completeness(MileageData[[#This Row],[MPG]:[Acceleration]])</f>
        <v>1</v>
      </c>
    </row>
    <row r="84" spans="1:12" x14ac:dyDescent="0.25">
      <c r="A84">
        <v>14</v>
      </c>
      <c r="B84">
        <v>8</v>
      </c>
      <c r="C84">
        <v>318</v>
      </c>
      <c r="D84">
        <v>150</v>
      </c>
      <c r="E84">
        <v>4077</v>
      </c>
      <c r="F84">
        <v>14</v>
      </c>
      <c r="G84">
        <v>72</v>
      </c>
      <c r="H84" t="s">
        <v>940</v>
      </c>
      <c r="I84" t="s">
        <v>1103</v>
      </c>
      <c r="J84" t="s">
        <v>948</v>
      </c>
      <c r="K84" t="s">
        <v>1104</v>
      </c>
      <c r="L84" t="b">
        <f>Data_Completeness(MileageData[[#This Row],[MPG]:[Acceleration]])</f>
        <v>1</v>
      </c>
    </row>
    <row r="85" spans="1:12" x14ac:dyDescent="0.25">
      <c r="A85">
        <v>18</v>
      </c>
      <c r="B85">
        <v>4</v>
      </c>
      <c r="C85">
        <v>121</v>
      </c>
      <c r="D85">
        <v>112</v>
      </c>
      <c r="E85">
        <v>2933</v>
      </c>
      <c r="F85">
        <v>14.5</v>
      </c>
      <c r="G85">
        <v>72</v>
      </c>
      <c r="H85" t="s">
        <v>967</v>
      </c>
      <c r="I85" t="s">
        <v>1105</v>
      </c>
      <c r="J85" t="s">
        <v>1106</v>
      </c>
      <c r="K85" t="s">
        <v>1107</v>
      </c>
      <c r="L85" t="b">
        <f>Data_Completeness(MileageData[[#This Row],[MPG]:[Acceleration]])</f>
        <v>1</v>
      </c>
    </row>
    <row r="86" spans="1:12" x14ac:dyDescent="0.25">
      <c r="A86">
        <v>22</v>
      </c>
      <c r="B86">
        <v>4</v>
      </c>
      <c r="C86">
        <v>121</v>
      </c>
      <c r="D86">
        <v>76</v>
      </c>
      <c r="E86">
        <v>2511</v>
      </c>
      <c r="F86">
        <v>18</v>
      </c>
      <c r="G86">
        <v>72</v>
      </c>
      <c r="H86" t="s">
        <v>967</v>
      </c>
      <c r="I86" t="s">
        <v>1108</v>
      </c>
      <c r="J86" t="s">
        <v>1004</v>
      </c>
      <c r="K86" t="s">
        <v>1109</v>
      </c>
      <c r="L86" t="b">
        <f>Data_Completeness(MileageData[[#This Row],[MPG]:[Acceleration]])</f>
        <v>1</v>
      </c>
    </row>
    <row r="87" spans="1:12" x14ac:dyDescent="0.25">
      <c r="A87">
        <v>21</v>
      </c>
      <c r="B87">
        <v>4</v>
      </c>
      <c r="C87">
        <v>120</v>
      </c>
      <c r="D87">
        <v>87</v>
      </c>
      <c r="E87">
        <v>2979</v>
      </c>
      <c r="F87">
        <v>19.5</v>
      </c>
      <c r="G87">
        <v>72</v>
      </c>
      <c r="H87" t="s">
        <v>967</v>
      </c>
      <c r="I87" t="s">
        <v>1110</v>
      </c>
      <c r="J87" t="s">
        <v>1007</v>
      </c>
      <c r="K87" t="s">
        <v>1111</v>
      </c>
      <c r="L87" t="b">
        <f>Data_Completeness(MileageData[[#This Row],[MPG]:[Acceleration]])</f>
        <v>1</v>
      </c>
    </row>
    <row r="88" spans="1:12" x14ac:dyDescent="0.25">
      <c r="A88">
        <v>26</v>
      </c>
      <c r="B88">
        <v>4</v>
      </c>
      <c r="C88">
        <v>96</v>
      </c>
      <c r="D88">
        <v>69</v>
      </c>
      <c r="E88">
        <v>2189</v>
      </c>
      <c r="F88">
        <v>18</v>
      </c>
      <c r="G88">
        <v>72</v>
      </c>
      <c r="H88" t="s">
        <v>967</v>
      </c>
      <c r="I88" t="s">
        <v>1112</v>
      </c>
      <c r="J88" t="s">
        <v>1113</v>
      </c>
      <c r="K88" t="s">
        <v>1114</v>
      </c>
      <c r="L88" t="b">
        <f>Data_Completeness(MileageData[[#This Row],[MPG]:[Acceleration]])</f>
        <v>1</v>
      </c>
    </row>
    <row r="89" spans="1:12" x14ac:dyDescent="0.25">
      <c r="A89">
        <v>22</v>
      </c>
      <c r="B89">
        <v>4</v>
      </c>
      <c r="C89">
        <v>122</v>
      </c>
      <c r="D89">
        <v>86</v>
      </c>
      <c r="E89">
        <v>2395</v>
      </c>
      <c r="F89">
        <v>16</v>
      </c>
      <c r="G89">
        <v>72</v>
      </c>
      <c r="H89" t="s">
        <v>940</v>
      </c>
      <c r="I89" t="s">
        <v>1115</v>
      </c>
      <c r="J89" t="s">
        <v>954</v>
      </c>
      <c r="K89" t="s">
        <v>1116</v>
      </c>
      <c r="L89" t="b">
        <f>Data_Completeness(MileageData[[#This Row],[MPG]:[Acceleration]])</f>
        <v>1</v>
      </c>
    </row>
    <row r="90" spans="1:12" x14ac:dyDescent="0.25">
      <c r="A90">
        <v>28</v>
      </c>
      <c r="B90">
        <v>4</v>
      </c>
      <c r="C90">
        <v>97</v>
      </c>
      <c r="D90">
        <v>92</v>
      </c>
      <c r="E90">
        <v>2288</v>
      </c>
      <c r="F90">
        <v>17</v>
      </c>
      <c r="G90">
        <v>72</v>
      </c>
      <c r="H90" t="s">
        <v>990</v>
      </c>
      <c r="I90" t="s">
        <v>1117</v>
      </c>
      <c r="J90" t="s">
        <v>1001</v>
      </c>
      <c r="K90" t="s">
        <v>1118</v>
      </c>
      <c r="L90" t="b">
        <f>Data_Completeness(MileageData[[#This Row],[MPG]:[Acceleration]])</f>
        <v>1</v>
      </c>
    </row>
    <row r="91" spans="1:12" x14ac:dyDescent="0.25">
      <c r="A91">
        <v>23</v>
      </c>
      <c r="B91">
        <v>4</v>
      </c>
      <c r="C91">
        <v>120</v>
      </c>
      <c r="D91">
        <v>97</v>
      </c>
      <c r="E91">
        <v>2506</v>
      </c>
      <c r="F91">
        <v>14.5</v>
      </c>
      <c r="G91">
        <v>72</v>
      </c>
      <c r="H91" t="s">
        <v>990</v>
      </c>
      <c r="I91" t="s">
        <v>1119</v>
      </c>
      <c r="J91" t="s">
        <v>1120</v>
      </c>
      <c r="K91" t="s">
        <v>1121</v>
      </c>
      <c r="L91" t="b">
        <f>Data_Completeness(MileageData[[#This Row],[MPG]:[Acceleration]])</f>
        <v>1</v>
      </c>
    </row>
    <row r="92" spans="1:12" x14ac:dyDescent="0.25">
      <c r="A92">
        <v>28</v>
      </c>
      <c r="B92">
        <v>4</v>
      </c>
      <c r="C92">
        <v>98</v>
      </c>
      <c r="D92">
        <v>80</v>
      </c>
      <c r="E92">
        <v>2164</v>
      </c>
      <c r="F92">
        <v>15</v>
      </c>
      <c r="G92">
        <v>72</v>
      </c>
      <c r="H92" t="s">
        <v>940</v>
      </c>
      <c r="I92" t="s">
        <v>1122</v>
      </c>
      <c r="J92" t="s">
        <v>980</v>
      </c>
      <c r="K92" t="s">
        <v>1123</v>
      </c>
      <c r="L92" t="b">
        <f>Data_Completeness(MileageData[[#This Row],[MPG]:[Acceleration]])</f>
        <v>1</v>
      </c>
    </row>
    <row r="93" spans="1:12" x14ac:dyDescent="0.25">
      <c r="A93">
        <v>27</v>
      </c>
      <c r="B93">
        <v>4</v>
      </c>
      <c r="C93">
        <v>97</v>
      </c>
      <c r="D93">
        <v>88</v>
      </c>
      <c r="E93">
        <v>2100</v>
      </c>
      <c r="F93">
        <v>16.5</v>
      </c>
      <c r="G93">
        <v>72</v>
      </c>
      <c r="H93" t="s">
        <v>990</v>
      </c>
      <c r="I93" t="s">
        <v>1124</v>
      </c>
      <c r="J93" t="s">
        <v>992</v>
      </c>
      <c r="K93" t="s">
        <v>1125</v>
      </c>
      <c r="L93" t="b">
        <f>Data_Completeness(MileageData[[#This Row],[MPG]:[Acceleration]])</f>
        <v>1</v>
      </c>
    </row>
    <row r="94" spans="1:12" x14ac:dyDescent="0.25">
      <c r="A94">
        <v>13</v>
      </c>
      <c r="B94">
        <v>8</v>
      </c>
      <c r="C94">
        <v>350</v>
      </c>
      <c r="D94">
        <v>175</v>
      </c>
      <c r="E94">
        <v>4100</v>
      </c>
      <c r="F94">
        <v>13</v>
      </c>
      <c r="G94">
        <v>73</v>
      </c>
      <c r="H94" t="s">
        <v>940</v>
      </c>
      <c r="I94" t="s">
        <v>1126</v>
      </c>
      <c r="J94" t="s">
        <v>945</v>
      </c>
      <c r="K94" t="s">
        <v>1127</v>
      </c>
      <c r="L94" t="b">
        <f>Data_Completeness(MileageData[[#This Row],[MPG]:[Acceleration]])</f>
        <v>1</v>
      </c>
    </row>
    <row r="95" spans="1:12" x14ac:dyDescent="0.25">
      <c r="A95">
        <v>14</v>
      </c>
      <c r="B95">
        <v>8</v>
      </c>
      <c r="C95">
        <v>304</v>
      </c>
      <c r="D95">
        <v>150</v>
      </c>
      <c r="E95">
        <v>3672</v>
      </c>
      <c r="F95">
        <v>11.5</v>
      </c>
      <c r="G95">
        <v>73</v>
      </c>
      <c r="H95" t="s">
        <v>940</v>
      </c>
      <c r="I95" t="s">
        <v>1040</v>
      </c>
      <c r="J95" t="s">
        <v>951</v>
      </c>
      <c r="K95" t="s">
        <v>1041</v>
      </c>
      <c r="L95" t="b">
        <f>Data_Completeness(MileageData[[#This Row],[MPG]:[Acceleration]])</f>
        <v>1</v>
      </c>
    </row>
    <row r="96" spans="1:12" x14ac:dyDescent="0.25">
      <c r="A96">
        <v>13</v>
      </c>
      <c r="B96">
        <v>8</v>
      </c>
      <c r="C96">
        <v>350</v>
      </c>
      <c r="D96">
        <v>145</v>
      </c>
      <c r="E96">
        <v>3988</v>
      </c>
      <c r="F96">
        <v>13</v>
      </c>
      <c r="G96">
        <v>73</v>
      </c>
      <c r="H96" t="s">
        <v>940</v>
      </c>
      <c r="I96" t="s">
        <v>1128</v>
      </c>
      <c r="J96" t="s">
        <v>942</v>
      </c>
      <c r="K96" t="s">
        <v>1129</v>
      </c>
      <c r="L96" t="b">
        <f>Data_Completeness(MileageData[[#This Row],[MPG]:[Acceleration]])</f>
        <v>1</v>
      </c>
    </row>
    <row r="97" spans="1:12" x14ac:dyDescent="0.25">
      <c r="A97">
        <v>14</v>
      </c>
      <c r="B97">
        <v>8</v>
      </c>
      <c r="C97">
        <v>302</v>
      </c>
      <c r="D97">
        <v>137</v>
      </c>
      <c r="E97">
        <v>4042</v>
      </c>
      <c r="F97">
        <v>14.5</v>
      </c>
      <c r="G97">
        <v>73</v>
      </c>
      <c r="H97" t="s">
        <v>940</v>
      </c>
      <c r="I97" t="s">
        <v>1130</v>
      </c>
      <c r="J97" t="s">
        <v>954</v>
      </c>
      <c r="K97" t="s">
        <v>1131</v>
      </c>
      <c r="L97" t="b">
        <f>Data_Completeness(MileageData[[#This Row],[MPG]:[Acceleration]])</f>
        <v>1</v>
      </c>
    </row>
    <row r="98" spans="1:12" x14ac:dyDescent="0.25">
      <c r="A98">
        <v>15</v>
      </c>
      <c r="B98">
        <v>8</v>
      </c>
      <c r="C98">
        <v>318</v>
      </c>
      <c r="D98">
        <v>150</v>
      </c>
      <c r="E98">
        <v>3777</v>
      </c>
      <c r="F98">
        <v>12.5</v>
      </c>
      <c r="G98">
        <v>73</v>
      </c>
      <c r="H98" t="s">
        <v>940</v>
      </c>
      <c r="I98" t="s">
        <v>1132</v>
      </c>
      <c r="J98" t="s">
        <v>980</v>
      </c>
      <c r="K98" t="s">
        <v>1133</v>
      </c>
      <c r="L98" t="b">
        <f>Data_Completeness(MileageData[[#This Row],[MPG]:[Acceleration]])</f>
        <v>1</v>
      </c>
    </row>
    <row r="99" spans="1:12" x14ac:dyDescent="0.25">
      <c r="A99">
        <v>12</v>
      </c>
      <c r="B99">
        <v>8</v>
      </c>
      <c r="C99">
        <v>429</v>
      </c>
      <c r="D99">
        <v>198</v>
      </c>
      <c r="E99">
        <v>4952</v>
      </c>
      <c r="F99">
        <v>11.5</v>
      </c>
      <c r="G99">
        <v>73</v>
      </c>
      <c r="H99" t="s">
        <v>940</v>
      </c>
      <c r="I99" t="s">
        <v>1134</v>
      </c>
      <c r="J99" t="s">
        <v>1059</v>
      </c>
      <c r="K99" t="s">
        <v>1135</v>
      </c>
      <c r="L99" t="b">
        <f>Data_Completeness(MileageData[[#This Row],[MPG]:[Acceleration]])</f>
        <v>1</v>
      </c>
    </row>
    <row r="100" spans="1:12" x14ac:dyDescent="0.25">
      <c r="A100">
        <v>13</v>
      </c>
      <c r="B100">
        <v>8</v>
      </c>
      <c r="C100">
        <v>400</v>
      </c>
      <c r="D100">
        <v>150</v>
      </c>
      <c r="E100">
        <v>4464</v>
      </c>
      <c r="F100">
        <v>12</v>
      </c>
      <c r="G100">
        <v>73</v>
      </c>
      <c r="H100" t="s">
        <v>940</v>
      </c>
      <c r="I100" t="s">
        <v>1136</v>
      </c>
      <c r="J100" t="s">
        <v>942</v>
      </c>
      <c r="K100" t="s">
        <v>1137</v>
      </c>
      <c r="L100" t="b">
        <f>Data_Completeness(MileageData[[#This Row],[MPG]:[Acceleration]])</f>
        <v>1</v>
      </c>
    </row>
    <row r="101" spans="1:12" x14ac:dyDescent="0.25">
      <c r="A101">
        <v>13</v>
      </c>
      <c r="B101">
        <v>8</v>
      </c>
      <c r="C101">
        <v>351</v>
      </c>
      <c r="D101">
        <v>158</v>
      </c>
      <c r="E101">
        <v>4363</v>
      </c>
      <c r="F101">
        <v>13</v>
      </c>
      <c r="G101">
        <v>73</v>
      </c>
      <c r="H101" t="s">
        <v>940</v>
      </c>
      <c r="I101" t="s">
        <v>1138</v>
      </c>
      <c r="J101" t="s">
        <v>954</v>
      </c>
      <c r="K101" t="s">
        <v>1139</v>
      </c>
      <c r="L101" t="b">
        <f>Data_Completeness(MileageData[[#This Row],[MPG]:[Acceleration]])</f>
        <v>1</v>
      </c>
    </row>
    <row r="102" spans="1:12" x14ac:dyDescent="0.25">
      <c r="A102">
        <v>14</v>
      </c>
      <c r="B102">
        <v>8</v>
      </c>
      <c r="C102">
        <v>318</v>
      </c>
      <c r="D102">
        <v>150</v>
      </c>
      <c r="E102">
        <v>4237</v>
      </c>
      <c r="F102">
        <v>14.5</v>
      </c>
      <c r="G102">
        <v>73</v>
      </c>
      <c r="H102" t="s">
        <v>940</v>
      </c>
      <c r="I102" t="s">
        <v>1140</v>
      </c>
      <c r="J102" t="s">
        <v>948</v>
      </c>
      <c r="K102" t="s">
        <v>1141</v>
      </c>
      <c r="L102" t="b">
        <f>Data_Completeness(MileageData[[#This Row],[MPG]:[Acceleration]])</f>
        <v>1</v>
      </c>
    </row>
    <row r="103" spans="1:12" x14ac:dyDescent="0.25">
      <c r="A103">
        <v>13</v>
      </c>
      <c r="B103">
        <v>8</v>
      </c>
      <c r="C103">
        <v>440</v>
      </c>
      <c r="D103">
        <v>215</v>
      </c>
      <c r="E103">
        <v>4735</v>
      </c>
      <c r="F103">
        <v>11</v>
      </c>
      <c r="G103">
        <v>73</v>
      </c>
      <c r="H103" t="s">
        <v>940</v>
      </c>
      <c r="I103" t="s">
        <v>1142</v>
      </c>
      <c r="J103" t="s">
        <v>1094</v>
      </c>
      <c r="K103" t="s">
        <v>1143</v>
      </c>
      <c r="L103" t="b">
        <f>Data_Completeness(MileageData[[#This Row],[MPG]:[Acceleration]])</f>
        <v>1</v>
      </c>
    </row>
    <row r="104" spans="1:12" x14ac:dyDescent="0.25">
      <c r="A104">
        <v>12</v>
      </c>
      <c r="B104">
        <v>8</v>
      </c>
      <c r="C104">
        <v>455</v>
      </c>
      <c r="D104">
        <v>225</v>
      </c>
      <c r="E104">
        <v>4951</v>
      </c>
      <c r="F104">
        <v>11</v>
      </c>
      <c r="G104">
        <v>73</v>
      </c>
      <c r="H104" t="s">
        <v>940</v>
      </c>
      <c r="I104" t="s">
        <v>1144</v>
      </c>
      <c r="J104" t="s">
        <v>945</v>
      </c>
      <c r="K104" t="s">
        <v>1145</v>
      </c>
      <c r="L104" t="b">
        <f>Data_Completeness(MileageData[[#This Row],[MPG]:[Acceleration]])</f>
        <v>1</v>
      </c>
    </row>
    <row r="105" spans="1:12" x14ac:dyDescent="0.25">
      <c r="A105">
        <v>13</v>
      </c>
      <c r="B105">
        <v>8</v>
      </c>
      <c r="C105">
        <v>360</v>
      </c>
      <c r="D105">
        <v>175</v>
      </c>
      <c r="E105">
        <v>3821</v>
      </c>
      <c r="F105">
        <v>11</v>
      </c>
      <c r="G105">
        <v>73</v>
      </c>
      <c r="H105" t="s">
        <v>940</v>
      </c>
      <c r="I105" t="s">
        <v>1146</v>
      </c>
      <c r="J105" t="s">
        <v>951</v>
      </c>
      <c r="K105" t="s">
        <v>1147</v>
      </c>
      <c r="L105" t="b">
        <f>Data_Completeness(MileageData[[#This Row],[MPG]:[Acceleration]])</f>
        <v>1</v>
      </c>
    </row>
    <row r="106" spans="1:12" x14ac:dyDescent="0.25">
      <c r="A106">
        <v>18</v>
      </c>
      <c r="B106">
        <v>6</v>
      </c>
      <c r="C106">
        <v>225</v>
      </c>
      <c r="D106">
        <v>105</v>
      </c>
      <c r="E106">
        <v>3121</v>
      </c>
      <c r="F106">
        <v>16.5</v>
      </c>
      <c r="G106">
        <v>73</v>
      </c>
      <c r="H106" t="s">
        <v>940</v>
      </c>
      <c r="I106" t="s">
        <v>1148</v>
      </c>
      <c r="J106" t="s">
        <v>948</v>
      </c>
      <c r="K106" t="s">
        <v>1149</v>
      </c>
      <c r="L106" t="b">
        <f>Data_Completeness(MileageData[[#This Row],[MPG]:[Acceleration]])</f>
        <v>1</v>
      </c>
    </row>
    <row r="107" spans="1:12" x14ac:dyDescent="0.25">
      <c r="A107">
        <v>16</v>
      </c>
      <c r="B107">
        <v>6</v>
      </c>
      <c r="C107">
        <v>250</v>
      </c>
      <c r="D107">
        <v>100</v>
      </c>
      <c r="E107">
        <v>3278</v>
      </c>
      <c r="F107">
        <v>18</v>
      </c>
      <c r="G107">
        <v>73</v>
      </c>
      <c r="H107" t="s">
        <v>940</v>
      </c>
      <c r="I107" t="s">
        <v>1150</v>
      </c>
      <c r="J107" t="s">
        <v>942</v>
      </c>
      <c r="K107" t="s">
        <v>1151</v>
      </c>
      <c r="L107" t="b">
        <f>Data_Completeness(MileageData[[#This Row],[MPG]:[Acceleration]])</f>
        <v>1</v>
      </c>
    </row>
    <row r="108" spans="1:12" x14ac:dyDescent="0.25">
      <c r="A108">
        <v>18</v>
      </c>
      <c r="B108">
        <v>6</v>
      </c>
      <c r="C108">
        <v>232</v>
      </c>
      <c r="D108">
        <v>100</v>
      </c>
      <c r="E108">
        <v>2945</v>
      </c>
      <c r="F108">
        <v>16</v>
      </c>
      <c r="G108">
        <v>73</v>
      </c>
      <c r="H108" t="s">
        <v>940</v>
      </c>
      <c r="I108" t="s">
        <v>996</v>
      </c>
      <c r="J108" t="s">
        <v>951</v>
      </c>
      <c r="K108" t="s">
        <v>997</v>
      </c>
      <c r="L108" t="b">
        <f>Data_Completeness(MileageData[[#This Row],[MPG]:[Acceleration]])</f>
        <v>1</v>
      </c>
    </row>
    <row r="109" spans="1:12" x14ac:dyDescent="0.25">
      <c r="A109">
        <v>18</v>
      </c>
      <c r="B109">
        <v>6</v>
      </c>
      <c r="C109">
        <v>250</v>
      </c>
      <c r="D109">
        <v>88</v>
      </c>
      <c r="E109">
        <v>3021</v>
      </c>
      <c r="F109">
        <v>16.5</v>
      </c>
      <c r="G109">
        <v>73</v>
      </c>
      <c r="H109" t="s">
        <v>940</v>
      </c>
      <c r="I109" t="s">
        <v>998</v>
      </c>
      <c r="J109" t="s">
        <v>954</v>
      </c>
      <c r="K109" t="s">
        <v>999</v>
      </c>
      <c r="L109" t="b">
        <f>Data_Completeness(MileageData[[#This Row],[MPG]:[Acceleration]])</f>
        <v>1</v>
      </c>
    </row>
    <row r="110" spans="1:12" x14ac:dyDescent="0.25">
      <c r="A110">
        <v>23</v>
      </c>
      <c r="B110">
        <v>6</v>
      </c>
      <c r="C110">
        <v>198</v>
      </c>
      <c r="D110">
        <v>95</v>
      </c>
      <c r="E110">
        <v>2904</v>
      </c>
      <c r="F110">
        <v>16</v>
      </c>
      <c r="G110">
        <v>73</v>
      </c>
      <c r="H110" t="s">
        <v>940</v>
      </c>
      <c r="I110" t="s">
        <v>994</v>
      </c>
      <c r="J110" t="s">
        <v>948</v>
      </c>
      <c r="K110" t="s">
        <v>995</v>
      </c>
      <c r="L110" t="b">
        <f>Data_Completeness(MileageData[[#This Row],[MPG]:[Acceleration]])</f>
        <v>1</v>
      </c>
    </row>
    <row r="111" spans="1:12" x14ac:dyDescent="0.25">
      <c r="A111">
        <v>26</v>
      </c>
      <c r="B111">
        <v>4</v>
      </c>
      <c r="C111">
        <v>97</v>
      </c>
      <c r="D111">
        <v>46</v>
      </c>
      <c r="E111">
        <v>1950</v>
      </c>
      <c r="F111">
        <v>21</v>
      </c>
      <c r="G111">
        <v>73</v>
      </c>
      <c r="H111" t="s">
        <v>967</v>
      </c>
      <c r="I111" t="s">
        <v>1152</v>
      </c>
      <c r="J111" t="s">
        <v>1004</v>
      </c>
      <c r="K111" t="s">
        <v>1153</v>
      </c>
      <c r="L111" t="b">
        <f>Data_Completeness(MileageData[[#This Row],[MPG]:[Acceleration]])</f>
        <v>1</v>
      </c>
    </row>
    <row r="112" spans="1:12" x14ac:dyDescent="0.25">
      <c r="A112">
        <v>11</v>
      </c>
      <c r="B112">
        <v>8</v>
      </c>
      <c r="C112">
        <v>400</v>
      </c>
      <c r="D112">
        <v>150</v>
      </c>
      <c r="E112">
        <v>4997</v>
      </c>
      <c r="F112">
        <v>14</v>
      </c>
      <c r="G112">
        <v>73</v>
      </c>
      <c r="H112" t="s">
        <v>940</v>
      </c>
      <c r="I112" t="s">
        <v>958</v>
      </c>
      <c r="J112" t="s">
        <v>942</v>
      </c>
      <c r="K112" t="s">
        <v>959</v>
      </c>
      <c r="L112" t="b">
        <f>Data_Completeness(MileageData[[#This Row],[MPG]:[Acceleration]])</f>
        <v>1</v>
      </c>
    </row>
    <row r="113" spans="1:12" x14ac:dyDescent="0.25">
      <c r="A113">
        <v>12</v>
      </c>
      <c r="B113">
        <v>8</v>
      </c>
      <c r="C113">
        <v>400</v>
      </c>
      <c r="D113">
        <v>167</v>
      </c>
      <c r="E113">
        <v>4906</v>
      </c>
      <c r="F113">
        <v>12.5</v>
      </c>
      <c r="G113">
        <v>73</v>
      </c>
      <c r="H113" t="s">
        <v>940</v>
      </c>
      <c r="I113" t="s">
        <v>1154</v>
      </c>
      <c r="J113" t="s">
        <v>954</v>
      </c>
      <c r="K113" t="s">
        <v>1155</v>
      </c>
      <c r="L113" t="b">
        <f>Data_Completeness(MileageData[[#This Row],[MPG]:[Acceleration]])</f>
        <v>1</v>
      </c>
    </row>
    <row r="114" spans="1:12" x14ac:dyDescent="0.25">
      <c r="A114">
        <v>13</v>
      </c>
      <c r="B114">
        <v>8</v>
      </c>
      <c r="C114">
        <v>360</v>
      </c>
      <c r="D114">
        <v>170</v>
      </c>
      <c r="E114">
        <v>4654</v>
      </c>
      <c r="F114">
        <v>13</v>
      </c>
      <c r="G114">
        <v>73</v>
      </c>
      <c r="H114" t="s">
        <v>940</v>
      </c>
      <c r="I114" t="s">
        <v>1156</v>
      </c>
      <c r="J114" t="s">
        <v>948</v>
      </c>
      <c r="K114" t="s">
        <v>1157</v>
      </c>
      <c r="L114" t="b">
        <f>Data_Completeness(MileageData[[#This Row],[MPG]:[Acceleration]])</f>
        <v>1</v>
      </c>
    </row>
    <row r="115" spans="1:12" x14ac:dyDescent="0.25">
      <c r="A115">
        <v>12</v>
      </c>
      <c r="B115">
        <v>8</v>
      </c>
      <c r="C115">
        <v>350</v>
      </c>
      <c r="D115">
        <v>180</v>
      </c>
      <c r="E115">
        <v>4499</v>
      </c>
      <c r="F115">
        <v>12.5</v>
      </c>
      <c r="G115">
        <v>73</v>
      </c>
      <c r="H115" t="s">
        <v>940</v>
      </c>
      <c r="I115" t="s">
        <v>1158</v>
      </c>
      <c r="J115" t="s">
        <v>1091</v>
      </c>
      <c r="K115" t="s">
        <v>1159</v>
      </c>
      <c r="L115" t="b">
        <f>Data_Completeness(MileageData[[#This Row],[MPG]:[Acceleration]])</f>
        <v>1</v>
      </c>
    </row>
    <row r="116" spans="1:12" x14ac:dyDescent="0.25">
      <c r="A116">
        <v>18</v>
      </c>
      <c r="B116">
        <v>6</v>
      </c>
      <c r="C116">
        <v>232</v>
      </c>
      <c r="D116">
        <v>100</v>
      </c>
      <c r="E116">
        <v>2789</v>
      </c>
      <c r="F116">
        <v>15</v>
      </c>
      <c r="G116">
        <v>73</v>
      </c>
      <c r="H116" t="s">
        <v>940</v>
      </c>
      <c r="I116" t="s">
        <v>1016</v>
      </c>
      <c r="J116" t="s">
        <v>951</v>
      </c>
      <c r="K116" t="s">
        <v>1017</v>
      </c>
      <c r="L116" t="b">
        <f>Data_Completeness(MileageData[[#This Row],[MPG]:[Acceleration]])</f>
        <v>1</v>
      </c>
    </row>
    <row r="117" spans="1:12" x14ac:dyDescent="0.25">
      <c r="A117">
        <v>20</v>
      </c>
      <c r="B117">
        <v>4</v>
      </c>
      <c r="C117">
        <v>97</v>
      </c>
      <c r="D117">
        <v>88</v>
      </c>
      <c r="E117">
        <v>2279</v>
      </c>
      <c r="F117">
        <v>19</v>
      </c>
      <c r="G117">
        <v>73</v>
      </c>
      <c r="H117" t="s">
        <v>990</v>
      </c>
      <c r="I117" t="s">
        <v>1160</v>
      </c>
      <c r="J117" t="s">
        <v>992</v>
      </c>
      <c r="K117" t="s">
        <v>1161</v>
      </c>
      <c r="L117" t="b">
        <f>Data_Completeness(MileageData[[#This Row],[MPG]:[Acceleration]])</f>
        <v>1</v>
      </c>
    </row>
    <row r="118" spans="1:12" x14ac:dyDescent="0.25">
      <c r="A118">
        <v>21</v>
      </c>
      <c r="B118">
        <v>4</v>
      </c>
      <c r="C118">
        <v>140</v>
      </c>
      <c r="D118">
        <v>72</v>
      </c>
      <c r="E118">
        <v>2401</v>
      </c>
      <c r="F118">
        <v>19.5</v>
      </c>
      <c r="G118">
        <v>73</v>
      </c>
      <c r="H118" t="s">
        <v>940</v>
      </c>
      <c r="I118" t="s">
        <v>1080</v>
      </c>
      <c r="J118" t="s">
        <v>942</v>
      </c>
      <c r="K118" t="s">
        <v>1081</v>
      </c>
      <c r="L118" t="b">
        <f>Data_Completeness(MileageData[[#This Row],[MPG]:[Acceleration]])</f>
        <v>1</v>
      </c>
    </row>
    <row r="119" spans="1:12" x14ac:dyDescent="0.25">
      <c r="A119">
        <v>22</v>
      </c>
      <c r="B119">
        <v>4</v>
      </c>
      <c r="C119">
        <v>108</v>
      </c>
      <c r="D119">
        <v>94</v>
      </c>
      <c r="E119">
        <v>2379</v>
      </c>
      <c r="F119">
        <v>16.5</v>
      </c>
      <c r="G119">
        <v>73</v>
      </c>
      <c r="H119" t="s">
        <v>990</v>
      </c>
      <c r="I119" t="s">
        <v>1162</v>
      </c>
      <c r="J119" t="s">
        <v>1001</v>
      </c>
      <c r="K119">
        <v>610</v>
      </c>
      <c r="L119" t="b">
        <f>Data_Completeness(MileageData[[#This Row],[MPG]:[Acceleration]])</f>
        <v>1</v>
      </c>
    </row>
    <row r="120" spans="1:12" x14ac:dyDescent="0.25">
      <c r="A120">
        <v>18</v>
      </c>
      <c r="B120">
        <v>3</v>
      </c>
      <c r="C120">
        <v>70</v>
      </c>
      <c r="D120">
        <v>90</v>
      </c>
      <c r="E120">
        <v>2124</v>
      </c>
      <c r="F120">
        <v>13.5</v>
      </c>
      <c r="G120">
        <v>73</v>
      </c>
      <c r="H120" t="s">
        <v>990</v>
      </c>
      <c r="I120" t="s">
        <v>1163</v>
      </c>
      <c r="J120" t="s">
        <v>1164</v>
      </c>
      <c r="K120" t="s">
        <v>1165</v>
      </c>
      <c r="L120" t="b">
        <f>Data_Completeness(MileageData[[#This Row],[MPG]:[Acceleration]])</f>
        <v>1</v>
      </c>
    </row>
    <row r="121" spans="1:12" x14ac:dyDescent="0.25">
      <c r="A121">
        <v>19</v>
      </c>
      <c r="B121">
        <v>4</v>
      </c>
      <c r="C121">
        <v>122</v>
      </c>
      <c r="D121">
        <v>85</v>
      </c>
      <c r="E121">
        <v>2310</v>
      </c>
      <c r="F121">
        <v>18.5</v>
      </c>
      <c r="G121">
        <v>73</v>
      </c>
      <c r="H121" t="s">
        <v>940</v>
      </c>
      <c r="I121" t="s">
        <v>1032</v>
      </c>
      <c r="J121" t="s">
        <v>954</v>
      </c>
      <c r="K121" t="s">
        <v>1033</v>
      </c>
      <c r="L121" t="b">
        <f>Data_Completeness(MileageData[[#This Row],[MPG]:[Acceleration]])</f>
        <v>1</v>
      </c>
    </row>
    <row r="122" spans="1:12" x14ac:dyDescent="0.25">
      <c r="A122">
        <v>21</v>
      </c>
      <c r="B122">
        <v>6</v>
      </c>
      <c r="C122">
        <v>155</v>
      </c>
      <c r="D122">
        <v>107</v>
      </c>
      <c r="E122">
        <v>2472</v>
      </c>
      <c r="F122">
        <v>14</v>
      </c>
      <c r="G122">
        <v>73</v>
      </c>
      <c r="H122" t="s">
        <v>940</v>
      </c>
      <c r="I122" t="s">
        <v>1166</v>
      </c>
      <c r="J122" t="s">
        <v>1059</v>
      </c>
      <c r="K122" t="s">
        <v>1167</v>
      </c>
      <c r="L122" t="b">
        <f>Data_Completeness(MileageData[[#This Row],[MPG]:[Acceleration]])</f>
        <v>1</v>
      </c>
    </row>
    <row r="123" spans="1:12" x14ac:dyDescent="0.25">
      <c r="A123">
        <v>26</v>
      </c>
      <c r="B123">
        <v>4</v>
      </c>
      <c r="C123">
        <v>98</v>
      </c>
      <c r="D123">
        <v>90</v>
      </c>
      <c r="E123">
        <v>2265</v>
      </c>
      <c r="F123">
        <v>15.5</v>
      </c>
      <c r="G123">
        <v>73</v>
      </c>
      <c r="H123" t="s">
        <v>967</v>
      </c>
      <c r="I123" t="s">
        <v>1168</v>
      </c>
      <c r="J123" t="s">
        <v>1065</v>
      </c>
      <c r="K123" t="s">
        <v>1169</v>
      </c>
      <c r="L123" t="b">
        <f>Data_Completeness(MileageData[[#This Row],[MPG]:[Acceleration]])</f>
        <v>1</v>
      </c>
    </row>
    <row r="124" spans="1:12" x14ac:dyDescent="0.25">
      <c r="A124">
        <v>15</v>
      </c>
      <c r="B124">
        <v>8</v>
      </c>
      <c r="C124">
        <v>350</v>
      </c>
      <c r="D124">
        <v>145</v>
      </c>
      <c r="E124">
        <v>4082</v>
      </c>
      <c r="F124">
        <v>13</v>
      </c>
      <c r="G124">
        <v>73</v>
      </c>
      <c r="H124" t="s">
        <v>940</v>
      </c>
      <c r="I124" t="s">
        <v>1170</v>
      </c>
      <c r="J124" t="s">
        <v>942</v>
      </c>
      <c r="K124" t="s">
        <v>1171</v>
      </c>
      <c r="L124" t="b">
        <f>Data_Completeness(MileageData[[#This Row],[MPG]:[Acceleration]])</f>
        <v>1</v>
      </c>
    </row>
    <row r="125" spans="1:12" x14ac:dyDescent="0.25">
      <c r="A125">
        <v>16</v>
      </c>
      <c r="B125">
        <v>8</v>
      </c>
      <c r="C125">
        <v>400</v>
      </c>
      <c r="D125">
        <v>230</v>
      </c>
      <c r="E125">
        <v>4278</v>
      </c>
      <c r="F125">
        <v>9.5</v>
      </c>
      <c r="G125">
        <v>73</v>
      </c>
      <c r="H125" t="s">
        <v>940</v>
      </c>
      <c r="I125" t="s">
        <v>1172</v>
      </c>
      <c r="J125" t="s">
        <v>963</v>
      </c>
      <c r="K125" t="s">
        <v>1173</v>
      </c>
      <c r="L125" t="b">
        <f>Data_Completeness(MileageData[[#This Row],[MPG]:[Acceleration]])</f>
        <v>1</v>
      </c>
    </row>
    <row r="126" spans="1:12" x14ac:dyDescent="0.25">
      <c r="A126">
        <v>29</v>
      </c>
      <c r="B126">
        <v>4</v>
      </c>
      <c r="C126">
        <v>68</v>
      </c>
      <c r="D126">
        <v>49</v>
      </c>
      <c r="E126">
        <v>1867</v>
      </c>
      <c r="F126">
        <v>19.5</v>
      </c>
      <c r="G126">
        <v>73</v>
      </c>
      <c r="H126" t="s">
        <v>967</v>
      </c>
      <c r="I126" t="s">
        <v>1174</v>
      </c>
      <c r="J126" t="s">
        <v>1065</v>
      </c>
      <c r="K126">
        <v>128</v>
      </c>
      <c r="L126" t="b">
        <f>Data_Completeness(MileageData[[#This Row],[MPG]:[Acceleration]])</f>
        <v>1</v>
      </c>
    </row>
    <row r="127" spans="1:12" x14ac:dyDescent="0.25">
      <c r="A127">
        <v>24</v>
      </c>
      <c r="B127">
        <v>4</v>
      </c>
      <c r="C127">
        <v>116</v>
      </c>
      <c r="D127">
        <v>75</v>
      </c>
      <c r="E127">
        <v>2158</v>
      </c>
      <c r="F127">
        <v>15.5</v>
      </c>
      <c r="G127">
        <v>73</v>
      </c>
      <c r="H127" t="s">
        <v>967</v>
      </c>
      <c r="I127" t="s">
        <v>1175</v>
      </c>
      <c r="J127" t="s">
        <v>1062</v>
      </c>
      <c r="K127" t="s">
        <v>1176</v>
      </c>
      <c r="L127" t="b">
        <f>Data_Completeness(MileageData[[#This Row],[MPG]:[Acceleration]])</f>
        <v>1</v>
      </c>
    </row>
    <row r="128" spans="1:12" x14ac:dyDescent="0.25">
      <c r="A128">
        <v>20</v>
      </c>
      <c r="B128">
        <v>4</v>
      </c>
      <c r="C128">
        <v>114</v>
      </c>
      <c r="D128">
        <v>91</v>
      </c>
      <c r="E128">
        <v>2582</v>
      </c>
      <c r="F128">
        <v>14</v>
      </c>
      <c r="G128">
        <v>73</v>
      </c>
      <c r="H128" t="s">
        <v>967</v>
      </c>
      <c r="I128" t="s">
        <v>1177</v>
      </c>
      <c r="J128" t="s">
        <v>1009</v>
      </c>
      <c r="K128" t="s">
        <v>1178</v>
      </c>
      <c r="L128" t="b">
        <f>Data_Completeness(MileageData[[#This Row],[MPG]:[Acceleration]])</f>
        <v>1</v>
      </c>
    </row>
    <row r="129" spans="1:12" x14ac:dyDescent="0.25">
      <c r="A129">
        <v>19</v>
      </c>
      <c r="B129">
        <v>4</v>
      </c>
      <c r="C129">
        <v>121</v>
      </c>
      <c r="D129">
        <v>112</v>
      </c>
      <c r="E129">
        <v>2868</v>
      </c>
      <c r="F129">
        <v>15.5</v>
      </c>
      <c r="G129">
        <v>73</v>
      </c>
      <c r="H129" t="s">
        <v>967</v>
      </c>
      <c r="I129" t="s">
        <v>1179</v>
      </c>
      <c r="J129" t="s">
        <v>1106</v>
      </c>
      <c r="K129" t="s">
        <v>1180</v>
      </c>
      <c r="L129" t="b">
        <f>Data_Completeness(MileageData[[#This Row],[MPG]:[Acceleration]])</f>
        <v>1</v>
      </c>
    </row>
    <row r="130" spans="1:12" x14ac:dyDescent="0.25">
      <c r="A130">
        <v>15</v>
      </c>
      <c r="B130">
        <v>8</v>
      </c>
      <c r="C130">
        <v>318</v>
      </c>
      <c r="D130">
        <v>150</v>
      </c>
      <c r="E130">
        <v>3399</v>
      </c>
      <c r="F130">
        <v>11</v>
      </c>
      <c r="G130">
        <v>73</v>
      </c>
      <c r="H130" t="s">
        <v>940</v>
      </c>
      <c r="I130" t="s">
        <v>1181</v>
      </c>
      <c r="J130" t="s">
        <v>980</v>
      </c>
      <c r="K130" t="s">
        <v>1182</v>
      </c>
      <c r="L130" t="b">
        <f>Data_Completeness(MileageData[[#This Row],[MPG]:[Acceleration]])</f>
        <v>1</v>
      </c>
    </row>
    <row r="131" spans="1:12" x14ac:dyDescent="0.25">
      <c r="A131">
        <v>24</v>
      </c>
      <c r="B131">
        <v>4</v>
      </c>
      <c r="C131">
        <v>121</v>
      </c>
      <c r="D131">
        <v>110</v>
      </c>
      <c r="E131">
        <v>2660</v>
      </c>
      <c r="F131">
        <v>14</v>
      </c>
      <c r="G131">
        <v>73</v>
      </c>
      <c r="H131" t="s">
        <v>967</v>
      </c>
      <c r="I131" t="s">
        <v>1183</v>
      </c>
      <c r="J131" t="s">
        <v>1012</v>
      </c>
      <c r="K131" t="s">
        <v>1184</v>
      </c>
      <c r="L131" t="b">
        <f>Data_Completeness(MileageData[[#This Row],[MPG]:[Acceleration]])</f>
        <v>1</v>
      </c>
    </row>
    <row r="132" spans="1:12" x14ac:dyDescent="0.25">
      <c r="A132">
        <v>20</v>
      </c>
      <c r="B132">
        <v>6</v>
      </c>
      <c r="C132">
        <v>156</v>
      </c>
      <c r="D132">
        <v>122</v>
      </c>
      <c r="E132">
        <v>2807</v>
      </c>
      <c r="F132">
        <v>13.5</v>
      </c>
      <c r="G132">
        <v>73</v>
      </c>
      <c r="H132" t="s">
        <v>990</v>
      </c>
      <c r="I132" t="s">
        <v>1185</v>
      </c>
      <c r="J132" t="s">
        <v>992</v>
      </c>
      <c r="K132" t="s">
        <v>1186</v>
      </c>
      <c r="L132" t="b">
        <f>Data_Completeness(MileageData[[#This Row],[MPG]:[Acceleration]])</f>
        <v>1</v>
      </c>
    </row>
    <row r="133" spans="1:12" x14ac:dyDescent="0.25">
      <c r="A133">
        <v>11</v>
      </c>
      <c r="B133">
        <v>8</v>
      </c>
      <c r="C133">
        <v>350</v>
      </c>
      <c r="D133">
        <v>180</v>
      </c>
      <c r="E133">
        <v>3664</v>
      </c>
      <c r="F133">
        <v>11</v>
      </c>
      <c r="G133">
        <v>73</v>
      </c>
      <c r="H133" t="s">
        <v>940</v>
      </c>
      <c r="I133" t="s">
        <v>1187</v>
      </c>
      <c r="J133" t="s">
        <v>1091</v>
      </c>
      <c r="K133" t="s">
        <v>1188</v>
      </c>
      <c r="L133" t="b">
        <f>Data_Completeness(MileageData[[#This Row],[MPG]:[Acceleration]])</f>
        <v>1</v>
      </c>
    </row>
    <row r="134" spans="1:12" x14ac:dyDescent="0.25">
      <c r="A134">
        <v>20</v>
      </c>
      <c r="B134">
        <v>6</v>
      </c>
      <c r="C134">
        <v>198</v>
      </c>
      <c r="D134">
        <v>95</v>
      </c>
      <c r="E134">
        <v>3102</v>
      </c>
      <c r="F134">
        <v>16.5</v>
      </c>
      <c r="G134">
        <v>74</v>
      </c>
      <c r="H134" t="s">
        <v>940</v>
      </c>
      <c r="I134" t="s">
        <v>994</v>
      </c>
      <c r="J134" t="s">
        <v>948</v>
      </c>
      <c r="K134" t="s">
        <v>995</v>
      </c>
      <c r="L134" t="b">
        <f>Data_Completeness(MileageData[[#This Row],[MPG]:[Acceleration]])</f>
        <v>1</v>
      </c>
    </row>
    <row r="135" spans="1:12" x14ac:dyDescent="0.25">
      <c r="A135">
        <v>21</v>
      </c>
      <c r="B135">
        <v>6</v>
      </c>
      <c r="C135">
        <v>200</v>
      </c>
      <c r="E135">
        <v>2875</v>
      </c>
      <c r="F135">
        <v>17</v>
      </c>
      <c r="G135">
        <v>74</v>
      </c>
      <c r="H135" t="s">
        <v>940</v>
      </c>
      <c r="I135" t="s">
        <v>998</v>
      </c>
      <c r="J135" t="s">
        <v>954</v>
      </c>
      <c r="K135" t="s">
        <v>999</v>
      </c>
      <c r="L135" t="b">
        <f>Data_Completeness(MileageData[[#This Row],[MPG]:[Acceleration]])</f>
        <v>0</v>
      </c>
    </row>
    <row r="136" spans="1:12" x14ac:dyDescent="0.25">
      <c r="A136">
        <v>19</v>
      </c>
      <c r="B136">
        <v>6</v>
      </c>
      <c r="C136">
        <v>232</v>
      </c>
      <c r="D136">
        <v>100</v>
      </c>
      <c r="E136">
        <v>2901</v>
      </c>
      <c r="F136">
        <v>16</v>
      </c>
      <c r="G136">
        <v>74</v>
      </c>
      <c r="H136" t="s">
        <v>940</v>
      </c>
      <c r="I136" t="s">
        <v>996</v>
      </c>
      <c r="J136" t="s">
        <v>951</v>
      </c>
      <c r="K136" t="s">
        <v>997</v>
      </c>
      <c r="L136" t="b">
        <f>Data_Completeness(MileageData[[#This Row],[MPG]:[Acceleration]])</f>
        <v>1</v>
      </c>
    </row>
    <row r="137" spans="1:12" x14ac:dyDescent="0.25">
      <c r="A137">
        <v>15</v>
      </c>
      <c r="B137">
        <v>6</v>
      </c>
      <c r="C137">
        <v>250</v>
      </c>
      <c r="D137">
        <v>100</v>
      </c>
      <c r="E137">
        <v>3336</v>
      </c>
      <c r="F137">
        <v>17</v>
      </c>
      <c r="G137">
        <v>74</v>
      </c>
      <c r="H137" t="s">
        <v>940</v>
      </c>
      <c r="I137" t="s">
        <v>1189</v>
      </c>
      <c r="J137" t="s">
        <v>942</v>
      </c>
      <c r="K137" t="s">
        <v>1190</v>
      </c>
      <c r="L137" t="b">
        <f>Data_Completeness(MileageData[[#This Row],[MPG]:[Acceleration]])</f>
        <v>1</v>
      </c>
    </row>
    <row r="138" spans="1:12" x14ac:dyDescent="0.25">
      <c r="A138">
        <v>31</v>
      </c>
      <c r="B138">
        <v>4</v>
      </c>
      <c r="C138">
        <v>79</v>
      </c>
      <c r="D138">
        <v>67</v>
      </c>
      <c r="E138">
        <v>1950</v>
      </c>
      <c r="F138">
        <v>19</v>
      </c>
      <c r="G138">
        <v>74</v>
      </c>
      <c r="H138" t="s">
        <v>990</v>
      </c>
      <c r="I138" t="s">
        <v>1191</v>
      </c>
      <c r="J138" t="s">
        <v>1001</v>
      </c>
      <c r="K138" t="s">
        <v>1192</v>
      </c>
      <c r="L138" t="b">
        <f>Data_Completeness(MileageData[[#This Row],[MPG]:[Acceleration]])</f>
        <v>1</v>
      </c>
    </row>
    <row r="139" spans="1:12" x14ac:dyDescent="0.25">
      <c r="A139">
        <v>26</v>
      </c>
      <c r="B139">
        <v>4</v>
      </c>
      <c r="C139">
        <v>122</v>
      </c>
      <c r="D139">
        <v>80</v>
      </c>
      <c r="E139">
        <v>2451</v>
      </c>
      <c r="F139">
        <v>16.5</v>
      </c>
      <c r="G139">
        <v>74</v>
      </c>
      <c r="H139" t="s">
        <v>940</v>
      </c>
      <c r="I139" t="s">
        <v>1032</v>
      </c>
      <c r="J139" t="s">
        <v>954</v>
      </c>
      <c r="K139" t="s">
        <v>1033</v>
      </c>
      <c r="L139" t="b">
        <f>Data_Completeness(MileageData[[#This Row],[MPG]:[Acceleration]])</f>
        <v>1</v>
      </c>
    </row>
    <row r="140" spans="1:12" x14ac:dyDescent="0.25">
      <c r="A140">
        <v>32</v>
      </c>
      <c r="B140">
        <v>4</v>
      </c>
      <c r="C140">
        <v>71</v>
      </c>
      <c r="D140">
        <v>65</v>
      </c>
      <c r="E140">
        <v>1836</v>
      </c>
      <c r="F140">
        <v>21</v>
      </c>
      <c r="G140">
        <v>74</v>
      </c>
      <c r="H140" t="s">
        <v>990</v>
      </c>
      <c r="I140" t="s">
        <v>1067</v>
      </c>
      <c r="J140" t="s">
        <v>992</v>
      </c>
      <c r="K140" t="s">
        <v>1068</v>
      </c>
      <c r="L140" t="b">
        <f>Data_Completeness(MileageData[[#This Row],[MPG]:[Acceleration]])</f>
        <v>1</v>
      </c>
    </row>
    <row r="141" spans="1:12" x14ac:dyDescent="0.25">
      <c r="A141">
        <v>25</v>
      </c>
      <c r="B141">
        <v>4</v>
      </c>
      <c r="C141">
        <v>140</v>
      </c>
      <c r="D141">
        <v>75</v>
      </c>
      <c r="E141">
        <v>2542</v>
      </c>
      <c r="F141">
        <v>17</v>
      </c>
      <c r="G141">
        <v>74</v>
      </c>
      <c r="H141" t="s">
        <v>940</v>
      </c>
      <c r="I141" t="s">
        <v>1080</v>
      </c>
      <c r="J141" t="s">
        <v>942</v>
      </c>
      <c r="K141" t="s">
        <v>1081</v>
      </c>
      <c r="L141" t="b">
        <f>Data_Completeness(MileageData[[#This Row],[MPG]:[Acceleration]])</f>
        <v>1</v>
      </c>
    </row>
    <row r="142" spans="1:12" x14ac:dyDescent="0.25">
      <c r="A142">
        <v>16</v>
      </c>
      <c r="B142">
        <v>6</v>
      </c>
      <c r="C142">
        <v>250</v>
      </c>
      <c r="D142">
        <v>100</v>
      </c>
      <c r="E142">
        <v>3781</v>
      </c>
      <c r="F142">
        <v>17</v>
      </c>
      <c r="G142">
        <v>74</v>
      </c>
      <c r="H142" t="s">
        <v>940</v>
      </c>
      <c r="I142" t="s">
        <v>1193</v>
      </c>
      <c r="J142" t="s">
        <v>942</v>
      </c>
      <c r="K142" t="s">
        <v>1194</v>
      </c>
      <c r="L142" t="b">
        <f>Data_Completeness(MileageData[[#This Row],[MPG]:[Acceleration]])</f>
        <v>1</v>
      </c>
    </row>
    <row r="143" spans="1:12" x14ac:dyDescent="0.25">
      <c r="A143">
        <v>16</v>
      </c>
      <c r="B143">
        <v>6</v>
      </c>
      <c r="C143">
        <v>258</v>
      </c>
      <c r="D143">
        <v>110</v>
      </c>
      <c r="E143">
        <v>3632</v>
      </c>
      <c r="F143">
        <v>18</v>
      </c>
      <c r="G143">
        <v>74</v>
      </c>
      <c r="H143" t="s">
        <v>940</v>
      </c>
      <c r="I143" t="s">
        <v>1040</v>
      </c>
      <c r="J143" t="s">
        <v>951</v>
      </c>
      <c r="K143" t="s">
        <v>1041</v>
      </c>
      <c r="L143" t="b">
        <f>Data_Completeness(MileageData[[#This Row],[MPG]:[Acceleration]])</f>
        <v>1</v>
      </c>
    </row>
    <row r="144" spans="1:12" x14ac:dyDescent="0.25">
      <c r="A144">
        <v>18</v>
      </c>
      <c r="B144">
        <v>6</v>
      </c>
      <c r="C144">
        <v>225</v>
      </c>
      <c r="D144">
        <v>105</v>
      </c>
      <c r="E144">
        <v>3613</v>
      </c>
      <c r="F144">
        <v>16.5</v>
      </c>
      <c r="G144">
        <v>74</v>
      </c>
      <c r="H144" t="s">
        <v>940</v>
      </c>
      <c r="I144" t="s">
        <v>1195</v>
      </c>
      <c r="J144" t="s">
        <v>948</v>
      </c>
      <c r="K144" t="s">
        <v>1196</v>
      </c>
      <c r="L144" t="b">
        <f>Data_Completeness(MileageData[[#This Row],[MPG]:[Acceleration]])</f>
        <v>1</v>
      </c>
    </row>
    <row r="145" spans="1:12" x14ac:dyDescent="0.25">
      <c r="A145">
        <v>16</v>
      </c>
      <c r="B145">
        <v>8</v>
      </c>
      <c r="C145">
        <v>302</v>
      </c>
      <c r="D145">
        <v>140</v>
      </c>
      <c r="E145">
        <v>4141</v>
      </c>
      <c r="F145">
        <v>14</v>
      </c>
      <c r="G145">
        <v>74</v>
      </c>
      <c r="H145" t="s">
        <v>940</v>
      </c>
      <c r="I145" t="s">
        <v>1130</v>
      </c>
      <c r="J145" t="s">
        <v>954</v>
      </c>
      <c r="K145" t="s">
        <v>1131</v>
      </c>
      <c r="L145" t="b">
        <f>Data_Completeness(MileageData[[#This Row],[MPG]:[Acceleration]])</f>
        <v>1</v>
      </c>
    </row>
    <row r="146" spans="1:12" x14ac:dyDescent="0.25">
      <c r="A146">
        <v>13</v>
      </c>
      <c r="B146">
        <v>8</v>
      </c>
      <c r="C146">
        <v>350</v>
      </c>
      <c r="D146">
        <v>150</v>
      </c>
      <c r="E146">
        <v>4699</v>
      </c>
      <c r="F146">
        <v>14.5</v>
      </c>
      <c r="G146">
        <v>74</v>
      </c>
      <c r="H146" t="s">
        <v>940</v>
      </c>
      <c r="I146" t="s">
        <v>1197</v>
      </c>
      <c r="J146" t="s">
        <v>945</v>
      </c>
      <c r="K146" t="s">
        <v>1198</v>
      </c>
      <c r="L146" t="b">
        <f>Data_Completeness(MileageData[[#This Row],[MPG]:[Acceleration]])</f>
        <v>1</v>
      </c>
    </row>
    <row r="147" spans="1:12" x14ac:dyDescent="0.25">
      <c r="A147">
        <v>14</v>
      </c>
      <c r="B147">
        <v>8</v>
      </c>
      <c r="C147">
        <v>318</v>
      </c>
      <c r="D147">
        <v>150</v>
      </c>
      <c r="E147">
        <v>4457</v>
      </c>
      <c r="F147">
        <v>13.5</v>
      </c>
      <c r="G147">
        <v>74</v>
      </c>
      <c r="H147" t="s">
        <v>940</v>
      </c>
      <c r="I147" t="s">
        <v>1199</v>
      </c>
      <c r="J147" t="s">
        <v>980</v>
      </c>
      <c r="K147" t="s">
        <v>1200</v>
      </c>
      <c r="L147" t="b">
        <f>Data_Completeness(MileageData[[#This Row],[MPG]:[Acceleration]])</f>
        <v>1</v>
      </c>
    </row>
    <row r="148" spans="1:12" x14ac:dyDescent="0.25">
      <c r="A148">
        <v>14</v>
      </c>
      <c r="B148">
        <v>8</v>
      </c>
      <c r="C148">
        <v>302</v>
      </c>
      <c r="D148">
        <v>140</v>
      </c>
      <c r="E148">
        <v>4638</v>
      </c>
      <c r="F148">
        <v>16</v>
      </c>
      <c r="G148">
        <v>74</v>
      </c>
      <c r="H148" t="s">
        <v>940</v>
      </c>
      <c r="I148" t="s">
        <v>1101</v>
      </c>
      <c r="J148" t="s">
        <v>954</v>
      </c>
      <c r="K148" t="s">
        <v>1102</v>
      </c>
      <c r="L148" t="b">
        <f>Data_Completeness(MileageData[[#This Row],[MPG]:[Acceleration]])</f>
        <v>1</v>
      </c>
    </row>
    <row r="149" spans="1:12" x14ac:dyDescent="0.25">
      <c r="A149">
        <v>14</v>
      </c>
      <c r="B149">
        <v>8</v>
      </c>
      <c r="C149">
        <v>304</v>
      </c>
      <c r="D149">
        <v>150</v>
      </c>
      <c r="E149">
        <v>4257</v>
      </c>
      <c r="F149">
        <v>15.5</v>
      </c>
      <c r="G149">
        <v>74</v>
      </c>
      <c r="H149" t="s">
        <v>940</v>
      </c>
      <c r="I149" t="s">
        <v>1099</v>
      </c>
      <c r="J149" t="s">
        <v>951</v>
      </c>
      <c r="K149" t="s">
        <v>1100</v>
      </c>
      <c r="L149" t="b">
        <f>Data_Completeness(MileageData[[#This Row],[MPG]:[Acceleration]])</f>
        <v>1</v>
      </c>
    </row>
    <row r="150" spans="1:12" x14ac:dyDescent="0.25">
      <c r="A150">
        <v>29</v>
      </c>
      <c r="B150">
        <v>4</v>
      </c>
      <c r="C150">
        <v>98</v>
      </c>
      <c r="D150">
        <v>83</v>
      </c>
      <c r="E150">
        <v>2219</v>
      </c>
      <c r="F150">
        <v>16.5</v>
      </c>
      <c r="G150">
        <v>74</v>
      </c>
      <c r="H150" t="s">
        <v>967</v>
      </c>
      <c r="I150" t="s">
        <v>1201</v>
      </c>
      <c r="J150" t="s">
        <v>1009</v>
      </c>
      <c r="K150" t="s">
        <v>1202</v>
      </c>
      <c r="L150" t="b">
        <f>Data_Completeness(MileageData[[#This Row],[MPG]:[Acceleration]])</f>
        <v>1</v>
      </c>
    </row>
    <row r="151" spans="1:12" x14ac:dyDescent="0.25">
      <c r="A151">
        <v>26</v>
      </c>
      <c r="B151">
        <v>4</v>
      </c>
      <c r="C151">
        <v>79</v>
      </c>
      <c r="D151">
        <v>67</v>
      </c>
      <c r="E151">
        <v>1963</v>
      </c>
      <c r="F151">
        <v>15.5</v>
      </c>
      <c r="G151">
        <v>74</v>
      </c>
      <c r="H151" t="s">
        <v>967</v>
      </c>
      <c r="I151" t="s">
        <v>1203</v>
      </c>
      <c r="J151" t="s">
        <v>1004</v>
      </c>
      <c r="K151" t="s">
        <v>1204</v>
      </c>
      <c r="L151" t="b">
        <f>Data_Completeness(MileageData[[#This Row],[MPG]:[Acceleration]])</f>
        <v>1</v>
      </c>
    </row>
    <row r="152" spans="1:12" x14ac:dyDescent="0.25">
      <c r="A152">
        <v>26</v>
      </c>
      <c r="B152">
        <v>4</v>
      </c>
      <c r="C152">
        <v>97</v>
      </c>
      <c r="D152">
        <v>78</v>
      </c>
      <c r="E152">
        <v>2300</v>
      </c>
      <c r="F152">
        <v>14.5</v>
      </c>
      <c r="G152">
        <v>74</v>
      </c>
      <c r="H152" t="s">
        <v>967</v>
      </c>
      <c r="I152" t="s">
        <v>1175</v>
      </c>
      <c r="J152" t="s">
        <v>1062</v>
      </c>
      <c r="K152" t="s">
        <v>1176</v>
      </c>
      <c r="L152" t="b">
        <f>Data_Completeness(MileageData[[#This Row],[MPG]:[Acceleration]])</f>
        <v>1</v>
      </c>
    </row>
    <row r="153" spans="1:12" x14ac:dyDescent="0.25">
      <c r="A153">
        <v>31</v>
      </c>
      <c r="B153">
        <v>4</v>
      </c>
      <c r="C153">
        <v>76</v>
      </c>
      <c r="D153">
        <v>52</v>
      </c>
      <c r="E153">
        <v>1649</v>
      </c>
      <c r="F153">
        <v>16.5</v>
      </c>
      <c r="G153">
        <v>74</v>
      </c>
      <c r="H153" t="s">
        <v>990</v>
      </c>
      <c r="I153" t="s">
        <v>1030</v>
      </c>
      <c r="J153" t="s">
        <v>992</v>
      </c>
      <c r="K153" t="s">
        <v>1031</v>
      </c>
      <c r="L153" t="b">
        <f>Data_Completeness(MileageData[[#This Row],[MPG]:[Acceleration]])</f>
        <v>1</v>
      </c>
    </row>
    <row r="154" spans="1:12" x14ac:dyDescent="0.25">
      <c r="A154">
        <v>32</v>
      </c>
      <c r="B154">
        <v>4</v>
      </c>
      <c r="C154">
        <v>83</v>
      </c>
      <c r="D154">
        <v>61</v>
      </c>
      <c r="E154">
        <v>2003</v>
      </c>
      <c r="F154">
        <v>19</v>
      </c>
      <c r="G154">
        <v>74</v>
      </c>
      <c r="H154" t="s">
        <v>990</v>
      </c>
      <c r="I154" t="s">
        <v>1205</v>
      </c>
      <c r="J154" t="s">
        <v>1001</v>
      </c>
      <c r="K154">
        <v>710</v>
      </c>
      <c r="L154" t="b">
        <f>Data_Completeness(MileageData[[#This Row],[MPG]:[Acceleration]])</f>
        <v>1</v>
      </c>
    </row>
    <row r="155" spans="1:12" x14ac:dyDescent="0.25">
      <c r="A155">
        <v>28</v>
      </c>
      <c r="B155">
        <v>4</v>
      </c>
      <c r="C155">
        <v>90</v>
      </c>
      <c r="D155">
        <v>75</v>
      </c>
      <c r="E155">
        <v>2125</v>
      </c>
      <c r="F155">
        <v>14.5</v>
      </c>
      <c r="G155">
        <v>74</v>
      </c>
      <c r="H155" t="s">
        <v>940</v>
      </c>
      <c r="I155" t="s">
        <v>1206</v>
      </c>
      <c r="J155" t="s">
        <v>980</v>
      </c>
      <c r="K155" t="s">
        <v>1207</v>
      </c>
      <c r="L155" t="b">
        <f>Data_Completeness(MileageData[[#This Row],[MPG]:[Acceleration]])</f>
        <v>1</v>
      </c>
    </row>
    <row r="156" spans="1:12" x14ac:dyDescent="0.25">
      <c r="A156">
        <v>24</v>
      </c>
      <c r="B156">
        <v>4</v>
      </c>
      <c r="C156">
        <v>90</v>
      </c>
      <c r="D156">
        <v>75</v>
      </c>
      <c r="E156">
        <v>2108</v>
      </c>
      <c r="F156">
        <v>15.5</v>
      </c>
      <c r="G156">
        <v>74</v>
      </c>
      <c r="H156" t="s">
        <v>967</v>
      </c>
      <c r="I156" t="s">
        <v>1174</v>
      </c>
      <c r="J156" t="s">
        <v>1065</v>
      </c>
      <c r="K156">
        <v>128</v>
      </c>
      <c r="L156" t="b">
        <f>Data_Completeness(MileageData[[#This Row],[MPG]:[Acceleration]])</f>
        <v>1</v>
      </c>
    </row>
    <row r="157" spans="1:12" x14ac:dyDescent="0.25">
      <c r="A157">
        <v>26</v>
      </c>
      <c r="B157">
        <v>4</v>
      </c>
      <c r="C157">
        <v>116</v>
      </c>
      <c r="D157">
        <v>75</v>
      </c>
      <c r="E157">
        <v>2246</v>
      </c>
      <c r="F157">
        <v>14</v>
      </c>
      <c r="G157">
        <v>74</v>
      </c>
      <c r="H157" t="s">
        <v>967</v>
      </c>
      <c r="I157" t="s">
        <v>1208</v>
      </c>
      <c r="J157" t="s">
        <v>1065</v>
      </c>
      <c r="K157" t="s">
        <v>1209</v>
      </c>
      <c r="L157" t="b">
        <f>Data_Completeness(MileageData[[#This Row],[MPG]:[Acceleration]])</f>
        <v>1</v>
      </c>
    </row>
    <row r="158" spans="1:12" x14ac:dyDescent="0.25">
      <c r="A158">
        <v>24</v>
      </c>
      <c r="B158">
        <v>4</v>
      </c>
      <c r="C158">
        <v>120</v>
      </c>
      <c r="D158">
        <v>97</v>
      </c>
      <c r="E158">
        <v>2489</v>
      </c>
      <c r="F158">
        <v>15</v>
      </c>
      <c r="G158">
        <v>74</v>
      </c>
      <c r="H158" t="s">
        <v>990</v>
      </c>
      <c r="I158" t="s">
        <v>1210</v>
      </c>
      <c r="J158" t="s">
        <v>1211</v>
      </c>
      <c r="K158" t="s">
        <v>1212</v>
      </c>
      <c r="L158" t="b">
        <f>Data_Completeness(MileageData[[#This Row],[MPG]:[Acceleration]])</f>
        <v>1</v>
      </c>
    </row>
    <row r="159" spans="1:12" x14ac:dyDescent="0.25">
      <c r="A159">
        <v>26</v>
      </c>
      <c r="B159">
        <v>4</v>
      </c>
      <c r="C159">
        <v>108</v>
      </c>
      <c r="D159">
        <v>93</v>
      </c>
      <c r="E159">
        <v>2391</v>
      </c>
      <c r="F159">
        <v>15.5</v>
      </c>
      <c r="G159">
        <v>74</v>
      </c>
      <c r="H159" t="s">
        <v>990</v>
      </c>
      <c r="I159" t="s">
        <v>1213</v>
      </c>
      <c r="J159" t="e">
        <v>#VALUE!</v>
      </c>
      <c r="K159" t="e">
        <v>#VALUE!</v>
      </c>
      <c r="L159" t="b">
        <f>Data_Completeness(MileageData[[#This Row],[MPG]:[Acceleration]])</f>
        <v>1</v>
      </c>
    </row>
    <row r="160" spans="1:12" x14ac:dyDescent="0.25">
      <c r="A160">
        <v>31</v>
      </c>
      <c r="B160">
        <v>4</v>
      </c>
      <c r="C160">
        <v>79</v>
      </c>
      <c r="D160">
        <v>67</v>
      </c>
      <c r="E160">
        <v>2000</v>
      </c>
      <c r="F160">
        <v>16</v>
      </c>
      <c r="G160">
        <v>74</v>
      </c>
      <c r="H160" t="s">
        <v>967</v>
      </c>
      <c r="I160" t="s">
        <v>1214</v>
      </c>
      <c r="J160" t="s">
        <v>1065</v>
      </c>
      <c r="K160" t="s">
        <v>1215</v>
      </c>
      <c r="L160" t="b">
        <f>Data_Completeness(MileageData[[#This Row],[MPG]:[Acceleration]])</f>
        <v>1</v>
      </c>
    </row>
    <row r="161" spans="1:12" x14ac:dyDescent="0.25">
      <c r="A161">
        <v>19</v>
      </c>
      <c r="B161">
        <v>6</v>
      </c>
      <c r="C161">
        <v>225</v>
      </c>
      <c r="D161">
        <v>95</v>
      </c>
      <c r="E161">
        <v>3264</v>
      </c>
      <c r="F161">
        <v>16</v>
      </c>
      <c r="G161">
        <v>75</v>
      </c>
      <c r="H161" t="s">
        <v>940</v>
      </c>
      <c r="I161" t="s">
        <v>1216</v>
      </c>
      <c r="J161" t="s">
        <v>948</v>
      </c>
      <c r="K161" t="s">
        <v>1217</v>
      </c>
      <c r="L161" t="b">
        <f>Data_Completeness(MileageData[[#This Row],[MPG]:[Acceleration]])</f>
        <v>1</v>
      </c>
    </row>
    <row r="162" spans="1:12" x14ac:dyDescent="0.25">
      <c r="A162">
        <v>18</v>
      </c>
      <c r="B162">
        <v>6</v>
      </c>
      <c r="C162">
        <v>250</v>
      </c>
      <c r="D162">
        <v>105</v>
      </c>
      <c r="E162">
        <v>3459</v>
      </c>
      <c r="F162">
        <v>16</v>
      </c>
      <c r="G162">
        <v>75</v>
      </c>
      <c r="H162" t="s">
        <v>940</v>
      </c>
      <c r="I162" t="s">
        <v>1189</v>
      </c>
      <c r="J162" t="s">
        <v>942</v>
      </c>
      <c r="K162" t="s">
        <v>1190</v>
      </c>
      <c r="L162" t="b">
        <f>Data_Completeness(MileageData[[#This Row],[MPG]:[Acceleration]])</f>
        <v>1</v>
      </c>
    </row>
    <row r="163" spans="1:12" x14ac:dyDescent="0.25">
      <c r="A163">
        <v>15</v>
      </c>
      <c r="B163">
        <v>6</v>
      </c>
      <c r="C163">
        <v>250</v>
      </c>
      <c r="D163">
        <v>72</v>
      </c>
      <c r="E163">
        <v>3432</v>
      </c>
      <c r="F163">
        <v>21</v>
      </c>
      <c r="G163">
        <v>75</v>
      </c>
      <c r="H163" t="s">
        <v>940</v>
      </c>
      <c r="I163" t="s">
        <v>1218</v>
      </c>
      <c r="J163" t="s">
        <v>1059</v>
      </c>
      <c r="K163" t="s">
        <v>1219</v>
      </c>
      <c r="L163" t="b">
        <f>Data_Completeness(MileageData[[#This Row],[MPG]:[Acceleration]])</f>
        <v>1</v>
      </c>
    </row>
    <row r="164" spans="1:12" x14ac:dyDescent="0.25">
      <c r="A164">
        <v>15</v>
      </c>
      <c r="B164">
        <v>6</v>
      </c>
      <c r="C164">
        <v>250</v>
      </c>
      <c r="D164">
        <v>72</v>
      </c>
      <c r="E164">
        <v>3158</v>
      </c>
      <c r="F164">
        <v>19.5</v>
      </c>
      <c r="G164">
        <v>75</v>
      </c>
      <c r="H164" t="s">
        <v>940</v>
      </c>
      <c r="I164" t="s">
        <v>998</v>
      </c>
      <c r="J164" t="s">
        <v>954</v>
      </c>
      <c r="K164" t="s">
        <v>999</v>
      </c>
      <c r="L164" t="b">
        <f>Data_Completeness(MileageData[[#This Row],[MPG]:[Acceleration]])</f>
        <v>1</v>
      </c>
    </row>
    <row r="165" spans="1:12" x14ac:dyDescent="0.25">
      <c r="A165">
        <v>16</v>
      </c>
      <c r="B165">
        <v>8</v>
      </c>
      <c r="C165">
        <v>400</v>
      </c>
      <c r="D165">
        <v>170</v>
      </c>
      <c r="E165">
        <v>4668</v>
      </c>
      <c r="F165">
        <v>11.5</v>
      </c>
      <c r="G165">
        <v>75</v>
      </c>
      <c r="H165" t="s">
        <v>940</v>
      </c>
      <c r="I165" t="s">
        <v>962</v>
      </c>
      <c r="J165" t="s">
        <v>963</v>
      </c>
      <c r="K165" t="s">
        <v>964</v>
      </c>
      <c r="L165" t="b">
        <f>Data_Completeness(MileageData[[#This Row],[MPG]:[Acceleration]])</f>
        <v>1</v>
      </c>
    </row>
    <row r="166" spans="1:12" x14ac:dyDescent="0.25">
      <c r="A166">
        <v>15</v>
      </c>
      <c r="B166">
        <v>8</v>
      </c>
      <c r="C166">
        <v>350</v>
      </c>
      <c r="D166">
        <v>145</v>
      </c>
      <c r="E166">
        <v>4440</v>
      </c>
      <c r="F166">
        <v>14</v>
      </c>
      <c r="G166">
        <v>75</v>
      </c>
      <c r="H166" t="s">
        <v>940</v>
      </c>
      <c r="I166" t="s">
        <v>1220</v>
      </c>
      <c r="J166" t="s">
        <v>942</v>
      </c>
      <c r="K166" t="s">
        <v>1221</v>
      </c>
      <c r="L166" t="b">
        <f>Data_Completeness(MileageData[[#This Row],[MPG]:[Acceleration]])</f>
        <v>1</v>
      </c>
    </row>
    <row r="167" spans="1:12" x14ac:dyDescent="0.25">
      <c r="A167">
        <v>16</v>
      </c>
      <c r="B167">
        <v>8</v>
      </c>
      <c r="C167">
        <v>318</v>
      </c>
      <c r="D167">
        <v>150</v>
      </c>
      <c r="E167">
        <v>4498</v>
      </c>
      <c r="F167">
        <v>14.5</v>
      </c>
      <c r="G167">
        <v>75</v>
      </c>
      <c r="H167" t="s">
        <v>940</v>
      </c>
      <c r="I167" t="s">
        <v>1222</v>
      </c>
      <c r="J167" t="s">
        <v>948</v>
      </c>
      <c r="K167" t="s">
        <v>1223</v>
      </c>
      <c r="L167" t="b">
        <f>Data_Completeness(MileageData[[#This Row],[MPG]:[Acceleration]])</f>
        <v>1</v>
      </c>
    </row>
    <row r="168" spans="1:12" x14ac:dyDescent="0.25">
      <c r="A168">
        <v>14</v>
      </c>
      <c r="B168">
        <v>8</v>
      </c>
      <c r="C168">
        <v>351</v>
      </c>
      <c r="D168">
        <v>148</v>
      </c>
      <c r="E168">
        <v>4657</v>
      </c>
      <c r="F168">
        <v>13.5</v>
      </c>
      <c r="G168">
        <v>75</v>
      </c>
      <c r="H168" t="s">
        <v>940</v>
      </c>
      <c r="I168" t="s">
        <v>1138</v>
      </c>
      <c r="J168" t="s">
        <v>954</v>
      </c>
      <c r="K168" t="s">
        <v>1139</v>
      </c>
      <c r="L168" t="b">
        <f>Data_Completeness(MileageData[[#This Row],[MPG]:[Acceleration]])</f>
        <v>1</v>
      </c>
    </row>
    <row r="169" spans="1:12" x14ac:dyDescent="0.25">
      <c r="A169">
        <v>17</v>
      </c>
      <c r="B169">
        <v>6</v>
      </c>
      <c r="C169">
        <v>231</v>
      </c>
      <c r="D169">
        <v>110</v>
      </c>
      <c r="E169">
        <v>3907</v>
      </c>
      <c r="F169">
        <v>21</v>
      </c>
      <c r="G169">
        <v>75</v>
      </c>
      <c r="H169" t="s">
        <v>940</v>
      </c>
      <c r="I169" t="s">
        <v>1224</v>
      </c>
      <c r="J169" t="s">
        <v>945</v>
      </c>
      <c r="K169" t="s">
        <v>1225</v>
      </c>
      <c r="L169" t="b">
        <f>Data_Completeness(MileageData[[#This Row],[MPG]:[Acceleration]])</f>
        <v>1</v>
      </c>
    </row>
    <row r="170" spans="1:12" x14ac:dyDescent="0.25">
      <c r="A170">
        <v>16</v>
      </c>
      <c r="B170">
        <v>6</v>
      </c>
      <c r="C170">
        <v>250</v>
      </c>
      <c r="D170">
        <v>105</v>
      </c>
      <c r="E170">
        <v>3897</v>
      </c>
      <c r="F170">
        <v>18.5</v>
      </c>
      <c r="G170">
        <v>75</v>
      </c>
      <c r="H170" t="s">
        <v>940</v>
      </c>
      <c r="I170" t="s">
        <v>1226</v>
      </c>
      <c r="J170" t="s">
        <v>1227</v>
      </c>
      <c r="K170" t="s">
        <v>943</v>
      </c>
      <c r="L170" t="b">
        <f>Data_Completeness(MileageData[[#This Row],[MPG]:[Acceleration]])</f>
        <v>1</v>
      </c>
    </row>
    <row r="171" spans="1:12" x14ac:dyDescent="0.25">
      <c r="A171">
        <v>15</v>
      </c>
      <c r="B171">
        <v>6</v>
      </c>
      <c r="C171">
        <v>258</v>
      </c>
      <c r="D171">
        <v>110</v>
      </c>
      <c r="E171">
        <v>3730</v>
      </c>
      <c r="F171">
        <v>19</v>
      </c>
      <c r="G171">
        <v>75</v>
      </c>
      <c r="H171" t="s">
        <v>940</v>
      </c>
      <c r="I171" t="s">
        <v>1040</v>
      </c>
      <c r="J171" t="s">
        <v>951</v>
      </c>
      <c r="K171" t="s">
        <v>1041</v>
      </c>
      <c r="L171" t="b">
        <f>Data_Completeness(MileageData[[#This Row],[MPG]:[Acceleration]])</f>
        <v>1</v>
      </c>
    </row>
    <row r="172" spans="1:12" x14ac:dyDescent="0.25">
      <c r="A172">
        <v>18</v>
      </c>
      <c r="B172">
        <v>6</v>
      </c>
      <c r="C172">
        <v>225</v>
      </c>
      <c r="D172">
        <v>95</v>
      </c>
      <c r="E172">
        <v>3785</v>
      </c>
      <c r="F172">
        <v>19</v>
      </c>
      <c r="G172">
        <v>75</v>
      </c>
      <c r="H172" t="s">
        <v>940</v>
      </c>
      <c r="I172" t="s">
        <v>1228</v>
      </c>
      <c r="J172" t="s">
        <v>948</v>
      </c>
      <c r="K172" t="s">
        <v>1229</v>
      </c>
      <c r="L172" t="b">
        <f>Data_Completeness(MileageData[[#This Row],[MPG]:[Acceleration]])</f>
        <v>1</v>
      </c>
    </row>
    <row r="173" spans="1:12" x14ac:dyDescent="0.25">
      <c r="A173">
        <v>21</v>
      </c>
      <c r="B173">
        <v>6</v>
      </c>
      <c r="C173">
        <v>231</v>
      </c>
      <c r="D173">
        <v>110</v>
      </c>
      <c r="E173">
        <v>3039</v>
      </c>
      <c r="F173">
        <v>15</v>
      </c>
      <c r="G173">
        <v>75</v>
      </c>
      <c r="H173" t="s">
        <v>940</v>
      </c>
      <c r="I173" t="s">
        <v>1230</v>
      </c>
      <c r="J173" t="s">
        <v>945</v>
      </c>
      <c r="K173" t="s">
        <v>1231</v>
      </c>
      <c r="L173" t="b">
        <f>Data_Completeness(MileageData[[#This Row],[MPG]:[Acceleration]])</f>
        <v>1</v>
      </c>
    </row>
    <row r="174" spans="1:12" x14ac:dyDescent="0.25">
      <c r="A174">
        <v>20</v>
      </c>
      <c r="B174">
        <v>8</v>
      </c>
      <c r="C174">
        <v>262</v>
      </c>
      <c r="D174">
        <v>110</v>
      </c>
      <c r="E174">
        <v>3221</v>
      </c>
      <c r="F174">
        <v>13.5</v>
      </c>
      <c r="G174">
        <v>75</v>
      </c>
      <c r="H174" t="s">
        <v>940</v>
      </c>
      <c r="I174" t="s">
        <v>1232</v>
      </c>
      <c r="J174" t="s">
        <v>942</v>
      </c>
      <c r="K174" t="s">
        <v>1233</v>
      </c>
      <c r="L174" t="b">
        <f>Data_Completeness(MileageData[[#This Row],[MPG]:[Acceleration]])</f>
        <v>1</v>
      </c>
    </row>
    <row r="175" spans="1:12" x14ac:dyDescent="0.25">
      <c r="A175">
        <v>13</v>
      </c>
      <c r="B175">
        <v>8</v>
      </c>
      <c r="C175">
        <v>302</v>
      </c>
      <c r="D175">
        <v>129</v>
      </c>
      <c r="E175">
        <v>3169</v>
      </c>
      <c r="F175">
        <v>12</v>
      </c>
      <c r="G175">
        <v>75</v>
      </c>
      <c r="H175" t="s">
        <v>940</v>
      </c>
      <c r="I175" t="s">
        <v>1234</v>
      </c>
      <c r="J175" t="s">
        <v>954</v>
      </c>
      <c r="K175" t="s">
        <v>1235</v>
      </c>
      <c r="L175" t="b">
        <f>Data_Completeness(MileageData[[#This Row],[MPG]:[Acceleration]])</f>
        <v>1</v>
      </c>
    </row>
    <row r="176" spans="1:12" x14ac:dyDescent="0.25">
      <c r="A176">
        <v>29</v>
      </c>
      <c r="B176">
        <v>4</v>
      </c>
      <c r="C176">
        <v>97</v>
      </c>
      <c r="D176">
        <v>75</v>
      </c>
      <c r="E176">
        <v>2171</v>
      </c>
      <c r="F176">
        <v>16</v>
      </c>
      <c r="G176">
        <v>75</v>
      </c>
      <c r="H176" t="s">
        <v>990</v>
      </c>
      <c r="I176" t="s">
        <v>1236</v>
      </c>
      <c r="J176" t="s">
        <v>992</v>
      </c>
      <c r="K176" t="s">
        <v>1237</v>
      </c>
      <c r="L176" t="b">
        <f>Data_Completeness(MileageData[[#This Row],[MPG]:[Acceleration]])</f>
        <v>1</v>
      </c>
    </row>
    <row r="177" spans="1:12" x14ac:dyDescent="0.25">
      <c r="A177">
        <v>23</v>
      </c>
      <c r="B177">
        <v>4</v>
      </c>
      <c r="C177">
        <v>140</v>
      </c>
      <c r="D177">
        <v>83</v>
      </c>
      <c r="E177">
        <v>2639</v>
      </c>
      <c r="F177">
        <v>17</v>
      </c>
      <c r="G177">
        <v>75</v>
      </c>
      <c r="H177" t="s">
        <v>940</v>
      </c>
      <c r="I177" t="s">
        <v>1032</v>
      </c>
      <c r="J177" t="s">
        <v>954</v>
      </c>
      <c r="K177" t="s">
        <v>1033</v>
      </c>
      <c r="L177" t="b">
        <f>Data_Completeness(MileageData[[#This Row],[MPG]:[Acceleration]])</f>
        <v>1</v>
      </c>
    </row>
    <row r="178" spans="1:12" x14ac:dyDescent="0.25">
      <c r="A178">
        <v>20</v>
      </c>
      <c r="B178">
        <v>6</v>
      </c>
      <c r="C178">
        <v>232</v>
      </c>
      <c r="D178">
        <v>100</v>
      </c>
      <c r="E178">
        <v>2914</v>
      </c>
      <c r="F178">
        <v>16</v>
      </c>
      <c r="G178">
        <v>75</v>
      </c>
      <c r="H178" t="s">
        <v>940</v>
      </c>
      <c r="I178" t="s">
        <v>1016</v>
      </c>
      <c r="J178" t="s">
        <v>951</v>
      </c>
      <c r="K178" t="s">
        <v>1017</v>
      </c>
      <c r="L178" t="b">
        <f>Data_Completeness(MileageData[[#This Row],[MPG]:[Acceleration]])</f>
        <v>1</v>
      </c>
    </row>
    <row r="179" spans="1:12" x14ac:dyDescent="0.25">
      <c r="A179">
        <v>23</v>
      </c>
      <c r="B179">
        <v>4</v>
      </c>
      <c r="C179">
        <v>140</v>
      </c>
      <c r="D179">
        <v>78</v>
      </c>
      <c r="E179">
        <v>2592</v>
      </c>
      <c r="F179">
        <v>18.5</v>
      </c>
      <c r="G179">
        <v>75</v>
      </c>
      <c r="H179" t="s">
        <v>940</v>
      </c>
      <c r="I179" t="s">
        <v>1238</v>
      </c>
      <c r="J179" t="s">
        <v>963</v>
      </c>
      <c r="K179" t="s">
        <v>1239</v>
      </c>
      <c r="L179" t="b">
        <f>Data_Completeness(MileageData[[#This Row],[MPG]:[Acceleration]])</f>
        <v>1</v>
      </c>
    </row>
    <row r="180" spans="1:12" x14ac:dyDescent="0.25">
      <c r="A180">
        <v>24</v>
      </c>
      <c r="B180">
        <v>4</v>
      </c>
      <c r="C180">
        <v>134</v>
      </c>
      <c r="D180">
        <v>96</v>
      </c>
      <c r="E180">
        <v>2702</v>
      </c>
      <c r="F180">
        <v>13.5</v>
      </c>
      <c r="G180">
        <v>75</v>
      </c>
      <c r="H180" t="s">
        <v>990</v>
      </c>
      <c r="I180" t="s">
        <v>1030</v>
      </c>
      <c r="J180" t="s">
        <v>992</v>
      </c>
      <c r="K180" t="s">
        <v>1031</v>
      </c>
      <c r="L180" t="b">
        <f>Data_Completeness(MileageData[[#This Row],[MPG]:[Acceleration]])</f>
        <v>1</v>
      </c>
    </row>
    <row r="181" spans="1:12" x14ac:dyDescent="0.25">
      <c r="A181">
        <v>25</v>
      </c>
      <c r="B181">
        <v>4</v>
      </c>
      <c r="C181">
        <v>90</v>
      </c>
      <c r="D181">
        <v>71</v>
      </c>
      <c r="E181">
        <v>2223</v>
      </c>
      <c r="F181">
        <v>16.5</v>
      </c>
      <c r="G181">
        <v>75</v>
      </c>
      <c r="H181" t="s">
        <v>967</v>
      </c>
      <c r="I181" t="s">
        <v>1203</v>
      </c>
      <c r="J181" t="s">
        <v>1004</v>
      </c>
      <c r="K181" t="s">
        <v>1204</v>
      </c>
      <c r="L181" t="b">
        <f>Data_Completeness(MileageData[[#This Row],[MPG]:[Acceleration]])</f>
        <v>1</v>
      </c>
    </row>
    <row r="182" spans="1:12" x14ac:dyDescent="0.25">
      <c r="A182">
        <v>24</v>
      </c>
      <c r="B182">
        <v>4</v>
      </c>
      <c r="C182">
        <v>119</v>
      </c>
      <c r="D182">
        <v>97</v>
      </c>
      <c r="E182">
        <v>2545</v>
      </c>
      <c r="F182">
        <v>17</v>
      </c>
      <c r="G182">
        <v>75</v>
      </c>
      <c r="H182" t="s">
        <v>990</v>
      </c>
      <c r="I182" t="s">
        <v>1205</v>
      </c>
      <c r="J182" t="s">
        <v>1001</v>
      </c>
      <c r="K182">
        <v>710</v>
      </c>
      <c r="L182" t="b">
        <f>Data_Completeness(MileageData[[#This Row],[MPG]:[Acceleration]])</f>
        <v>1</v>
      </c>
    </row>
    <row r="183" spans="1:12" x14ac:dyDescent="0.25">
      <c r="A183">
        <v>18</v>
      </c>
      <c r="B183">
        <v>6</v>
      </c>
      <c r="C183">
        <v>171</v>
      </c>
      <c r="D183">
        <v>97</v>
      </c>
      <c r="E183">
        <v>2984</v>
      </c>
      <c r="F183">
        <v>14.5</v>
      </c>
      <c r="G183">
        <v>75</v>
      </c>
      <c r="H183" t="s">
        <v>940</v>
      </c>
      <c r="I183" t="s">
        <v>1032</v>
      </c>
      <c r="J183" t="s">
        <v>954</v>
      </c>
      <c r="K183" t="s">
        <v>1033</v>
      </c>
      <c r="L183" t="b">
        <f>Data_Completeness(MileageData[[#This Row],[MPG]:[Acceleration]])</f>
        <v>1</v>
      </c>
    </row>
    <row r="184" spans="1:12" x14ac:dyDescent="0.25">
      <c r="A184">
        <v>29</v>
      </c>
      <c r="B184">
        <v>4</v>
      </c>
      <c r="C184">
        <v>90</v>
      </c>
      <c r="D184">
        <v>70</v>
      </c>
      <c r="E184">
        <v>1937</v>
      </c>
      <c r="F184">
        <v>14</v>
      </c>
      <c r="G184">
        <v>75</v>
      </c>
      <c r="H184" t="s">
        <v>967</v>
      </c>
      <c r="I184" t="s">
        <v>1240</v>
      </c>
      <c r="J184" t="s">
        <v>1004</v>
      </c>
      <c r="K184" t="s">
        <v>1241</v>
      </c>
      <c r="L184" t="b">
        <f>Data_Completeness(MileageData[[#This Row],[MPG]:[Acceleration]])</f>
        <v>1</v>
      </c>
    </row>
    <row r="185" spans="1:12" x14ac:dyDescent="0.25">
      <c r="A185">
        <v>19</v>
      </c>
      <c r="B185">
        <v>6</v>
      </c>
      <c r="C185">
        <v>232</v>
      </c>
      <c r="D185">
        <v>90</v>
      </c>
      <c r="E185">
        <v>3211</v>
      </c>
      <c r="F185">
        <v>17</v>
      </c>
      <c r="G185">
        <v>75</v>
      </c>
      <c r="H185" t="s">
        <v>940</v>
      </c>
      <c r="I185" t="s">
        <v>1242</v>
      </c>
      <c r="J185" t="s">
        <v>951</v>
      </c>
      <c r="K185" t="s">
        <v>1243</v>
      </c>
      <c r="L185" t="b">
        <f>Data_Completeness(MileageData[[#This Row],[MPG]:[Acceleration]])</f>
        <v>1</v>
      </c>
    </row>
    <row r="186" spans="1:12" x14ac:dyDescent="0.25">
      <c r="A186">
        <v>23</v>
      </c>
      <c r="B186">
        <v>4</v>
      </c>
      <c r="C186">
        <v>115</v>
      </c>
      <c r="D186">
        <v>95</v>
      </c>
      <c r="E186">
        <v>2694</v>
      </c>
      <c r="F186">
        <v>15</v>
      </c>
      <c r="G186">
        <v>75</v>
      </c>
      <c r="H186" t="s">
        <v>967</v>
      </c>
      <c r="I186" t="s">
        <v>1177</v>
      </c>
      <c r="J186" t="s">
        <v>1009</v>
      </c>
      <c r="K186" t="s">
        <v>1178</v>
      </c>
      <c r="L186" t="b">
        <f>Data_Completeness(MileageData[[#This Row],[MPG]:[Acceleration]])</f>
        <v>1</v>
      </c>
    </row>
    <row r="187" spans="1:12" x14ac:dyDescent="0.25">
      <c r="A187">
        <v>23</v>
      </c>
      <c r="B187">
        <v>4</v>
      </c>
      <c r="C187">
        <v>120</v>
      </c>
      <c r="D187">
        <v>88</v>
      </c>
      <c r="E187">
        <v>2957</v>
      </c>
      <c r="F187">
        <v>17</v>
      </c>
      <c r="G187">
        <v>75</v>
      </c>
      <c r="H187" t="s">
        <v>967</v>
      </c>
      <c r="I187" t="s">
        <v>1006</v>
      </c>
      <c r="J187" t="s">
        <v>1007</v>
      </c>
      <c r="K187">
        <v>504</v>
      </c>
      <c r="L187" t="b">
        <f>Data_Completeness(MileageData[[#This Row],[MPG]:[Acceleration]])</f>
        <v>1</v>
      </c>
    </row>
    <row r="188" spans="1:12" x14ac:dyDescent="0.25">
      <c r="A188">
        <v>22</v>
      </c>
      <c r="B188">
        <v>4</v>
      </c>
      <c r="C188">
        <v>121</v>
      </c>
      <c r="D188">
        <v>98</v>
      </c>
      <c r="E188">
        <v>2945</v>
      </c>
      <c r="F188">
        <v>14.5</v>
      </c>
      <c r="G188">
        <v>75</v>
      </c>
      <c r="H188" t="s">
        <v>967</v>
      </c>
      <c r="I188" t="s">
        <v>1244</v>
      </c>
      <c r="J188" t="s">
        <v>1106</v>
      </c>
      <c r="K188" t="s">
        <v>1245</v>
      </c>
      <c r="L188" t="b">
        <f>Data_Completeness(MileageData[[#This Row],[MPG]:[Acceleration]])</f>
        <v>1</v>
      </c>
    </row>
    <row r="189" spans="1:12" x14ac:dyDescent="0.25">
      <c r="A189">
        <v>25</v>
      </c>
      <c r="B189">
        <v>4</v>
      </c>
      <c r="C189">
        <v>121</v>
      </c>
      <c r="D189">
        <v>115</v>
      </c>
      <c r="E189">
        <v>2671</v>
      </c>
      <c r="F189">
        <v>13.5</v>
      </c>
      <c r="G189">
        <v>75</v>
      </c>
      <c r="H189" t="s">
        <v>967</v>
      </c>
      <c r="I189" t="s">
        <v>1183</v>
      </c>
      <c r="J189" t="s">
        <v>1012</v>
      </c>
      <c r="K189" t="s">
        <v>1184</v>
      </c>
      <c r="L189" t="b">
        <f>Data_Completeness(MileageData[[#This Row],[MPG]:[Acceleration]])</f>
        <v>1</v>
      </c>
    </row>
    <row r="190" spans="1:12" x14ac:dyDescent="0.25">
      <c r="A190">
        <v>33</v>
      </c>
      <c r="B190">
        <v>4</v>
      </c>
      <c r="C190">
        <v>91</v>
      </c>
      <c r="D190">
        <v>53</v>
      </c>
      <c r="E190">
        <v>1795</v>
      </c>
      <c r="F190">
        <v>17.5</v>
      </c>
      <c r="G190">
        <v>75</v>
      </c>
      <c r="H190" t="s">
        <v>990</v>
      </c>
      <c r="I190" t="s">
        <v>1246</v>
      </c>
      <c r="J190" t="s">
        <v>1211</v>
      </c>
      <c r="K190" t="s">
        <v>1247</v>
      </c>
      <c r="L190" t="b">
        <f>Data_Completeness(MileageData[[#This Row],[MPG]:[Acceleration]])</f>
        <v>1</v>
      </c>
    </row>
    <row r="191" spans="1:12" x14ac:dyDescent="0.25">
      <c r="A191">
        <v>28</v>
      </c>
      <c r="B191">
        <v>4</v>
      </c>
      <c r="C191">
        <v>107</v>
      </c>
      <c r="D191">
        <v>86</v>
      </c>
      <c r="E191">
        <v>2464</v>
      </c>
      <c r="F191">
        <v>15.5</v>
      </c>
      <c r="G191">
        <v>76</v>
      </c>
      <c r="H191" t="s">
        <v>967</v>
      </c>
      <c r="I191" t="s">
        <v>1248</v>
      </c>
      <c r="J191" t="s">
        <v>1065</v>
      </c>
      <c r="K191">
        <v>131</v>
      </c>
      <c r="L191" t="b">
        <f>Data_Completeness(MileageData[[#This Row],[MPG]:[Acceleration]])</f>
        <v>1</v>
      </c>
    </row>
    <row r="192" spans="1:12" x14ac:dyDescent="0.25">
      <c r="A192">
        <v>25</v>
      </c>
      <c r="B192">
        <v>4</v>
      </c>
      <c r="C192">
        <v>116</v>
      </c>
      <c r="D192">
        <v>81</v>
      </c>
      <c r="E192">
        <v>2220</v>
      </c>
      <c r="F192">
        <v>16.899999999999999</v>
      </c>
      <c r="G192">
        <v>76</v>
      </c>
      <c r="H192" t="s">
        <v>967</v>
      </c>
      <c r="I192" t="s">
        <v>1061</v>
      </c>
      <c r="J192" t="s">
        <v>1062</v>
      </c>
      <c r="K192">
        <v>1900</v>
      </c>
      <c r="L192" t="b">
        <f>Data_Completeness(MileageData[[#This Row],[MPG]:[Acceleration]])</f>
        <v>1</v>
      </c>
    </row>
    <row r="193" spans="1:12" x14ac:dyDescent="0.25">
      <c r="A193">
        <v>25</v>
      </c>
      <c r="B193">
        <v>4</v>
      </c>
      <c r="C193">
        <v>140</v>
      </c>
      <c r="D193">
        <v>92</v>
      </c>
      <c r="E193">
        <v>2572</v>
      </c>
      <c r="F193">
        <v>14.9</v>
      </c>
      <c r="G193">
        <v>76</v>
      </c>
      <c r="H193" t="s">
        <v>940</v>
      </c>
      <c r="I193" t="s">
        <v>1249</v>
      </c>
      <c r="J193" t="s">
        <v>1250</v>
      </c>
      <c r="K193" t="s">
        <v>1251</v>
      </c>
      <c r="L193" t="b">
        <f>Data_Completeness(MileageData[[#This Row],[MPG]:[Acceleration]])</f>
        <v>1</v>
      </c>
    </row>
    <row r="194" spans="1:12" x14ac:dyDescent="0.25">
      <c r="A194">
        <v>26</v>
      </c>
      <c r="B194">
        <v>4</v>
      </c>
      <c r="C194">
        <v>98</v>
      </c>
      <c r="D194">
        <v>79</v>
      </c>
      <c r="E194">
        <v>2255</v>
      </c>
      <c r="F194">
        <v>17.7</v>
      </c>
      <c r="G194">
        <v>76</v>
      </c>
      <c r="H194" t="s">
        <v>940</v>
      </c>
      <c r="I194" t="s">
        <v>1206</v>
      </c>
      <c r="J194" t="s">
        <v>980</v>
      </c>
      <c r="K194" t="s">
        <v>1207</v>
      </c>
      <c r="L194" t="b">
        <f>Data_Completeness(MileageData[[#This Row],[MPG]:[Acceleration]])</f>
        <v>1</v>
      </c>
    </row>
    <row r="195" spans="1:12" x14ac:dyDescent="0.25">
      <c r="A195">
        <v>27</v>
      </c>
      <c r="B195">
        <v>4</v>
      </c>
      <c r="C195">
        <v>101</v>
      </c>
      <c r="D195">
        <v>83</v>
      </c>
      <c r="E195">
        <v>2202</v>
      </c>
      <c r="F195">
        <v>15.3</v>
      </c>
      <c r="G195">
        <v>76</v>
      </c>
      <c r="H195" t="s">
        <v>967</v>
      </c>
      <c r="I195" t="s">
        <v>1252</v>
      </c>
      <c r="J195" t="s">
        <v>1113</v>
      </c>
      <c r="K195" t="s">
        <v>1253</v>
      </c>
      <c r="L195" t="b">
        <f>Data_Completeness(MileageData[[#This Row],[MPG]:[Acceleration]])</f>
        <v>1</v>
      </c>
    </row>
    <row r="196" spans="1:12" x14ac:dyDescent="0.25">
      <c r="A196">
        <v>17.5</v>
      </c>
      <c r="B196">
        <v>8</v>
      </c>
      <c r="C196">
        <v>305</v>
      </c>
      <c r="D196">
        <v>140</v>
      </c>
      <c r="E196">
        <v>4215</v>
      </c>
      <c r="F196">
        <v>13</v>
      </c>
      <c r="G196">
        <v>76</v>
      </c>
      <c r="H196" t="s">
        <v>940</v>
      </c>
      <c r="I196" t="s">
        <v>1193</v>
      </c>
      <c r="J196" t="s">
        <v>942</v>
      </c>
      <c r="K196" t="s">
        <v>1194</v>
      </c>
      <c r="L196" t="b">
        <f>Data_Completeness(MileageData[[#This Row],[MPG]:[Acceleration]])</f>
        <v>1</v>
      </c>
    </row>
    <row r="197" spans="1:12" x14ac:dyDescent="0.25">
      <c r="A197">
        <v>16</v>
      </c>
      <c r="B197">
        <v>8</v>
      </c>
      <c r="C197">
        <v>318</v>
      </c>
      <c r="D197">
        <v>150</v>
      </c>
      <c r="E197">
        <v>4190</v>
      </c>
      <c r="F197">
        <v>13</v>
      </c>
      <c r="G197">
        <v>76</v>
      </c>
      <c r="H197" t="s">
        <v>940</v>
      </c>
      <c r="I197" t="s">
        <v>1254</v>
      </c>
      <c r="J197" t="s">
        <v>980</v>
      </c>
      <c r="K197" t="s">
        <v>1255</v>
      </c>
      <c r="L197" t="b">
        <f>Data_Completeness(MileageData[[#This Row],[MPG]:[Acceleration]])</f>
        <v>1</v>
      </c>
    </row>
    <row r="198" spans="1:12" x14ac:dyDescent="0.25">
      <c r="A198">
        <v>15.5</v>
      </c>
      <c r="B198">
        <v>8</v>
      </c>
      <c r="C198">
        <v>304</v>
      </c>
      <c r="D198">
        <v>120</v>
      </c>
      <c r="E198">
        <v>3962</v>
      </c>
      <c r="F198">
        <v>13.9</v>
      </c>
      <c r="G198">
        <v>76</v>
      </c>
      <c r="H198" t="s">
        <v>940</v>
      </c>
      <c r="I198" t="s">
        <v>1040</v>
      </c>
      <c r="J198" t="s">
        <v>951</v>
      </c>
      <c r="K198" t="s">
        <v>1041</v>
      </c>
      <c r="L198" t="b">
        <f>Data_Completeness(MileageData[[#This Row],[MPG]:[Acceleration]])</f>
        <v>1</v>
      </c>
    </row>
    <row r="199" spans="1:12" x14ac:dyDescent="0.25">
      <c r="A199">
        <v>14.5</v>
      </c>
      <c r="B199">
        <v>8</v>
      </c>
      <c r="C199">
        <v>351</v>
      </c>
      <c r="D199">
        <v>152</v>
      </c>
      <c r="E199">
        <v>4215</v>
      </c>
      <c r="F199">
        <v>12.8</v>
      </c>
      <c r="G199">
        <v>76</v>
      </c>
      <c r="H199" t="s">
        <v>940</v>
      </c>
      <c r="I199" t="s">
        <v>1130</v>
      </c>
      <c r="J199" t="s">
        <v>954</v>
      </c>
      <c r="K199" t="s">
        <v>1131</v>
      </c>
      <c r="L199" t="b">
        <f>Data_Completeness(MileageData[[#This Row],[MPG]:[Acceleration]])</f>
        <v>1</v>
      </c>
    </row>
    <row r="200" spans="1:12" x14ac:dyDescent="0.25">
      <c r="A200">
        <v>22</v>
      </c>
      <c r="B200">
        <v>6</v>
      </c>
      <c r="C200">
        <v>225</v>
      </c>
      <c r="D200">
        <v>100</v>
      </c>
      <c r="E200">
        <v>3233</v>
      </c>
      <c r="F200">
        <v>15.4</v>
      </c>
      <c r="G200">
        <v>76</v>
      </c>
      <c r="H200" t="s">
        <v>940</v>
      </c>
      <c r="I200" t="s">
        <v>1148</v>
      </c>
      <c r="J200" t="s">
        <v>948</v>
      </c>
      <c r="K200" t="s">
        <v>1149</v>
      </c>
      <c r="L200" t="b">
        <f>Data_Completeness(MileageData[[#This Row],[MPG]:[Acceleration]])</f>
        <v>1</v>
      </c>
    </row>
    <row r="201" spans="1:12" x14ac:dyDescent="0.25">
      <c r="A201">
        <v>22</v>
      </c>
      <c r="B201">
        <v>6</v>
      </c>
      <c r="C201">
        <v>250</v>
      </c>
      <c r="D201">
        <v>105</v>
      </c>
      <c r="E201">
        <v>3353</v>
      </c>
      <c r="F201">
        <v>14.5</v>
      </c>
      <c r="G201">
        <v>76</v>
      </c>
      <c r="H201" t="s">
        <v>940</v>
      </c>
      <c r="I201" t="s">
        <v>1189</v>
      </c>
      <c r="J201" t="s">
        <v>942</v>
      </c>
      <c r="K201" t="s">
        <v>1190</v>
      </c>
      <c r="L201" t="b">
        <f>Data_Completeness(MileageData[[#This Row],[MPG]:[Acceleration]])</f>
        <v>1</v>
      </c>
    </row>
    <row r="202" spans="1:12" x14ac:dyDescent="0.25">
      <c r="A202">
        <v>24</v>
      </c>
      <c r="B202">
        <v>6</v>
      </c>
      <c r="C202">
        <v>200</v>
      </c>
      <c r="D202">
        <v>81</v>
      </c>
      <c r="E202">
        <v>3012</v>
      </c>
      <c r="F202">
        <v>17.600000000000001</v>
      </c>
      <c r="G202">
        <v>76</v>
      </c>
      <c r="H202" t="s">
        <v>940</v>
      </c>
      <c r="I202" t="s">
        <v>998</v>
      </c>
      <c r="J202" t="s">
        <v>954</v>
      </c>
      <c r="K202" t="s">
        <v>999</v>
      </c>
      <c r="L202" t="b">
        <f>Data_Completeness(MileageData[[#This Row],[MPG]:[Acceleration]])</f>
        <v>1</v>
      </c>
    </row>
    <row r="203" spans="1:12" x14ac:dyDescent="0.25">
      <c r="A203">
        <v>22.5</v>
      </c>
      <c r="B203">
        <v>6</v>
      </c>
      <c r="C203">
        <v>232</v>
      </c>
      <c r="D203">
        <v>90</v>
      </c>
      <c r="E203">
        <v>3085</v>
      </c>
      <c r="F203">
        <v>17.600000000000001</v>
      </c>
      <c r="G203">
        <v>76</v>
      </c>
      <c r="H203" t="s">
        <v>940</v>
      </c>
      <c r="I203" t="s">
        <v>996</v>
      </c>
      <c r="J203" t="s">
        <v>951</v>
      </c>
      <c r="K203" t="s">
        <v>997</v>
      </c>
      <c r="L203" t="b">
        <f>Data_Completeness(MileageData[[#This Row],[MPG]:[Acceleration]])</f>
        <v>1</v>
      </c>
    </row>
    <row r="204" spans="1:12" x14ac:dyDescent="0.25">
      <c r="A204">
        <v>29</v>
      </c>
      <c r="B204">
        <v>4</v>
      </c>
      <c r="C204">
        <v>85</v>
      </c>
      <c r="D204">
        <v>52</v>
      </c>
      <c r="E204">
        <v>2035</v>
      </c>
      <c r="F204">
        <v>22.2</v>
      </c>
      <c r="G204">
        <v>76</v>
      </c>
      <c r="H204" t="s">
        <v>940</v>
      </c>
      <c r="I204" t="s">
        <v>1256</v>
      </c>
      <c r="J204" t="s">
        <v>942</v>
      </c>
      <c r="K204" t="s">
        <v>1257</v>
      </c>
      <c r="L204" t="b">
        <f>Data_Completeness(MileageData[[#This Row],[MPG]:[Acceleration]])</f>
        <v>1</v>
      </c>
    </row>
    <row r="205" spans="1:12" x14ac:dyDescent="0.25">
      <c r="A205">
        <v>24.5</v>
      </c>
      <c r="B205">
        <v>4</v>
      </c>
      <c r="C205">
        <v>98</v>
      </c>
      <c r="D205">
        <v>60</v>
      </c>
      <c r="E205">
        <v>2164</v>
      </c>
      <c r="F205">
        <v>22.1</v>
      </c>
      <c r="G205">
        <v>76</v>
      </c>
      <c r="H205" t="s">
        <v>940</v>
      </c>
      <c r="I205" t="s">
        <v>1258</v>
      </c>
      <c r="J205" t="s">
        <v>942</v>
      </c>
      <c r="K205" t="s">
        <v>1259</v>
      </c>
      <c r="L205" t="b">
        <f>Data_Completeness(MileageData[[#This Row],[MPG]:[Acceleration]])</f>
        <v>1</v>
      </c>
    </row>
    <row r="206" spans="1:12" x14ac:dyDescent="0.25">
      <c r="A206">
        <v>29</v>
      </c>
      <c r="B206">
        <v>4</v>
      </c>
      <c r="C206">
        <v>90</v>
      </c>
      <c r="D206">
        <v>70</v>
      </c>
      <c r="E206">
        <v>1937</v>
      </c>
      <c r="F206">
        <v>14.2</v>
      </c>
      <c r="G206">
        <v>76</v>
      </c>
      <c r="H206" t="s">
        <v>967</v>
      </c>
      <c r="I206" t="s">
        <v>1260</v>
      </c>
      <c r="J206" t="s">
        <v>1261</v>
      </c>
      <c r="K206" t="s">
        <v>1241</v>
      </c>
      <c r="L206" t="b">
        <f>Data_Completeness(MileageData[[#This Row],[MPG]:[Acceleration]])</f>
        <v>1</v>
      </c>
    </row>
    <row r="207" spans="1:12" x14ac:dyDescent="0.25">
      <c r="A207">
        <v>33</v>
      </c>
      <c r="B207">
        <v>4</v>
      </c>
      <c r="C207">
        <v>91</v>
      </c>
      <c r="D207">
        <v>53</v>
      </c>
      <c r="E207">
        <v>1795</v>
      </c>
      <c r="F207">
        <v>17.399999999999999</v>
      </c>
      <c r="G207">
        <v>76</v>
      </c>
      <c r="H207" t="s">
        <v>990</v>
      </c>
      <c r="I207" t="s">
        <v>1210</v>
      </c>
      <c r="J207" t="s">
        <v>1211</v>
      </c>
      <c r="K207" t="s">
        <v>1212</v>
      </c>
      <c r="L207" t="b">
        <f>Data_Completeness(MileageData[[#This Row],[MPG]:[Acceleration]])</f>
        <v>1</v>
      </c>
    </row>
    <row r="208" spans="1:12" x14ac:dyDescent="0.25">
      <c r="A208">
        <v>20</v>
      </c>
      <c r="B208">
        <v>6</v>
      </c>
      <c r="C208">
        <v>225</v>
      </c>
      <c r="D208">
        <v>100</v>
      </c>
      <c r="E208">
        <v>3651</v>
      </c>
      <c r="F208">
        <v>17.7</v>
      </c>
      <c r="G208">
        <v>76</v>
      </c>
      <c r="H208" t="s">
        <v>940</v>
      </c>
      <c r="I208" t="s">
        <v>1262</v>
      </c>
      <c r="J208" t="s">
        <v>980</v>
      </c>
      <c r="K208" t="s">
        <v>1263</v>
      </c>
      <c r="L208" t="b">
        <f>Data_Completeness(MileageData[[#This Row],[MPG]:[Acceleration]])</f>
        <v>1</v>
      </c>
    </row>
    <row r="209" spans="1:12" x14ac:dyDescent="0.25">
      <c r="A209">
        <v>18</v>
      </c>
      <c r="B209">
        <v>6</v>
      </c>
      <c r="C209">
        <v>250</v>
      </c>
      <c r="D209">
        <v>78</v>
      </c>
      <c r="E209">
        <v>3574</v>
      </c>
      <c r="F209">
        <v>21</v>
      </c>
      <c r="G209">
        <v>76</v>
      </c>
      <c r="H209" t="s">
        <v>940</v>
      </c>
      <c r="I209" t="s">
        <v>1264</v>
      </c>
      <c r="J209" t="s">
        <v>954</v>
      </c>
      <c r="K209" t="s">
        <v>1265</v>
      </c>
      <c r="L209" t="b">
        <f>Data_Completeness(MileageData[[#This Row],[MPG]:[Acceleration]])</f>
        <v>1</v>
      </c>
    </row>
    <row r="210" spans="1:12" x14ac:dyDescent="0.25">
      <c r="A210">
        <v>18.5</v>
      </c>
      <c r="B210">
        <v>6</v>
      </c>
      <c r="C210">
        <v>250</v>
      </c>
      <c r="D210">
        <v>110</v>
      </c>
      <c r="E210">
        <v>3645</v>
      </c>
      <c r="F210">
        <v>16.2</v>
      </c>
      <c r="G210">
        <v>76</v>
      </c>
      <c r="H210" t="s">
        <v>940</v>
      </c>
      <c r="I210" t="s">
        <v>1266</v>
      </c>
      <c r="J210" t="s">
        <v>963</v>
      </c>
      <c r="K210" t="s">
        <v>1267</v>
      </c>
      <c r="L210" t="b">
        <f>Data_Completeness(MileageData[[#This Row],[MPG]:[Acceleration]])</f>
        <v>1</v>
      </c>
    </row>
    <row r="211" spans="1:12" x14ac:dyDescent="0.25">
      <c r="A211">
        <v>17.5</v>
      </c>
      <c r="B211">
        <v>6</v>
      </c>
      <c r="C211">
        <v>258</v>
      </c>
      <c r="D211">
        <v>95</v>
      </c>
      <c r="E211">
        <v>3193</v>
      </c>
      <c r="F211">
        <v>17.8</v>
      </c>
      <c r="G211">
        <v>76</v>
      </c>
      <c r="H211" t="s">
        <v>940</v>
      </c>
      <c r="I211" t="s">
        <v>1268</v>
      </c>
      <c r="J211" t="s">
        <v>951</v>
      </c>
      <c r="K211" t="s">
        <v>1269</v>
      </c>
      <c r="L211" t="b">
        <f>Data_Completeness(MileageData[[#This Row],[MPG]:[Acceleration]])</f>
        <v>1</v>
      </c>
    </row>
    <row r="212" spans="1:12" x14ac:dyDescent="0.25">
      <c r="A212">
        <v>29.5</v>
      </c>
      <c r="B212">
        <v>4</v>
      </c>
      <c r="C212">
        <v>97</v>
      </c>
      <c r="D212">
        <v>71</v>
      </c>
      <c r="E212">
        <v>1825</v>
      </c>
      <c r="F212">
        <v>12.2</v>
      </c>
      <c r="G212">
        <v>76</v>
      </c>
      <c r="H212" t="s">
        <v>967</v>
      </c>
      <c r="I212" t="s">
        <v>1240</v>
      </c>
      <c r="J212" t="s">
        <v>1004</v>
      </c>
      <c r="K212" t="s">
        <v>1241</v>
      </c>
      <c r="L212" t="b">
        <f>Data_Completeness(MileageData[[#This Row],[MPG]:[Acceleration]])</f>
        <v>1</v>
      </c>
    </row>
    <row r="213" spans="1:12" x14ac:dyDescent="0.25">
      <c r="A213">
        <v>32</v>
      </c>
      <c r="B213">
        <v>4</v>
      </c>
      <c r="C213">
        <v>85</v>
      </c>
      <c r="D213">
        <v>70</v>
      </c>
      <c r="E213">
        <v>1990</v>
      </c>
      <c r="F213">
        <v>17</v>
      </c>
      <c r="G213">
        <v>76</v>
      </c>
      <c r="H213" t="s">
        <v>990</v>
      </c>
      <c r="I213" t="s">
        <v>1270</v>
      </c>
      <c r="J213" t="s">
        <v>1001</v>
      </c>
      <c r="K213" t="s">
        <v>1271</v>
      </c>
      <c r="L213" t="b">
        <f>Data_Completeness(MileageData[[#This Row],[MPG]:[Acceleration]])</f>
        <v>1</v>
      </c>
    </row>
    <row r="214" spans="1:12" x14ac:dyDescent="0.25">
      <c r="A214">
        <v>28</v>
      </c>
      <c r="B214">
        <v>4</v>
      </c>
      <c r="C214">
        <v>97</v>
      </c>
      <c r="D214">
        <v>75</v>
      </c>
      <c r="E214">
        <v>2155</v>
      </c>
      <c r="F214">
        <v>16.399999999999999</v>
      </c>
      <c r="G214">
        <v>76</v>
      </c>
      <c r="H214" t="s">
        <v>990</v>
      </c>
      <c r="I214" t="s">
        <v>1236</v>
      </c>
      <c r="J214" t="s">
        <v>992</v>
      </c>
      <c r="K214" t="s">
        <v>1237</v>
      </c>
      <c r="L214" t="b">
        <f>Data_Completeness(MileageData[[#This Row],[MPG]:[Acceleration]])</f>
        <v>1</v>
      </c>
    </row>
    <row r="215" spans="1:12" x14ac:dyDescent="0.25">
      <c r="A215">
        <v>26.5</v>
      </c>
      <c r="B215">
        <v>4</v>
      </c>
      <c r="C215">
        <v>140</v>
      </c>
      <c r="D215">
        <v>72</v>
      </c>
      <c r="E215">
        <v>2565</v>
      </c>
      <c r="F215">
        <v>13.6</v>
      </c>
      <c r="G215">
        <v>76</v>
      </c>
      <c r="H215" t="s">
        <v>940</v>
      </c>
      <c r="I215" t="s">
        <v>1032</v>
      </c>
      <c r="J215" t="s">
        <v>954</v>
      </c>
      <c r="K215" t="s">
        <v>1033</v>
      </c>
      <c r="L215" t="b">
        <f>Data_Completeness(MileageData[[#This Row],[MPG]:[Acceleration]])</f>
        <v>1</v>
      </c>
    </row>
    <row r="216" spans="1:12" x14ac:dyDescent="0.25">
      <c r="A216">
        <v>20</v>
      </c>
      <c r="B216">
        <v>4</v>
      </c>
      <c r="C216">
        <v>130</v>
      </c>
      <c r="D216">
        <v>102</v>
      </c>
      <c r="E216">
        <v>3150</v>
      </c>
      <c r="F216">
        <v>15.7</v>
      </c>
      <c r="G216">
        <v>76</v>
      </c>
      <c r="H216" t="s">
        <v>967</v>
      </c>
      <c r="I216" t="s">
        <v>1272</v>
      </c>
      <c r="J216" t="s">
        <v>1106</v>
      </c>
      <c r="K216">
        <v>245</v>
      </c>
      <c r="L216" t="b">
        <f>Data_Completeness(MileageData[[#This Row],[MPG]:[Acceleration]])</f>
        <v>1</v>
      </c>
    </row>
    <row r="217" spans="1:12" x14ac:dyDescent="0.25">
      <c r="A217">
        <v>13</v>
      </c>
      <c r="B217">
        <v>8</v>
      </c>
      <c r="C217">
        <v>318</v>
      </c>
      <c r="D217">
        <v>150</v>
      </c>
      <c r="E217">
        <v>3940</v>
      </c>
      <c r="F217">
        <v>13.2</v>
      </c>
      <c r="G217">
        <v>76</v>
      </c>
      <c r="H217" t="s">
        <v>940</v>
      </c>
      <c r="I217" t="s">
        <v>1273</v>
      </c>
      <c r="J217" t="s">
        <v>948</v>
      </c>
      <c r="K217" t="s">
        <v>1274</v>
      </c>
      <c r="L217" t="b">
        <f>Data_Completeness(MileageData[[#This Row],[MPG]:[Acceleration]])</f>
        <v>1</v>
      </c>
    </row>
    <row r="218" spans="1:12" x14ac:dyDescent="0.25">
      <c r="A218">
        <v>19</v>
      </c>
      <c r="B218">
        <v>4</v>
      </c>
      <c r="C218">
        <v>120</v>
      </c>
      <c r="D218">
        <v>88</v>
      </c>
      <c r="E218">
        <v>3270</v>
      </c>
      <c r="F218">
        <v>21.9</v>
      </c>
      <c r="G218">
        <v>76</v>
      </c>
      <c r="H218" t="s">
        <v>967</v>
      </c>
      <c r="I218" t="s">
        <v>1006</v>
      </c>
      <c r="J218" t="s">
        <v>1007</v>
      </c>
      <c r="K218">
        <v>504</v>
      </c>
      <c r="L218" t="b">
        <f>Data_Completeness(MileageData[[#This Row],[MPG]:[Acceleration]])</f>
        <v>1</v>
      </c>
    </row>
    <row r="219" spans="1:12" x14ac:dyDescent="0.25">
      <c r="A219">
        <v>19</v>
      </c>
      <c r="B219">
        <v>6</v>
      </c>
      <c r="C219">
        <v>156</v>
      </c>
      <c r="D219">
        <v>108</v>
      </c>
      <c r="E219">
        <v>2930</v>
      </c>
      <c r="F219">
        <v>15.5</v>
      </c>
      <c r="G219">
        <v>76</v>
      </c>
      <c r="H219" t="s">
        <v>990</v>
      </c>
      <c r="I219" t="s">
        <v>1185</v>
      </c>
      <c r="J219" t="s">
        <v>992</v>
      </c>
      <c r="K219" t="s">
        <v>1186</v>
      </c>
      <c r="L219" t="b">
        <f>Data_Completeness(MileageData[[#This Row],[MPG]:[Acceleration]])</f>
        <v>1</v>
      </c>
    </row>
    <row r="220" spans="1:12" x14ac:dyDescent="0.25">
      <c r="A220">
        <v>16.5</v>
      </c>
      <c r="B220">
        <v>6</v>
      </c>
      <c r="C220">
        <v>168</v>
      </c>
      <c r="D220">
        <v>120</v>
      </c>
      <c r="E220">
        <v>3820</v>
      </c>
      <c r="F220">
        <v>16.7</v>
      </c>
      <c r="G220">
        <v>76</v>
      </c>
      <c r="H220" t="s">
        <v>967</v>
      </c>
      <c r="I220" t="s">
        <v>1275</v>
      </c>
      <c r="J220" t="s">
        <v>1276</v>
      </c>
      <c r="K220" t="s">
        <v>1277</v>
      </c>
      <c r="L220" t="b">
        <f>Data_Completeness(MileageData[[#This Row],[MPG]:[Acceleration]])</f>
        <v>1</v>
      </c>
    </row>
    <row r="221" spans="1:12" x14ac:dyDescent="0.25">
      <c r="A221">
        <v>16.5</v>
      </c>
      <c r="B221">
        <v>8</v>
      </c>
      <c r="C221">
        <v>350</v>
      </c>
      <c r="D221">
        <v>180</v>
      </c>
      <c r="E221">
        <v>4380</v>
      </c>
      <c r="F221">
        <v>12.1</v>
      </c>
      <c r="G221">
        <v>76</v>
      </c>
      <c r="H221" t="s">
        <v>940</v>
      </c>
      <c r="I221" t="s">
        <v>1278</v>
      </c>
      <c r="J221" t="s">
        <v>1279</v>
      </c>
      <c r="K221" t="s">
        <v>1280</v>
      </c>
      <c r="L221" t="b">
        <f>Data_Completeness(MileageData[[#This Row],[MPG]:[Acceleration]])</f>
        <v>1</v>
      </c>
    </row>
    <row r="222" spans="1:12" x14ac:dyDescent="0.25">
      <c r="A222">
        <v>13</v>
      </c>
      <c r="B222">
        <v>8</v>
      </c>
      <c r="C222">
        <v>350</v>
      </c>
      <c r="D222">
        <v>145</v>
      </c>
      <c r="E222">
        <v>4055</v>
      </c>
      <c r="F222">
        <v>12</v>
      </c>
      <c r="G222">
        <v>76</v>
      </c>
      <c r="H222" t="s">
        <v>940</v>
      </c>
      <c r="I222" t="s">
        <v>1281</v>
      </c>
      <c r="J222" t="s">
        <v>1021</v>
      </c>
      <c r="K222" t="s">
        <v>1282</v>
      </c>
      <c r="L222" t="b">
        <f>Data_Completeness(MileageData[[#This Row],[MPG]:[Acceleration]])</f>
        <v>1</v>
      </c>
    </row>
    <row r="223" spans="1:12" x14ac:dyDescent="0.25">
      <c r="A223">
        <v>13</v>
      </c>
      <c r="B223">
        <v>8</v>
      </c>
      <c r="C223">
        <v>302</v>
      </c>
      <c r="D223">
        <v>130</v>
      </c>
      <c r="E223">
        <v>3870</v>
      </c>
      <c r="F223">
        <v>15</v>
      </c>
      <c r="G223">
        <v>76</v>
      </c>
      <c r="H223" t="s">
        <v>940</v>
      </c>
      <c r="I223" t="s">
        <v>1283</v>
      </c>
      <c r="J223" t="s">
        <v>954</v>
      </c>
      <c r="K223" t="s">
        <v>1284</v>
      </c>
      <c r="L223" t="b">
        <f>Data_Completeness(MileageData[[#This Row],[MPG]:[Acceleration]])</f>
        <v>1</v>
      </c>
    </row>
    <row r="224" spans="1:12" x14ac:dyDescent="0.25">
      <c r="A224">
        <v>13</v>
      </c>
      <c r="B224">
        <v>8</v>
      </c>
      <c r="C224">
        <v>318</v>
      </c>
      <c r="D224">
        <v>150</v>
      </c>
      <c r="E224">
        <v>3755</v>
      </c>
      <c r="F224">
        <v>14</v>
      </c>
      <c r="G224">
        <v>76</v>
      </c>
      <c r="H224" t="s">
        <v>940</v>
      </c>
      <c r="I224" t="s">
        <v>1285</v>
      </c>
      <c r="J224" t="s">
        <v>980</v>
      </c>
      <c r="K224" t="s">
        <v>1286</v>
      </c>
      <c r="L224" t="b">
        <f>Data_Completeness(MileageData[[#This Row],[MPG]:[Acceleration]])</f>
        <v>1</v>
      </c>
    </row>
    <row r="225" spans="1:12" x14ac:dyDescent="0.25">
      <c r="A225">
        <v>31.5</v>
      </c>
      <c r="B225">
        <v>4</v>
      </c>
      <c r="C225">
        <v>98</v>
      </c>
      <c r="D225">
        <v>68</v>
      </c>
      <c r="E225">
        <v>2045</v>
      </c>
      <c r="F225">
        <v>18.5</v>
      </c>
      <c r="G225">
        <v>77</v>
      </c>
      <c r="H225" t="s">
        <v>990</v>
      </c>
      <c r="I225" t="s">
        <v>1287</v>
      </c>
      <c r="J225" t="s">
        <v>1211</v>
      </c>
      <c r="K225" t="s">
        <v>1288</v>
      </c>
      <c r="L225" t="b">
        <f>Data_Completeness(MileageData[[#This Row],[MPG]:[Acceleration]])</f>
        <v>1</v>
      </c>
    </row>
    <row r="226" spans="1:12" x14ac:dyDescent="0.25">
      <c r="A226">
        <v>30</v>
      </c>
      <c r="B226">
        <v>4</v>
      </c>
      <c r="C226">
        <v>111</v>
      </c>
      <c r="D226">
        <v>80</v>
      </c>
      <c r="E226">
        <v>2155</v>
      </c>
      <c r="F226">
        <v>14.8</v>
      </c>
      <c r="G226">
        <v>77</v>
      </c>
      <c r="H226" t="s">
        <v>940</v>
      </c>
      <c r="I226" t="s">
        <v>1289</v>
      </c>
      <c r="J226" t="s">
        <v>945</v>
      </c>
      <c r="K226" t="s">
        <v>1290</v>
      </c>
      <c r="L226" t="b">
        <f>Data_Completeness(MileageData[[#This Row],[MPG]:[Acceleration]])</f>
        <v>1</v>
      </c>
    </row>
    <row r="227" spans="1:12" x14ac:dyDescent="0.25">
      <c r="A227">
        <v>36</v>
      </c>
      <c r="B227">
        <v>4</v>
      </c>
      <c r="C227">
        <v>79</v>
      </c>
      <c r="D227">
        <v>58</v>
      </c>
      <c r="E227">
        <v>1825</v>
      </c>
      <c r="F227">
        <v>18.600000000000001</v>
      </c>
      <c r="G227">
        <v>77</v>
      </c>
      <c r="H227" t="s">
        <v>967</v>
      </c>
      <c r="I227" t="s">
        <v>1291</v>
      </c>
      <c r="J227" t="s">
        <v>1113</v>
      </c>
      <c r="K227" t="s">
        <v>1292</v>
      </c>
      <c r="L227" t="b">
        <f>Data_Completeness(MileageData[[#This Row],[MPG]:[Acceleration]])</f>
        <v>1</v>
      </c>
    </row>
    <row r="228" spans="1:12" x14ac:dyDescent="0.25">
      <c r="A228">
        <v>25.5</v>
      </c>
      <c r="B228">
        <v>4</v>
      </c>
      <c r="C228">
        <v>122</v>
      </c>
      <c r="D228">
        <v>96</v>
      </c>
      <c r="E228">
        <v>2300</v>
      </c>
      <c r="F228">
        <v>15.5</v>
      </c>
      <c r="G228">
        <v>77</v>
      </c>
      <c r="H228" t="s">
        <v>940</v>
      </c>
      <c r="I228" t="s">
        <v>1293</v>
      </c>
      <c r="J228" t="s">
        <v>948</v>
      </c>
      <c r="K228" t="s">
        <v>1294</v>
      </c>
      <c r="L228" t="b">
        <f>Data_Completeness(MileageData[[#This Row],[MPG]:[Acceleration]])</f>
        <v>1</v>
      </c>
    </row>
    <row r="229" spans="1:12" x14ac:dyDescent="0.25">
      <c r="A229">
        <v>33.5</v>
      </c>
      <c r="B229">
        <v>4</v>
      </c>
      <c r="C229">
        <v>85</v>
      </c>
      <c r="D229">
        <v>70</v>
      </c>
      <c r="E229">
        <v>1945</v>
      </c>
      <c r="F229">
        <v>16.8</v>
      </c>
      <c r="G229">
        <v>77</v>
      </c>
      <c r="H229" t="s">
        <v>990</v>
      </c>
      <c r="I229" t="s">
        <v>1295</v>
      </c>
      <c r="J229" t="s">
        <v>1001</v>
      </c>
      <c r="K229" t="s">
        <v>1296</v>
      </c>
      <c r="L229" t="b">
        <f>Data_Completeness(MileageData[[#This Row],[MPG]:[Acceleration]])</f>
        <v>1</v>
      </c>
    </row>
    <row r="230" spans="1:12" x14ac:dyDescent="0.25">
      <c r="A230">
        <v>17.5</v>
      </c>
      <c r="B230">
        <v>8</v>
      </c>
      <c r="C230">
        <v>305</v>
      </c>
      <c r="D230">
        <v>145</v>
      </c>
      <c r="E230">
        <v>3880</v>
      </c>
      <c r="F230">
        <v>12.5</v>
      </c>
      <c r="G230">
        <v>77</v>
      </c>
      <c r="H230" t="s">
        <v>940</v>
      </c>
      <c r="I230" t="s">
        <v>1136</v>
      </c>
      <c r="J230" t="s">
        <v>942</v>
      </c>
      <c r="K230" t="s">
        <v>1137</v>
      </c>
      <c r="L230" t="b">
        <f>Data_Completeness(MileageData[[#This Row],[MPG]:[Acceleration]])</f>
        <v>1</v>
      </c>
    </row>
    <row r="231" spans="1:12" x14ac:dyDescent="0.25">
      <c r="A231">
        <v>17</v>
      </c>
      <c r="B231">
        <v>8</v>
      </c>
      <c r="C231">
        <v>260</v>
      </c>
      <c r="D231">
        <v>110</v>
      </c>
      <c r="E231">
        <v>4060</v>
      </c>
      <c r="F231">
        <v>19</v>
      </c>
      <c r="G231">
        <v>77</v>
      </c>
      <c r="H231" t="s">
        <v>940</v>
      </c>
      <c r="I231" t="s">
        <v>1297</v>
      </c>
      <c r="J231" t="s">
        <v>1091</v>
      </c>
      <c r="K231" t="s">
        <v>1298</v>
      </c>
      <c r="L231" t="b">
        <f>Data_Completeness(MileageData[[#This Row],[MPG]:[Acceleration]])</f>
        <v>1</v>
      </c>
    </row>
    <row r="232" spans="1:12" x14ac:dyDescent="0.25">
      <c r="A232">
        <v>15.5</v>
      </c>
      <c r="B232">
        <v>8</v>
      </c>
      <c r="C232">
        <v>318</v>
      </c>
      <c r="D232">
        <v>145</v>
      </c>
      <c r="E232">
        <v>4140</v>
      </c>
      <c r="F232">
        <v>13.7</v>
      </c>
      <c r="G232">
        <v>77</v>
      </c>
      <c r="H232" t="s">
        <v>940</v>
      </c>
      <c r="I232" t="s">
        <v>1299</v>
      </c>
      <c r="J232" t="s">
        <v>980</v>
      </c>
      <c r="K232" t="s">
        <v>1300</v>
      </c>
      <c r="L232" t="b">
        <f>Data_Completeness(MileageData[[#This Row],[MPG]:[Acceleration]])</f>
        <v>1</v>
      </c>
    </row>
    <row r="233" spans="1:12" x14ac:dyDescent="0.25">
      <c r="A233">
        <v>15</v>
      </c>
      <c r="B233">
        <v>8</v>
      </c>
      <c r="C233">
        <v>302</v>
      </c>
      <c r="D233">
        <v>130</v>
      </c>
      <c r="E233">
        <v>4295</v>
      </c>
      <c r="F233">
        <v>14.9</v>
      </c>
      <c r="G233">
        <v>77</v>
      </c>
      <c r="H233" t="s">
        <v>940</v>
      </c>
      <c r="I233" t="s">
        <v>1301</v>
      </c>
      <c r="J233" t="s">
        <v>1059</v>
      </c>
      <c r="K233" t="s">
        <v>1302</v>
      </c>
      <c r="L233" t="b">
        <f>Data_Completeness(MileageData[[#This Row],[MPG]:[Acceleration]])</f>
        <v>1</v>
      </c>
    </row>
    <row r="234" spans="1:12" x14ac:dyDescent="0.25">
      <c r="A234">
        <v>17.5</v>
      </c>
      <c r="B234">
        <v>6</v>
      </c>
      <c r="C234">
        <v>250</v>
      </c>
      <c r="D234">
        <v>110</v>
      </c>
      <c r="E234">
        <v>3520</v>
      </c>
      <c r="F234">
        <v>16.399999999999999</v>
      </c>
      <c r="G234">
        <v>77</v>
      </c>
      <c r="H234" t="s">
        <v>940</v>
      </c>
      <c r="I234" t="s">
        <v>1303</v>
      </c>
      <c r="J234" t="s">
        <v>942</v>
      </c>
      <c r="K234" t="s">
        <v>1304</v>
      </c>
      <c r="L234" t="b">
        <f>Data_Completeness(MileageData[[#This Row],[MPG]:[Acceleration]])</f>
        <v>1</v>
      </c>
    </row>
    <row r="235" spans="1:12" x14ac:dyDescent="0.25">
      <c r="A235">
        <v>20.5</v>
      </c>
      <c r="B235">
        <v>6</v>
      </c>
      <c r="C235">
        <v>231</v>
      </c>
      <c r="D235">
        <v>105</v>
      </c>
      <c r="E235">
        <v>3425</v>
      </c>
      <c r="F235">
        <v>16.899999999999999</v>
      </c>
      <c r="G235">
        <v>77</v>
      </c>
      <c r="H235" t="s">
        <v>940</v>
      </c>
      <c r="I235" t="s">
        <v>1305</v>
      </c>
      <c r="J235" t="s">
        <v>945</v>
      </c>
      <c r="K235" t="s">
        <v>1306</v>
      </c>
      <c r="L235" t="b">
        <f>Data_Completeness(MileageData[[#This Row],[MPG]:[Acceleration]])</f>
        <v>1</v>
      </c>
    </row>
    <row r="236" spans="1:12" x14ac:dyDescent="0.25">
      <c r="A236">
        <v>19</v>
      </c>
      <c r="B236">
        <v>6</v>
      </c>
      <c r="C236">
        <v>225</v>
      </c>
      <c r="D236">
        <v>100</v>
      </c>
      <c r="E236">
        <v>3630</v>
      </c>
      <c r="F236">
        <v>17.7</v>
      </c>
      <c r="G236">
        <v>77</v>
      </c>
      <c r="H236" t="s">
        <v>940</v>
      </c>
      <c r="I236" t="s">
        <v>1307</v>
      </c>
      <c r="J236" t="s">
        <v>948</v>
      </c>
      <c r="K236" t="s">
        <v>1308</v>
      </c>
      <c r="L236" t="b">
        <f>Data_Completeness(MileageData[[#This Row],[MPG]:[Acceleration]])</f>
        <v>1</v>
      </c>
    </row>
    <row r="237" spans="1:12" x14ac:dyDescent="0.25">
      <c r="A237">
        <v>18.5</v>
      </c>
      <c r="B237">
        <v>6</v>
      </c>
      <c r="C237">
        <v>250</v>
      </c>
      <c r="D237">
        <v>98</v>
      </c>
      <c r="E237">
        <v>3525</v>
      </c>
      <c r="F237">
        <v>19</v>
      </c>
      <c r="G237">
        <v>77</v>
      </c>
      <c r="H237" t="s">
        <v>940</v>
      </c>
      <c r="I237" t="s">
        <v>1309</v>
      </c>
      <c r="J237" t="s">
        <v>954</v>
      </c>
      <c r="K237" t="s">
        <v>1310</v>
      </c>
      <c r="L237" t="b">
        <f>Data_Completeness(MileageData[[#This Row],[MPG]:[Acceleration]])</f>
        <v>1</v>
      </c>
    </row>
    <row r="238" spans="1:12" x14ac:dyDescent="0.25">
      <c r="A238">
        <v>16</v>
      </c>
      <c r="B238">
        <v>8</v>
      </c>
      <c r="C238">
        <v>400</v>
      </c>
      <c r="D238">
        <v>180</v>
      </c>
      <c r="E238">
        <v>4220</v>
      </c>
      <c r="F238">
        <v>11.1</v>
      </c>
      <c r="G238">
        <v>77</v>
      </c>
      <c r="H238" t="s">
        <v>940</v>
      </c>
      <c r="I238" t="s">
        <v>1311</v>
      </c>
      <c r="J238" t="s">
        <v>963</v>
      </c>
      <c r="K238" t="s">
        <v>1312</v>
      </c>
      <c r="L238" t="b">
        <f>Data_Completeness(MileageData[[#This Row],[MPG]:[Acceleration]])</f>
        <v>1</v>
      </c>
    </row>
    <row r="239" spans="1:12" x14ac:dyDescent="0.25">
      <c r="A239">
        <v>15.5</v>
      </c>
      <c r="B239">
        <v>8</v>
      </c>
      <c r="C239">
        <v>350</v>
      </c>
      <c r="D239">
        <v>170</v>
      </c>
      <c r="E239">
        <v>4165</v>
      </c>
      <c r="F239">
        <v>11.4</v>
      </c>
      <c r="G239">
        <v>77</v>
      </c>
      <c r="H239" t="s">
        <v>940</v>
      </c>
      <c r="I239" t="s">
        <v>1313</v>
      </c>
      <c r="J239" t="s">
        <v>942</v>
      </c>
      <c r="K239" t="s">
        <v>1314</v>
      </c>
      <c r="L239" t="b">
        <f>Data_Completeness(MileageData[[#This Row],[MPG]:[Acceleration]])</f>
        <v>1</v>
      </c>
    </row>
    <row r="240" spans="1:12" x14ac:dyDescent="0.25">
      <c r="A240">
        <v>15.5</v>
      </c>
      <c r="B240">
        <v>8</v>
      </c>
      <c r="C240">
        <v>400</v>
      </c>
      <c r="D240">
        <v>190</v>
      </c>
      <c r="E240">
        <v>4325</v>
      </c>
      <c r="F240">
        <v>12.2</v>
      </c>
      <c r="G240">
        <v>77</v>
      </c>
      <c r="H240" t="s">
        <v>940</v>
      </c>
      <c r="I240" t="s">
        <v>1315</v>
      </c>
      <c r="J240" t="s">
        <v>1094</v>
      </c>
      <c r="K240" t="s">
        <v>1316</v>
      </c>
      <c r="L240" t="b">
        <f>Data_Completeness(MileageData[[#This Row],[MPG]:[Acceleration]])</f>
        <v>1</v>
      </c>
    </row>
    <row r="241" spans="1:12" x14ac:dyDescent="0.25">
      <c r="A241">
        <v>16</v>
      </c>
      <c r="B241">
        <v>8</v>
      </c>
      <c r="C241">
        <v>351</v>
      </c>
      <c r="D241">
        <v>149</v>
      </c>
      <c r="E241">
        <v>4335</v>
      </c>
      <c r="F241">
        <v>14.5</v>
      </c>
      <c r="G241">
        <v>77</v>
      </c>
      <c r="H241" t="s">
        <v>940</v>
      </c>
      <c r="I241" t="s">
        <v>1317</v>
      </c>
      <c r="J241" t="s">
        <v>954</v>
      </c>
      <c r="K241" t="s">
        <v>1318</v>
      </c>
      <c r="L241" t="b">
        <f>Data_Completeness(MileageData[[#This Row],[MPG]:[Acceleration]])</f>
        <v>1</v>
      </c>
    </row>
    <row r="242" spans="1:12" x14ac:dyDescent="0.25">
      <c r="A242">
        <v>29</v>
      </c>
      <c r="B242">
        <v>4</v>
      </c>
      <c r="C242">
        <v>97</v>
      </c>
      <c r="D242">
        <v>78</v>
      </c>
      <c r="E242">
        <v>1940</v>
      </c>
      <c r="F242">
        <v>14.5</v>
      </c>
      <c r="G242">
        <v>77</v>
      </c>
      <c r="H242" t="s">
        <v>967</v>
      </c>
      <c r="I242" t="s">
        <v>1319</v>
      </c>
      <c r="J242" t="s">
        <v>1004</v>
      </c>
      <c r="K242" t="s">
        <v>1320</v>
      </c>
      <c r="L242" t="b">
        <f>Data_Completeness(MileageData[[#This Row],[MPG]:[Acceleration]])</f>
        <v>1</v>
      </c>
    </row>
    <row r="243" spans="1:12" x14ac:dyDescent="0.25">
      <c r="A243">
        <v>24.5</v>
      </c>
      <c r="B243">
        <v>4</v>
      </c>
      <c r="C243">
        <v>151</v>
      </c>
      <c r="D243">
        <v>88</v>
      </c>
      <c r="E243">
        <v>2740</v>
      </c>
      <c r="F243">
        <v>16</v>
      </c>
      <c r="G243">
        <v>77</v>
      </c>
      <c r="H243" t="s">
        <v>940</v>
      </c>
      <c r="I243" t="s">
        <v>1321</v>
      </c>
      <c r="J243" t="s">
        <v>963</v>
      </c>
      <c r="K243" t="s">
        <v>1322</v>
      </c>
      <c r="L243" t="b">
        <f>Data_Completeness(MileageData[[#This Row],[MPG]:[Acceleration]])</f>
        <v>1</v>
      </c>
    </row>
    <row r="244" spans="1:12" x14ac:dyDescent="0.25">
      <c r="A244">
        <v>26</v>
      </c>
      <c r="B244">
        <v>4</v>
      </c>
      <c r="C244">
        <v>97</v>
      </c>
      <c r="D244">
        <v>75</v>
      </c>
      <c r="E244">
        <v>2265</v>
      </c>
      <c r="F244">
        <v>18.2</v>
      </c>
      <c r="G244">
        <v>77</v>
      </c>
      <c r="H244" t="s">
        <v>990</v>
      </c>
      <c r="I244" t="s">
        <v>1323</v>
      </c>
      <c r="J244" t="s">
        <v>992</v>
      </c>
      <c r="K244" t="s">
        <v>1324</v>
      </c>
      <c r="L244" t="b">
        <f>Data_Completeness(MileageData[[#This Row],[MPG]:[Acceleration]])</f>
        <v>1</v>
      </c>
    </row>
    <row r="245" spans="1:12" x14ac:dyDescent="0.25">
      <c r="A245">
        <v>25.5</v>
      </c>
      <c r="B245">
        <v>4</v>
      </c>
      <c r="C245">
        <v>140</v>
      </c>
      <c r="D245">
        <v>89</v>
      </c>
      <c r="E245">
        <v>2755</v>
      </c>
      <c r="F245">
        <v>15.8</v>
      </c>
      <c r="G245">
        <v>77</v>
      </c>
      <c r="H245" t="s">
        <v>940</v>
      </c>
      <c r="I245" t="s">
        <v>1325</v>
      </c>
      <c r="J245" t="s">
        <v>954</v>
      </c>
      <c r="K245" t="s">
        <v>1326</v>
      </c>
      <c r="L245" t="b">
        <f>Data_Completeness(MileageData[[#This Row],[MPG]:[Acceleration]])</f>
        <v>1</v>
      </c>
    </row>
    <row r="246" spans="1:12" x14ac:dyDescent="0.25">
      <c r="A246">
        <v>30.5</v>
      </c>
      <c r="B246">
        <v>4</v>
      </c>
      <c r="C246">
        <v>98</v>
      </c>
      <c r="D246">
        <v>63</v>
      </c>
      <c r="E246">
        <v>2051</v>
      </c>
      <c r="F246">
        <v>17</v>
      </c>
      <c r="G246">
        <v>77</v>
      </c>
      <c r="H246" t="s">
        <v>940</v>
      </c>
      <c r="I246" t="s">
        <v>1256</v>
      </c>
      <c r="J246" t="s">
        <v>942</v>
      </c>
      <c r="K246" t="s">
        <v>1257</v>
      </c>
      <c r="L246" t="b">
        <f>Data_Completeness(MileageData[[#This Row],[MPG]:[Acceleration]])</f>
        <v>1</v>
      </c>
    </row>
    <row r="247" spans="1:12" x14ac:dyDescent="0.25">
      <c r="A247">
        <v>33.5</v>
      </c>
      <c r="B247">
        <v>4</v>
      </c>
      <c r="C247">
        <v>98</v>
      </c>
      <c r="D247">
        <v>83</v>
      </c>
      <c r="E247">
        <v>2075</v>
      </c>
      <c r="F247">
        <v>15.9</v>
      </c>
      <c r="G247">
        <v>77</v>
      </c>
      <c r="H247" t="s">
        <v>940</v>
      </c>
      <c r="I247" t="s">
        <v>1327</v>
      </c>
      <c r="J247" t="s">
        <v>980</v>
      </c>
      <c r="K247" t="s">
        <v>1328</v>
      </c>
      <c r="L247" t="b">
        <f>Data_Completeness(MileageData[[#This Row],[MPG]:[Acceleration]])</f>
        <v>1</v>
      </c>
    </row>
    <row r="248" spans="1:12" x14ac:dyDescent="0.25">
      <c r="A248">
        <v>30</v>
      </c>
      <c r="B248">
        <v>4</v>
      </c>
      <c r="C248">
        <v>97</v>
      </c>
      <c r="D248">
        <v>67</v>
      </c>
      <c r="E248">
        <v>1985</v>
      </c>
      <c r="F248">
        <v>16.399999999999999</v>
      </c>
      <c r="G248">
        <v>77</v>
      </c>
      <c r="H248" t="s">
        <v>990</v>
      </c>
      <c r="I248" t="s">
        <v>1329</v>
      </c>
      <c r="J248" t="s">
        <v>1213</v>
      </c>
      <c r="K248" t="s">
        <v>1330</v>
      </c>
      <c r="L248" t="b">
        <f>Data_Completeness(MileageData[[#This Row],[MPG]:[Acceleration]])</f>
        <v>1</v>
      </c>
    </row>
    <row r="249" spans="1:12" x14ac:dyDescent="0.25">
      <c r="A249">
        <v>30.5</v>
      </c>
      <c r="B249">
        <v>4</v>
      </c>
      <c r="C249">
        <v>97</v>
      </c>
      <c r="D249">
        <v>78</v>
      </c>
      <c r="E249">
        <v>2190</v>
      </c>
      <c r="F249">
        <v>14.1</v>
      </c>
      <c r="G249">
        <v>77</v>
      </c>
      <c r="H249" t="s">
        <v>967</v>
      </c>
      <c r="I249" t="s">
        <v>1203</v>
      </c>
      <c r="J249" t="s">
        <v>1004</v>
      </c>
      <c r="K249" t="s">
        <v>1204</v>
      </c>
      <c r="L249" t="b">
        <f>Data_Completeness(MileageData[[#This Row],[MPG]:[Acceleration]])</f>
        <v>1</v>
      </c>
    </row>
    <row r="250" spans="1:12" x14ac:dyDescent="0.25">
      <c r="A250">
        <v>22</v>
      </c>
      <c r="B250">
        <v>6</v>
      </c>
      <c r="C250">
        <v>146</v>
      </c>
      <c r="D250">
        <v>97</v>
      </c>
      <c r="E250">
        <v>2815</v>
      </c>
      <c r="F250">
        <v>14.5</v>
      </c>
      <c r="G250">
        <v>77</v>
      </c>
      <c r="H250" t="s">
        <v>990</v>
      </c>
      <c r="I250" t="s">
        <v>1331</v>
      </c>
      <c r="J250" t="s">
        <v>1001</v>
      </c>
      <c r="K250">
        <v>810</v>
      </c>
      <c r="L250" t="b">
        <f>Data_Completeness(MileageData[[#This Row],[MPG]:[Acceleration]])</f>
        <v>1</v>
      </c>
    </row>
    <row r="251" spans="1:12" x14ac:dyDescent="0.25">
      <c r="A251">
        <v>21.5</v>
      </c>
      <c r="B251">
        <v>4</v>
      </c>
      <c r="C251">
        <v>121</v>
      </c>
      <c r="D251">
        <v>110</v>
      </c>
      <c r="E251">
        <v>2600</v>
      </c>
      <c r="F251">
        <v>12.8</v>
      </c>
      <c r="G251">
        <v>77</v>
      </c>
      <c r="H251" t="s">
        <v>967</v>
      </c>
      <c r="I251" t="s">
        <v>1332</v>
      </c>
      <c r="J251" t="s">
        <v>1015</v>
      </c>
      <c r="K251" t="s">
        <v>1333</v>
      </c>
      <c r="L251" t="b">
        <f>Data_Completeness(MileageData[[#This Row],[MPG]:[Acceleration]])</f>
        <v>1</v>
      </c>
    </row>
    <row r="252" spans="1:12" x14ac:dyDescent="0.25">
      <c r="A252">
        <v>21.5</v>
      </c>
      <c r="B252">
        <v>3</v>
      </c>
      <c r="C252">
        <v>80</v>
      </c>
      <c r="D252">
        <v>110</v>
      </c>
      <c r="E252">
        <v>2720</v>
      </c>
      <c r="F252">
        <v>13.5</v>
      </c>
      <c r="G252">
        <v>77</v>
      </c>
      <c r="H252" t="s">
        <v>990</v>
      </c>
      <c r="I252" t="s">
        <v>1334</v>
      </c>
      <c r="J252" t="s">
        <v>1097</v>
      </c>
      <c r="K252" t="s">
        <v>1335</v>
      </c>
      <c r="L252" t="b">
        <f>Data_Completeness(MileageData[[#This Row],[MPG]:[Acceleration]])</f>
        <v>1</v>
      </c>
    </row>
    <row r="253" spans="1:12" x14ac:dyDescent="0.25">
      <c r="A253">
        <v>43.1</v>
      </c>
      <c r="B253">
        <v>4</v>
      </c>
      <c r="C253">
        <v>90</v>
      </c>
      <c r="D253">
        <v>48</v>
      </c>
      <c r="E253">
        <v>1985</v>
      </c>
      <c r="F253">
        <v>21.5</v>
      </c>
      <c r="G253">
        <v>78</v>
      </c>
      <c r="H253" t="s">
        <v>967</v>
      </c>
      <c r="I253" t="s">
        <v>1336</v>
      </c>
      <c r="J253" t="s">
        <v>1004</v>
      </c>
      <c r="K253" t="s">
        <v>1337</v>
      </c>
      <c r="L253" t="b">
        <f>Data_Completeness(MileageData[[#This Row],[MPG]:[Acceleration]])</f>
        <v>1</v>
      </c>
    </row>
    <row r="254" spans="1:12" x14ac:dyDescent="0.25">
      <c r="A254">
        <v>36.1</v>
      </c>
      <c r="B254">
        <v>4</v>
      </c>
      <c r="C254">
        <v>98</v>
      </c>
      <c r="D254">
        <v>66</v>
      </c>
      <c r="E254">
        <v>1800</v>
      </c>
      <c r="F254">
        <v>14.4</v>
      </c>
      <c r="G254">
        <v>78</v>
      </c>
      <c r="H254" t="s">
        <v>940</v>
      </c>
      <c r="I254" t="s">
        <v>1338</v>
      </c>
      <c r="J254" t="s">
        <v>954</v>
      </c>
      <c r="K254" t="s">
        <v>1339</v>
      </c>
      <c r="L254" t="b">
        <f>Data_Completeness(MileageData[[#This Row],[MPG]:[Acceleration]])</f>
        <v>1</v>
      </c>
    </row>
    <row r="255" spans="1:12" x14ac:dyDescent="0.25">
      <c r="A255">
        <v>32.799999999999997</v>
      </c>
      <c r="B255">
        <v>4</v>
      </c>
      <c r="C255">
        <v>78</v>
      </c>
      <c r="D255">
        <v>52</v>
      </c>
      <c r="E255">
        <v>1985</v>
      </c>
      <c r="F255">
        <v>19.399999999999999</v>
      </c>
      <c r="G255">
        <v>78</v>
      </c>
      <c r="H255" t="s">
        <v>990</v>
      </c>
      <c r="I255" t="s">
        <v>1340</v>
      </c>
      <c r="J255" t="s">
        <v>1097</v>
      </c>
      <c r="K255" t="s">
        <v>1341</v>
      </c>
      <c r="L255" t="b">
        <f>Data_Completeness(MileageData[[#This Row],[MPG]:[Acceleration]])</f>
        <v>1</v>
      </c>
    </row>
    <row r="256" spans="1:12" x14ac:dyDescent="0.25">
      <c r="A256">
        <v>39.4</v>
      </c>
      <c r="B256">
        <v>4</v>
      </c>
      <c r="C256">
        <v>85</v>
      </c>
      <c r="D256">
        <v>70</v>
      </c>
      <c r="E256">
        <v>2070</v>
      </c>
      <c r="F256">
        <v>18.600000000000001</v>
      </c>
      <c r="G256">
        <v>78</v>
      </c>
      <c r="H256" t="s">
        <v>990</v>
      </c>
      <c r="I256" t="s">
        <v>1342</v>
      </c>
      <c r="J256" t="s">
        <v>1001</v>
      </c>
      <c r="K256" t="s">
        <v>1343</v>
      </c>
      <c r="L256" t="b">
        <f>Data_Completeness(MileageData[[#This Row],[MPG]:[Acceleration]])</f>
        <v>1</v>
      </c>
    </row>
    <row r="257" spans="1:12" x14ac:dyDescent="0.25">
      <c r="A257">
        <v>36.1</v>
      </c>
      <c r="B257">
        <v>4</v>
      </c>
      <c r="C257">
        <v>91</v>
      </c>
      <c r="D257">
        <v>60</v>
      </c>
      <c r="E257">
        <v>1800</v>
      </c>
      <c r="F257">
        <v>16.399999999999999</v>
      </c>
      <c r="G257">
        <v>78</v>
      </c>
      <c r="H257" t="s">
        <v>990</v>
      </c>
      <c r="I257" t="s">
        <v>1246</v>
      </c>
      <c r="J257" t="s">
        <v>1211</v>
      </c>
      <c r="K257" t="s">
        <v>1247</v>
      </c>
      <c r="L257" t="b">
        <f>Data_Completeness(MileageData[[#This Row],[MPG]:[Acceleration]])</f>
        <v>1</v>
      </c>
    </row>
    <row r="258" spans="1:12" x14ac:dyDescent="0.25">
      <c r="A258">
        <v>19.899999999999999</v>
      </c>
      <c r="B258">
        <v>8</v>
      </c>
      <c r="C258">
        <v>260</v>
      </c>
      <c r="D258">
        <v>110</v>
      </c>
      <c r="E258">
        <v>3365</v>
      </c>
      <c r="F258">
        <v>15.5</v>
      </c>
      <c r="G258">
        <v>78</v>
      </c>
      <c r="H258" t="s">
        <v>940</v>
      </c>
      <c r="I258" t="s">
        <v>1344</v>
      </c>
      <c r="J258" t="s">
        <v>1091</v>
      </c>
      <c r="K258" t="s">
        <v>1345</v>
      </c>
      <c r="L258" t="b">
        <f>Data_Completeness(MileageData[[#This Row],[MPG]:[Acceleration]])</f>
        <v>1</v>
      </c>
    </row>
    <row r="259" spans="1:12" x14ac:dyDescent="0.25">
      <c r="A259">
        <v>19.399999999999999</v>
      </c>
      <c r="B259">
        <v>8</v>
      </c>
      <c r="C259">
        <v>318</v>
      </c>
      <c r="D259">
        <v>140</v>
      </c>
      <c r="E259">
        <v>3735</v>
      </c>
      <c r="F259">
        <v>13.2</v>
      </c>
      <c r="G259">
        <v>78</v>
      </c>
      <c r="H259" t="s">
        <v>940</v>
      </c>
      <c r="I259" t="s">
        <v>1346</v>
      </c>
      <c r="J259" t="s">
        <v>980</v>
      </c>
      <c r="K259" t="s">
        <v>1347</v>
      </c>
      <c r="L259" t="b">
        <f>Data_Completeness(MileageData[[#This Row],[MPG]:[Acceleration]])</f>
        <v>1</v>
      </c>
    </row>
    <row r="260" spans="1:12" x14ac:dyDescent="0.25">
      <c r="A260">
        <v>20.2</v>
      </c>
      <c r="B260">
        <v>8</v>
      </c>
      <c r="C260">
        <v>302</v>
      </c>
      <c r="D260">
        <v>139</v>
      </c>
      <c r="E260">
        <v>3570</v>
      </c>
      <c r="F260">
        <v>12.8</v>
      </c>
      <c r="G260">
        <v>78</v>
      </c>
      <c r="H260" t="s">
        <v>940</v>
      </c>
      <c r="I260" t="s">
        <v>1348</v>
      </c>
      <c r="J260" t="s">
        <v>1059</v>
      </c>
      <c r="K260" t="s">
        <v>1349</v>
      </c>
      <c r="L260" t="b">
        <f>Data_Completeness(MileageData[[#This Row],[MPG]:[Acceleration]])</f>
        <v>1</v>
      </c>
    </row>
    <row r="261" spans="1:12" x14ac:dyDescent="0.25">
      <c r="A261">
        <v>19.2</v>
      </c>
      <c r="B261">
        <v>6</v>
      </c>
      <c r="C261">
        <v>231</v>
      </c>
      <c r="D261">
        <v>105</v>
      </c>
      <c r="E261">
        <v>3535</v>
      </c>
      <c r="F261">
        <v>19.2</v>
      </c>
      <c r="G261">
        <v>78</v>
      </c>
      <c r="H261" t="s">
        <v>940</v>
      </c>
      <c r="I261" t="s">
        <v>1350</v>
      </c>
      <c r="J261" t="s">
        <v>963</v>
      </c>
      <c r="K261" t="s">
        <v>1351</v>
      </c>
      <c r="L261" t="b">
        <f>Data_Completeness(MileageData[[#This Row],[MPG]:[Acceleration]])</f>
        <v>1</v>
      </c>
    </row>
    <row r="262" spans="1:12" x14ac:dyDescent="0.25">
      <c r="A262">
        <v>20.5</v>
      </c>
      <c r="B262">
        <v>6</v>
      </c>
      <c r="C262">
        <v>200</v>
      </c>
      <c r="D262">
        <v>95</v>
      </c>
      <c r="E262">
        <v>3155</v>
      </c>
      <c r="F262">
        <v>18.2</v>
      </c>
      <c r="G262">
        <v>78</v>
      </c>
      <c r="H262" t="s">
        <v>940</v>
      </c>
      <c r="I262" t="s">
        <v>1128</v>
      </c>
      <c r="J262" t="s">
        <v>942</v>
      </c>
      <c r="K262" t="s">
        <v>1129</v>
      </c>
      <c r="L262" t="b">
        <f>Data_Completeness(MileageData[[#This Row],[MPG]:[Acceleration]])</f>
        <v>1</v>
      </c>
    </row>
    <row r="263" spans="1:12" x14ac:dyDescent="0.25">
      <c r="A263">
        <v>20.2</v>
      </c>
      <c r="B263">
        <v>6</v>
      </c>
      <c r="C263">
        <v>200</v>
      </c>
      <c r="D263">
        <v>85</v>
      </c>
      <c r="E263">
        <v>2965</v>
      </c>
      <c r="F263">
        <v>15.8</v>
      </c>
      <c r="G263">
        <v>78</v>
      </c>
      <c r="H263" t="s">
        <v>940</v>
      </c>
      <c r="I263" t="s">
        <v>1352</v>
      </c>
      <c r="J263" t="s">
        <v>954</v>
      </c>
      <c r="K263" t="s">
        <v>1353</v>
      </c>
      <c r="L263" t="b">
        <f>Data_Completeness(MileageData[[#This Row],[MPG]:[Acceleration]])</f>
        <v>1</v>
      </c>
    </row>
    <row r="264" spans="1:12" x14ac:dyDescent="0.25">
      <c r="A264">
        <v>25.1</v>
      </c>
      <c r="B264">
        <v>4</v>
      </c>
      <c r="C264">
        <v>140</v>
      </c>
      <c r="D264">
        <v>88</v>
      </c>
      <c r="E264">
        <v>2720</v>
      </c>
      <c r="F264">
        <v>15.4</v>
      </c>
      <c r="G264">
        <v>78</v>
      </c>
      <c r="H264" t="s">
        <v>940</v>
      </c>
      <c r="I264" t="s">
        <v>1354</v>
      </c>
      <c r="J264" t="s">
        <v>954</v>
      </c>
      <c r="K264" t="s">
        <v>1355</v>
      </c>
      <c r="L264" t="b">
        <f>Data_Completeness(MileageData[[#This Row],[MPG]:[Acceleration]])</f>
        <v>1</v>
      </c>
    </row>
    <row r="265" spans="1:12" x14ac:dyDescent="0.25">
      <c r="A265">
        <v>20.5</v>
      </c>
      <c r="B265">
        <v>6</v>
      </c>
      <c r="C265">
        <v>225</v>
      </c>
      <c r="D265">
        <v>100</v>
      </c>
      <c r="E265">
        <v>3430</v>
      </c>
      <c r="F265">
        <v>17.2</v>
      </c>
      <c r="G265">
        <v>78</v>
      </c>
      <c r="H265" t="s">
        <v>940</v>
      </c>
      <c r="I265" t="s">
        <v>1356</v>
      </c>
      <c r="J265" t="s">
        <v>948</v>
      </c>
      <c r="K265" t="s">
        <v>1357</v>
      </c>
      <c r="L265" t="b">
        <f>Data_Completeness(MileageData[[#This Row],[MPG]:[Acceleration]])</f>
        <v>1</v>
      </c>
    </row>
    <row r="266" spans="1:12" x14ac:dyDescent="0.25">
      <c r="A266">
        <v>19.399999999999999</v>
      </c>
      <c r="B266">
        <v>6</v>
      </c>
      <c r="C266">
        <v>232</v>
      </c>
      <c r="D266">
        <v>90</v>
      </c>
      <c r="E266">
        <v>3210</v>
      </c>
      <c r="F266">
        <v>17.2</v>
      </c>
      <c r="G266">
        <v>78</v>
      </c>
      <c r="H266" t="s">
        <v>940</v>
      </c>
      <c r="I266" t="s">
        <v>1358</v>
      </c>
      <c r="J266" t="s">
        <v>951</v>
      </c>
      <c r="K266" t="s">
        <v>1359</v>
      </c>
      <c r="L266" t="b">
        <f>Data_Completeness(MileageData[[#This Row],[MPG]:[Acceleration]])</f>
        <v>1</v>
      </c>
    </row>
    <row r="267" spans="1:12" x14ac:dyDescent="0.25">
      <c r="A267">
        <v>20.6</v>
      </c>
      <c r="B267">
        <v>6</v>
      </c>
      <c r="C267">
        <v>231</v>
      </c>
      <c r="D267">
        <v>105</v>
      </c>
      <c r="E267">
        <v>3380</v>
      </c>
      <c r="F267">
        <v>15.8</v>
      </c>
      <c r="G267">
        <v>78</v>
      </c>
      <c r="H267" t="s">
        <v>940</v>
      </c>
      <c r="I267" t="s">
        <v>1360</v>
      </c>
      <c r="J267" t="s">
        <v>945</v>
      </c>
      <c r="K267" t="s">
        <v>1361</v>
      </c>
      <c r="L267" t="b">
        <f>Data_Completeness(MileageData[[#This Row],[MPG]:[Acceleration]])</f>
        <v>1</v>
      </c>
    </row>
    <row r="268" spans="1:12" x14ac:dyDescent="0.25">
      <c r="A268">
        <v>20.8</v>
      </c>
      <c r="B268">
        <v>6</v>
      </c>
      <c r="C268">
        <v>200</v>
      </c>
      <c r="D268">
        <v>85</v>
      </c>
      <c r="E268">
        <v>3070</v>
      </c>
      <c r="F268">
        <v>16.7</v>
      </c>
      <c r="G268">
        <v>78</v>
      </c>
      <c r="H268" t="s">
        <v>940</v>
      </c>
      <c r="I268" t="s">
        <v>1362</v>
      </c>
      <c r="J268" t="s">
        <v>1059</v>
      </c>
      <c r="K268" t="s">
        <v>1363</v>
      </c>
      <c r="L268" t="b">
        <f>Data_Completeness(MileageData[[#This Row],[MPG]:[Acceleration]])</f>
        <v>1</v>
      </c>
    </row>
    <row r="269" spans="1:12" x14ac:dyDescent="0.25">
      <c r="A269">
        <v>18.600000000000001</v>
      </c>
      <c r="B269">
        <v>6</v>
      </c>
      <c r="C269">
        <v>225</v>
      </c>
      <c r="D269">
        <v>110</v>
      </c>
      <c r="E269">
        <v>3620</v>
      </c>
      <c r="F269">
        <v>18.7</v>
      </c>
      <c r="G269">
        <v>78</v>
      </c>
      <c r="H269" t="s">
        <v>940</v>
      </c>
      <c r="I269" t="s">
        <v>1364</v>
      </c>
      <c r="J269" t="s">
        <v>980</v>
      </c>
      <c r="K269" t="s">
        <v>1365</v>
      </c>
      <c r="L269" t="b">
        <f>Data_Completeness(MileageData[[#This Row],[MPG]:[Acceleration]])</f>
        <v>1</v>
      </c>
    </row>
    <row r="270" spans="1:12" x14ac:dyDescent="0.25">
      <c r="A270">
        <v>18.100000000000001</v>
      </c>
      <c r="B270">
        <v>6</v>
      </c>
      <c r="C270">
        <v>258</v>
      </c>
      <c r="D270">
        <v>120</v>
      </c>
      <c r="E270">
        <v>3410</v>
      </c>
      <c r="F270">
        <v>15.1</v>
      </c>
      <c r="G270">
        <v>78</v>
      </c>
      <c r="H270" t="s">
        <v>940</v>
      </c>
      <c r="I270" t="s">
        <v>1366</v>
      </c>
      <c r="J270" t="s">
        <v>951</v>
      </c>
      <c r="K270" t="s">
        <v>1367</v>
      </c>
      <c r="L270" t="b">
        <f>Data_Completeness(MileageData[[#This Row],[MPG]:[Acceleration]])</f>
        <v>1</v>
      </c>
    </row>
    <row r="271" spans="1:12" x14ac:dyDescent="0.25">
      <c r="A271">
        <v>19.2</v>
      </c>
      <c r="B271">
        <v>8</v>
      </c>
      <c r="C271">
        <v>305</v>
      </c>
      <c r="D271">
        <v>145</v>
      </c>
      <c r="E271">
        <v>3425</v>
      </c>
      <c r="F271">
        <v>13.2</v>
      </c>
      <c r="G271">
        <v>78</v>
      </c>
      <c r="H271" t="s">
        <v>940</v>
      </c>
      <c r="I271" t="s">
        <v>1313</v>
      </c>
      <c r="J271" t="s">
        <v>942</v>
      </c>
      <c r="K271" t="s">
        <v>1314</v>
      </c>
      <c r="L271" t="b">
        <f>Data_Completeness(MileageData[[#This Row],[MPG]:[Acceleration]])</f>
        <v>1</v>
      </c>
    </row>
    <row r="272" spans="1:12" x14ac:dyDescent="0.25">
      <c r="A272">
        <v>17.7</v>
      </c>
      <c r="B272">
        <v>6</v>
      </c>
      <c r="C272">
        <v>231</v>
      </c>
      <c r="D272">
        <v>165</v>
      </c>
      <c r="E272">
        <v>3445</v>
      </c>
      <c r="F272">
        <v>13.4</v>
      </c>
      <c r="G272">
        <v>78</v>
      </c>
      <c r="H272" t="s">
        <v>940</v>
      </c>
      <c r="I272" t="s">
        <v>1368</v>
      </c>
      <c r="J272" t="s">
        <v>945</v>
      </c>
      <c r="K272" t="s">
        <v>1369</v>
      </c>
      <c r="L272" t="b">
        <f>Data_Completeness(MileageData[[#This Row],[MPG]:[Acceleration]])</f>
        <v>1</v>
      </c>
    </row>
    <row r="273" spans="1:12" x14ac:dyDescent="0.25">
      <c r="A273">
        <v>18.100000000000001</v>
      </c>
      <c r="B273">
        <v>8</v>
      </c>
      <c r="C273">
        <v>302</v>
      </c>
      <c r="D273">
        <v>139</v>
      </c>
      <c r="E273">
        <v>3205</v>
      </c>
      <c r="F273">
        <v>11.2</v>
      </c>
      <c r="G273">
        <v>78</v>
      </c>
      <c r="H273" t="s">
        <v>940</v>
      </c>
      <c r="I273" t="s">
        <v>1370</v>
      </c>
      <c r="J273" t="s">
        <v>954</v>
      </c>
      <c r="K273" t="s">
        <v>1371</v>
      </c>
      <c r="L273" t="b">
        <f>Data_Completeness(MileageData[[#This Row],[MPG]:[Acceleration]])</f>
        <v>1</v>
      </c>
    </row>
    <row r="274" spans="1:12" x14ac:dyDescent="0.25">
      <c r="A274">
        <v>17.5</v>
      </c>
      <c r="B274">
        <v>8</v>
      </c>
      <c r="C274">
        <v>318</v>
      </c>
      <c r="D274">
        <v>140</v>
      </c>
      <c r="E274">
        <v>4080</v>
      </c>
      <c r="F274">
        <v>13.7</v>
      </c>
      <c r="G274">
        <v>78</v>
      </c>
      <c r="H274" t="s">
        <v>940</v>
      </c>
      <c r="I274" t="s">
        <v>1372</v>
      </c>
      <c r="J274" t="s">
        <v>980</v>
      </c>
      <c r="K274" t="s">
        <v>1373</v>
      </c>
      <c r="L274" t="b">
        <f>Data_Completeness(MileageData[[#This Row],[MPG]:[Acceleration]])</f>
        <v>1</v>
      </c>
    </row>
    <row r="275" spans="1:12" x14ac:dyDescent="0.25">
      <c r="A275">
        <v>30</v>
      </c>
      <c r="B275">
        <v>4</v>
      </c>
      <c r="C275">
        <v>98</v>
      </c>
      <c r="D275">
        <v>68</v>
      </c>
      <c r="E275">
        <v>2155</v>
      </c>
      <c r="F275">
        <v>16.5</v>
      </c>
      <c r="G275">
        <v>78</v>
      </c>
      <c r="H275" t="s">
        <v>940</v>
      </c>
      <c r="I275" t="s">
        <v>1256</v>
      </c>
      <c r="J275" t="s">
        <v>942</v>
      </c>
      <c r="K275" t="s">
        <v>1257</v>
      </c>
      <c r="L275" t="b">
        <f>Data_Completeness(MileageData[[#This Row],[MPG]:[Acceleration]])</f>
        <v>1</v>
      </c>
    </row>
    <row r="276" spans="1:12" x14ac:dyDescent="0.25">
      <c r="A276">
        <v>27.5</v>
      </c>
      <c r="B276">
        <v>4</v>
      </c>
      <c r="C276">
        <v>134</v>
      </c>
      <c r="D276">
        <v>95</v>
      </c>
      <c r="E276">
        <v>2560</v>
      </c>
      <c r="F276">
        <v>14.2</v>
      </c>
      <c r="G276">
        <v>78</v>
      </c>
      <c r="H276" t="s">
        <v>990</v>
      </c>
      <c r="I276" t="s">
        <v>1030</v>
      </c>
      <c r="J276" t="s">
        <v>992</v>
      </c>
      <c r="K276" t="s">
        <v>1031</v>
      </c>
      <c r="L276" t="b">
        <f>Data_Completeness(MileageData[[#This Row],[MPG]:[Acceleration]])</f>
        <v>1</v>
      </c>
    </row>
    <row r="277" spans="1:12" x14ac:dyDescent="0.25">
      <c r="A277">
        <v>27.2</v>
      </c>
      <c r="B277">
        <v>4</v>
      </c>
      <c r="C277">
        <v>119</v>
      </c>
      <c r="D277">
        <v>97</v>
      </c>
      <c r="E277">
        <v>2300</v>
      </c>
      <c r="F277">
        <v>14.7</v>
      </c>
      <c r="G277">
        <v>78</v>
      </c>
      <c r="H277" t="s">
        <v>990</v>
      </c>
      <c r="I277" t="s">
        <v>1374</v>
      </c>
      <c r="J277" t="s">
        <v>1001</v>
      </c>
      <c r="K277">
        <v>510</v>
      </c>
      <c r="L277" t="b">
        <f>Data_Completeness(MileageData[[#This Row],[MPG]:[Acceleration]])</f>
        <v>1</v>
      </c>
    </row>
    <row r="278" spans="1:12" x14ac:dyDescent="0.25">
      <c r="A278">
        <v>30.9</v>
      </c>
      <c r="B278">
        <v>4</v>
      </c>
      <c r="C278">
        <v>105</v>
      </c>
      <c r="D278">
        <v>75</v>
      </c>
      <c r="E278">
        <v>2230</v>
      </c>
      <c r="F278">
        <v>14.5</v>
      </c>
      <c r="G278">
        <v>78</v>
      </c>
      <c r="H278" t="s">
        <v>940</v>
      </c>
      <c r="I278" t="s">
        <v>1375</v>
      </c>
      <c r="J278" t="s">
        <v>980</v>
      </c>
      <c r="K278" t="s">
        <v>1376</v>
      </c>
      <c r="L278" t="b">
        <f>Data_Completeness(MileageData[[#This Row],[MPG]:[Acceleration]])</f>
        <v>1</v>
      </c>
    </row>
    <row r="279" spans="1:12" x14ac:dyDescent="0.25">
      <c r="A279">
        <v>21.1</v>
      </c>
      <c r="B279">
        <v>4</v>
      </c>
      <c r="C279">
        <v>134</v>
      </c>
      <c r="D279">
        <v>95</v>
      </c>
      <c r="E279">
        <v>2515</v>
      </c>
      <c r="F279">
        <v>14.8</v>
      </c>
      <c r="G279">
        <v>78</v>
      </c>
      <c r="H279" t="s">
        <v>990</v>
      </c>
      <c r="I279" t="s">
        <v>1377</v>
      </c>
      <c r="J279" t="s">
        <v>992</v>
      </c>
      <c r="K279" t="s">
        <v>1378</v>
      </c>
      <c r="L279" t="b">
        <f>Data_Completeness(MileageData[[#This Row],[MPG]:[Acceleration]])</f>
        <v>1</v>
      </c>
    </row>
    <row r="280" spans="1:12" x14ac:dyDescent="0.25">
      <c r="A280">
        <v>23.2</v>
      </c>
      <c r="B280">
        <v>4</v>
      </c>
      <c r="C280">
        <v>156</v>
      </c>
      <c r="D280">
        <v>105</v>
      </c>
      <c r="E280">
        <v>2745</v>
      </c>
      <c r="F280">
        <v>16.7</v>
      </c>
      <c r="G280">
        <v>78</v>
      </c>
      <c r="H280" t="s">
        <v>940</v>
      </c>
      <c r="I280" t="s">
        <v>1379</v>
      </c>
      <c r="J280" t="s">
        <v>948</v>
      </c>
      <c r="K280" t="s">
        <v>1380</v>
      </c>
      <c r="L280" t="b">
        <f>Data_Completeness(MileageData[[#This Row],[MPG]:[Acceleration]])</f>
        <v>1</v>
      </c>
    </row>
    <row r="281" spans="1:12" x14ac:dyDescent="0.25">
      <c r="A281">
        <v>23.8</v>
      </c>
      <c r="B281">
        <v>4</v>
      </c>
      <c r="C281">
        <v>151</v>
      </c>
      <c r="D281">
        <v>85</v>
      </c>
      <c r="E281">
        <v>2855</v>
      </c>
      <c r="F281">
        <v>17.600000000000001</v>
      </c>
      <c r="G281">
        <v>78</v>
      </c>
      <c r="H281" t="s">
        <v>940</v>
      </c>
      <c r="I281" t="s">
        <v>1381</v>
      </c>
      <c r="J281" t="s">
        <v>1091</v>
      </c>
      <c r="K281" t="s">
        <v>1382</v>
      </c>
      <c r="L281" t="b">
        <f>Data_Completeness(MileageData[[#This Row],[MPG]:[Acceleration]])</f>
        <v>1</v>
      </c>
    </row>
    <row r="282" spans="1:12" x14ac:dyDescent="0.25">
      <c r="A282">
        <v>23.9</v>
      </c>
      <c r="B282">
        <v>4</v>
      </c>
      <c r="C282">
        <v>119</v>
      </c>
      <c r="D282">
        <v>97</v>
      </c>
      <c r="E282">
        <v>2405</v>
      </c>
      <c r="F282">
        <v>14.9</v>
      </c>
      <c r="G282">
        <v>78</v>
      </c>
      <c r="H282" t="s">
        <v>990</v>
      </c>
      <c r="I282" t="s">
        <v>1383</v>
      </c>
      <c r="J282" t="s">
        <v>1001</v>
      </c>
      <c r="K282" t="s">
        <v>1384</v>
      </c>
      <c r="L282" t="b">
        <f>Data_Completeness(MileageData[[#This Row],[MPG]:[Acceleration]])</f>
        <v>1</v>
      </c>
    </row>
    <row r="283" spans="1:12" x14ac:dyDescent="0.25">
      <c r="A283">
        <v>20.3</v>
      </c>
      <c r="B283">
        <v>5</v>
      </c>
      <c r="C283">
        <v>131</v>
      </c>
      <c r="D283">
        <v>103</v>
      </c>
      <c r="E283">
        <v>2830</v>
      </c>
      <c r="F283">
        <v>15.9</v>
      </c>
      <c r="G283">
        <v>78</v>
      </c>
      <c r="H283" t="s">
        <v>967</v>
      </c>
      <c r="I283" t="s">
        <v>1385</v>
      </c>
      <c r="J283" t="s">
        <v>1009</v>
      </c>
      <c r="K283">
        <v>5000</v>
      </c>
      <c r="L283" t="b">
        <f>Data_Completeness(MileageData[[#This Row],[MPG]:[Acceleration]])</f>
        <v>1</v>
      </c>
    </row>
    <row r="284" spans="1:12" x14ac:dyDescent="0.25">
      <c r="A284">
        <v>17</v>
      </c>
      <c r="B284">
        <v>6</v>
      </c>
      <c r="C284">
        <v>163</v>
      </c>
      <c r="D284">
        <v>125</v>
      </c>
      <c r="E284">
        <v>3140</v>
      </c>
      <c r="F284">
        <v>13.6</v>
      </c>
      <c r="G284">
        <v>78</v>
      </c>
      <c r="H284" t="s">
        <v>967</v>
      </c>
      <c r="I284" t="s">
        <v>1386</v>
      </c>
      <c r="J284" t="s">
        <v>1106</v>
      </c>
      <c r="K284" t="s">
        <v>1387</v>
      </c>
      <c r="L284" t="b">
        <f>Data_Completeness(MileageData[[#This Row],[MPG]:[Acceleration]])</f>
        <v>1</v>
      </c>
    </row>
    <row r="285" spans="1:12" x14ac:dyDescent="0.25">
      <c r="A285">
        <v>21.6</v>
      </c>
      <c r="B285">
        <v>4</v>
      </c>
      <c r="C285">
        <v>121</v>
      </c>
      <c r="D285">
        <v>115</v>
      </c>
      <c r="E285">
        <v>2795</v>
      </c>
      <c r="F285">
        <v>15.7</v>
      </c>
      <c r="G285">
        <v>78</v>
      </c>
      <c r="H285" t="s">
        <v>967</v>
      </c>
      <c r="I285" t="s">
        <v>1388</v>
      </c>
      <c r="J285" t="s">
        <v>1012</v>
      </c>
      <c r="K285" t="s">
        <v>1389</v>
      </c>
      <c r="L285" t="b">
        <f>Data_Completeness(MileageData[[#This Row],[MPG]:[Acceleration]])</f>
        <v>1</v>
      </c>
    </row>
    <row r="286" spans="1:12" x14ac:dyDescent="0.25">
      <c r="A286">
        <v>16.2</v>
      </c>
      <c r="B286">
        <v>6</v>
      </c>
      <c r="C286">
        <v>163</v>
      </c>
      <c r="D286">
        <v>133</v>
      </c>
      <c r="E286">
        <v>3410</v>
      </c>
      <c r="F286">
        <v>15.8</v>
      </c>
      <c r="G286">
        <v>78</v>
      </c>
      <c r="H286" t="s">
        <v>967</v>
      </c>
      <c r="I286" t="s">
        <v>1390</v>
      </c>
      <c r="J286" t="s">
        <v>1007</v>
      </c>
      <c r="K286" t="s">
        <v>1391</v>
      </c>
      <c r="L286" t="b">
        <f>Data_Completeness(MileageData[[#This Row],[MPG]:[Acceleration]])</f>
        <v>1</v>
      </c>
    </row>
    <row r="287" spans="1:12" x14ac:dyDescent="0.25">
      <c r="A287">
        <v>31.5</v>
      </c>
      <c r="B287">
        <v>4</v>
      </c>
      <c r="C287">
        <v>89</v>
      </c>
      <c r="D287">
        <v>71</v>
      </c>
      <c r="E287">
        <v>1990</v>
      </c>
      <c r="F287">
        <v>14.9</v>
      </c>
      <c r="G287">
        <v>78</v>
      </c>
      <c r="H287" t="s">
        <v>967</v>
      </c>
      <c r="I287" t="s">
        <v>1392</v>
      </c>
      <c r="J287" t="s">
        <v>1004</v>
      </c>
      <c r="K287" t="s">
        <v>1393</v>
      </c>
      <c r="L287" t="b">
        <f>Data_Completeness(MileageData[[#This Row],[MPG]:[Acceleration]])</f>
        <v>1</v>
      </c>
    </row>
    <row r="288" spans="1:12" x14ac:dyDescent="0.25">
      <c r="A288">
        <v>29.5</v>
      </c>
      <c r="B288">
        <v>4</v>
      </c>
      <c r="C288">
        <v>98</v>
      </c>
      <c r="D288">
        <v>68</v>
      </c>
      <c r="E288">
        <v>2135</v>
      </c>
      <c r="F288">
        <v>16.600000000000001</v>
      </c>
      <c r="G288">
        <v>78</v>
      </c>
      <c r="H288" t="s">
        <v>990</v>
      </c>
      <c r="I288" t="s">
        <v>1394</v>
      </c>
      <c r="J288" t="s">
        <v>1211</v>
      </c>
      <c r="K288" t="s">
        <v>1395</v>
      </c>
      <c r="L288" t="b">
        <f>Data_Completeness(MileageData[[#This Row],[MPG]:[Acceleration]])</f>
        <v>1</v>
      </c>
    </row>
    <row r="289" spans="1:12" x14ac:dyDescent="0.25">
      <c r="A289">
        <v>21.5</v>
      </c>
      <c r="B289">
        <v>6</v>
      </c>
      <c r="C289">
        <v>231</v>
      </c>
      <c r="D289">
        <v>115</v>
      </c>
      <c r="E289">
        <v>3245</v>
      </c>
      <c r="F289">
        <v>15.4</v>
      </c>
      <c r="G289">
        <v>79</v>
      </c>
      <c r="H289" t="s">
        <v>940</v>
      </c>
      <c r="I289" t="s">
        <v>1396</v>
      </c>
      <c r="J289" t="s">
        <v>963</v>
      </c>
      <c r="K289" t="s">
        <v>1397</v>
      </c>
      <c r="L289" t="b">
        <f>Data_Completeness(MileageData[[#This Row],[MPG]:[Acceleration]])</f>
        <v>1</v>
      </c>
    </row>
    <row r="290" spans="1:12" x14ac:dyDescent="0.25">
      <c r="A290">
        <v>19.8</v>
      </c>
      <c r="B290">
        <v>6</v>
      </c>
      <c r="C290">
        <v>200</v>
      </c>
      <c r="D290">
        <v>85</v>
      </c>
      <c r="E290">
        <v>2990</v>
      </c>
      <c r="F290">
        <v>18.2</v>
      </c>
      <c r="G290">
        <v>79</v>
      </c>
      <c r="H290" t="s">
        <v>940</v>
      </c>
      <c r="I290" t="s">
        <v>1398</v>
      </c>
      <c r="J290" t="s">
        <v>1059</v>
      </c>
      <c r="K290" t="s">
        <v>1399</v>
      </c>
      <c r="L290" t="b">
        <f>Data_Completeness(MileageData[[#This Row],[MPG]:[Acceleration]])</f>
        <v>1</v>
      </c>
    </row>
    <row r="291" spans="1:12" x14ac:dyDescent="0.25">
      <c r="A291">
        <v>22.3</v>
      </c>
      <c r="B291">
        <v>4</v>
      </c>
      <c r="C291">
        <v>140</v>
      </c>
      <c r="D291">
        <v>88</v>
      </c>
      <c r="E291">
        <v>2890</v>
      </c>
      <c r="F291">
        <v>17.3</v>
      </c>
      <c r="G291">
        <v>79</v>
      </c>
      <c r="H291" t="s">
        <v>940</v>
      </c>
      <c r="I291" t="s">
        <v>1400</v>
      </c>
      <c r="J291" t="s">
        <v>954</v>
      </c>
      <c r="K291" t="s">
        <v>1401</v>
      </c>
      <c r="L291" t="b">
        <f>Data_Completeness(MileageData[[#This Row],[MPG]:[Acceleration]])</f>
        <v>1</v>
      </c>
    </row>
    <row r="292" spans="1:12" x14ac:dyDescent="0.25">
      <c r="A292">
        <v>20.2</v>
      </c>
      <c r="B292">
        <v>6</v>
      </c>
      <c r="C292">
        <v>232</v>
      </c>
      <c r="D292">
        <v>90</v>
      </c>
      <c r="E292">
        <v>3265</v>
      </c>
      <c r="F292">
        <v>18.2</v>
      </c>
      <c r="G292">
        <v>79</v>
      </c>
      <c r="H292" t="s">
        <v>940</v>
      </c>
      <c r="I292" t="s">
        <v>1402</v>
      </c>
      <c r="J292" t="s">
        <v>951</v>
      </c>
      <c r="K292" t="s">
        <v>1403</v>
      </c>
      <c r="L292" t="b">
        <f>Data_Completeness(MileageData[[#This Row],[MPG]:[Acceleration]])</f>
        <v>1</v>
      </c>
    </row>
    <row r="293" spans="1:12" x14ac:dyDescent="0.25">
      <c r="A293">
        <v>20.6</v>
      </c>
      <c r="B293">
        <v>6</v>
      </c>
      <c r="C293">
        <v>225</v>
      </c>
      <c r="D293">
        <v>110</v>
      </c>
      <c r="E293">
        <v>3360</v>
      </c>
      <c r="F293">
        <v>16.600000000000001</v>
      </c>
      <c r="G293">
        <v>79</v>
      </c>
      <c r="H293" t="s">
        <v>940</v>
      </c>
      <c r="I293" t="s">
        <v>1404</v>
      </c>
      <c r="J293" t="s">
        <v>980</v>
      </c>
      <c r="K293" t="s">
        <v>1405</v>
      </c>
      <c r="L293" t="b">
        <f>Data_Completeness(MileageData[[#This Row],[MPG]:[Acceleration]])</f>
        <v>1</v>
      </c>
    </row>
    <row r="294" spans="1:12" x14ac:dyDescent="0.25">
      <c r="A294">
        <v>17</v>
      </c>
      <c r="B294">
        <v>8</v>
      </c>
      <c r="C294">
        <v>305</v>
      </c>
      <c r="D294">
        <v>130</v>
      </c>
      <c r="E294">
        <v>3840</v>
      </c>
      <c r="F294">
        <v>15.4</v>
      </c>
      <c r="G294">
        <v>79</v>
      </c>
      <c r="H294" t="s">
        <v>940</v>
      </c>
      <c r="I294" t="s">
        <v>1136</v>
      </c>
      <c r="J294" t="s">
        <v>942</v>
      </c>
      <c r="K294" t="s">
        <v>1137</v>
      </c>
      <c r="L294" t="b">
        <f>Data_Completeness(MileageData[[#This Row],[MPG]:[Acceleration]])</f>
        <v>1</v>
      </c>
    </row>
    <row r="295" spans="1:12" x14ac:dyDescent="0.25">
      <c r="A295">
        <v>17.600000000000001</v>
      </c>
      <c r="B295">
        <v>8</v>
      </c>
      <c r="C295">
        <v>302</v>
      </c>
      <c r="D295">
        <v>129</v>
      </c>
      <c r="E295">
        <v>3725</v>
      </c>
      <c r="F295">
        <v>13.4</v>
      </c>
      <c r="G295">
        <v>79</v>
      </c>
      <c r="H295" t="s">
        <v>940</v>
      </c>
      <c r="I295" t="s">
        <v>1406</v>
      </c>
      <c r="J295" t="s">
        <v>954</v>
      </c>
      <c r="K295" t="s">
        <v>1407</v>
      </c>
      <c r="L295" t="b">
        <f>Data_Completeness(MileageData[[#This Row],[MPG]:[Acceleration]])</f>
        <v>1</v>
      </c>
    </row>
    <row r="296" spans="1:12" x14ac:dyDescent="0.25">
      <c r="A296">
        <v>16.5</v>
      </c>
      <c r="B296">
        <v>8</v>
      </c>
      <c r="C296">
        <v>351</v>
      </c>
      <c r="D296">
        <v>138</v>
      </c>
      <c r="E296">
        <v>3955</v>
      </c>
      <c r="F296">
        <v>13.2</v>
      </c>
      <c r="G296">
        <v>79</v>
      </c>
      <c r="H296" t="s">
        <v>940</v>
      </c>
      <c r="I296" t="s">
        <v>1408</v>
      </c>
      <c r="J296" t="s">
        <v>1059</v>
      </c>
      <c r="K296" t="s">
        <v>1409</v>
      </c>
      <c r="L296" t="b">
        <f>Data_Completeness(MileageData[[#This Row],[MPG]:[Acceleration]])</f>
        <v>1</v>
      </c>
    </row>
    <row r="297" spans="1:12" x14ac:dyDescent="0.25">
      <c r="A297">
        <v>18.2</v>
      </c>
      <c r="B297">
        <v>8</v>
      </c>
      <c r="C297">
        <v>318</v>
      </c>
      <c r="D297">
        <v>135</v>
      </c>
      <c r="E297">
        <v>3830</v>
      </c>
      <c r="F297">
        <v>15.2</v>
      </c>
      <c r="G297">
        <v>79</v>
      </c>
      <c r="H297" t="s">
        <v>940</v>
      </c>
      <c r="I297" t="s">
        <v>1410</v>
      </c>
      <c r="J297" t="s">
        <v>980</v>
      </c>
      <c r="K297" t="s">
        <v>1411</v>
      </c>
      <c r="L297" t="b">
        <f>Data_Completeness(MileageData[[#This Row],[MPG]:[Acceleration]])</f>
        <v>1</v>
      </c>
    </row>
    <row r="298" spans="1:12" x14ac:dyDescent="0.25">
      <c r="A298">
        <v>16.899999999999999</v>
      </c>
      <c r="B298">
        <v>8</v>
      </c>
      <c r="C298">
        <v>350</v>
      </c>
      <c r="D298">
        <v>155</v>
      </c>
      <c r="E298">
        <v>4360</v>
      </c>
      <c r="F298">
        <v>14.9</v>
      </c>
      <c r="G298">
        <v>79</v>
      </c>
      <c r="H298" t="s">
        <v>940</v>
      </c>
      <c r="I298" t="s">
        <v>988</v>
      </c>
      <c r="J298" t="s">
        <v>945</v>
      </c>
      <c r="K298" t="s">
        <v>989</v>
      </c>
      <c r="L298" t="b">
        <f>Data_Completeness(MileageData[[#This Row],[MPG]:[Acceleration]])</f>
        <v>1</v>
      </c>
    </row>
    <row r="299" spans="1:12" x14ac:dyDescent="0.25">
      <c r="A299">
        <v>15.5</v>
      </c>
      <c r="B299">
        <v>8</v>
      </c>
      <c r="C299">
        <v>351</v>
      </c>
      <c r="D299">
        <v>142</v>
      </c>
      <c r="E299">
        <v>4054</v>
      </c>
      <c r="F299">
        <v>14.3</v>
      </c>
      <c r="G299">
        <v>79</v>
      </c>
      <c r="H299" t="s">
        <v>940</v>
      </c>
      <c r="I299" t="s">
        <v>1046</v>
      </c>
      <c r="J299" t="s">
        <v>954</v>
      </c>
      <c r="K299" t="s">
        <v>1047</v>
      </c>
      <c r="L299" t="b">
        <f>Data_Completeness(MileageData[[#This Row],[MPG]:[Acceleration]])</f>
        <v>1</v>
      </c>
    </row>
    <row r="300" spans="1:12" x14ac:dyDescent="0.25">
      <c r="A300">
        <v>19.2</v>
      </c>
      <c r="B300">
        <v>8</v>
      </c>
      <c r="C300">
        <v>267</v>
      </c>
      <c r="D300">
        <v>125</v>
      </c>
      <c r="E300">
        <v>3605</v>
      </c>
      <c r="F300">
        <v>15</v>
      </c>
      <c r="G300">
        <v>79</v>
      </c>
      <c r="H300" t="s">
        <v>940</v>
      </c>
      <c r="I300" t="s">
        <v>1412</v>
      </c>
      <c r="J300" t="s">
        <v>942</v>
      </c>
      <c r="K300" t="s">
        <v>1413</v>
      </c>
      <c r="L300" t="b">
        <f>Data_Completeness(MileageData[[#This Row],[MPG]:[Acceleration]])</f>
        <v>1</v>
      </c>
    </row>
    <row r="301" spans="1:12" x14ac:dyDescent="0.25">
      <c r="A301">
        <v>18.5</v>
      </c>
      <c r="B301">
        <v>8</v>
      </c>
      <c r="C301">
        <v>360</v>
      </c>
      <c r="D301">
        <v>150</v>
      </c>
      <c r="E301">
        <v>3940</v>
      </c>
      <c r="F301">
        <v>13</v>
      </c>
      <c r="G301">
        <v>79</v>
      </c>
      <c r="H301" t="s">
        <v>940</v>
      </c>
      <c r="I301" t="s">
        <v>1414</v>
      </c>
      <c r="J301" t="s">
        <v>1094</v>
      </c>
      <c r="K301" t="s">
        <v>1415</v>
      </c>
      <c r="L301" t="b">
        <f>Data_Completeness(MileageData[[#This Row],[MPG]:[Acceleration]])</f>
        <v>1</v>
      </c>
    </row>
    <row r="302" spans="1:12" x14ac:dyDescent="0.25">
      <c r="A302">
        <v>31.9</v>
      </c>
      <c r="B302">
        <v>4</v>
      </c>
      <c r="C302">
        <v>89</v>
      </c>
      <c r="D302">
        <v>71</v>
      </c>
      <c r="E302">
        <v>1925</v>
      </c>
      <c r="F302">
        <v>14</v>
      </c>
      <c r="G302">
        <v>79</v>
      </c>
      <c r="H302" t="s">
        <v>967</v>
      </c>
      <c r="I302" t="s">
        <v>1416</v>
      </c>
      <c r="J302" t="s">
        <v>1261</v>
      </c>
      <c r="K302" t="s">
        <v>1320</v>
      </c>
      <c r="L302" t="b">
        <f>Data_Completeness(MileageData[[#This Row],[MPG]:[Acceleration]])</f>
        <v>1</v>
      </c>
    </row>
    <row r="303" spans="1:12" x14ac:dyDescent="0.25">
      <c r="A303">
        <v>34.1</v>
      </c>
      <c r="B303">
        <v>4</v>
      </c>
      <c r="C303">
        <v>86</v>
      </c>
      <c r="D303">
        <v>65</v>
      </c>
      <c r="E303">
        <v>1975</v>
      </c>
      <c r="F303">
        <v>15.2</v>
      </c>
      <c r="G303">
        <v>79</v>
      </c>
      <c r="H303" t="s">
        <v>990</v>
      </c>
      <c r="I303" t="s">
        <v>1417</v>
      </c>
      <c r="J303" t="s">
        <v>1164</v>
      </c>
      <c r="K303" t="s">
        <v>1341</v>
      </c>
      <c r="L303" t="b">
        <f>Data_Completeness(MileageData[[#This Row],[MPG]:[Acceleration]])</f>
        <v>1</v>
      </c>
    </row>
    <row r="304" spans="1:12" x14ac:dyDescent="0.25">
      <c r="A304">
        <v>35.700000000000003</v>
      </c>
      <c r="B304">
        <v>4</v>
      </c>
      <c r="C304">
        <v>98</v>
      </c>
      <c r="D304">
        <v>80</v>
      </c>
      <c r="E304">
        <v>1915</v>
      </c>
      <c r="F304">
        <v>14.4</v>
      </c>
      <c r="G304">
        <v>79</v>
      </c>
      <c r="H304" t="s">
        <v>940</v>
      </c>
      <c r="I304" t="s">
        <v>1418</v>
      </c>
      <c r="J304" t="s">
        <v>980</v>
      </c>
      <c r="K304" t="s">
        <v>1419</v>
      </c>
      <c r="L304" t="b">
        <f>Data_Completeness(MileageData[[#This Row],[MPG]:[Acceleration]])</f>
        <v>1</v>
      </c>
    </row>
    <row r="305" spans="1:12" x14ac:dyDescent="0.25">
      <c r="A305">
        <v>27.4</v>
      </c>
      <c r="B305">
        <v>4</v>
      </c>
      <c r="C305">
        <v>121</v>
      </c>
      <c r="D305">
        <v>80</v>
      </c>
      <c r="E305">
        <v>2670</v>
      </c>
      <c r="F305">
        <v>15</v>
      </c>
      <c r="G305">
        <v>79</v>
      </c>
      <c r="H305" t="s">
        <v>940</v>
      </c>
      <c r="I305" t="s">
        <v>1420</v>
      </c>
      <c r="J305" t="s">
        <v>951</v>
      </c>
      <c r="K305" t="s">
        <v>1421</v>
      </c>
      <c r="L305" t="b">
        <f>Data_Completeness(MileageData[[#This Row],[MPG]:[Acceleration]])</f>
        <v>1</v>
      </c>
    </row>
    <row r="306" spans="1:12" x14ac:dyDescent="0.25">
      <c r="A306">
        <v>25.4</v>
      </c>
      <c r="B306">
        <v>5</v>
      </c>
      <c r="C306">
        <v>183</v>
      </c>
      <c r="D306">
        <v>77</v>
      </c>
      <c r="E306">
        <v>3530</v>
      </c>
      <c r="F306">
        <v>20.100000000000001</v>
      </c>
      <c r="G306">
        <v>79</v>
      </c>
      <c r="H306" t="s">
        <v>967</v>
      </c>
      <c r="I306" t="s">
        <v>1422</v>
      </c>
      <c r="J306" t="s">
        <v>1423</v>
      </c>
      <c r="K306" t="s">
        <v>1424</v>
      </c>
      <c r="L306" t="b">
        <f>Data_Completeness(MileageData[[#This Row],[MPG]:[Acceleration]])</f>
        <v>1</v>
      </c>
    </row>
    <row r="307" spans="1:12" x14ac:dyDescent="0.25">
      <c r="A307">
        <v>23</v>
      </c>
      <c r="B307">
        <v>8</v>
      </c>
      <c r="C307">
        <v>350</v>
      </c>
      <c r="D307">
        <v>125</v>
      </c>
      <c r="E307">
        <v>3900</v>
      </c>
      <c r="F307">
        <v>17.399999999999999</v>
      </c>
      <c r="G307">
        <v>79</v>
      </c>
      <c r="H307" t="s">
        <v>940</v>
      </c>
      <c r="I307" t="s">
        <v>1425</v>
      </c>
      <c r="J307" t="s">
        <v>1279</v>
      </c>
      <c r="K307" t="s">
        <v>1426</v>
      </c>
      <c r="L307" t="b">
        <f>Data_Completeness(MileageData[[#This Row],[MPG]:[Acceleration]])</f>
        <v>1</v>
      </c>
    </row>
    <row r="308" spans="1:12" x14ac:dyDescent="0.25">
      <c r="A308">
        <v>27.2</v>
      </c>
      <c r="B308">
        <v>4</v>
      </c>
      <c r="C308">
        <v>141</v>
      </c>
      <c r="D308">
        <v>71</v>
      </c>
      <c r="E308">
        <v>3190</v>
      </c>
      <c r="F308">
        <v>24.8</v>
      </c>
      <c r="G308">
        <v>79</v>
      </c>
      <c r="H308" t="s">
        <v>967</v>
      </c>
      <c r="I308" t="s">
        <v>1006</v>
      </c>
      <c r="J308" t="s">
        <v>1007</v>
      </c>
      <c r="K308">
        <v>504</v>
      </c>
      <c r="L308" t="b">
        <f>Data_Completeness(MileageData[[#This Row],[MPG]:[Acceleration]])</f>
        <v>1</v>
      </c>
    </row>
    <row r="309" spans="1:12" x14ac:dyDescent="0.25">
      <c r="A309">
        <v>23.9</v>
      </c>
      <c r="B309">
        <v>8</v>
      </c>
      <c r="C309">
        <v>260</v>
      </c>
      <c r="D309">
        <v>90</v>
      </c>
      <c r="E309">
        <v>3420</v>
      </c>
      <c r="F309">
        <v>22.2</v>
      </c>
      <c r="G309">
        <v>79</v>
      </c>
      <c r="H309" t="s">
        <v>940</v>
      </c>
      <c r="I309" t="s">
        <v>1344</v>
      </c>
      <c r="J309" t="s">
        <v>1091</v>
      </c>
      <c r="K309" t="s">
        <v>1345</v>
      </c>
      <c r="L309" t="b">
        <f>Data_Completeness(MileageData[[#This Row],[MPG]:[Acceleration]])</f>
        <v>1</v>
      </c>
    </row>
    <row r="310" spans="1:12" x14ac:dyDescent="0.25">
      <c r="A310">
        <v>34.200000000000003</v>
      </c>
      <c r="B310">
        <v>4</v>
      </c>
      <c r="C310">
        <v>105</v>
      </c>
      <c r="D310">
        <v>70</v>
      </c>
      <c r="E310">
        <v>2200</v>
      </c>
      <c r="F310">
        <v>13.2</v>
      </c>
      <c r="G310">
        <v>79</v>
      </c>
      <c r="H310" t="s">
        <v>940</v>
      </c>
      <c r="I310" t="s">
        <v>1427</v>
      </c>
      <c r="J310" t="s">
        <v>948</v>
      </c>
      <c r="K310" t="s">
        <v>1428</v>
      </c>
      <c r="L310" t="b">
        <f>Data_Completeness(MileageData[[#This Row],[MPG]:[Acceleration]])</f>
        <v>1</v>
      </c>
    </row>
    <row r="311" spans="1:12" x14ac:dyDescent="0.25">
      <c r="A311">
        <v>34.5</v>
      </c>
      <c r="B311">
        <v>4</v>
      </c>
      <c r="C311">
        <v>105</v>
      </c>
      <c r="D311">
        <v>70</v>
      </c>
      <c r="E311">
        <v>2150</v>
      </c>
      <c r="F311">
        <v>14.9</v>
      </c>
      <c r="G311">
        <v>79</v>
      </c>
      <c r="H311" t="s">
        <v>940</v>
      </c>
      <c r="I311" t="s">
        <v>1429</v>
      </c>
      <c r="J311" t="s">
        <v>948</v>
      </c>
      <c r="K311" t="s">
        <v>1430</v>
      </c>
      <c r="L311" t="b">
        <f>Data_Completeness(MileageData[[#This Row],[MPG]:[Acceleration]])</f>
        <v>1</v>
      </c>
    </row>
    <row r="312" spans="1:12" x14ac:dyDescent="0.25">
      <c r="A312">
        <v>31.8</v>
      </c>
      <c r="B312">
        <v>4</v>
      </c>
      <c r="C312">
        <v>85</v>
      </c>
      <c r="D312">
        <v>65</v>
      </c>
      <c r="E312">
        <v>2020</v>
      </c>
      <c r="F312">
        <v>19.2</v>
      </c>
      <c r="G312">
        <v>79</v>
      </c>
      <c r="H312" t="s">
        <v>990</v>
      </c>
      <c r="I312" t="s">
        <v>1431</v>
      </c>
      <c r="J312" t="s">
        <v>1001</v>
      </c>
      <c r="K312">
        <v>210</v>
      </c>
      <c r="L312" t="b">
        <f>Data_Completeness(MileageData[[#This Row],[MPG]:[Acceleration]])</f>
        <v>1</v>
      </c>
    </row>
    <row r="313" spans="1:12" x14ac:dyDescent="0.25">
      <c r="A313">
        <v>37.299999999999997</v>
      </c>
      <c r="B313">
        <v>4</v>
      </c>
      <c r="C313">
        <v>91</v>
      </c>
      <c r="D313">
        <v>69</v>
      </c>
      <c r="E313">
        <v>2130</v>
      </c>
      <c r="F313">
        <v>14.7</v>
      </c>
      <c r="G313">
        <v>79</v>
      </c>
      <c r="H313" t="s">
        <v>967</v>
      </c>
      <c r="I313" t="s">
        <v>1432</v>
      </c>
      <c r="J313" t="s">
        <v>1065</v>
      </c>
      <c r="K313" t="s">
        <v>1433</v>
      </c>
      <c r="L313" t="b">
        <f>Data_Completeness(MileageData[[#This Row],[MPG]:[Acceleration]])</f>
        <v>1</v>
      </c>
    </row>
    <row r="314" spans="1:12" x14ac:dyDescent="0.25">
      <c r="A314">
        <v>28.4</v>
      </c>
      <c r="B314">
        <v>4</v>
      </c>
      <c r="C314">
        <v>151</v>
      </c>
      <c r="D314">
        <v>90</v>
      </c>
      <c r="E314">
        <v>2670</v>
      </c>
      <c r="F314">
        <v>16</v>
      </c>
      <c r="G314">
        <v>79</v>
      </c>
      <c r="H314" t="s">
        <v>940</v>
      </c>
      <c r="I314" t="s">
        <v>1434</v>
      </c>
      <c r="J314" t="s">
        <v>945</v>
      </c>
      <c r="K314" t="s">
        <v>1435</v>
      </c>
      <c r="L314" t="b">
        <f>Data_Completeness(MileageData[[#This Row],[MPG]:[Acceleration]])</f>
        <v>1</v>
      </c>
    </row>
    <row r="315" spans="1:12" x14ac:dyDescent="0.25">
      <c r="A315">
        <v>28.8</v>
      </c>
      <c r="B315">
        <v>6</v>
      </c>
      <c r="C315">
        <v>173</v>
      </c>
      <c r="D315">
        <v>115</v>
      </c>
      <c r="E315">
        <v>2595</v>
      </c>
      <c r="F315">
        <v>11.3</v>
      </c>
      <c r="G315">
        <v>79</v>
      </c>
      <c r="H315" t="s">
        <v>940</v>
      </c>
      <c r="I315" t="s">
        <v>1436</v>
      </c>
      <c r="J315" t="s">
        <v>942</v>
      </c>
      <c r="K315" t="s">
        <v>1437</v>
      </c>
      <c r="L315" t="b">
        <f>Data_Completeness(MileageData[[#This Row],[MPG]:[Acceleration]])</f>
        <v>1</v>
      </c>
    </row>
    <row r="316" spans="1:12" x14ac:dyDescent="0.25">
      <c r="A316">
        <v>26.8</v>
      </c>
      <c r="B316">
        <v>6</v>
      </c>
      <c r="C316">
        <v>173</v>
      </c>
      <c r="D316">
        <v>115</v>
      </c>
      <c r="E316">
        <v>2700</v>
      </c>
      <c r="F316">
        <v>12.9</v>
      </c>
      <c r="G316">
        <v>79</v>
      </c>
      <c r="H316" t="s">
        <v>940</v>
      </c>
      <c r="I316" t="s">
        <v>1438</v>
      </c>
      <c r="J316" t="s">
        <v>1091</v>
      </c>
      <c r="K316" t="s">
        <v>1439</v>
      </c>
      <c r="L316" t="b">
        <f>Data_Completeness(MileageData[[#This Row],[MPG]:[Acceleration]])</f>
        <v>1</v>
      </c>
    </row>
    <row r="317" spans="1:12" x14ac:dyDescent="0.25">
      <c r="A317">
        <v>33.5</v>
      </c>
      <c r="B317">
        <v>4</v>
      </c>
      <c r="C317">
        <v>151</v>
      </c>
      <c r="D317">
        <v>90</v>
      </c>
      <c r="E317">
        <v>2556</v>
      </c>
      <c r="F317">
        <v>13.2</v>
      </c>
      <c r="G317">
        <v>79</v>
      </c>
      <c r="H317" t="s">
        <v>940</v>
      </c>
      <c r="I317" t="s">
        <v>1440</v>
      </c>
      <c r="J317" t="s">
        <v>963</v>
      </c>
      <c r="K317" t="s">
        <v>1441</v>
      </c>
      <c r="L317" t="b">
        <f>Data_Completeness(MileageData[[#This Row],[MPG]:[Acceleration]])</f>
        <v>1</v>
      </c>
    </row>
    <row r="318" spans="1:12" x14ac:dyDescent="0.25">
      <c r="A318">
        <v>41.5</v>
      </c>
      <c r="B318">
        <v>4</v>
      </c>
      <c r="C318">
        <v>98</v>
      </c>
      <c r="D318">
        <v>76</v>
      </c>
      <c r="E318">
        <v>2144</v>
      </c>
      <c r="F318">
        <v>14.7</v>
      </c>
      <c r="G318">
        <v>80</v>
      </c>
      <c r="H318" t="s">
        <v>967</v>
      </c>
      <c r="I318" t="s">
        <v>1260</v>
      </c>
      <c r="J318" t="s">
        <v>1261</v>
      </c>
      <c r="K318" t="s">
        <v>1241</v>
      </c>
      <c r="L318" t="b">
        <f>Data_Completeness(MileageData[[#This Row],[MPG]:[Acceleration]])</f>
        <v>1</v>
      </c>
    </row>
    <row r="319" spans="1:12" x14ac:dyDescent="0.25">
      <c r="A319">
        <v>38.1</v>
      </c>
      <c r="B319">
        <v>4</v>
      </c>
      <c r="C319">
        <v>89</v>
      </c>
      <c r="D319">
        <v>60</v>
      </c>
      <c r="E319">
        <v>1968</v>
      </c>
      <c r="F319">
        <v>18.8</v>
      </c>
      <c r="G319">
        <v>80</v>
      </c>
      <c r="H319" t="s">
        <v>990</v>
      </c>
      <c r="I319" t="s">
        <v>1442</v>
      </c>
      <c r="J319" t="s">
        <v>992</v>
      </c>
      <c r="K319" t="s">
        <v>1443</v>
      </c>
      <c r="L319" t="b">
        <f>Data_Completeness(MileageData[[#This Row],[MPG]:[Acceleration]])</f>
        <v>1</v>
      </c>
    </row>
    <row r="320" spans="1:12" x14ac:dyDescent="0.25">
      <c r="A320">
        <v>32.1</v>
      </c>
      <c r="B320">
        <v>4</v>
      </c>
      <c r="C320">
        <v>98</v>
      </c>
      <c r="D320">
        <v>70</v>
      </c>
      <c r="E320">
        <v>2120</v>
      </c>
      <c r="F320">
        <v>15.5</v>
      </c>
      <c r="G320">
        <v>80</v>
      </c>
      <c r="H320" t="s">
        <v>940</v>
      </c>
      <c r="I320" t="s">
        <v>1256</v>
      </c>
      <c r="J320" t="s">
        <v>942</v>
      </c>
      <c r="K320" t="s">
        <v>1257</v>
      </c>
      <c r="L320" t="b">
        <f>Data_Completeness(MileageData[[#This Row],[MPG]:[Acceleration]])</f>
        <v>1</v>
      </c>
    </row>
    <row r="321" spans="1:12" x14ac:dyDescent="0.25">
      <c r="A321">
        <v>37.200000000000003</v>
      </c>
      <c r="B321">
        <v>4</v>
      </c>
      <c r="C321">
        <v>86</v>
      </c>
      <c r="D321">
        <v>65</v>
      </c>
      <c r="E321">
        <v>2019</v>
      </c>
      <c r="F321">
        <v>16.399999999999999</v>
      </c>
      <c r="G321">
        <v>80</v>
      </c>
      <c r="H321" t="s">
        <v>990</v>
      </c>
      <c r="I321" t="s">
        <v>1444</v>
      </c>
      <c r="J321" t="s">
        <v>1001</v>
      </c>
      <c r="K321">
        <v>310</v>
      </c>
      <c r="L321" t="b">
        <f>Data_Completeness(MileageData[[#This Row],[MPG]:[Acceleration]])</f>
        <v>1</v>
      </c>
    </row>
    <row r="322" spans="1:12" x14ac:dyDescent="0.25">
      <c r="A322">
        <v>28</v>
      </c>
      <c r="B322">
        <v>4</v>
      </c>
      <c r="C322">
        <v>151</v>
      </c>
      <c r="D322">
        <v>90</v>
      </c>
      <c r="E322">
        <v>2678</v>
      </c>
      <c r="F322">
        <v>16.5</v>
      </c>
      <c r="G322">
        <v>80</v>
      </c>
      <c r="H322" t="s">
        <v>940</v>
      </c>
      <c r="I322" t="s">
        <v>1436</v>
      </c>
      <c r="J322" t="s">
        <v>942</v>
      </c>
      <c r="K322" t="s">
        <v>1437</v>
      </c>
      <c r="L322" t="b">
        <f>Data_Completeness(MileageData[[#This Row],[MPG]:[Acceleration]])</f>
        <v>1</v>
      </c>
    </row>
    <row r="323" spans="1:12" x14ac:dyDescent="0.25">
      <c r="A323">
        <v>26.4</v>
      </c>
      <c r="B323">
        <v>4</v>
      </c>
      <c r="C323">
        <v>140</v>
      </c>
      <c r="D323">
        <v>88</v>
      </c>
      <c r="E323">
        <v>2870</v>
      </c>
      <c r="F323">
        <v>18.100000000000001</v>
      </c>
      <c r="G323">
        <v>80</v>
      </c>
      <c r="H323" t="s">
        <v>940</v>
      </c>
      <c r="I323" t="s">
        <v>1445</v>
      </c>
      <c r="J323" t="s">
        <v>954</v>
      </c>
      <c r="K323" t="s">
        <v>1446</v>
      </c>
      <c r="L323" t="b">
        <f>Data_Completeness(MileageData[[#This Row],[MPG]:[Acceleration]])</f>
        <v>1</v>
      </c>
    </row>
    <row r="324" spans="1:12" x14ac:dyDescent="0.25">
      <c r="A324">
        <v>24.3</v>
      </c>
      <c r="B324">
        <v>4</v>
      </c>
      <c r="C324">
        <v>151</v>
      </c>
      <c r="D324">
        <v>90</v>
      </c>
      <c r="E324">
        <v>3003</v>
      </c>
      <c r="F324">
        <v>20.100000000000001</v>
      </c>
      <c r="G324">
        <v>80</v>
      </c>
      <c r="H324" t="s">
        <v>940</v>
      </c>
      <c r="I324" t="s">
        <v>1358</v>
      </c>
      <c r="J324" t="s">
        <v>951</v>
      </c>
      <c r="K324" t="s">
        <v>1359</v>
      </c>
      <c r="L324" t="b">
        <f>Data_Completeness(MileageData[[#This Row],[MPG]:[Acceleration]])</f>
        <v>1</v>
      </c>
    </row>
    <row r="325" spans="1:12" x14ac:dyDescent="0.25">
      <c r="A325">
        <v>19.100000000000001</v>
      </c>
      <c r="B325">
        <v>6</v>
      </c>
      <c r="C325">
        <v>225</v>
      </c>
      <c r="D325">
        <v>90</v>
      </c>
      <c r="E325">
        <v>3381</v>
      </c>
      <c r="F325">
        <v>18.7</v>
      </c>
      <c r="G325">
        <v>80</v>
      </c>
      <c r="H325" t="s">
        <v>940</v>
      </c>
      <c r="I325" t="s">
        <v>1364</v>
      </c>
      <c r="J325" t="s">
        <v>980</v>
      </c>
      <c r="K325" t="s">
        <v>1365</v>
      </c>
      <c r="L325" t="b">
        <f>Data_Completeness(MileageData[[#This Row],[MPG]:[Acceleration]])</f>
        <v>1</v>
      </c>
    </row>
    <row r="326" spans="1:12" x14ac:dyDescent="0.25">
      <c r="A326">
        <v>34.299999999999997</v>
      </c>
      <c r="B326">
        <v>4</v>
      </c>
      <c r="C326">
        <v>97</v>
      </c>
      <c r="D326">
        <v>78</v>
      </c>
      <c r="E326">
        <v>2188</v>
      </c>
      <c r="F326">
        <v>15.8</v>
      </c>
      <c r="G326">
        <v>80</v>
      </c>
      <c r="H326" t="s">
        <v>967</v>
      </c>
      <c r="I326" t="s">
        <v>1447</v>
      </c>
      <c r="J326" t="s">
        <v>1009</v>
      </c>
      <c r="K326">
        <v>4000</v>
      </c>
      <c r="L326" t="b">
        <f>Data_Completeness(MileageData[[#This Row],[MPG]:[Acceleration]])</f>
        <v>1</v>
      </c>
    </row>
    <row r="327" spans="1:12" x14ac:dyDescent="0.25">
      <c r="A327">
        <v>29.8</v>
      </c>
      <c r="B327">
        <v>4</v>
      </c>
      <c r="C327">
        <v>134</v>
      </c>
      <c r="D327">
        <v>90</v>
      </c>
      <c r="E327">
        <v>2711</v>
      </c>
      <c r="F327">
        <v>15.5</v>
      </c>
      <c r="G327">
        <v>80</v>
      </c>
      <c r="H327" t="s">
        <v>990</v>
      </c>
      <c r="I327" t="s">
        <v>1448</v>
      </c>
      <c r="J327" t="s">
        <v>992</v>
      </c>
      <c r="K327" t="s">
        <v>1449</v>
      </c>
      <c r="L327" t="b">
        <f>Data_Completeness(MileageData[[#This Row],[MPG]:[Acceleration]])</f>
        <v>1</v>
      </c>
    </row>
    <row r="328" spans="1:12" x14ac:dyDescent="0.25">
      <c r="A328">
        <v>31.3</v>
      </c>
      <c r="B328">
        <v>4</v>
      </c>
      <c r="C328">
        <v>120</v>
      </c>
      <c r="D328">
        <v>75</v>
      </c>
      <c r="E328">
        <v>2542</v>
      </c>
      <c r="F328">
        <v>17.5</v>
      </c>
      <c r="G328">
        <v>80</v>
      </c>
      <c r="H328" t="s">
        <v>990</v>
      </c>
      <c r="I328" t="s">
        <v>1450</v>
      </c>
      <c r="J328" t="s">
        <v>1097</v>
      </c>
      <c r="K328">
        <v>626</v>
      </c>
      <c r="L328" t="b">
        <f>Data_Completeness(MileageData[[#This Row],[MPG]:[Acceleration]])</f>
        <v>1</v>
      </c>
    </row>
    <row r="329" spans="1:12" x14ac:dyDescent="0.25">
      <c r="A329">
        <v>37</v>
      </c>
      <c r="B329">
        <v>4</v>
      </c>
      <c r="C329">
        <v>119</v>
      </c>
      <c r="D329">
        <v>92</v>
      </c>
      <c r="E329">
        <v>2434</v>
      </c>
      <c r="F329">
        <v>15</v>
      </c>
      <c r="G329">
        <v>80</v>
      </c>
      <c r="H329" t="s">
        <v>990</v>
      </c>
      <c r="I329" t="s">
        <v>1451</v>
      </c>
      <c r="J329" t="s">
        <v>1001</v>
      </c>
      <c r="K329" t="s">
        <v>1452</v>
      </c>
      <c r="L329" t="b">
        <f>Data_Completeness(MileageData[[#This Row],[MPG]:[Acceleration]])</f>
        <v>1</v>
      </c>
    </row>
    <row r="330" spans="1:12" x14ac:dyDescent="0.25">
      <c r="A330">
        <v>32.200000000000003</v>
      </c>
      <c r="B330">
        <v>4</v>
      </c>
      <c r="C330">
        <v>108</v>
      </c>
      <c r="D330">
        <v>75</v>
      </c>
      <c r="E330">
        <v>2265</v>
      </c>
      <c r="F330">
        <v>15.2</v>
      </c>
      <c r="G330">
        <v>80</v>
      </c>
      <c r="H330" t="s">
        <v>990</v>
      </c>
      <c r="I330" t="s">
        <v>1236</v>
      </c>
      <c r="J330" t="s">
        <v>992</v>
      </c>
      <c r="K330" t="s">
        <v>1237</v>
      </c>
      <c r="L330" t="b">
        <f>Data_Completeness(MileageData[[#This Row],[MPG]:[Acceleration]])</f>
        <v>1</v>
      </c>
    </row>
    <row r="331" spans="1:12" x14ac:dyDescent="0.25">
      <c r="A331">
        <v>46.6</v>
      </c>
      <c r="B331">
        <v>4</v>
      </c>
      <c r="C331">
        <v>86</v>
      </c>
      <c r="D331">
        <v>65</v>
      </c>
      <c r="E331">
        <v>2110</v>
      </c>
      <c r="F331">
        <v>17.899999999999999</v>
      </c>
      <c r="G331">
        <v>80</v>
      </c>
      <c r="H331" t="s">
        <v>990</v>
      </c>
      <c r="I331" t="s">
        <v>1453</v>
      </c>
      <c r="J331" t="s">
        <v>1097</v>
      </c>
      <c r="K331" t="s">
        <v>1454</v>
      </c>
      <c r="L331" t="b">
        <f>Data_Completeness(MileageData[[#This Row],[MPG]:[Acceleration]])</f>
        <v>1</v>
      </c>
    </row>
    <row r="332" spans="1:12" x14ac:dyDescent="0.25">
      <c r="A332">
        <v>27.9</v>
      </c>
      <c r="B332">
        <v>4</v>
      </c>
      <c r="C332">
        <v>156</v>
      </c>
      <c r="D332">
        <v>105</v>
      </c>
      <c r="E332">
        <v>2800</v>
      </c>
      <c r="F332">
        <v>14.4</v>
      </c>
      <c r="G332">
        <v>80</v>
      </c>
      <c r="H332" t="s">
        <v>940</v>
      </c>
      <c r="I332" t="s">
        <v>1206</v>
      </c>
      <c r="J332" t="s">
        <v>980</v>
      </c>
      <c r="K332" t="s">
        <v>1207</v>
      </c>
      <c r="L332" t="b">
        <f>Data_Completeness(MileageData[[#This Row],[MPG]:[Acceleration]])</f>
        <v>1</v>
      </c>
    </row>
    <row r="333" spans="1:12" x14ac:dyDescent="0.25">
      <c r="A333">
        <v>40.799999999999997</v>
      </c>
      <c r="B333">
        <v>4</v>
      </c>
      <c r="C333">
        <v>85</v>
      </c>
      <c r="D333">
        <v>65</v>
      </c>
      <c r="E333">
        <v>2110</v>
      </c>
      <c r="F333">
        <v>19.2</v>
      </c>
      <c r="G333">
        <v>80</v>
      </c>
      <c r="H333" t="s">
        <v>990</v>
      </c>
      <c r="I333" t="s">
        <v>1431</v>
      </c>
      <c r="J333" t="s">
        <v>1001</v>
      </c>
      <c r="K333">
        <v>210</v>
      </c>
      <c r="L333" t="b">
        <f>Data_Completeness(MileageData[[#This Row],[MPG]:[Acceleration]])</f>
        <v>1</v>
      </c>
    </row>
    <row r="334" spans="1:12" x14ac:dyDescent="0.25">
      <c r="A334">
        <v>44.3</v>
      </c>
      <c r="B334">
        <v>4</v>
      </c>
      <c r="C334">
        <v>90</v>
      </c>
      <c r="D334">
        <v>48</v>
      </c>
      <c r="E334">
        <v>2085</v>
      </c>
      <c r="F334">
        <v>21.7</v>
      </c>
      <c r="G334">
        <v>80</v>
      </c>
      <c r="H334" t="s">
        <v>967</v>
      </c>
      <c r="I334" t="s">
        <v>1455</v>
      </c>
      <c r="J334" t="s">
        <v>1261</v>
      </c>
      <c r="K334" t="s">
        <v>1456</v>
      </c>
      <c r="L334" t="b">
        <f>Data_Completeness(MileageData[[#This Row],[MPG]:[Acceleration]])</f>
        <v>1</v>
      </c>
    </row>
    <row r="335" spans="1:12" x14ac:dyDescent="0.25">
      <c r="A335">
        <v>43.4</v>
      </c>
      <c r="B335">
        <v>4</v>
      </c>
      <c r="C335">
        <v>90</v>
      </c>
      <c r="D335">
        <v>48</v>
      </c>
      <c r="E335">
        <v>2335</v>
      </c>
      <c r="F335">
        <v>23.7</v>
      </c>
      <c r="G335">
        <v>80</v>
      </c>
      <c r="H335" t="s">
        <v>967</v>
      </c>
      <c r="I335" t="s">
        <v>1457</v>
      </c>
      <c r="J335" t="s">
        <v>1261</v>
      </c>
      <c r="K335" t="s">
        <v>1458</v>
      </c>
      <c r="L335" t="b">
        <f>Data_Completeness(MileageData[[#This Row],[MPG]:[Acceleration]])</f>
        <v>1</v>
      </c>
    </row>
    <row r="336" spans="1:12" x14ac:dyDescent="0.25">
      <c r="A336">
        <v>36.4</v>
      </c>
      <c r="B336">
        <v>5</v>
      </c>
      <c r="C336">
        <v>121</v>
      </c>
      <c r="D336">
        <v>67</v>
      </c>
      <c r="E336">
        <v>2950</v>
      </c>
      <c r="F336">
        <v>19.899999999999999</v>
      </c>
      <c r="G336">
        <v>80</v>
      </c>
      <c r="H336" t="s">
        <v>967</v>
      </c>
      <c r="I336" t="s">
        <v>1459</v>
      </c>
      <c r="J336" t="s">
        <v>1009</v>
      </c>
      <c r="K336" t="s">
        <v>1460</v>
      </c>
      <c r="L336" t="b">
        <f>Data_Completeness(MileageData[[#This Row],[MPG]:[Acceleration]])</f>
        <v>1</v>
      </c>
    </row>
    <row r="337" spans="1:12" x14ac:dyDescent="0.25">
      <c r="A337">
        <v>30</v>
      </c>
      <c r="B337">
        <v>4</v>
      </c>
      <c r="C337">
        <v>146</v>
      </c>
      <c r="D337">
        <v>67</v>
      </c>
      <c r="E337">
        <v>3250</v>
      </c>
      <c r="F337">
        <v>21.8</v>
      </c>
      <c r="G337">
        <v>80</v>
      </c>
      <c r="H337" t="s">
        <v>967</v>
      </c>
      <c r="I337" t="s">
        <v>1461</v>
      </c>
      <c r="J337" t="s">
        <v>1276</v>
      </c>
      <c r="K337" t="s">
        <v>1462</v>
      </c>
      <c r="L337" t="b">
        <f>Data_Completeness(MileageData[[#This Row],[MPG]:[Acceleration]])</f>
        <v>1</v>
      </c>
    </row>
    <row r="338" spans="1:12" x14ac:dyDescent="0.25">
      <c r="A338">
        <v>44.6</v>
      </c>
      <c r="B338">
        <v>4</v>
      </c>
      <c r="C338">
        <v>91</v>
      </c>
      <c r="D338">
        <v>67</v>
      </c>
      <c r="E338">
        <v>1850</v>
      </c>
      <c r="F338">
        <v>13.8</v>
      </c>
      <c r="G338">
        <v>80</v>
      </c>
      <c r="H338" t="s">
        <v>990</v>
      </c>
      <c r="I338" t="s">
        <v>1463</v>
      </c>
      <c r="J338" t="s">
        <v>1211</v>
      </c>
      <c r="K338" t="s">
        <v>1464</v>
      </c>
      <c r="L338" t="b">
        <f>Data_Completeness(MileageData[[#This Row],[MPG]:[Acceleration]])</f>
        <v>1</v>
      </c>
    </row>
    <row r="339" spans="1:12" x14ac:dyDescent="0.25">
      <c r="A339">
        <v>40.9</v>
      </c>
      <c r="B339">
        <v>4</v>
      </c>
      <c r="C339">
        <v>85</v>
      </c>
      <c r="E339">
        <v>1835</v>
      </c>
      <c r="F339">
        <v>17.3</v>
      </c>
      <c r="G339">
        <v>80</v>
      </c>
      <c r="H339" t="s">
        <v>967</v>
      </c>
      <c r="I339" t="s">
        <v>1465</v>
      </c>
      <c r="J339" t="s">
        <v>1113</v>
      </c>
      <c r="K339" t="s">
        <v>1466</v>
      </c>
      <c r="L339" t="b">
        <f>Data_Completeness(MileageData[[#This Row],[MPG]:[Acceleration]])</f>
        <v>0</v>
      </c>
    </row>
    <row r="340" spans="1:12" x14ac:dyDescent="0.25">
      <c r="A340">
        <v>33.799999999999997</v>
      </c>
      <c r="B340">
        <v>4</v>
      </c>
      <c r="C340">
        <v>97</v>
      </c>
      <c r="D340">
        <v>67</v>
      </c>
      <c r="E340">
        <v>2145</v>
      </c>
      <c r="F340">
        <v>18</v>
      </c>
      <c r="G340">
        <v>80</v>
      </c>
      <c r="H340" t="s">
        <v>990</v>
      </c>
      <c r="I340" t="s">
        <v>1329</v>
      </c>
      <c r="J340" t="s">
        <v>1213</v>
      </c>
      <c r="K340" t="s">
        <v>1330</v>
      </c>
      <c r="L340" t="b">
        <f>Data_Completeness(MileageData[[#This Row],[MPG]:[Acceleration]])</f>
        <v>1</v>
      </c>
    </row>
    <row r="341" spans="1:12" x14ac:dyDescent="0.25">
      <c r="A341">
        <v>29.8</v>
      </c>
      <c r="B341">
        <v>4</v>
      </c>
      <c r="C341">
        <v>89</v>
      </c>
      <c r="D341">
        <v>62</v>
      </c>
      <c r="E341">
        <v>1845</v>
      </c>
      <c r="F341">
        <v>15.3</v>
      </c>
      <c r="G341">
        <v>80</v>
      </c>
      <c r="H341" t="s">
        <v>967</v>
      </c>
      <c r="I341" t="s">
        <v>1467</v>
      </c>
      <c r="J341" t="s">
        <v>1468</v>
      </c>
      <c r="K341" t="s">
        <v>1241</v>
      </c>
      <c r="L341" t="b">
        <f>Data_Completeness(MileageData[[#This Row],[MPG]:[Acceleration]])</f>
        <v>1</v>
      </c>
    </row>
    <row r="342" spans="1:12" x14ac:dyDescent="0.25">
      <c r="A342">
        <v>32.700000000000003</v>
      </c>
      <c r="B342">
        <v>6</v>
      </c>
      <c r="C342">
        <v>168</v>
      </c>
      <c r="D342">
        <v>132</v>
      </c>
      <c r="E342">
        <v>2910</v>
      </c>
      <c r="F342">
        <v>11.4</v>
      </c>
      <c r="G342">
        <v>80</v>
      </c>
      <c r="H342" t="s">
        <v>990</v>
      </c>
      <c r="I342" t="s">
        <v>1469</v>
      </c>
      <c r="J342" t="s">
        <v>1001</v>
      </c>
      <c r="K342" t="s">
        <v>1470</v>
      </c>
      <c r="L342" t="b">
        <f>Data_Completeness(MileageData[[#This Row],[MPG]:[Acceleration]])</f>
        <v>1</v>
      </c>
    </row>
    <row r="343" spans="1:12" x14ac:dyDescent="0.25">
      <c r="A343">
        <v>23.7</v>
      </c>
      <c r="B343">
        <v>3</v>
      </c>
      <c r="C343">
        <v>70</v>
      </c>
      <c r="D343">
        <v>100</v>
      </c>
      <c r="E343">
        <v>2420</v>
      </c>
      <c r="F343">
        <v>12.5</v>
      </c>
      <c r="G343">
        <v>80</v>
      </c>
      <c r="H343" t="s">
        <v>990</v>
      </c>
      <c r="I343" t="s">
        <v>1471</v>
      </c>
      <c r="J343" t="s">
        <v>1097</v>
      </c>
      <c r="K343" t="s">
        <v>1472</v>
      </c>
      <c r="L343" t="b">
        <f>Data_Completeness(MileageData[[#This Row],[MPG]:[Acceleration]])</f>
        <v>1</v>
      </c>
    </row>
    <row r="344" spans="1:12" x14ac:dyDescent="0.25">
      <c r="A344">
        <v>35</v>
      </c>
      <c r="B344">
        <v>4</v>
      </c>
      <c r="C344">
        <v>122</v>
      </c>
      <c r="D344">
        <v>88</v>
      </c>
      <c r="E344">
        <v>2500</v>
      </c>
      <c r="F344">
        <v>15.1</v>
      </c>
      <c r="G344">
        <v>80</v>
      </c>
      <c r="H344" t="s">
        <v>967</v>
      </c>
      <c r="I344" t="s">
        <v>1473</v>
      </c>
      <c r="J344" t="s">
        <v>1474</v>
      </c>
      <c r="K344" t="s">
        <v>1475</v>
      </c>
      <c r="L344" t="b">
        <f>Data_Completeness(MileageData[[#This Row],[MPG]:[Acceleration]])</f>
        <v>1</v>
      </c>
    </row>
    <row r="345" spans="1:12" x14ac:dyDescent="0.25">
      <c r="A345">
        <v>23.6</v>
      </c>
      <c r="B345">
        <v>4</v>
      </c>
      <c r="C345">
        <v>140</v>
      </c>
      <c r="E345">
        <v>2905</v>
      </c>
      <c r="F345">
        <v>14.3</v>
      </c>
      <c r="G345">
        <v>80</v>
      </c>
      <c r="H345" t="s">
        <v>940</v>
      </c>
      <c r="I345" t="s">
        <v>1476</v>
      </c>
      <c r="J345" t="s">
        <v>954</v>
      </c>
      <c r="K345" t="s">
        <v>1477</v>
      </c>
      <c r="L345" t="b">
        <f>Data_Completeness(MileageData[[#This Row],[MPG]:[Acceleration]])</f>
        <v>0</v>
      </c>
    </row>
    <row r="346" spans="1:12" x14ac:dyDescent="0.25">
      <c r="A346">
        <v>32.4</v>
      </c>
      <c r="B346">
        <v>4</v>
      </c>
      <c r="C346">
        <v>107</v>
      </c>
      <c r="D346">
        <v>72</v>
      </c>
      <c r="E346">
        <v>2290</v>
      </c>
      <c r="F346">
        <v>17</v>
      </c>
      <c r="G346">
        <v>80</v>
      </c>
      <c r="H346" t="s">
        <v>990</v>
      </c>
      <c r="I346" t="s">
        <v>1478</v>
      </c>
      <c r="J346" t="s">
        <v>1211</v>
      </c>
      <c r="K346" t="s">
        <v>1479</v>
      </c>
      <c r="L346" t="b">
        <f>Data_Completeness(MileageData[[#This Row],[MPG]:[Acceleration]])</f>
        <v>1</v>
      </c>
    </row>
    <row r="347" spans="1:12" x14ac:dyDescent="0.25">
      <c r="A347">
        <v>27.2</v>
      </c>
      <c r="B347">
        <v>4</v>
      </c>
      <c r="C347">
        <v>135</v>
      </c>
      <c r="D347">
        <v>84</v>
      </c>
      <c r="E347">
        <v>2490</v>
      </c>
      <c r="F347">
        <v>15.7</v>
      </c>
      <c r="G347">
        <v>81</v>
      </c>
      <c r="H347" t="s">
        <v>940</v>
      </c>
      <c r="I347" t="s">
        <v>1480</v>
      </c>
      <c r="J347" t="s">
        <v>948</v>
      </c>
      <c r="K347" t="s">
        <v>1481</v>
      </c>
      <c r="L347" t="b">
        <f>Data_Completeness(MileageData[[#This Row],[MPG]:[Acceleration]])</f>
        <v>1</v>
      </c>
    </row>
    <row r="348" spans="1:12" x14ac:dyDescent="0.25">
      <c r="A348">
        <v>26.6</v>
      </c>
      <c r="B348">
        <v>4</v>
      </c>
      <c r="C348">
        <v>151</v>
      </c>
      <c r="D348">
        <v>84</v>
      </c>
      <c r="E348">
        <v>2635</v>
      </c>
      <c r="F348">
        <v>16.399999999999999</v>
      </c>
      <c r="G348">
        <v>81</v>
      </c>
      <c r="H348" t="s">
        <v>940</v>
      </c>
      <c r="I348" t="s">
        <v>1305</v>
      </c>
      <c r="J348" t="s">
        <v>945</v>
      </c>
      <c r="K348" t="s">
        <v>1306</v>
      </c>
      <c r="L348" t="b">
        <f>Data_Completeness(MileageData[[#This Row],[MPG]:[Acceleration]])</f>
        <v>1</v>
      </c>
    </row>
    <row r="349" spans="1:12" x14ac:dyDescent="0.25">
      <c r="A349">
        <v>25.8</v>
      </c>
      <c r="B349">
        <v>4</v>
      </c>
      <c r="C349">
        <v>156</v>
      </c>
      <c r="D349">
        <v>92</v>
      </c>
      <c r="E349">
        <v>2620</v>
      </c>
      <c r="F349">
        <v>14.4</v>
      </c>
      <c r="G349">
        <v>81</v>
      </c>
      <c r="H349" t="s">
        <v>940</v>
      </c>
      <c r="I349" t="s">
        <v>1482</v>
      </c>
      <c r="J349" t="s">
        <v>980</v>
      </c>
      <c r="K349" t="s">
        <v>1483</v>
      </c>
      <c r="L349" t="b">
        <f>Data_Completeness(MileageData[[#This Row],[MPG]:[Acceleration]])</f>
        <v>1</v>
      </c>
    </row>
    <row r="350" spans="1:12" x14ac:dyDescent="0.25">
      <c r="A350">
        <v>23.5</v>
      </c>
      <c r="B350">
        <v>6</v>
      </c>
      <c r="C350">
        <v>173</v>
      </c>
      <c r="D350">
        <v>110</v>
      </c>
      <c r="E350">
        <v>2725</v>
      </c>
      <c r="F350">
        <v>12.6</v>
      </c>
      <c r="G350">
        <v>81</v>
      </c>
      <c r="H350" t="s">
        <v>940</v>
      </c>
      <c r="I350" t="s">
        <v>1436</v>
      </c>
      <c r="J350" t="s">
        <v>942</v>
      </c>
      <c r="K350" t="s">
        <v>1437</v>
      </c>
      <c r="L350" t="b">
        <f>Data_Completeness(MileageData[[#This Row],[MPG]:[Acceleration]])</f>
        <v>1</v>
      </c>
    </row>
    <row r="351" spans="1:12" x14ac:dyDescent="0.25">
      <c r="A351">
        <v>30</v>
      </c>
      <c r="B351">
        <v>4</v>
      </c>
      <c r="C351">
        <v>135</v>
      </c>
      <c r="D351">
        <v>84</v>
      </c>
      <c r="E351">
        <v>2385</v>
      </c>
      <c r="F351">
        <v>12.9</v>
      </c>
      <c r="G351">
        <v>81</v>
      </c>
      <c r="H351" t="s">
        <v>940</v>
      </c>
      <c r="I351" t="s">
        <v>1480</v>
      </c>
      <c r="J351" t="s">
        <v>948</v>
      </c>
      <c r="K351" t="s">
        <v>1481</v>
      </c>
      <c r="L351" t="b">
        <f>Data_Completeness(MileageData[[#This Row],[MPG]:[Acceleration]])</f>
        <v>1</v>
      </c>
    </row>
    <row r="352" spans="1:12" x14ac:dyDescent="0.25">
      <c r="A352">
        <v>39.1</v>
      </c>
      <c r="B352">
        <v>4</v>
      </c>
      <c r="C352">
        <v>79</v>
      </c>
      <c r="D352">
        <v>58</v>
      </c>
      <c r="E352">
        <v>1755</v>
      </c>
      <c r="F352">
        <v>16.899999999999999</v>
      </c>
      <c r="G352">
        <v>81</v>
      </c>
      <c r="H352" t="s">
        <v>990</v>
      </c>
      <c r="I352" t="s">
        <v>1484</v>
      </c>
      <c r="J352" t="s">
        <v>992</v>
      </c>
      <c r="K352" t="s">
        <v>1485</v>
      </c>
      <c r="L352" t="b">
        <f>Data_Completeness(MileageData[[#This Row],[MPG]:[Acceleration]])</f>
        <v>1</v>
      </c>
    </row>
    <row r="353" spans="1:12" x14ac:dyDescent="0.25">
      <c r="A353">
        <v>39</v>
      </c>
      <c r="B353">
        <v>4</v>
      </c>
      <c r="C353">
        <v>86</v>
      </c>
      <c r="D353">
        <v>64</v>
      </c>
      <c r="E353">
        <v>1875</v>
      </c>
      <c r="F353">
        <v>16.399999999999999</v>
      </c>
      <c r="G353">
        <v>81</v>
      </c>
      <c r="H353" t="s">
        <v>940</v>
      </c>
      <c r="I353" t="s">
        <v>1486</v>
      </c>
      <c r="J353" t="s">
        <v>948</v>
      </c>
      <c r="K353" t="s">
        <v>1487</v>
      </c>
      <c r="L353" t="b">
        <f>Data_Completeness(MileageData[[#This Row],[MPG]:[Acceleration]])</f>
        <v>1</v>
      </c>
    </row>
    <row r="354" spans="1:12" x14ac:dyDescent="0.25">
      <c r="A354">
        <v>35.1</v>
      </c>
      <c r="B354">
        <v>4</v>
      </c>
      <c r="C354">
        <v>81</v>
      </c>
      <c r="D354">
        <v>60</v>
      </c>
      <c r="E354">
        <v>1760</v>
      </c>
      <c r="F354">
        <v>16.100000000000001</v>
      </c>
      <c r="G354">
        <v>81</v>
      </c>
      <c r="H354" t="s">
        <v>990</v>
      </c>
      <c r="I354" t="s">
        <v>1488</v>
      </c>
      <c r="J354" t="s">
        <v>1211</v>
      </c>
      <c r="K354" t="s">
        <v>1489</v>
      </c>
      <c r="L354" t="b">
        <f>Data_Completeness(MileageData[[#This Row],[MPG]:[Acceleration]])</f>
        <v>1</v>
      </c>
    </row>
    <row r="355" spans="1:12" x14ac:dyDescent="0.25">
      <c r="A355">
        <v>32.299999999999997</v>
      </c>
      <c r="B355">
        <v>4</v>
      </c>
      <c r="C355">
        <v>97</v>
      </c>
      <c r="D355">
        <v>67</v>
      </c>
      <c r="E355">
        <v>2065</v>
      </c>
      <c r="F355">
        <v>17.8</v>
      </c>
      <c r="G355">
        <v>81</v>
      </c>
      <c r="H355" t="s">
        <v>990</v>
      </c>
      <c r="I355" t="s">
        <v>1213</v>
      </c>
      <c r="J355" t="e">
        <v>#VALUE!</v>
      </c>
      <c r="K355" t="e">
        <v>#VALUE!</v>
      </c>
      <c r="L355" t="b">
        <f>Data_Completeness(MileageData[[#This Row],[MPG]:[Acceleration]])</f>
        <v>1</v>
      </c>
    </row>
    <row r="356" spans="1:12" x14ac:dyDescent="0.25">
      <c r="A356">
        <v>37</v>
      </c>
      <c r="B356">
        <v>4</v>
      </c>
      <c r="C356">
        <v>85</v>
      </c>
      <c r="D356">
        <v>65</v>
      </c>
      <c r="E356">
        <v>1975</v>
      </c>
      <c r="F356">
        <v>19.399999999999999</v>
      </c>
      <c r="G356">
        <v>81</v>
      </c>
      <c r="H356" t="s">
        <v>990</v>
      </c>
      <c r="I356" t="s">
        <v>1490</v>
      </c>
      <c r="J356" t="s">
        <v>1001</v>
      </c>
      <c r="K356" t="s">
        <v>1491</v>
      </c>
      <c r="L356" t="b">
        <f>Data_Completeness(MileageData[[#This Row],[MPG]:[Acceleration]])</f>
        <v>1</v>
      </c>
    </row>
    <row r="357" spans="1:12" x14ac:dyDescent="0.25">
      <c r="A357">
        <v>37.700000000000003</v>
      </c>
      <c r="B357">
        <v>4</v>
      </c>
      <c r="C357">
        <v>89</v>
      </c>
      <c r="D357">
        <v>62</v>
      </c>
      <c r="E357">
        <v>2050</v>
      </c>
      <c r="F357">
        <v>17.3</v>
      </c>
      <c r="G357">
        <v>81</v>
      </c>
      <c r="H357" t="s">
        <v>990</v>
      </c>
      <c r="I357" t="s">
        <v>1492</v>
      </c>
      <c r="J357" t="s">
        <v>992</v>
      </c>
      <c r="K357" t="s">
        <v>1493</v>
      </c>
      <c r="L357" t="b">
        <f>Data_Completeness(MileageData[[#This Row],[MPG]:[Acceleration]])</f>
        <v>1</v>
      </c>
    </row>
    <row r="358" spans="1:12" x14ac:dyDescent="0.25">
      <c r="A358">
        <v>34.1</v>
      </c>
      <c r="B358">
        <v>4</v>
      </c>
      <c r="C358">
        <v>91</v>
      </c>
      <c r="D358">
        <v>68</v>
      </c>
      <c r="E358">
        <v>1985</v>
      </c>
      <c r="F358">
        <v>16</v>
      </c>
      <c r="G358">
        <v>81</v>
      </c>
      <c r="H358" t="s">
        <v>990</v>
      </c>
      <c r="I358" t="s">
        <v>1494</v>
      </c>
      <c r="J358" t="s">
        <v>1097</v>
      </c>
      <c r="K358" t="s">
        <v>1495</v>
      </c>
      <c r="L358" t="b">
        <f>Data_Completeness(MileageData[[#This Row],[MPG]:[Acceleration]])</f>
        <v>1</v>
      </c>
    </row>
    <row r="359" spans="1:12" x14ac:dyDescent="0.25">
      <c r="A359">
        <v>34.700000000000003</v>
      </c>
      <c r="B359">
        <v>4</v>
      </c>
      <c r="C359">
        <v>105</v>
      </c>
      <c r="D359">
        <v>63</v>
      </c>
      <c r="E359">
        <v>2215</v>
      </c>
      <c r="F359">
        <v>14.9</v>
      </c>
      <c r="G359">
        <v>81</v>
      </c>
      <c r="H359" t="s">
        <v>940</v>
      </c>
      <c r="I359" t="s">
        <v>1496</v>
      </c>
      <c r="J359" t="s">
        <v>948</v>
      </c>
      <c r="K359" t="s">
        <v>1497</v>
      </c>
      <c r="L359" t="b">
        <f>Data_Completeness(MileageData[[#This Row],[MPG]:[Acceleration]])</f>
        <v>1</v>
      </c>
    </row>
    <row r="360" spans="1:12" x14ac:dyDescent="0.25">
      <c r="A360">
        <v>34.4</v>
      </c>
      <c r="B360">
        <v>4</v>
      </c>
      <c r="C360">
        <v>98</v>
      </c>
      <c r="D360">
        <v>65</v>
      </c>
      <c r="E360">
        <v>2045</v>
      </c>
      <c r="F360">
        <v>16.2</v>
      </c>
      <c r="G360">
        <v>81</v>
      </c>
      <c r="H360" t="s">
        <v>940</v>
      </c>
      <c r="I360" t="s">
        <v>1498</v>
      </c>
      <c r="J360" t="s">
        <v>954</v>
      </c>
      <c r="K360" t="s">
        <v>1499</v>
      </c>
      <c r="L360" t="b">
        <f>Data_Completeness(MileageData[[#This Row],[MPG]:[Acceleration]])</f>
        <v>1</v>
      </c>
    </row>
    <row r="361" spans="1:12" x14ac:dyDescent="0.25">
      <c r="A361">
        <v>29.9</v>
      </c>
      <c r="B361">
        <v>4</v>
      </c>
      <c r="C361">
        <v>98</v>
      </c>
      <c r="D361">
        <v>65</v>
      </c>
      <c r="E361">
        <v>2380</v>
      </c>
      <c r="F361">
        <v>20.7</v>
      </c>
      <c r="G361">
        <v>81</v>
      </c>
      <c r="H361" t="s">
        <v>940</v>
      </c>
      <c r="I361" t="s">
        <v>1500</v>
      </c>
      <c r="J361" t="s">
        <v>954</v>
      </c>
      <c r="K361" t="s">
        <v>1501</v>
      </c>
      <c r="L361" t="b">
        <f>Data_Completeness(MileageData[[#This Row],[MPG]:[Acceleration]])</f>
        <v>1</v>
      </c>
    </row>
    <row r="362" spans="1:12" x14ac:dyDescent="0.25">
      <c r="A362">
        <v>33</v>
      </c>
      <c r="B362">
        <v>4</v>
      </c>
      <c r="C362">
        <v>105</v>
      </c>
      <c r="D362">
        <v>74</v>
      </c>
      <c r="E362">
        <v>2190</v>
      </c>
      <c r="F362">
        <v>14.2</v>
      </c>
      <c r="G362">
        <v>81</v>
      </c>
      <c r="H362" t="s">
        <v>967</v>
      </c>
      <c r="I362" t="s">
        <v>1502</v>
      </c>
      <c r="J362" t="s">
        <v>1004</v>
      </c>
      <c r="K362" t="s">
        <v>1503</v>
      </c>
      <c r="L362" t="b">
        <f>Data_Completeness(MileageData[[#This Row],[MPG]:[Acceleration]])</f>
        <v>1</v>
      </c>
    </row>
    <row r="363" spans="1:12" x14ac:dyDescent="0.25">
      <c r="A363">
        <v>34.5</v>
      </c>
      <c r="B363">
        <v>4</v>
      </c>
      <c r="C363">
        <v>100</v>
      </c>
      <c r="E363">
        <v>2320</v>
      </c>
      <c r="F363">
        <v>15.8</v>
      </c>
      <c r="G363">
        <v>81</v>
      </c>
      <c r="H363" t="s">
        <v>967</v>
      </c>
      <c r="I363" t="s">
        <v>1504</v>
      </c>
      <c r="J363" t="s">
        <v>1113</v>
      </c>
      <c r="K363" t="s">
        <v>1505</v>
      </c>
      <c r="L363" t="b">
        <f>Data_Completeness(MileageData[[#This Row],[MPG]:[Acceleration]])</f>
        <v>0</v>
      </c>
    </row>
    <row r="364" spans="1:12" x14ac:dyDescent="0.25">
      <c r="A364">
        <v>33.700000000000003</v>
      </c>
      <c r="B364">
        <v>4</v>
      </c>
      <c r="C364">
        <v>107</v>
      </c>
      <c r="D364">
        <v>75</v>
      </c>
      <c r="E364">
        <v>2210</v>
      </c>
      <c r="F364">
        <v>14.4</v>
      </c>
      <c r="G364">
        <v>81</v>
      </c>
      <c r="H364" t="s">
        <v>990</v>
      </c>
      <c r="I364" t="s">
        <v>1506</v>
      </c>
      <c r="J364" t="s">
        <v>1211</v>
      </c>
      <c r="K364" t="s">
        <v>1507</v>
      </c>
      <c r="L364" t="b">
        <f>Data_Completeness(MileageData[[#This Row],[MPG]:[Acceleration]])</f>
        <v>1</v>
      </c>
    </row>
    <row r="365" spans="1:12" x14ac:dyDescent="0.25">
      <c r="A365">
        <v>32.4</v>
      </c>
      <c r="B365">
        <v>4</v>
      </c>
      <c r="C365">
        <v>108</v>
      </c>
      <c r="D365">
        <v>75</v>
      </c>
      <c r="E365">
        <v>2350</v>
      </c>
      <c r="F365">
        <v>16.8</v>
      </c>
      <c r="G365">
        <v>81</v>
      </c>
      <c r="H365" t="s">
        <v>990</v>
      </c>
      <c r="I365" t="s">
        <v>1236</v>
      </c>
      <c r="J365" t="s">
        <v>992</v>
      </c>
      <c r="K365" t="s">
        <v>1237</v>
      </c>
      <c r="L365" t="b">
        <f>Data_Completeness(MileageData[[#This Row],[MPG]:[Acceleration]])</f>
        <v>1</v>
      </c>
    </row>
    <row r="366" spans="1:12" x14ac:dyDescent="0.25">
      <c r="A366">
        <v>32.9</v>
      </c>
      <c r="B366">
        <v>4</v>
      </c>
      <c r="C366">
        <v>119</v>
      </c>
      <c r="D366">
        <v>100</v>
      </c>
      <c r="E366">
        <v>2615</v>
      </c>
      <c r="F366">
        <v>14.8</v>
      </c>
      <c r="G366">
        <v>81</v>
      </c>
      <c r="H366" t="s">
        <v>990</v>
      </c>
      <c r="I366" t="s">
        <v>1508</v>
      </c>
      <c r="J366" t="s">
        <v>1001</v>
      </c>
      <c r="K366" t="s">
        <v>1509</v>
      </c>
      <c r="L366" t="b">
        <f>Data_Completeness(MileageData[[#This Row],[MPG]:[Acceleration]])</f>
        <v>1</v>
      </c>
    </row>
    <row r="367" spans="1:12" x14ac:dyDescent="0.25">
      <c r="A367">
        <v>31.6</v>
      </c>
      <c r="B367">
        <v>4</v>
      </c>
      <c r="C367">
        <v>120</v>
      </c>
      <c r="D367">
        <v>74</v>
      </c>
      <c r="E367">
        <v>2635</v>
      </c>
      <c r="F367">
        <v>18.3</v>
      </c>
      <c r="G367">
        <v>81</v>
      </c>
      <c r="H367" t="s">
        <v>990</v>
      </c>
      <c r="I367" t="s">
        <v>1450</v>
      </c>
      <c r="J367" t="s">
        <v>1097</v>
      </c>
      <c r="K367">
        <v>626</v>
      </c>
      <c r="L367" t="b">
        <f>Data_Completeness(MileageData[[#This Row],[MPG]:[Acceleration]])</f>
        <v>1</v>
      </c>
    </row>
    <row r="368" spans="1:12" x14ac:dyDescent="0.25">
      <c r="A368">
        <v>28.1</v>
      </c>
      <c r="B368">
        <v>4</v>
      </c>
      <c r="C368">
        <v>141</v>
      </c>
      <c r="D368">
        <v>80</v>
      </c>
      <c r="E368">
        <v>3230</v>
      </c>
      <c r="F368">
        <v>20.399999999999999</v>
      </c>
      <c r="G368">
        <v>81</v>
      </c>
      <c r="H368" t="s">
        <v>967</v>
      </c>
      <c r="I368" t="s">
        <v>1510</v>
      </c>
      <c r="J368" t="s">
        <v>1007</v>
      </c>
      <c r="K368" t="s">
        <v>1511</v>
      </c>
      <c r="L368" t="b">
        <f>Data_Completeness(MileageData[[#This Row],[MPG]:[Acceleration]])</f>
        <v>1</v>
      </c>
    </row>
    <row r="369" spans="1:12" x14ac:dyDescent="0.25">
      <c r="B369">
        <v>4</v>
      </c>
      <c r="C369">
        <v>121</v>
      </c>
      <c r="D369">
        <v>110</v>
      </c>
      <c r="E369">
        <v>2800</v>
      </c>
      <c r="F369">
        <v>15.4</v>
      </c>
      <c r="G369">
        <v>81</v>
      </c>
      <c r="H369" t="s">
        <v>967</v>
      </c>
      <c r="I369" t="s">
        <v>1512</v>
      </c>
      <c r="J369" t="s">
        <v>1012</v>
      </c>
      <c r="K369" t="s">
        <v>1513</v>
      </c>
      <c r="L369" t="b">
        <f>Data_Completeness(MileageData[[#This Row],[MPG]:[Acceleration]])</f>
        <v>0</v>
      </c>
    </row>
    <row r="370" spans="1:12" x14ac:dyDescent="0.25">
      <c r="A370">
        <v>30.7</v>
      </c>
      <c r="B370">
        <v>6</v>
      </c>
      <c r="C370">
        <v>145</v>
      </c>
      <c r="D370">
        <v>76</v>
      </c>
      <c r="E370">
        <v>3160</v>
      </c>
      <c r="F370">
        <v>19.600000000000001</v>
      </c>
      <c r="G370">
        <v>81</v>
      </c>
      <c r="H370" t="s">
        <v>967</v>
      </c>
      <c r="I370" t="s">
        <v>1514</v>
      </c>
      <c r="J370" t="s">
        <v>1106</v>
      </c>
      <c r="K370" t="s">
        <v>1515</v>
      </c>
      <c r="L370" t="b">
        <f>Data_Completeness(MileageData[[#This Row],[MPG]:[Acceleration]])</f>
        <v>1</v>
      </c>
    </row>
    <row r="371" spans="1:12" x14ac:dyDescent="0.25">
      <c r="A371">
        <v>25.4</v>
      </c>
      <c r="B371">
        <v>6</v>
      </c>
      <c r="C371">
        <v>168</v>
      </c>
      <c r="D371">
        <v>116</v>
      </c>
      <c r="E371">
        <v>2900</v>
      </c>
      <c r="F371">
        <v>12.6</v>
      </c>
      <c r="G371">
        <v>81</v>
      </c>
      <c r="H371" t="s">
        <v>990</v>
      </c>
      <c r="I371" t="s">
        <v>1516</v>
      </c>
      <c r="J371" t="s">
        <v>992</v>
      </c>
      <c r="K371" t="s">
        <v>1517</v>
      </c>
      <c r="L371" t="b">
        <f>Data_Completeness(MileageData[[#This Row],[MPG]:[Acceleration]])</f>
        <v>1</v>
      </c>
    </row>
    <row r="372" spans="1:12" x14ac:dyDescent="0.25">
      <c r="A372">
        <v>24.2</v>
      </c>
      <c r="B372">
        <v>6</v>
      </c>
      <c r="C372">
        <v>146</v>
      </c>
      <c r="D372">
        <v>120</v>
      </c>
      <c r="E372">
        <v>2930</v>
      </c>
      <c r="F372">
        <v>13.8</v>
      </c>
      <c r="G372">
        <v>81</v>
      </c>
      <c r="H372" t="s">
        <v>990</v>
      </c>
      <c r="I372" t="s">
        <v>1518</v>
      </c>
      <c r="J372" t="s">
        <v>1001</v>
      </c>
      <c r="K372" t="s">
        <v>1519</v>
      </c>
      <c r="L372" t="b">
        <f>Data_Completeness(MileageData[[#This Row],[MPG]:[Acceleration]])</f>
        <v>1</v>
      </c>
    </row>
    <row r="373" spans="1:12" x14ac:dyDescent="0.25">
      <c r="A373">
        <v>22.4</v>
      </c>
      <c r="B373">
        <v>6</v>
      </c>
      <c r="C373">
        <v>231</v>
      </c>
      <c r="D373">
        <v>110</v>
      </c>
      <c r="E373">
        <v>3415</v>
      </c>
      <c r="F373">
        <v>15.8</v>
      </c>
      <c r="G373">
        <v>81</v>
      </c>
      <c r="H373" t="s">
        <v>940</v>
      </c>
      <c r="I373" t="s">
        <v>1224</v>
      </c>
      <c r="J373" t="s">
        <v>945</v>
      </c>
      <c r="K373" t="s">
        <v>1225</v>
      </c>
      <c r="L373" t="b">
        <f>Data_Completeness(MileageData[[#This Row],[MPG]:[Acceleration]])</f>
        <v>1</v>
      </c>
    </row>
    <row r="374" spans="1:12" x14ac:dyDescent="0.25">
      <c r="A374">
        <v>26.6</v>
      </c>
      <c r="B374">
        <v>8</v>
      </c>
      <c r="C374">
        <v>350</v>
      </c>
      <c r="D374">
        <v>105</v>
      </c>
      <c r="E374">
        <v>3725</v>
      </c>
      <c r="F374">
        <v>19</v>
      </c>
      <c r="G374">
        <v>81</v>
      </c>
      <c r="H374" t="s">
        <v>940</v>
      </c>
      <c r="I374" t="s">
        <v>1520</v>
      </c>
      <c r="J374" t="s">
        <v>1091</v>
      </c>
      <c r="K374" t="s">
        <v>1521</v>
      </c>
      <c r="L374" t="b">
        <f>Data_Completeness(MileageData[[#This Row],[MPG]:[Acceleration]])</f>
        <v>1</v>
      </c>
    </row>
    <row r="375" spans="1:12" x14ac:dyDescent="0.25">
      <c r="A375">
        <v>20.2</v>
      </c>
      <c r="B375">
        <v>6</v>
      </c>
      <c r="C375">
        <v>200</v>
      </c>
      <c r="D375">
        <v>88</v>
      </c>
      <c r="E375">
        <v>3060</v>
      </c>
      <c r="F375">
        <v>17.100000000000001</v>
      </c>
      <c r="G375">
        <v>81</v>
      </c>
      <c r="H375" t="s">
        <v>940</v>
      </c>
      <c r="I375" t="s">
        <v>1522</v>
      </c>
      <c r="J375" t="s">
        <v>954</v>
      </c>
      <c r="K375" t="s">
        <v>1523</v>
      </c>
      <c r="L375" t="b">
        <f>Data_Completeness(MileageData[[#This Row],[MPG]:[Acceleration]])</f>
        <v>1</v>
      </c>
    </row>
    <row r="376" spans="1:12" x14ac:dyDescent="0.25">
      <c r="A376">
        <v>17.600000000000001</v>
      </c>
      <c r="B376">
        <v>6</v>
      </c>
      <c r="C376">
        <v>225</v>
      </c>
      <c r="D376">
        <v>85</v>
      </c>
      <c r="E376">
        <v>3465</v>
      </c>
      <c r="F376">
        <v>16.600000000000001</v>
      </c>
      <c r="G376">
        <v>81</v>
      </c>
      <c r="H376" t="s">
        <v>940</v>
      </c>
      <c r="I376" t="s">
        <v>1524</v>
      </c>
      <c r="J376" t="s">
        <v>1094</v>
      </c>
      <c r="K376" t="s">
        <v>1525</v>
      </c>
      <c r="L376" t="b">
        <f>Data_Completeness(MileageData[[#This Row],[MPG]:[Acceleration]])</f>
        <v>1</v>
      </c>
    </row>
    <row r="377" spans="1:12" x14ac:dyDescent="0.25">
      <c r="A377">
        <v>28</v>
      </c>
      <c r="B377">
        <v>4</v>
      </c>
      <c r="C377">
        <v>112</v>
      </c>
      <c r="D377">
        <v>88</v>
      </c>
      <c r="E377">
        <v>2605</v>
      </c>
      <c r="F377">
        <v>19.600000000000001</v>
      </c>
      <c r="G377">
        <v>82</v>
      </c>
      <c r="H377" t="s">
        <v>940</v>
      </c>
      <c r="I377" t="s">
        <v>1526</v>
      </c>
      <c r="J377" t="s">
        <v>942</v>
      </c>
      <c r="K377" t="s">
        <v>1527</v>
      </c>
      <c r="L377" t="b">
        <f>Data_Completeness(MileageData[[#This Row],[MPG]:[Acceleration]])</f>
        <v>1</v>
      </c>
    </row>
    <row r="378" spans="1:12" x14ac:dyDescent="0.25">
      <c r="A378">
        <v>27</v>
      </c>
      <c r="B378">
        <v>4</v>
      </c>
      <c r="C378">
        <v>112</v>
      </c>
      <c r="D378">
        <v>88</v>
      </c>
      <c r="E378">
        <v>2640</v>
      </c>
      <c r="F378">
        <v>18.600000000000001</v>
      </c>
      <c r="G378">
        <v>82</v>
      </c>
      <c r="H378" t="s">
        <v>940</v>
      </c>
      <c r="I378" t="s">
        <v>1528</v>
      </c>
      <c r="J378" t="s">
        <v>942</v>
      </c>
      <c r="K378" t="s">
        <v>1529</v>
      </c>
      <c r="L378" t="b">
        <f>Data_Completeness(MileageData[[#This Row],[MPG]:[Acceleration]])</f>
        <v>1</v>
      </c>
    </row>
    <row r="379" spans="1:12" x14ac:dyDescent="0.25">
      <c r="A379">
        <v>34</v>
      </c>
      <c r="B379">
        <v>4</v>
      </c>
      <c r="C379">
        <v>112</v>
      </c>
      <c r="D379">
        <v>88</v>
      </c>
      <c r="E379">
        <v>2395</v>
      </c>
      <c r="F379">
        <v>18</v>
      </c>
      <c r="G379">
        <v>82</v>
      </c>
      <c r="H379" t="s">
        <v>940</v>
      </c>
      <c r="I379" t="s">
        <v>1530</v>
      </c>
      <c r="J379" t="s">
        <v>942</v>
      </c>
      <c r="K379" t="s">
        <v>1531</v>
      </c>
      <c r="L379" t="b">
        <f>Data_Completeness(MileageData[[#This Row],[MPG]:[Acceleration]])</f>
        <v>1</v>
      </c>
    </row>
    <row r="380" spans="1:12" x14ac:dyDescent="0.25">
      <c r="A380">
        <v>31</v>
      </c>
      <c r="B380">
        <v>4</v>
      </c>
      <c r="C380">
        <v>112</v>
      </c>
      <c r="D380">
        <v>85</v>
      </c>
      <c r="E380">
        <v>2575</v>
      </c>
      <c r="F380">
        <v>16.2</v>
      </c>
      <c r="G380">
        <v>82</v>
      </c>
      <c r="H380" t="s">
        <v>940</v>
      </c>
      <c r="I380" t="s">
        <v>1532</v>
      </c>
      <c r="J380" t="s">
        <v>963</v>
      </c>
      <c r="K380" t="s">
        <v>1533</v>
      </c>
      <c r="L380" t="b">
        <f>Data_Completeness(MileageData[[#This Row],[MPG]:[Acceleration]])</f>
        <v>1</v>
      </c>
    </row>
    <row r="381" spans="1:12" x14ac:dyDescent="0.25">
      <c r="A381">
        <v>29</v>
      </c>
      <c r="B381">
        <v>4</v>
      </c>
      <c r="C381">
        <v>135</v>
      </c>
      <c r="D381">
        <v>84</v>
      </c>
      <c r="E381">
        <v>2525</v>
      </c>
      <c r="F381">
        <v>16</v>
      </c>
      <c r="G381">
        <v>82</v>
      </c>
      <c r="H381" t="s">
        <v>940</v>
      </c>
      <c r="I381" t="s">
        <v>1534</v>
      </c>
      <c r="J381" t="s">
        <v>980</v>
      </c>
      <c r="K381" t="s">
        <v>1535</v>
      </c>
      <c r="L381" t="b">
        <f>Data_Completeness(MileageData[[#This Row],[MPG]:[Acceleration]])</f>
        <v>1</v>
      </c>
    </row>
    <row r="382" spans="1:12" x14ac:dyDescent="0.25">
      <c r="A382">
        <v>27</v>
      </c>
      <c r="B382">
        <v>4</v>
      </c>
      <c r="C382">
        <v>151</v>
      </c>
      <c r="D382">
        <v>90</v>
      </c>
      <c r="E382">
        <v>2735</v>
      </c>
      <c r="F382">
        <v>18</v>
      </c>
      <c r="G382">
        <v>82</v>
      </c>
      <c r="H382" t="s">
        <v>940</v>
      </c>
      <c r="I382" t="s">
        <v>1440</v>
      </c>
      <c r="J382" t="s">
        <v>963</v>
      </c>
      <c r="K382" t="s">
        <v>1441</v>
      </c>
      <c r="L382" t="b">
        <f>Data_Completeness(MileageData[[#This Row],[MPG]:[Acceleration]])</f>
        <v>1</v>
      </c>
    </row>
    <row r="383" spans="1:12" x14ac:dyDescent="0.25">
      <c r="A383">
        <v>24</v>
      </c>
      <c r="B383">
        <v>4</v>
      </c>
      <c r="C383">
        <v>140</v>
      </c>
      <c r="D383">
        <v>92</v>
      </c>
      <c r="E383">
        <v>2865</v>
      </c>
      <c r="F383">
        <v>16.399999999999999</v>
      </c>
      <c r="G383">
        <v>82</v>
      </c>
      <c r="H383" t="s">
        <v>940</v>
      </c>
      <c r="I383" t="s">
        <v>1536</v>
      </c>
      <c r="J383" t="s">
        <v>954</v>
      </c>
      <c r="K383" t="s">
        <v>1537</v>
      </c>
      <c r="L383" t="b">
        <f>Data_Completeness(MileageData[[#This Row],[MPG]:[Acceleration]])</f>
        <v>1</v>
      </c>
    </row>
    <row r="384" spans="1:12" x14ac:dyDescent="0.25">
      <c r="A384">
        <v>23</v>
      </c>
      <c r="B384">
        <v>4</v>
      </c>
      <c r="C384">
        <v>151</v>
      </c>
      <c r="E384">
        <v>3035</v>
      </c>
      <c r="F384">
        <v>20.5</v>
      </c>
      <c r="G384">
        <v>82</v>
      </c>
      <c r="H384" t="s">
        <v>940</v>
      </c>
      <c r="I384" t="s">
        <v>1538</v>
      </c>
      <c r="J384" t="s">
        <v>951</v>
      </c>
      <c r="K384" t="s">
        <v>1539</v>
      </c>
      <c r="L384" t="b">
        <f>Data_Completeness(MileageData[[#This Row],[MPG]:[Acceleration]])</f>
        <v>0</v>
      </c>
    </row>
    <row r="385" spans="1:12" x14ac:dyDescent="0.25">
      <c r="A385">
        <v>36</v>
      </c>
      <c r="B385">
        <v>4</v>
      </c>
      <c r="C385">
        <v>105</v>
      </c>
      <c r="D385">
        <v>74</v>
      </c>
      <c r="E385">
        <v>1980</v>
      </c>
      <c r="F385">
        <v>15.3</v>
      </c>
      <c r="G385">
        <v>82</v>
      </c>
      <c r="H385" t="s">
        <v>967</v>
      </c>
      <c r="I385" t="s">
        <v>1540</v>
      </c>
      <c r="J385" t="s">
        <v>1004</v>
      </c>
      <c r="K385" t="s">
        <v>1541</v>
      </c>
      <c r="L385" t="b">
        <f>Data_Completeness(MileageData[[#This Row],[MPG]:[Acceleration]])</f>
        <v>1</v>
      </c>
    </row>
    <row r="386" spans="1:12" x14ac:dyDescent="0.25">
      <c r="A386">
        <v>37</v>
      </c>
      <c r="B386">
        <v>4</v>
      </c>
      <c r="C386">
        <v>91</v>
      </c>
      <c r="D386">
        <v>68</v>
      </c>
      <c r="E386">
        <v>2025</v>
      </c>
      <c r="F386">
        <v>18.2</v>
      </c>
      <c r="G386">
        <v>82</v>
      </c>
      <c r="H386" t="s">
        <v>990</v>
      </c>
      <c r="I386" t="s">
        <v>1542</v>
      </c>
      <c r="J386" t="s">
        <v>1097</v>
      </c>
      <c r="K386" t="s">
        <v>1543</v>
      </c>
      <c r="L386" t="b">
        <f>Data_Completeness(MileageData[[#This Row],[MPG]:[Acceleration]])</f>
        <v>1</v>
      </c>
    </row>
    <row r="387" spans="1:12" x14ac:dyDescent="0.25">
      <c r="A387">
        <v>31</v>
      </c>
      <c r="B387">
        <v>4</v>
      </c>
      <c r="C387">
        <v>91</v>
      </c>
      <c r="D387">
        <v>68</v>
      </c>
      <c r="E387">
        <v>1970</v>
      </c>
      <c r="F387">
        <v>17.600000000000001</v>
      </c>
      <c r="G387">
        <v>82</v>
      </c>
      <c r="H387" t="s">
        <v>990</v>
      </c>
      <c r="I387" t="s">
        <v>1544</v>
      </c>
      <c r="J387" t="s">
        <v>1097</v>
      </c>
      <c r="K387" t="s">
        <v>1545</v>
      </c>
      <c r="L387" t="b">
        <f>Data_Completeness(MileageData[[#This Row],[MPG]:[Acceleration]])</f>
        <v>1</v>
      </c>
    </row>
    <row r="388" spans="1:12" x14ac:dyDescent="0.25">
      <c r="A388">
        <v>38</v>
      </c>
      <c r="B388">
        <v>4</v>
      </c>
      <c r="C388">
        <v>105</v>
      </c>
      <c r="D388">
        <v>63</v>
      </c>
      <c r="E388">
        <v>2125</v>
      </c>
      <c r="F388">
        <v>14.7</v>
      </c>
      <c r="G388">
        <v>82</v>
      </c>
      <c r="H388" t="s">
        <v>940</v>
      </c>
      <c r="I388" t="s">
        <v>1546</v>
      </c>
      <c r="J388" t="s">
        <v>948</v>
      </c>
      <c r="K388" t="s">
        <v>1547</v>
      </c>
      <c r="L388" t="b">
        <f>Data_Completeness(MileageData[[#This Row],[MPG]:[Acceleration]])</f>
        <v>1</v>
      </c>
    </row>
    <row r="389" spans="1:12" x14ac:dyDescent="0.25">
      <c r="A389">
        <v>36</v>
      </c>
      <c r="B389">
        <v>4</v>
      </c>
      <c r="C389">
        <v>98</v>
      </c>
      <c r="D389">
        <v>70</v>
      </c>
      <c r="E389">
        <v>2125</v>
      </c>
      <c r="F389">
        <v>17.3</v>
      </c>
      <c r="G389">
        <v>82</v>
      </c>
      <c r="H389" t="s">
        <v>940</v>
      </c>
      <c r="I389" t="s">
        <v>1548</v>
      </c>
      <c r="J389" t="s">
        <v>1059</v>
      </c>
      <c r="K389" t="s">
        <v>1549</v>
      </c>
      <c r="L389" t="b">
        <f>Data_Completeness(MileageData[[#This Row],[MPG]:[Acceleration]])</f>
        <v>1</v>
      </c>
    </row>
    <row r="390" spans="1:12" x14ac:dyDescent="0.25">
      <c r="A390">
        <v>36</v>
      </c>
      <c r="B390">
        <v>4</v>
      </c>
      <c r="C390">
        <v>120</v>
      </c>
      <c r="D390">
        <v>88</v>
      </c>
      <c r="E390">
        <v>2160</v>
      </c>
      <c r="F390">
        <v>14.5</v>
      </c>
      <c r="G390">
        <v>82</v>
      </c>
      <c r="H390" t="s">
        <v>990</v>
      </c>
      <c r="I390" t="s">
        <v>1550</v>
      </c>
      <c r="J390" t="s">
        <v>1551</v>
      </c>
      <c r="K390" t="s">
        <v>1552</v>
      </c>
      <c r="L390" t="b">
        <f>Data_Completeness(MileageData[[#This Row],[MPG]:[Acceleration]])</f>
        <v>1</v>
      </c>
    </row>
    <row r="391" spans="1:12" x14ac:dyDescent="0.25">
      <c r="A391">
        <v>36</v>
      </c>
      <c r="B391">
        <v>4</v>
      </c>
      <c r="C391">
        <v>107</v>
      </c>
      <c r="D391">
        <v>75</v>
      </c>
      <c r="E391">
        <v>2205</v>
      </c>
      <c r="F391">
        <v>14.5</v>
      </c>
      <c r="G391">
        <v>82</v>
      </c>
      <c r="H391" t="s">
        <v>990</v>
      </c>
      <c r="I391" t="s">
        <v>1478</v>
      </c>
      <c r="J391" t="s">
        <v>1211</v>
      </c>
      <c r="K391" t="s">
        <v>1479</v>
      </c>
      <c r="L391" t="b">
        <f>Data_Completeness(MileageData[[#This Row],[MPG]:[Acceleration]])</f>
        <v>1</v>
      </c>
    </row>
    <row r="392" spans="1:12" x14ac:dyDescent="0.25">
      <c r="A392">
        <v>34</v>
      </c>
      <c r="B392">
        <v>4</v>
      </c>
      <c r="C392">
        <v>108</v>
      </c>
      <c r="D392">
        <v>70</v>
      </c>
      <c r="E392">
        <v>2245</v>
      </c>
      <c r="F392">
        <v>16.899999999999999</v>
      </c>
      <c r="G392">
        <v>82</v>
      </c>
      <c r="H392" t="s">
        <v>990</v>
      </c>
      <c r="I392" t="s">
        <v>1236</v>
      </c>
      <c r="J392" t="s">
        <v>992</v>
      </c>
      <c r="K392" t="s">
        <v>1237</v>
      </c>
      <c r="L392" t="b">
        <f>Data_Completeness(MileageData[[#This Row],[MPG]:[Acceleration]])</f>
        <v>1</v>
      </c>
    </row>
    <row r="393" spans="1:12" x14ac:dyDescent="0.25">
      <c r="A393">
        <v>38</v>
      </c>
      <c r="B393">
        <v>4</v>
      </c>
      <c r="C393">
        <v>91</v>
      </c>
      <c r="D393">
        <v>67</v>
      </c>
      <c r="E393">
        <v>1965</v>
      </c>
      <c r="F393">
        <v>15</v>
      </c>
      <c r="G393">
        <v>82</v>
      </c>
      <c r="H393" t="s">
        <v>990</v>
      </c>
      <c r="I393" t="s">
        <v>1210</v>
      </c>
      <c r="J393" t="s">
        <v>1211</v>
      </c>
      <c r="K393" t="s">
        <v>1212</v>
      </c>
      <c r="L393" t="b">
        <f>Data_Completeness(MileageData[[#This Row],[MPG]:[Acceleration]])</f>
        <v>1</v>
      </c>
    </row>
    <row r="394" spans="1:12" x14ac:dyDescent="0.25">
      <c r="A394">
        <v>32</v>
      </c>
      <c r="B394">
        <v>4</v>
      </c>
      <c r="C394">
        <v>91</v>
      </c>
      <c r="D394">
        <v>67</v>
      </c>
      <c r="E394">
        <v>1965</v>
      </c>
      <c r="F394">
        <v>15.7</v>
      </c>
      <c r="G394">
        <v>82</v>
      </c>
      <c r="H394" t="s">
        <v>990</v>
      </c>
      <c r="I394" t="s">
        <v>1553</v>
      </c>
      <c r="J394" t="s">
        <v>1211</v>
      </c>
      <c r="K394" t="s">
        <v>1554</v>
      </c>
      <c r="L394" t="b">
        <f>Data_Completeness(MileageData[[#This Row],[MPG]:[Acceleration]])</f>
        <v>1</v>
      </c>
    </row>
    <row r="395" spans="1:12" x14ac:dyDescent="0.25">
      <c r="A395">
        <v>38</v>
      </c>
      <c r="B395">
        <v>4</v>
      </c>
      <c r="C395">
        <v>91</v>
      </c>
      <c r="D395">
        <v>67</v>
      </c>
      <c r="E395">
        <v>1995</v>
      </c>
      <c r="F395">
        <v>16.2</v>
      </c>
      <c r="G395">
        <v>82</v>
      </c>
      <c r="H395" t="s">
        <v>990</v>
      </c>
      <c r="I395" t="s">
        <v>1555</v>
      </c>
      <c r="J395" t="s">
        <v>1001</v>
      </c>
      <c r="K395" t="s">
        <v>1556</v>
      </c>
      <c r="L395" t="b">
        <f>Data_Completeness(MileageData[[#This Row],[MPG]:[Acceleration]])</f>
        <v>1</v>
      </c>
    </row>
    <row r="396" spans="1:12" x14ac:dyDescent="0.25">
      <c r="A396">
        <v>25</v>
      </c>
      <c r="B396">
        <v>6</v>
      </c>
      <c r="C396">
        <v>181</v>
      </c>
      <c r="D396">
        <v>110</v>
      </c>
      <c r="E396">
        <v>2945</v>
      </c>
      <c r="F396">
        <v>16.399999999999999</v>
      </c>
      <c r="G396">
        <v>82</v>
      </c>
      <c r="H396" t="s">
        <v>940</v>
      </c>
      <c r="I396" t="s">
        <v>1557</v>
      </c>
      <c r="J396" t="s">
        <v>945</v>
      </c>
      <c r="K396" t="s">
        <v>1558</v>
      </c>
      <c r="L396" t="b">
        <f>Data_Completeness(MileageData[[#This Row],[MPG]:[Acceleration]])</f>
        <v>1</v>
      </c>
    </row>
    <row r="397" spans="1:12" x14ac:dyDescent="0.25">
      <c r="A397">
        <v>38</v>
      </c>
      <c r="B397">
        <v>6</v>
      </c>
      <c r="C397">
        <v>262</v>
      </c>
      <c r="D397">
        <v>85</v>
      </c>
      <c r="E397">
        <v>3015</v>
      </c>
      <c r="F397">
        <v>17</v>
      </c>
      <c r="G397">
        <v>82</v>
      </c>
      <c r="H397" t="s">
        <v>940</v>
      </c>
      <c r="I397" t="s">
        <v>1559</v>
      </c>
      <c r="J397" t="s">
        <v>1091</v>
      </c>
      <c r="K397" t="s">
        <v>1560</v>
      </c>
      <c r="L397" t="b">
        <f>Data_Completeness(MileageData[[#This Row],[MPG]:[Acceleration]])</f>
        <v>1</v>
      </c>
    </row>
    <row r="398" spans="1:12" x14ac:dyDescent="0.25">
      <c r="A398">
        <v>26</v>
      </c>
      <c r="B398">
        <v>4</v>
      </c>
      <c r="C398">
        <v>156</v>
      </c>
      <c r="D398">
        <v>92</v>
      </c>
      <c r="E398">
        <v>2585</v>
      </c>
      <c r="F398">
        <v>14.5</v>
      </c>
      <c r="G398">
        <v>82</v>
      </c>
      <c r="H398" t="s">
        <v>940</v>
      </c>
      <c r="I398" t="s">
        <v>1561</v>
      </c>
      <c r="J398" t="s">
        <v>1094</v>
      </c>
      <c r="K398" t="s">
        <v>1562</v>
      </c>
      <c r="L398" t="b">
        <f>Data_Completeness(MileageData[[#This Row],[MPG]:[Acceleration]])</f>
        <v>1</v>
      </c>
    </row>
    <row r="399" spans="1:12" x14ac:dyDescent="0.25">
      <c r="A399">
        <v>22</v>
      </c>
      <c r="B399">
        <v>6</v>
      </c>
      <c r="C399">
        <v>232</v>
      </c>
      <c r="D399">
        <v>112</v>
      </c>
      <c r="E399">
        <v>2835</v>
      </c>
      <c r="F399">
        <v>14.7</v>
      </c>
      <c r="G399">
        <v>82</v>
      </c>
      <c r="H399" t="s">
        <v>940</v>
      </c>
      <c r="I399" t="s">
        <v>1563</v>
      </c>
      <c r="J399" t="s">
        <v>954</v>
      </c>
      <c r="K399" t="s">
        <v>1564</v>
      </c>
      <c r="L399" t="b">
        <f>Data_Completeness(MileageData[[#This Row],[MPG]:[Acceleration]])</f>
        <v>1</v>
      </c>
    </row>
    <row r="400" spans="1:12" x14ac:dyDescent="0.25">
      <c r="A400">
        <v>32</v>
      </c>
      <c r="B400">
        <v>4</v>
      </c>
      <c r="C400">
        <v>144</v>
      </c>
      <c r="D400">
        <v>96</v>
      </c>
      <c r="E400">
        <v>2665</v>
      </c>
      <c r="F400">
        <v>13.9</v>
      </c>
      <c r="G400">
        <v>82</v>
      </c>
      <c r="H400" t="s">
        <v>990</v>
      </c>
      <c r="I400" t="s">
        <v>1565</v>
      </c>
      <c r="J400" t="s">
        <v>992</v>
      </c>
      <c r="K400" t="s">
        <v>1566</v>
      </c>
      <c r="L400" t="b">
        <f>Data_Completeness(MileageData[[#This Row],[MPG]:[Acceleration]])</f>
        <v>1</v>
      </c>
    </row>
    <row r="401" spans="1:12" x14ac:dyDescent="0.25">
      <c r="A401">
        <v>36</v>
      </c>
      <c r="B401">
        <v>4</v>
      </c>
      <c r="C401">
        <v>135</v>
      </c>
      <c r="D401">
        <v>84</v>
      </c>
      <c r="E401">
        <v>2370</v>
      </c>
      <c r="F401">
        <v>13</v>
      </c>
      <c r="G401">
        <v>82</v>
      </c>
      <c r="H401" t="s">
        <v>940</v>
      </c>
      <c r="I401" t="s">
        <v>1567</v>
      </c>
      <c r="J401" t="s">
        <v>980</v>
      </c>
      <c r="K401" t="s">
        <v>1568</v>
      </c>
      <c r="L401" t="b">
        <f>Data_Completeness(MileageData[[#This Row],[MPG]:[Acceleration]])</f>
        <v>1</v>
      </c>
    </row>
    <row r="402" spans="1:12" x14ac:dyDescent="0.25">
      <c r="A402">
        <v>27</v>
      </c>
      <c r="B402">
        <v>4</v>
      </c>
      <c r="C402">
        <v>151</v>
      </c>
      <c r="D402">
        <v>90</v>
      </c>
      <c r="E402">
        <v>2950</v>
      </c>
      <c r="F402">
        <v>17.3</v>
      </c>
      <c r="G402">
        <v>82</v>
      </c>
      <c r="H402" t="s">
        <v>940</v>
      </c>
      <c r="I402" t="s">
        <v>1569</v>
      </c>
      <c r="J402" t="s">
        <v>942</v>
      </c>
      <c r="K402" t="s">
        <v>1570</v>
      </c>
      <c r="L402" t="b">
        <f>Data_Completeness(MileageData[[#This Row],[MPG]:[Acceleration]])</f>
        <v>1</v>
      </c>
    </row>
    <row r="403" spans="1:12" x14ac:dyDescent="0.25">
      <c r="A403">
        <v>27</v>
      </c>
      <c r="B403">
        <v>4</v>
      </c>
      <c r="C403">
        <v>140</v>
      </c>
      <c r="D403">
        <v>86</v>
      </c>
      <c r="E403">
        <v>2790</v>
      </c>
      <c r="F403">
        <v>15.6</v>
      </c>
      <c r="G403">
        <v>82</v>
      </c>
      <c r="H403" t="s">
        <v>940</v>
      </c>
      <c r="I403" t="s">
        <v>1571</v>
      </c>
      <c r="J403" t="s">
        <v>954</v>
      </c>
      <c r="K403" t="s">
        <v>1572</v>
      </c>
      <c r="L403" t="b">
        <f>Data_Completeness(MileageData[[#This Row],[MPG]:[Acceleration]])</f>
        <v>1</v>
      </c>
    </row>
    <row r="404" spans="1:12" x14ac:dyDescent="0.25">
      <c r="A404">
        <v>44</v>
      </c>
      <c r="B404">
        <v>4</v>
      </c>
      <c r="C404">
        <v>97</v>
      </c>
      <c r="D404">
        <v>52</v>
      </c>
      <c r="E404">
        <v>2130</v>
      </c>
      <c r="F404">
        <v>24.6</v>
      </c>
      <c r="G404">
        <v>82</v>
      </c>
      <c r="H404" t="s">
        <v>967</v>
      </c>
      <c r="I404" t="s">
        <v>1573</v>
      </c>
      <c r="J404" t="s">
        <v>1261</v>
      </c>
      <c r="K404" t="s">
        <v>1574</v>
      </c>
      <c r="L404" t="b">
        <f>Data_Completeness(MileageData[[#This Row],[MPG]:[Acceleration]])</f>
        <v>1</v>
      </c>
    </row>
    <row r="405" spans="1:12" x14ac:dyDescent="0.25">
      <c r="A405">
        <v>32</v>
      </c>
      <c r="B405">
        <v>4</v>
      </c>
      <c r="C405">
        <v>135</v>
      </c>
      <c r="D405">
        <v>84</v>
      </c>
      <c r="E405">
        <v>2295</v>
      </c>
      <c r="F405">
        <v>11.6</v>
      </c>
      <c r="G405">
        <v>82</v>
      </c>
      <c r="H405" t="s">
        <v>940</v>
      </c>
      <c r="I405" t="s">
        <v>1575</v>
      </c>
      <c r="J405" t="s">
        <v>980</v>
      </c>
      <c r="K405" t="s">
        <v>1576</v>
      </c>
      <c r="L405" t="b">
        <f>Data_Completeness(MileageData[[#This Row],[MPG]:[Acceleration]])</f>
        <v>1</v>
      </c>
    </row>
    <row r="406" spans="1:12" x14ac:dyDescent="0.25">
      <c r="A406">
        <v>28</v>
      </c>
      <c r="B406">
        <v>4</v>
      </c>
      <c r="C406">
        <v>120</v>
      </c>
      <c r="D406">
        <v>79</v>
      </c>
      <c r="E406">
        <v>2625</v>
      </c>
      <c r="F406">
        <v>18.600000000000001</v>
      </c>
      <c r="G406">
        <v>82</v>
      </c>
      <c r="H406" t="s">
        <v>940</v>
      </c>
      <c r="I406" t="s">
        <v>1577</v>
      </c>
      <c r="J406" t="s">
        <v>954</v>
      </c>
      <c r="K406" t="s">
        <v>1578</v>
      </c>
      <c r="L406" t="b">
        <f>Data_Completeness(MileageData[[#This Row],[MPG]:[Acceleration]])</f>
        <v>1</v>
      </c>
    </row>
    <row r="407" spans="1:12" x14ac:dyDescent="0.25">
      <c r="A407">
        <v>31</v>
      </c>
      <c r="B407">
        <v>4</v>
      </c>
      <c r="C407">
        <v>119</v>
      </c>
      <c r="D407">
        <v>82</v>
      </c>
      <c r="E407">
        <v>2720</v>
      </c>
      <c r="F407">
        <v>19.399999999999999</v>
      </c>
      <c r="G407">
        <v>82</v>
      </c>
      <c r="H407" t="s">
        <v>940</v>
      </c>
      <c r="I407" t="s">
        <v>1579</v>
      </c>
      <c r="J407" t="s">
        <v>1021</v>
      </c>
      <c r="K407" t="s">
        <v>1580</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25BE-61FB-4957-B813-0B047B7E3245}">
  <sheetPr>
    <tabColor rgb="FFD9D9D9"/>
  </sheetPr>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711</v>
      </c>
      <c r="B1" t="s">
        <v>712</v>
      </c>
      <c r="C1" t="s">
        <v>713</v>
      </c>
      <c r="D1" t="s">
        <v>714</v>
      </c>
      <c r="E1" t="s">
        <v>715</v>
      </c>
      <c r="F1" t="s">
        <v>716</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row>
    <row r="2" spans="1:23" x14ac:dyDescent="0.25">
      <c r="A2" t="s">
        <v>734</v>
      </c>
      <c r="B2">
        <v>2015</v>
      </c>
      <c r="C2" t="s">
        <v>735</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734</v>
      </c>
      <c r="B3">
        <v>2014</v>
      </c>
      <c r="C3" t="s">
        <v>735</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734</v>
      </c>
      <c r="B4">
        <v>2013</v>
      </c>
      <c r="C4" t="s">
        <v>735</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734</v>
      </c>
      <c r="B5">
        <v>2012</v>
      </c>
      <c r="C5" t="s">
        <v>735</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734</v>
      </c>
      <c r="B6">
        <v>2011</v>
      </c>
      <c r="C6" t="s">
        <v>735</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734</v>
      </c>
      <c r="B7">
        <v>2010</v>
      </c>
      <c r="C7" t="s">
        <v>735</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734</v>
      </c>
      <c r="B8">
        <v>2009</v>
      </c>
      <c r="C8" t="s">
        <v>735</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734</v>
      </c>
      <c r="B9">
        <v>2008</v>
      </c>
      <c r="C9" t="s">
        <v>735</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734</v>
      </c>
      <c r="B10">
        <v>2007</v>
      </c>
      <c r="C10" t="s">
        <v>735</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734</v>
      </c>
      <c r="B11">
        <v>2006</v>
      </c>
      <c r="C11" t="s">
        <v>735</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734</v>
      </c>
      <c r="B12">
        <v>2005</v>
      </c>
      <c r="C12" t="s">
        <v>735</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734</v>
      </c>
      <c r="B13">
        <v>2004</v>
      </c>
      <c r="C13" t="s">
        <v>735</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734</v>
      </c>
      <c r="B14">
        <v>2003</v>
      </c>
      <c r="C14" t="s">
        <v>735</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734</v>
      </c>
      <c r="B15">
        <v>2002</v>
      </c>
      <c r="C15" t="s">
        <v>735</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734</v>
      </c>
      <c r="B16">
        <v>2001</v>
      </c>
      <c r="C16" t="s">
        <v>735</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734</v>
      </c>
      <c r="B17">
        <v>2000</v>
      </c>
      <c r="C17" t="s">
        <v>735</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736</v>
      </c>
      <c r="B18">
        <v>2015</v>
      </c>
      <c r="C18" t="s">
        <v>735</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736</v>
      </c>
      <c r="B19">
        <v>2014</v>
      </c>
      <c r="C19" t="s">
        <v>735</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736</v>
      </c>
      <c r="B20">
        <v>2013</v>
      </c>
      <c r="C20" t="s">
        <v>735</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736</v>
      </c>
      <c r="B21">
        <v>2012</v>
      </c>
      <c r="C21" t="s">
        <v>735</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736</v>
      </c>
      <c r="B22">
        <v>2011</v>
      </c>
      <c r="C22" t="s">
        <v>735</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736</v>
      </c>
      <c r="B23">
        <v>2010</v>
      </c>
      <c r="C23" t="s">
        <v>735</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736</v>
      </c>
      <c r="B24">
        <v>2009</v>
      </c>
      <c r="C24" t="s">
        <v>735</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736</v>
      </c>
      <c r="B25">
        <v>2008</v>
      </c>
      <c r="C25" t="s">
        <v>735</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736</v>
      </c>
      <c r="B26">
        <v>2007</v>
      </c>
      <c r="C26" t="s">
        <v>735</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736</v>
      </c>
      <c r="B27">
        <v>2006</v>
      </c>
      <c r="C27" t="s">
        <v>735</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736</v>
      </c>
      <c r="B28">
        <v>2005</v>
      </c>
      <c r="C28" t="s">
        <v>735</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736</v>
      </c>
      <c r="B29">
        <v>2004</v>
      </c>
      <c r="C29" t="s">
        <v>735</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736</v>
      </c>
      <c r="B30">
        <v>2003</v>
      </c>
      <c r="C30" t="s">
        <v>735</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736</v>
      </c>
      <c r="B31">
        <v>2002</v>
      </c>
      <c r="C31" t="s">
        <v>735</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736</v>
      </c>
      <c r="B32">
        <v>2001</v>
      </c>
      <c r="C32" t="s">
        <v>735</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736</v>
      </c>
      <c r="B33">
        <v>2000</v>
      </c>
      <c r="C33" t="s">
        <v>735</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737</v>
      </c>
      <c r="B34">
        <v>2015</v>
      </c>
      <c r="C34" t="s">
        <v>735</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737</v>
      </c>
      <c r="B35">
        <v>2014</v>
      </c>
      <c r="C35" t="s">
        <v>735</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737</v>
      </c>
      <c r="B36">
        <v>2013</v>
      </c>
      <c r="C36" t="s">
        <v>735</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737</v>
      </c>
      <c r="B37">
        <v>2012</v>
      </c>
      <c r="C37" t="s">
        <v>735</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737</v>
      </c>
      <c r="B38">
        <v>2011</v>
      </c>
      <c r="C38" t="s">
        <v>735</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737</v>
      </c>
      <c r="B39">
        <v>2010</v>
      </c>
      <c r="C39" t="s">
        <v>735</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737</v>
      </c>
      <c r="B40">
        <v>2009</v>
      </c>
      <c r="C40" t="s">
        <v>735</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737</v>
      </c>
      <c r="B41">
        <v>2008</v>
      </c>
      <c r="C41" t="s">
        <v>735</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737</v>
      </c>
      <c r="B42">
        <v>2007</v>
      </c>
      <c r="C42" t="s">
        <v>735</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737</v>
      </c>
      <c r="B43">
        <v>2006</v>
      </c>
      <c r="C43" t="s">
        <v>735</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737</v>
      </c>
      <c r="B44">
        <v>2005</v>
      </c>
      <c r="C44" t="s">
        <v>735</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737</v>
      </c>
      <c r="B45">
        <v>2004</v>
      </c>
      <c r="C45" t="s">
        <v>735</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737</v>
      </c>
      <c r="B46">
        <v>2003</v>
      </c>
      <c r="C46" t="s">
        <v>735</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737</v>
      </c>
      <c r="B47">
        <v>2002</v>
      </c>
      <c r="C47" t="s">
        <v>735</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737</v>
      </c>
      <c r="B48">
        <v>2001</v>
      </c>
      <c r="C48" t="s">
        <v>735</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737</v>
      </c>
      <c r="B49">
        <v>2000</v>
      </c>
      <c r="C49" t="s">
        <v>735</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738</v>
      </c>
      <c r="B50">
        <v>2015</v>
      </c>
      <c r="C50" t="s">
        <v>735</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738</v>
      </c>
      <c r="B51">
        <v>2014</v>
      </c>
      <c r="C51" t="s">
        <v>735</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738</v>
      </c>
      <c r="B52">
        <v>2013</v>
      </c>
      <c r="C52" t="s">
        <v>735</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738</v>
      </c>
      <c r="B53">
        <v>2012</v>
      </c>
      <c r="C53" t="s">
        <v>735</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738</v>
      </c>
      <c r="B54">
        <v>2011</v>
      </c>
      <c r="C54" t="s">
        <v>735</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738</v>
      </c>
      <c r="B55">
        <v>2010</v>
      </c>
      <c r="C55" t="s">
        <v>735</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738</v>
      </c>
      <c r="B56">
        <v>2009</v>
      </c>
      <c r="C56" t="s">
        <v>735</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738</v>
      </c>
      <c r="B57">
        <v>2008</v>
      </c>
      <c r="C57" t="s">
        <v>735</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738</v>
      </c>
      <c r="B58">
        <v>2007</v>
      </c>
      <c r="C58" t="s">
        <v>735</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738</v>
      </c>
      <c r="B59">
        <v>2006</v>
      </c>
      <c r="C59" t="s">
        <v>735</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738</v>
      </c>
      <c r="B60">
        <v>2005</v>
      </c>
      <c r="C60" t="s">
        <v>735</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738</v>
      </c>
      <c r="B61">
        <v>2004</v>
      </c>
      <c r="C61" t="s">
        <v>735</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738</v>
      </c>
      <c r="B62">
        <v>2003</v>
      </c>
      <c r="C62" t="s">
        <v>735</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738</v>
      </c>
      <c r="B63">
        <v>2002</v>
      </c>
      <c r="C63" t="s">
        <v>735</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738</v>
      </c>
      <c r="B64">
        <v>2001</v>
      </c>
      <c r="C64" t="s">
        <v>735</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738</v>
      </c>
      <c r="B65">
        <v>2000</v>
      </c>
      <c r="C65" t="s">
        <v>735</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739</v>
      </c>
      <c r="B66">
        <v>2015</v>
      </c>
      <c r="C66" t="s">
        <v>735</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739</v>
      </c>
      <c r="B67">
        <v>2014</v>
      </c>
      <c r="C67" t="s">
        <v>735</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739</v>
      </c>
      <c r="B68">
        <v>2013</v>
      </c>
      <c r="C68" t="s">
        <v>735</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739</v>
      </c>
      <c r="B69">
        <v>2012</v>
      </c>
      <c r="C69" t="s">
        <v>735</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739</v>
      </c>
      <c r="B70">
        <v>2011</v>
      </c>
      <c r="C70" t="s">
        <v>735</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739</v>
      </c>
      <c r="B71">
        <v>2010</v>
      </c>
      <c r="C71" t="s">
        <v>735</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739</v>
      </c>
      <c r="B72">
        <v>2009</v>
      </c>
      <c r="C72" t="s">
        <v>735</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739</v>
      </c>
      <c r="B73">
        <v>2008</v>
      </c>
      <c r="C73" t="s">
        <v>735</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739</v>
      </c>
      <c r="B74">
        <v>2007</v>
      </c>
      <c r="C74" t="s">
        <v>735</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739</v>
      </c>
      <c r="B75">
        <v>2006</v>
      </c>
      <c r="C75" t="s">
        <v>735</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739</v>
      </c>
      <c r="B76">
        <v>2005</v>
      </c>
      <c r="C76" t="s">
        <v>735</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739</v>
      </c>
      <c r="B77">
        <v>2004</v>
      </c>
      <c r="C77" t="s">
        <v>735</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739</v>
      </c>
      <c r="B78">
        <v>2003</v>
      </c>
      <c r="C78" t="s">
        <v>735</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739</v>
      </c>
      <c r="B79">
        <v>2002</v>
      </c>
      <c r="C79" t="s">
        <v>735</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739</v>
      </c>
      <c r="B80">
        <v>2001</v>
      </c>
      <c r="C80" t="s">
        <v>735</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739</v>
      </c>
      <c r="B81">
        <v>2000</v>
      </c>
      <c r="C81" t="s">
        <v>735</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740</v>
      </c>
      <c r="B82">
        <v>2015</v>
      </c>
      <c r="C82" t="s">
        <v>735</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740</v>
      </c>
      <c r="B83">
        <v>2014</v>
      </c>
      <c r="C83" t="s">
        <v>735</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740</v>
      </c>
      <c r="B84">
        <v>2013</v>
      </c>
      <c r="C84" t="s">
        <v>735</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740</v>
      </c>
      <c r="B85">
        <v>2012</v>
      </c>
      <c r="C85" t="s">
        <v>735</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740</v>
      </c>
      <c r="B86">
        <v>2011</v>
      </c>
      <c r="C86" t="s">
        <v>735</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740</v>
      </c>
      <c r="B87">
        <v>2010</v>
      </c>
      <c r="C87" t="s">
        <v>735</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740</v>
      </c>
      <c r="B88">
        <v>2009</v>
      </c>
      <c r="C88" t="s">
        <v>735</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740</v>
      </c>
      <c r="B89">
        <v>2008</v>
      </c>
      <c r="C89" t="s">
        <v>735</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740</v>
      </c>
      <c r="B90">
        <v>2007</v>
      </c>
      <c r="C90" t="s">
        <v>735</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740</v>
      </c>
      <c r="B91">
        <v>2006</v>
      </c>
      <c r="C91" t="s">
        <v>735</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740</v>
      </c>
      <c r="B92">
        <v>2005</v>
      </c>
      <c r="C92" t="s">
        <v>735</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740</v>
      </c>
      <c r="B93">
        <v>2004</v>
      </c>
      <c r="C93" t="s">
        <v>735</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740</v>
      </c>
      <c r="B94">
        <v>2003</v>
      </c>
      <c r="C94" t="s">
        <v>735</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740</v>
      </c>
      <c r="B95">
        <v>2002</v>
      </c>
      <c r="C95" t="s">
        <v>735</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740</v>
      </c>
      <c r="B96">
        <v>2001</v>
      </c>
      <c r="C96" t="s">
        <v>735</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740</v>
      </c>
      <c r="B97">
        <v>2000</v>
      </c>
      <c r="C97" t="s">
        <v>735</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741</v>
      </c>
      <c r="B98">
        <v>2015</v>
      </c>
      <c r="C98" t="s">
        <v>735</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741</v>
      </c>
      <c r="B99">
        <v>2014</v>
      </c>
      <c r="C99" t="s">
        <v>735</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741</v>
      </c>
      <c r="B100">
        <v>2013</v>
      </c>
      <c r="C100" t="s">
        <v>735</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741</v>
      </c>
      <c r="B101">
        <v>2012</v>
      </c>
      <c r="C101" t="s">
        <v>735</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741</v>
      </c>
      <c r="B102">
        <v>2011</v>
      </c>
      <c r="C102" t="s">
        <v>735</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741</v>
      </c>
      <c r="B103">
        <v>2010</v>
      </c>
      <c r="C103" t="s">
        <v>735</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741</v>
      </c>
      <c r="B104">
        <v>2009</v>
      </c>
      <c r="C104" t="s">
        <v>735</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741</v>
      </c>
      <c r="B105">
        <v>2008</v>
      </c>
      <c r="C105" t="s">
        <v>735</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741</v>
      </c>
      <c r="B106">
        <v>2007</v>
      </c>
      <c r="C106" t="s">
        <v>735</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741</v>
      </c>
      <c r="B107">
        <v>2006</v>
      </c>
      <c r="C107" t="s">
        <v>735</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741</v>
      </c>
      <c r="B108">
        <v>2005</v>
      </c>
      <c r="C108" t="s">
        <v>735</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741</v>
      </c>
      <c r="B109">
        <v>2004</v>
      </c>
      <c r="C109" t="s">
        <v>735</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741</v>
      </c>
      <c r="B110">
        <v>2003</v>
      </c>
      <c r="C110" t="s">
        <v>735</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741</v>
      </c>
      <c r="B111">
        <v>2002</v>
      </c>
      <c r="C111" t="s">
        <v>735</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741</v>
      </c>
      <c r="B112">
        <v>2001</v>
      </c>
      <c r="C112" t="s">
        <v>735</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741</v>
      </c>
      <c r="B113">
        <v>2000</v>
      </c>
      <c r="C113" t="s">
        <v>735</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742</v>
      </c>
      <c r="B114">
        <v>2015</v>
      </c>
      <c r="C114" t="s">
        <v>743</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742</v>
      </c>
      <c r="B115">
        <v>2014</v>
      </c>
      <c r="C115" t="s">
        <v>743</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742</v>
      </c>
      <c r="B116">
        <v>2013</v>
      </c>
      <c r="C116" t="s">
        <v>743</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742</v>
      </c>
      <c r="B117">
        <v>2012</v>
      </c>
      <c r="C117" t="s">
        <v>743</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742</v>
      </c>
      <c r="B118">
        <v>2011</v>
      </c>
      <c r="C118" t="s">
        <v>743</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742</v>
      </c>
      <c r="B119">
        <v>2010</v>
      </c>
      <c r="C119" t="s">
        <v>743</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742</v>
      </c>
      <c r="B120">
        <v>2009</v>
      </c>
      <c r="C120" t="s">
        <v>743</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742</v>
      </c>
      <c r="B121">
        <v>2008</v>
      </c>
      <c r="C121" t="s">
        <v>743</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742</v>
      </c>
      <c r="B122">
        <v>2007</v>
      </c>
      <c r="C122" t="s">
        <v>743</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742</v>
      </c>
      <c r="B123">
        <v>2006</v>
      </c>
      <c r="C123" t="s">
        <v>743</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742</v>
      </c>
      <c r="B124">
        <v>2005</v>
      </c>
      <c r="C124" t="s">
        <v>743</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742</v>
      </c>
      <c r="B125">
        <v>2004</v>
      </c>
      <c r="C125" t="s">
        <v>743</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742</v>
      </c>
      <c r="B126">
        <v>2003</v>
      </c>
      <c r="C126" t="s">
        <v>743</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742</v>
      </c>
      <c r="B127">
        <v>2002</v>
      </c>
      <c r="C127" t="s">
        <v>743</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742</v>
      </c>
      <c r="B128">
        <v>2001</v>
      </c>
      <c r="C128" t="s">
        <v>743</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742</v>
      </c>
      <c r="B129">
        <v>2000</v>
      </c>
      <c r="C129" t="s">
        <v>743</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744</v>
      </c>
      <c r="B130">
        <v>2015</v>
      </c>
      <c r="C130" t="s">
        <v>743</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744</v>
      </c>
      <c r="B131">
        <v>2014</v>
      </c>
      <c r="C131" t="s">
        <v>743</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744</v>
      </c>
      <c r="B132">
        <v>2013</v>
      </c>
      <c r="C132" t="s">
        <v>743</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744</v>
      </c>
      <c r="B133">
        <v>2012</v>
      </c>
      <c r="C133" t="s">
        <v>743</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744</v>
      </c>
      <c r="B134">
        <v>2011</v>
      </c>
      <c r="C134" t="s">
        <v>743</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744</v>
      </c>
      <c r="B135">
        <v>2010</v>
      </c>
      <c r="C135" t="s">
        <v>743</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744</v>
      </c>
      <c r="B136">
        <v>2009</v>
      </c>
      <c r="C136" t="s">
        <v>743</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744</v>
      </c>
      <c r="B137">
        <v>2008</v>
      </c>
      <c r="C137" t="s">
        <v>743</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744</v>
      </c>
      <c r="B138">
        <v>2007</v>
      </c>
      <c r="C138" t="s">
        <v>743</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744</v>
      </c>
      <c r="B139">
        <v>2006</v>
      </c>
      <c r="C139" t="s">
        <v>743</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744</v>
      </c>
      <c r="B140">
        <v>2005</v>
      </c>
      <c r="C140" t="s">
        <v>743</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744</v>
      </c>
      <c r="B141">
        <v>2004</v>
      </c>
      <c r="C141" t="s">
        <v>743</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744</v>
      </c>
      <c r="B142">
        <v>2003</v>
      </c>
      <c r="C142" t="s">
        <v>743</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744</v>
      </c>
      <c r="B143">
        <v>2002</v>
      </c>
      <c r="C143" t="s">
        <v>743</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744</v>
      </c>
      <c r="B144">
        <v>2001</v>
      </c>
      <c r="C144" t="s">
        <v>743</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744</v>
      </c>
      <c r="B145">
        <v>2000</v>
      </c>
      <c r="C145" t="s">
        <v>743</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745</v>
      </c>
      <c r="B146">
        <v>2015</v>
      </c>
      <c r="C146" t="s">
        <v>735</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745</v>
      </c>
      <c r="B147">
        <v>2014</v>
      </c>
      <c r="C147" t="s">
        <v>735</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745</v>
      </c>
      <c r="B148">
        <v>2013</v>
      </c>
      <c r="C148" t="s">
        <v>735</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745</v>
      </c>
      <c r="B149">
        <v>2012</v>
      </c>
      <c r="C149" t="s">
        <v>735</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745</v>
      </c>
      <c r="B150">
        <v>2011</v>
      </c>
      <c r="C150" t="s">
        <v>735</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745</v>
      </c>
      <c r="B151">
        <v>2010</v>
      </c>
      <c r="C151" t="s">
        <v>735</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745</v>
      </c>
      <c r="B152">
        <v>2009</v>
      </c>
      <c r="C152" t="s">
        <v>735</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745</v>
      </c>
      <c r="B153">
        <v>2008</v>
      </c>
      <c r="C153" t="s">
        <v>735</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745</v>
      </c>
      <c r="B154">
        <v>2007</v>
      </c>
      <c r="C154" t="s">
        <v>735</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745</v>
      </c>
      <c r="B155">
        <v>2006</v>
      </c>
      <c r="C155" t="s">
        <v>735</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745</v>
      </c>
      <c r="B156">
        <v>2005</v>
      </c>
      <c r="C156" t="s">
        <v>735</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745</v>
      </c>
      <c r="B157">
        <v>2004</v>
      </c>
      <c r="C157" t="s">
        <v>735</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745</v>
      </c>
      <c r="B158">
        <v>2003</v>
      </c>
      <c r="C158" t="s">
        <v>735</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745</v>
      </c>
      <c r="B159">
        <v>2002</v>
      </c>
      <c r="C159" t="s">
        <v>735</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745</v>
      </c>
      <c r="B160">
        <v>2001</v>
      </c>
      <c r="C160" t="s">
        <v>735</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745</v>
      </c>
      <c r="B161">
        <v>2000</v>
      </c>
      <c r="C161" t="s">
        <v>735</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746</v>
      </c>
      <c r="B162">
        <v>2015</v>
      </c>
      <c r="C162" t="s">
        <v>735</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746</v>
      </c>
      <c r="B163">
        <v>2014</v>
      </c>
      <c r="C163" t="s">
        <v>735</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746</v>
      </c>
      <c r="B164">
        <v>2013</v>
      </c>
      <c r="C164" t="s">
        <v>735</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746</v>
      </c>
      <c r="B165">
        <v>2012</v>
      </c>
      <c r="C165" t="s">
        <v>735</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746</v>
      </c>
      <c r="B166">
        <v>2011</v>
      </c>
      <c r="C166" t="s">
        <v>735</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746</v>
      </c>
      <c r="B167">
        <v>2010</v>
      </c>
      <c r="C167" t="s">
        <v>735</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746</v>
      </c>
      <c r="B168">
        <v>2009</v>
      </c>
      <c r="C168" t="s">
        <v>735</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746</v>
      </c>
      <c r="B169">
        <v>2008</v>
      </c>
      <c r="C169" t="s">
        <v>735</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746</v>
      </c>
      <c r="B170">
        <v>2007</v>
      </c>
      <c r="C170" t="s">
        <v>735</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746</v>
      </c>
      <c r="B171">
        <v>2006</v>
      </c>
      <c r="C171" t="s">
        <v>735</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746</v>
      </c>
      <c r="B172">
        <v>2005</v>
      </c>
      <c r="C172" t="s">
        <v>735</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746</v>
      </c>
      <c r="B173">
        <v>2004</v>
      </c>
      <c r="C173" t="s">
        <v>735</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746</v>
      </c>
      <c r="B174">
        <v>2003</v>
      </c>
      <c r="C174" t="s">
        <v>735</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746</v>
      </c>
      <c r="B175">
        <v>2002</v>
      </c>
      <c r="C175" t="s">
        <v>735</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746</v>
      </c>
      <c r="B176">
        <v>2001</v>
      </c>
      <c r="C176" t="s">
        <v>735</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746</v>
      </c>
      <c r="B177">
        <v>2000</v>
      </c>
      <c r="C177" t="s">
        <v>735</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747</v>
      </c>
      <c r="B178">
        <v>2015</v>
      </c>
      <c r="C178" t="s">
        <v>735</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747</v>
      </c>
      <c r="B179">
        <v>2014</v>
      </c>
      <c r="C179" t="s">
        <v>735</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747</v>
      </c>
      <c r="B180">
        <v>2013</v>
      </c>
      <c r="C180" t="s">
        <v>735</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747</v>
      </c>
      <c r="B181">
        <v>2012</v>
      </c>
      <c r="C181" t="s">
        <v>735</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747</v>
      </c>
      <c r="B182">
        <v>2011</v>
      </c>
      <c r="C182" t="s">
        <v>735</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747</v>
      </c>
      <c r="B183">
        <v>2010</v>
      </c>
      <c r="C183" t="s">
        <v>735</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747</v>
      </c>
      <c r="B184">
        <v>2009</v>
      </c>
      <c r="C184" t="s">
        <v>735</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747</v>
      </c>
      <c r="B185">
        <v>2008</v>
      </c>
      <c r="C185" t="s">
        <v>735</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747</v>
      </c>
      <c r="B186">
        <v>2007</v>
      </c>
      <c r="C186" t="s">
        <v>735</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747</v>
      </c>
      <c r="B187">
        <v>2006</v>
      </c>
      <c r="C187" t="s">
        <v>735</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747</v>
      </c>
      <c r="B188">
        <v>2005</v>
      </c>
      <c r="C188" t="s">
        <v>735</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747</v>
      </c>
      <c r="B189">
        <v>2004</v>
      </c>
      <c r="C189" t="s">
        <v>735</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747</v>
      </c>
      <c r="B190">
        <v>2003</v>
      </c>
      <c r="C190" t="s">
        <v>735</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747</v>
      </c>
      <c r="B191">
        <v>2002</v>
      </c>
      <c r="C191" t="s">
        <v>735</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747</v>
      </c>
      <c r="B192">
        <v>2001</v>
      </c>
      <c r="C192" t="s">
        <v>735</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747</v>
      </c>
      <c r="B193">
        <v>2000</v>
      </c>
      <c r="C193" t="s">
        <v>735</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748</v>
      </c>
      <c r="B194">
        <v>2015</v>
      </c>
      <c r="C194" t="s">
        <v>735</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748</v>
      </c>
      <c r="B195">
        <v>2014</v>
      </c>
      <c r="C195" t="s">
        <v>735</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748</v>
      </c>
      <c r="B196">
        <v>2013</v>
      </c>
      <c r="C196" t="s">
        <v>735</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748</v>
      </c>
      <c r="B197">
        <v>2012</v>
      </c>
      <c r="C197" t="s">
        <v>735</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748</v>
      </c>
      <c r="B198">
        <v>2011</v>
      </c>
      <c r="C198" t="s">
        <v>735</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748</v>
      </c>
      <c r="B199">
        <v>2010</v>
      </c>
      <c r="C199" t="s">
        <v>735</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748</v>
      </c>
      <c r="B200">
        <v>2009</v>
      </c>
      <c r="C200" t="s">
        <v>735</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748</v>
      </c>
      <c r="B201">
        <v>2008</v>
      </c>
      <c r="C201" t="s">
        <v>735</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748</v>
      </c>
      <c r="B202">
        <v>2007</v>
      </c>
      <c r="C202" t="s">
        <v>735</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748</v>
      </c>
      <c r="B203">
        <v>2006</v>
      </c>
      <c r="C203" t="s">
        <v>735</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748</v>
      </c>
      <c r="B204">
        <v>2005</v>
      </c>
      <c r="C204" t="s">
        <v>735</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748</v>
      </c>
      <c r="B205">
        <v>2004</v>
      </c>
      <c r="C205" t="s">
        <v>735</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748</v>
      </c>
      <c r="B206">
        <v>2003</v>
      </c>
      <c r="C206" t="s">
        <v>735</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748</v>
      </c>
      <c r="B207">
        <v>2002</v>
      </c>
      <c r="C207" t="s">
        <v>735</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748</v>
      </c>
      <c r="B208">
        <v>2001</v>
      </c>
      <c r="C208" t="s">
        <v>735</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748</v>
      </c>
      <c r="B209">
        <v>2000</v>
      </c>
      <c r="C209" t="s">
        <v>735</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749</v>
      </c>
      <c r="B210">
        <v>2015</v>
      </c>
      <c r="C210" t="s">
        <v>735</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749</v>
      </c>
      <c r="B211">
        <v>2014</v>
      </c>
      <c r="C211" t="s">
        <v>735</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749</v>
      </c>
      <c r="B212">
        <v>2013</v>
      </c>
      <c r="C212" t="s">
        <v>735</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749</v>
      </c>
      <c r="B213">
        <v>2012</v>
      </c>
      <c r="C213" t="s">
        <v>735</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749</v>
      </c>
      <c r="B214">
        <v>2011</v>
      </c>
      <c r="C214" t="s">
        <v>735</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749</v>
      </c>
      <c r="B215">
        <v>2010</v>
      </c>
      <c r="C215" t="s">
        <v>735</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749</v>
      </c>
      <c r="B216">
        <v>2009</v>
      </c>
      <c r="C216" t="s">
        <v>735</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749</v>
      </c>
      <c r="B217">
        <v>2008</v>
      </c>
      <c r="C217" t="s">
        <v>735</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749</v>
      </c>
      <c r="B218">
        <v>2007</v>
      </c>
      <c r="C218" t="s">
        <v>735</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749</v>
      </c>
      <c r="B219">
        <v>2006</v>
      </c>
      <c r="C219" t="s">
        <v>735</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749</v>
      </c>
      <c r="B220">
        <v>2005</v>
      </c>
      <c r="C220" t="s">
        <v>735</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749</v>
      </c>
      <c r="B221">
        <v>2004</v>
      </c>
      <c r="C221" t="s">
        <v>735</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749</v>
      </c>
      <c r="B222">
        <v>2003</v>
      </c>
      <c r="C222" t="s">
        <v>735</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749</v>
      </c>
      <c r="B223">
        <v>2002</v>
      </c>
      <c r="C223" t="s">
        <v>735</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749</v>
      </c>
      <c r="B224">
        <v>2001</v>
      </c>
      <c r="C224" t="s">
        <v>735</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749</v>
      </c>
      <c r="B225">
        <v>2000</v>
      </c>
      <c r="C225" t="s">
        <v>735</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750</v>
      </c>
      <c r="B226">
        <v>2015</v>
      </c>
      <c r="C226" t="s">
        <v>735</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750</v>
      </c>
      <c r="B227">
        <v>2014</v>
      </c>
      <c r="C227" t="s">
        <v>735</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750</v>
      </c>
      <c r="B228">
        <v>2013</v>
      </c>
      <c r="C228" t="s">
        <v>735</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750</v>
      </c>
      <c r="B229">
        <v>2012</v>
      </c>
      <c r="C229" t="s">
        <v>735</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750</v>
      </c>
      <c r="B230">
        <v>2011</v>
      </c>
      <c r="C230" t="s">
        <v>735</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750</v>
      </c>
      <c r="B231">
        <v>2010</v>
      </c>
      <c r="C231" t="s">
        <v>735</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750</v>
      </c>
      <c r="B232">
        <v>2009</v>
      </c>
      <c r="C232" t="s">
        <v>735</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750</v>
      </c>
      <c r="B233">
        <v>2008</v>
      </c>
      <c r="C233" t="s">
        <v>735</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750</v>
      </c>
      <c r="B234">
        <v>2007</v>
      </c>
      <c r="C234" t="s">
        <v>735</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750</v>
      </c>
      <c r="B235">
        <v>2006</v>
      </c>
      <c r="C235" t="s">
        <v>735</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750</v>
      </c>
      <c r="B236">
        <v>2005</v>
      </c>
      <c r="C236" t="s">
        <v>735</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750</v>
      </c>
      <c r="B237">
        <v>2004</v>
      </c>
      <c r="C237" t="s">
        <v>735</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750</v>
      </c>
      <c r="B238">
        <v>2003</v>
      </c>
      <c r="C238" t="s">
        <v>735</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750</v>
      </c>
      <c r="B239">
        <v>2002</v>
      </c>
      <c r="C239" t="s">
        <v>735</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750</v>
      </c>
      <c r="B240">
        <v>2001</v>
      </c>
      <c r="C240" t="s">
        <v>735</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750</v>
      </c>
      <c r="B241">
        <v>2000</v>
      </c>
      <c r="C241" t="s">
        <v>735</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751</v>
      </c>
      <c r="B242">
        <v>2015</v>
      </c>
      <c r="C242" t="s">
        <v>743</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751</v>
      </c>
      <c r="B243">
        <v>2014</v>
      </c>
      <c r="C243" t="s">
        <v>743</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751</v>
      </c>
      <c r="B244">
        <v>2013</v>
      </c>
      <c r="C244" t="s">
        <v>743</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751</v>
      </c>
      <c r="B245">
        <v>2012</v>
      </c>
      <c r="C245" t="s">
        <v>743</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751</v>
      </c>
      <c r="B246">
        <v>2011</v>
      </c>
      <c r="C246" t="s">
        <v>743</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751</v>
      </c>
      <c r="B247">
        <v>2010</v>
      </c>
      <c r="C247" t="s">
        <v>743</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751</v>
      </c>
      <c r="B248">
        <v>2009</v>
      </c>
      <c r="C248" t="s">
        <v>743</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751</v>
      </c>
      <c r="B249">
        <v>2008</v>
      </c>
      <c r="C249" t="s">
        <v>743</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751</v>
      </c>
      <c r="B250">
        <v>2007</v>
      </c>
      <c r="C250" t="s">
        <v>743</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751</v>
      </c>
      <c r="B251">
        <v>2006</v>
      </c>
      <c r="C251" t="s">
        <v>743</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751</v>
      </c>
      <c r="B252">
        <v>2005</v>
      </c>
      <c r="C252" t="s">
        <v>743</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751</v>
      </c>
      <c r="B253">
        <v>2004</v>
      </c>
      <c r="C253" t="s">
        <v>743</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751</v>
      </c>
      <c r="B254">
        <v>2003</v>
      </c>
      <c r="C254" t="s">
        <v>743</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751</v>
      </c>
      <c r="B255">
        <v>2002</v>
      </c>
      <c r="C255" t="s">
        <v>743</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751</v>
      </c>
      <c r="B256">
        <v>2001</v>
      </c>
      <c r="C256" t="s">
        <v>743</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751</v>
      </c>
      <c r="B257">
        <v>2000</v>
      </c>
      <c r="C257" t="s">
        <v>743</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752</v>
      </c>
      <c r="B258">
        <v>2015</v>
      </c>
      <c r="C258" t="s">
        <v>735</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752</v>
      </c>
      <c r="B259">
        <v>2014</v>
      </c>
      <c r="C259" t="s">
        <v>735</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752</v>
      </c>
      <c r="B260">
        <v>2013</v>
      </c>
      <c r="C260" t="s">
        <v>735</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752</v>
      </c>
      <c r="B261">
        <v>2012</v>
      </c>
      <c r="C261" t="s">
        <v>735</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752</v>
      </c>
      <c r="B262">
        <v>2011</v>
      </c>
      <c r="C262" t="s">
        <v>735</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752</v>
      </c>
      <c r="B263">
        <v>2010</v>
      </c>
      <c r="C263" t="s">
        <v>735</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752</v>
      </c>
      <c r="B264">
        <v>2009</v>
      </c>
      <c r="C264" t="s">
        <v>735</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752</v>
      </c>
      <c r="B265">
        <v>2008</v>
      </c>
      <c r="C265" t="s">
        <v>735</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752</v>
      </c>
      <c r="B266">
        <v>2007</v>
      </c>
      <c r="C266" t="s">
        <v>735</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752</v>
      </c>
      <c r="B267">
        <v>2006</v>
      </c>
      <c r="C267" t="s">
        <v>735</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752</v>
      </c>
      <c r="B268">
        <v>2005</v>
      </c>
      <c r="C268" t="s">
        <v>735</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752</v>
      </c>
      <c r="B269">
        <v>2004</v>
      </c>
      <c r="C269" t="s">
        <v>735</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752</v>
      </c>
      <c r="B270">
        <v>2003</v>
      </c>
      <c r="C270" t="s">
        <v>735</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752</v>
      </c>
      <c r="B271">
        <v>2002</v>
      </c>
      <c r="C271" t="s">
        <v>735</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752</v>
      </c>
      <c r="B272">
        <v>2001</v>
      </c>
      <c r="C272" t="s">
        <v>735</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752</v>
      </c>
      <c r="B273">
        <v>2000</v>
      </c>
      <c r="C273" t="s">
        <v>735</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753</v>
      </c>
      <c r="B274">
        <v>2015</v>
      </c>
      <c r="C274" t="s">
        <v>735</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753</v>
      </c>
      <c r="B275">
        <v>2014</v>
      </c>
      <c r="C275" t="s">
        <v>735</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753</v>
      </c>
      <c r="B276">
        <v>2013</v>
      </c>
      <c r="C276" t="s">
        <v>735</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753</v>
      </c>
      <c r="B277">
        <v>2012</v>
      </c>
      <c r="C277" t="s">
        <v>735</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753</v>
      </c>
      <c r="B278">
        <v>2011</v>
      </c>
      <c r="C278" t="s">
        <v>735</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753</v>
      </c>
      <c r="B279">
        <v>2010</v>
      </c>
      <c r="C279" t="s">
        <v>735</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753</v>
      </c>
      <c r="B280">
        <v>2009</v>
      </c>
      <c r="C280" t="s">
        <v>735</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753</v>
      </c>
      <c r="B281">
        <v>2008</v>
      </c>
      <c r="C281" t="s">
        <v>735</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753</v>
      </c>
      <c r="B282">
        <v>2007</v>
      </c>
      <c r="C282" t="s">
        <v>735</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753</v>
      </c>
      <c r="B283">
        <v>2006</v>
      </c>
      <c r="C283" t="s">
        <v>735</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753</v>
      </c>
      <c r="B284">
        <v>2005</v>
      </c>
      <c r="C284" t="s">
        <v>735</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753</v>
      </c>
      <c r="B285">
        <v>2004</v>
      </c>
      <c r="C285" t="s">
        <v>735</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753</v>
      </c>
      <c r="B286">
        <v>2003</v>
      </c>
      <c r="C286" t="s">
        <v>735</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753</v>
      </c>
      <c r="B287">
        <v>2002</v>
      </c>
      <c r="C287" t="s">
        <v>735</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753</v>
      </c>
      <c r="B288">
        <v>2001</v>
      </c>
      <c r="C288" t="s">
        <v>735</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753</v>
      </c>
      <c r="B289">
        <v>2000</v>
      </c>
      <c r="C289" t="s">
        <v>735</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754</v>
      </c>
      <c r="B290">
        <v>2015</v>
      </c>
      <c r="C290" t="s">
        <v>735</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754</v>
      </c>
      <c r="B291">
        <v>2014</v>
      </c>
      <c r="C291" t="s">
        <v>735</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754</v>
      </c>
      <c r="B292">
        <v>2013</v>
      </c>
      <c r="C292" t="s">
        <v>735</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754</v>
      </c>
      <c r="B293">
        <v>2012</v>
      </c>
      <c r="C293" t="s">
        <v>735</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754</v>
      </c>
      <c r="B294">
        <v>2011</v>
      </c>
      <c r="C294" t="s">
        <v>735</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754</v>
      </c>
      <c r="B295">
        <v>2010</v>
      </c>
      <c r="C295" t="s">
        <v>735</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754</v>
      </c>
      <c r="B296">
        <v>2009</v>
      </c>
      <c r="C296" t="s">
        <v>735</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754</v>
      </c>
      <c r="B297">
        <v>2008</v>
      </c>
      <c r="C297" t="s">
        <v>735</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754</v>
      </c>
      <c r="B298">
        <v>2007</v>
      </c>
      <c r="C298" t="s">
        <v>735</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754</v>
      </c>
      <c r="B299">
        <v>2006</v>
      </c>
      <c r="C299" t="s">
        <v>735</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754</v>
      </c>
      <c r="B300">
        <v>2005</v>
      </c>
      <c r="C300" t="s">
        <v>735</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754</v>
      </c>
      <c r="B301">
        <v>2004</v>
      </c>
      <c r="C301" t="s">
        <v>735</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754</v>
      </c>
      <c r="B302">
        <v>2003</v>
      </c>
      <c r="C302" t="s">
        <v>735</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754</v>
      </c>
      <c r="B303">
        <v>2002</v>
      </c>
      <c r="C303" t="s">
        <v>735</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754</v>
      </c>
      <c r="B304">
        <v>2001</v>
      </c>
      <c r="C304" t="s">
        <v>735</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754</v>
      </c>
      <c r="B305">
        <v>2000</v>
      </c>
      <c r="C305" t="s">
        <v>735</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755</v>
      </c>
      <c r="B306">
        <v>2015</v>
      </c>
      <c r="C306" t="s">
        <v>735</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755</v>
      </c>
      <c r="B307">
        <v>2014</v>
      </c>
      <c r="C307" t="s">
        <v>735</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755</v>
      </c>
      <c r="B308">
        <v>2013</v>
      </c>
      <c r="C308" t="s">
        <v>735</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755</v>
      </c>
      <c r="B309">
        <v>2012</v>
      </c>
      <c r="C309" t="s">
        <v>735</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755</v>
      </c>
      <c r="B310">
        <v>2011</v>
      </c>
      <c r="C310" t="s">
        <v>735</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755</v>
      </c>
      <c r="B311">
        <v>2010</v>
      </c>
      <c r="C311" t="s">
        <v>735</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755</v>
      </c>
      <c r="B312">
        <v>2009</v>
      </c>
      <c r="C312" t="s">
        <v>735</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755</v>
      </c>
      <c r="B313">
        <v>2008</v>
      </c>
      <c r="C313" t="s">
        <v>735</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755</v>
      </c>
      <c r="B314">
        <v>2007</v>
      </c>
      <c r="C314" t="s">
        <v>735</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755</v>
      </c>
      <c r="B315">
        <v>2006</v>
      </c>
      <c r="C315" t="s">
        <v>735</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755</v>
      </c>
      <c r="B316">
        <v>2005</v>
      </c>
      <c r="C316" t="s">
        <v>735</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755</v>
      </c>
      <c r="B317">
        <v>2004</v>
      </c>
      <c r="C317" t="s">
        <v>735</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755</v>
      </c>
      <c r="B318">
        <v>2003</v>
      </c>
      <c r="C318" t="s">
        <v>735</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755</v>
      </c>
      <c r="B319">
        <v>2002</v>
      </c>
      <c r="C319" t="s">
        <v>735</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755</v>
      </c>
      <c r="B320">
        <v>2001</v>
      </c>
      <c r="C320" t="s">
        <v>735</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755</v>
      </c>
      <c r="B321">
        <v>2000</v>
      </c>
      <c r="C321" t="s">
        <v>735</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756</v>
      </c>
      <c r="B322">
        <v>2015</v>
      </c>
      <c r="C322" t="s">
        <v>735</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756</v>
      </c>
      <c r="B323">
        <v>2014</v>
      </c>
      <c r="C323" t="s">
        <v>735</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756</v>
      </c>
      <c r="B324">
        <v>2013</v>
      </c>
      <c r="C324" t="s">
        <v>735</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756</v>
      </c>
      <c r="B325">
        <v>2012</v>
      </c>
      <c r="C325" t="s">
        <v>735</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756</v>
      </c>
      <c r="B326">
        <v>2011</v>
      </c>
      <c r="C326" t="s">
        <v>735</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756</v>
      </c>
      <c r="B327">
        <v>2010</v>
      </c>
      <c r="C327" t="s">
        <v>735</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756</v>
      </c>
      <c r="B328">
        <v>2009</v>
      </c>
      <c r="C328" t="s">
        <v>735</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756</v>
      </c>
      <c r="B329">
        <v>2008</v>
      </c>
      <c r="C329" t="s">
        <v>735</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756</v>
      </c>
      <c r="B330">
        <v>2007</v>
      </c>
      <c r="C330" t="s">
        <v>735</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756</v>
      </c>
      <c r="B331">
        <v>2006</v>
      </c>
      <c r="C331" t="s">
        <v>735</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756</v>
      </c>
      <c r="B332">
        <v>2005</v>
      </c>
      <c r="C332" t="s">
        <v>735</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756</v>
      </c>
      <c r="B333">
        <v>2004</v>
      </c>
      <c r="C333" t="s">
        <v>735</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756</v>
      </c>
      <c r="B334">
        <v>2003</v>
      </c>
      <c r="C334" t="s">
        <v>735</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756</v>
      </c>
      <c r="B335">
        <v>2002</v>
      </c>
      <c r="C335" t="s">
        <v>735</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756</v>
      </c>
      <c r="B336">
        <v>2001</v>
      </c>
      <c r="C336" t="s">
        <v>735</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756</v>
      </c>
      <c r="B337">
        <v>2000</v>
      </c>
      <c r="C337" t="s">
        <v>735</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757</v>
      </c>
      <c r="B338">
        <v>2015</v>
      </c>
      <c r="C338" t="s">
        <v>735</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757</v>
      </c>
      <c r="B339">
        <v>2014</v>
      </c>
      <c r="C339" t="s">
        <v>735</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757</v>
      </c>
      <c r="B340">
        <v>2013</v>
      </c>
      <c r="C340" t="s">
        <v>735</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757</v>
      </c>
      <c r="B341">
        <v>2012</v>
      </c>
      <c r="C341" t="s">
        <v>735</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757</v>
      </c>
      <c r="B342">
        <v>2011</v>
      </c>
      <c r="C342" t="s">
        <v>735</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757</v>
      </c>
      <c r="B343">
        <v>2010</v>
      </c>
      <c r="C343" t="s">
        <v>735</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757</v>
      </c>
      <c r="B344">
        <v>2009</v>
      </c>
      <c r="C344" t="s">
        <v>735</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757</v>
      </c>
      <c r="B345">
        <v>2008</v>
      </c>
      <c r="C345" t="s">
        <v>735</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757</v>
      </c>
      <c r="B346">
        <v>2007</v>
      </c>
      <c r="C346" t="s">
        <v>735</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757</v>
      </c>
      <c r="B347">
        <v>2006</v>
      </c>
      <c r="C347" t="s">
        <v>735</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757</v>
      </c>
      <c r="B348">
        <v>2005</v>
      </c>
      <c r="C348" t="s">
        <v>735</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757</v>
      </c>
      <c r="B349">
        <v>2004</v>
      </c>
      <c r="C349" t="s">
        <v>735</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757</v>
      </c>
      <c r="B350">
        <v>2003</v>
      </c>
      <c r="C350" t="s">
        <v>735</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757</v>
      </c>
      <c r="B351">
        <v>2002</v>
      </c>
      <c r="C351" t="s">
        <v>735</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757</v>
      </c>
      <c r="B352">
        <v>2001</v>
      </c>
      <c r="C352" t="s">
        <v>735</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757</v>
      </c>
      <c r="B353">
        <v>2000</v>
      </c>
      <c r="C353" t="s">
        <v>735</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758</v>
      </c>
      <c r="B354">
        <v>2015</v>
      </c>
      <c r="C354" t="s">
        <v>735</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758</v>
      </c>
      <c r="B355">
        <v>2014</v>
      </c>
      <c r="C355" t="s">
        <v>735</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758</v>
      </c>
      <c r="B356">
        <v>2013</v>
      </c>
      <c r="C356" t="s">
        <v>735</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758</v>
      </c>
      <c r="B357">
        <v>2012</v>
      </c>
      <c r="C357" t="s">
        <v>735</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758</v>
      </c>
      <c r="B358">
        <v>2011</v>
      </c>
      <c r="C358" t="s">
        <v>735</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758</v>
      </c>
      <c r="B359">
        <v>2010</v>
      </c>
      <c r="C359" t="s">
        <v>735</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758</v>
      </c>
      <c r="B360">
        <v>2009</v>
      </c>
      <c r="C360" t="s">
        <v>735</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758</v>
      </c>
      <c r="B361">
        <v>2008</v>
      </c>
      <c r="C361" t="s">
        <v>735</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758</v>
      </c>
      <c r="B362">
        <v>2007</v>
      </c>
      <c r="C362" t="s">
        <v>735</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758</v>
      </c>
      <c r="B363">
        <v>2006</v>
      </c>
      <c r="C363" t="s">
        <v>735</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758</v>
      </c>
      <c r="B364">
        <v>2005</v>
      </c>
      <c r="C364" t="s">
        <v>735</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758</v>
      </c>
      <c r="B365">
        <v>2004</v>
      </c>
      <c r="C365" t="s">
        <v>735</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758</v>
      </c>
      <c r="B366">
        <v>2003</v>
      </c>
      <c r="C366" t="s">
        <v>735</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758</v>
      </c>
      <c r="B367">
        <v>2002</v>
      </c>
      <c r="C367" t="s">
        <v>735</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758</v>
      </c>
      <c r="B368">
        <v>2001</v>
      </c>
      <c r="C368" t="s">
        <v>735</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758</v>
      </c>
      <c r="B369">
        <v>2000</v>
      </c>
      <c r="C369" t="s">
        <v>735</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759</v>
      </c>
      <c r="B370">
        <v>2015</v>
      </c>
      <c r="C370" t="s">
        <v>735</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759</v>
      </c>
      <c r="B371">
        <v>2014</v>
      </c>
      <c r="C371" t="s">
        <v>735</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759</v>
      </c>
      <c r="B372">
        <v>2013</v>
      </c>
      <c r="C372" t="s">
        <v>735</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759</v>
      </c>
      <c r="B373">
        <v>2012</v>
      </c>
      <c r="C373" t="s">
        <v>735</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759</v>
      </c>
      <c r="B374">
        <v>2011</v>
      </c>
      <c r="C374" t="s">
        <v>735</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759</v>
      </c>
      <c r="B375">
        <v>2010</v>
      </c>
      <c r="C375" t="s">
        <v>735</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759</v>
      </c>
      <c r="B376">
        <v>2009</v>
      </c>
      <c r="C376" t="s">
        <v>735</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759</v>
      </c>
      <c r="B377">
        <v>2008</v>
      </c>
      <c r="C377" t="s">
        <v>735</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759</v>
      </c>
      <c r="B378">
        <v>2007</v>
      </c>
      <c r="C378" t="s">
        <v>735</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759</v>
      </c>
      <c r="B379">
        <v>2006</v>
      </c>
      <c r="C379" t="s">
        <v>735</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759</v>
      </c>
      <c r="B380">
        <v>2005</v>
      </c>
      <c r="C380" t="s">
        <v>735</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759</v>
      </c>
      <c r="B381">
        <v>2004</v>
      </c>
      <c r="C381" t="s">
        <v>735</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759</v>
      </c>
      <c r="B382">
        <v>2003</v>
      </c>
      <c r="C382" t="s">
        <v>735</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759</v>
      </c>
      <c r="B383">
        <v>2002</v>
      </c>
      <c r="C383" t="s">
        <v>735</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759</v>
      </c>
      <c r="B384">
        <v>2001</v>
      </c>
      <c r="C384" t="s">
        <v>735</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759</v>
      </c>
      <c r="B385">
        <v>2000</v>
      </c>
      <c r="C385" t="s">
        <v>735</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760</v>
      </c>
      <c r="B386">
        <v>2015</v>
      </c>
      <c r="C386" t="s">
        <v>743</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760</v>
      </c>
      <c r="B387">
        <v>2014</v>
      </c>
      <c r="C387" t="s">
        <v>743</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760</v>
      </c>
      <c r="B388">
        <v>2013</v>
      </c>
      <c r="C388" t="s">
        <v>743</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760</v>
      </c>
      <c r="B389">
        <v>2012</v>
      </c>
      <c r="C389" t="s">
        <v>743</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760</v>
      </c>
      <c r="B390">
        <v>2011</v>
      </c>
      <c r="C390" t="s">
        <v>743</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760</v>
      </c>
      <c r="B391">
        <v>2010</v>
      </c>
      <c r="C391" t="s">
        <v>743</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760</v>
      </c>
      <c r="B392">
        <v>2009</v>
      </c>
      <c r="C392" t="s">
        <v>743</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760</v>
      </c>
      <c r="B393">
        <v>2008</v>
      </c>
      <c r="C393" t="s">
        <v>743</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760</v>
      </c>
      <c r="B394">
        <v>2007</v>
      </c>
      <c r="C394" t="s">
        <v>743</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760</v>
      </c>
      <c r="B395">
        <v>2006</v>
      </c>
      <c r="C395" t="s">
        <v>743</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760</v>
      </c>
      <c r="B396">
        <v>2005</v>
      </c>
      <c r="C396" t="s">
        <v>743</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760</v>
      </c>
      <c r="B397">
        <v>2004</v>
      </c>
      <c r="C397" t="s">
        <v>743</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760</v>
      </c>
      <c r="B398">
        <v>2003</v>
      </c>
      <c r="C398" t="s">
        <v>743</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760</v>
      </c>
      <c r="B399">
        <v>2002</v>
      </c>
      <c r="C399" t="s">
        <v>743</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760</v>
      </c>
      <c r="B400">
        <v>2001</v>
      </c>
      <c r="C400" t="s">
        <v>743</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760</v>
      </c>
      <c r="B401">
        <v>2000</v>
      </c>
      <c r="C401" t="s">
        <v>743</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761</v>
      </c>
      <c r="B402">
        <v>2015</v>
      </c>
      <c r="C402" t="s">
        <v>735</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761</v>
      </c>
      <c r="B403">
        <v>2014</v>
      </c>
      <c r="C403" t="s">
        <v>735</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761</v>
      </c>
      <c r="B404">
        <v>2013</v>
      </c>
      <c r="C404" t="s">
        <v>735</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761</v>
      </c>
      <c r="B405">
        <v>2012</v>
      </c>
      <c r="C405" t="s">
        <v>735</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761</v>
      </c>
      <c r="B406">
        <v>2011</v>
      </c>
      <c r="C406" t="s">
        <v>735</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761</v>
      </c>
      <c r="B407">
        <v>2010</v>
      </c>
      <c r="C407" t="s">
        <v>735</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761</v>
      </c>
      <c r="B408">
        <v>2009</v>
      </c>
      <c r="C408" t="s">
        <v>735</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761</v>
      </c>
      <c r="B409">
        <v>2008</v>
      </c>
      <c r="C409" t="s">
        <v>735</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761</v>
      </c>
      <c r="B410">
        <v>2007</v>
      </c>
      <c r="C410" t="s">
        <v>735</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761</v>
      </c>
      <c r="B411">
        <v>2006</v>
      </c>
      <c r="C411" t="s">
        <v>735</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761</v>
      </c>
      <c r="B412">
        <v>2005</v>
      </c>
      <c r="C412" t="s">
        <v>735</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761</v>
      </c>
      <c r="B413">
        <v>2004</v>
      </c>
      <c r="C413" t="s">
        <v>735</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761</v>
      </c>
      <c r="B414">
        <v>2003</v>
      </c>
      <c r="C414" t="s">
        <v>735</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761</v>
      </c>
      <c r="B415">
        <v>2002</v>
      </c>
      <c r="C415" t="s">
        <v>735</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761</v>
      </c>
      <c r="B416">
        <v>2001</v>
      </c>
      <c r="C416" t="s">
        <v>735</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761</v>
      </c>
      <c r="B417">
        <v>2000</v>
      </c>
      <c r="C417" t="s">
        <v>735</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762</v>
      </c>
      <c r="B418">
        <v>2015</v>
      </c>
      <c r="C418" t="s">
        <v>735</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762</v>
      </c>
      <c r="B419">
        <v>2014</v>
      </c>
      <c r="C419" t="s">
        <v>735</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762</v>
      </c>
      <c r="B420">
        <v>2013</v>
      </c>
      <c r="C420" t="s">
        <v>735</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762</v>
      </c>
      <c r="B421">
        <v>2012</v>
      </c>
      <c r="C421" t="s">
        <v>735</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762</v>
      </c>
      <c r="B422">
        <v>2011</v>
      </c>
      <c r="C422" t="s">
        <v>735</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762</v>
      </c>
      <c r="B423">
        <v>2010</v>
      </c>
      <c r="C423" t="s">
        <v>735</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762</v>
      </c>
      <c r="B424">
        <v>2009</v>
      </c>
      <c r="C424" t="s">
        <v>735</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762</v>
      </c>
      <c r="B425">
        <v>2008</v>
      </c>
      <c r="C425" t="s">
        <v>735</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762</v>
      </c>
      <c r="B426">
        <v>2007</v>
      </c>
      <c r="C426" t="s">
        <v>735</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762</v>
      </c>
      <c r="B427">
        <v>2006</v>
      </c>
      <c r="C427" t="s">
        <v>735</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762</v>
      </c>
      <c r="B428">
        <v>2005</v>
      </c>
      <c r="C428" t="s">
        <v>735</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762</v>
      </c>
      <c r="B429">
        <v>2004</v>
      </c>
      <c r="C429" t="s">
        <v>735</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762</v>
      </c>
      <c r="B430">
        <v>2003</v>
      </c>
      <c r="C430" t="s">
        <v>735</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762</v>
      </c>
      <c r="B431">
        <v>2002</v>
      </c>
      <c r="C431" t="s">
        <v>735</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762</v>
      </c>
      <c r="B432">
        <v>2001</v>
      </c>
      <c r="C432" t="s">
        <v>735</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762</v>
      </c>
      <c r="B433">
        <v>2000</v>
      </c>
      <c r="C433" t="s">
        <v>735</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763</v>
      </c>
      <c r="B434">
        <v>2015</v>
      </c>
      <c r="C434" t="s">
        <v>735</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763</v>
      </c>
      <c r="B435">
        <v>2014</v>
      </c>
      <c r="C435" t="s">
        <v>735</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763</v>
      </c>
      <c r="B436">
        <v>2013</v>
      </c>
      <c r="C436" t="s">
        <v>735</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763</v>
      </c>
      <c r="B437">
        <v>2012</v>
      </c>
      <c r="C437" t="s">
        <v>735</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763</v>
      </c>
      <c r="B438">
        <v>2011</v>
      </c>
      <c r="C438" t="s">
        <v>735</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763</v>
      </c>
      <c r="B439">
        <v>2010</v>
      </c>
      <c r="C439" t="s">
        <v>735</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763</v>
      </c>
      <c r="B440">
        <v>2009</v>
      </c>
      <c r="C440" t="s">
        <v>735</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763</v>
      </c>
      <c r="B441">
        <v>2008</v>
      </c>
      <c r="C441" t="s">
        <v>735</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763</v>
      </c>
      <c r="B442">
        <v>2007</v>
      </c>
      <c r="C442" t="s">
        <v>735</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763</v>
      </c>
      <c r="B443">
        <v>2006</v>
      </c>
      <c r="C443" t="s">
        <v>735</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763</v>
      </c>
      <c r="B444">
        <v>2005</v>
      </c>
      <c r="C444" t="s">
        <v>735</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763</v>
      </c>
      <c r="B445">
        <v>2004</v>
      </c>
      <c r="C445" t="s">
        <v>735</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763</v>
      </c>
      <c r="B446">
        <v>2003</v>
      </c>
      <c r="C446" t="s">
        <v>735</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763</v>
      </c>
      <c r="B447">
        <v>2002</v>
      </c>
      <c r="C447" t="s">
        <v>735</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763</v>
      </c>
      <c r="B448">
        <v>2001</v>
      </c>
      <c r="C448" t="s">
        <v>735</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763</v>
      </c>
      <c r="B449">
        <v>2000</v>
      </c>
      <c r="C449" t="s">
        <v>735</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764</v>
      </c>
      <c r="B450">
        <v>2015</v>
      </c>
      <c r="C450" t="s">
        <v>735</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764</v>
      </c>
      <c r="B451">
        <v>2014</v>
      </c>
      <c r="C451" t="s">
        <v>735</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764</v>
      </c>
      <c r="B452">
        <v>2013</v>
      </c>
      <c r="C452" t="s">
        <v>735</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764</v>
      </c>
      <c r="B453">
        <v>2012</v>
      </c>
      <c r="C453" t="s">
        <v>735</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764</v>
      </c>
      <c r="B454">
        <v>2011</v>
      </c>
      <c r="C454" t="s">
        <v>735</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764</v>
      </c>
      <c r="B455">
        <v>2010</v>
      </c>
      <c r="C455" t="s">
        <v>735</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764</v>
      </c>
      <c r="B456">
        <v>2009</v>
      </c>
      <c r="C456" t="s">
        <v>735</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764</v>
      </c>
      <c r="B457">
        <v>2008</v>
      </c>
      <c r="C457" t="s">
        <v>735</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764</v>
      </c>
      <c r="B458">
        <v>2007</v>
      </c>
      <c r="C458" t="s">
        <v>735</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764</v>
      </c>
      <c r="B459">
        <v>2006</v>
      </c>
      <c r="C459" t="s">
        <v>735</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764</v>
      </c>
      <c r="B460">
        <v>2005</v>
      </c>
      <c r="C460" t="s">
        <v>735</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764</v>
      </c>
      <c r="B461">
        <v>2004</v>
      </c>
      <c r="C461" t="s">
        <v>735</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764</v>
      </c>
      <c r="B462">
        <v>2003</v>
      </c>
      <c r="C462" t="s">
        <v>735</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764</v>
      </c>
      <c r="B463">
        <v>2002</v>
      </c>
      <c r="C463" t="s">
        <v>735</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764</v>
      </c>
      <c r="B464">
        <v>2001</v>
      </c>
      <c r="C464" t="s">
        <v>735</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764</v>
      </c>
      <c r="B465">
        <v>2000</v>
      </c>
      <c r="C465" t="s">
        <v>735</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765</v>
      </c>
      <c r="B466">
        <v>2015</v>
      </c>
      <c r="C466" t="s">
        <v>735</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765</v>
      </c>
      <c r="B467">
        <v>2014</v>
      </c>
      <c r="C467" t="s">
        <v>735</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765</v>
      </c>
      <c r="B468">
        <v>2013</v>
      </c>
      <c r="C468" t="s">
        <v>735</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765</v>
      </c>
      <c r="B469">
        <v>2012</v>
      </c>
      <c r="C469" t="s">
        <v>735</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765</v>
      </c>
      <c r="B470">
        <v>2011</v>
      </c>
      <c r="C470" t="s">
        <v>735</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765</v>
      </c>
      <c r="B471">
        <v>2010</v>
      </c>
      <c r="C471" t="s">
        <v>735</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765</v>
      </c>
      <c r="B472">
        <v>2009</v>
      </c>
      <c r="C472" t="s">
        <v>735</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765</v>
      </c>
      <c r="B473">
        <v>2008</v>
      </c>
      <c r="C473" t="s">
        <v>735</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765</v>
      </c>
      <c r="B474">
        <v>2007</v>
      </c>
      <c r="C474" t="s">
        <v>735</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765</v>
      </c>
      <c r="B475">
        <v>2006</v>
      </c>
      <c r="C475" t="s">
        <v>735</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765</v>
      </c>
      <c r="B476">
        <v>2005</v>
      </c>
      <c r="C476" t="s">
        <v>735</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765</v>
      </c>
      <c r="B477">
        <v>2004</v>
      </c>
      <c r="C477" t="s">
        <v>735</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765</v>
      </c>
      <c r="B478">
        <v>2003</v>
      </c>
      <c r="C478" t="s">
        <v>735</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765</v>
      </c>
      <c r="B479">
        <v>2002</v>
      </c>
      <c r="C479" t="s">
        <v>735</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765</v>
      </c>
      <c r="B480">
        <v>2001</v>
      </c>
      <c r="C480" t="s">
        <v>735</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765</v>
      </c>
      <c r="B481">
        <v>2000</v>
      </c>
      <c r="C481" t="s">
        <v>735</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766</v>
      </c>
      <c r="B482">
        <v>2015</v>
      </c>
      <c r="C482" t="s">
        <v>735</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766</v>
      </c>
      <c r="B483">
        <v>2014</v>
      </c>
      <c r="C483" t="s">
        <v>735</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766</v>
      </c>
      <c r="B484">
        <v>2013</v>
      </c>
      <c r="C484" t="s">
        <v>735</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766</v>
      </c>
      <c r="B485">
        <v>2012</v>
      </c>
      <c r="C485" t="s">
        <v>735</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766</v>
      </c>
      <c r="B486">
        <v>2011</v>
      </c>
      <c r="C486" t="s">
        <v>735</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766</v>
      </c>
      <c r="B487">
        <v>2010</v>
      </c>
      <c r="C487" t="s">
        <v>735</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766</v>
      </c>
      <c r="B488">
        <v>2009</v>
      </c>
      <c r="C488" t="s">
        <v>735</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766</v>
      </c>
      <c r="B489">
        <v>2008</v>
      </c>
      <c r="C489" t="s">
        <v>735</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766</v>
      </c>
      <c r="B490">
        <v>2007</v>
      </c>
      <c r="C490" t="s">
        <v>735</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766</v>
      </c>
      <c r="B491">
        <v>2006</v>
      </c>
      <c r="C491" t="s">
        <v>735</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766</v>
      </c>
      <c r="B492">
        <v>2005</v>
      </c>
      <c r="C492" t="s">
        <v>735</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766</v>
      </c>
      <c r="B493">
        <v>2004</v>
      </c>
      <c r="C493" t="s">
        <v>735</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766</v>
      </c>
      <c r="B494">
        <v>2003</v>
      </c>
      <c r="C494" t="s">
        <v>735</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766</v>
      </c>
      <c r="B495">
        <v>2002</v>
      </c>
      <c r="C495" t="s">
        <v>735</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766</v>
      </c>
      <c r="B496">
        <v>2001</v>
      </c>
      <c r="C496" t="s">
        <v>735</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766</v>
      </c>
      <c r="B497">
        <v>2000</v>
      </c>
      <c r="C497" t="s">
        <v>735</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767</v>
      </c>
      <c r="B498">
        <v>2015</v>
      </c>
      <c r="C498" t="s">
        <v>735</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767</v>
      </c>
      <c r="B499">
        <v>2014</v>
      </c>
      <c r="C499" t="s">
        <v>735</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767</v>
      </c>
      <c r="B500">
        <v>2013</v>
      </c>
      <c r="C500" t="s">
        <v>735</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767</v>
      </c>
      <c r="B501">
        <v>2012</v>
      </c>
      <c r="C501" t="s">
        <v>735</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767</v>
      </c>
      <c r="B502">
        <v>2011</v>
      </c>
      <c r="C502" t="s">
        <v>735</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767</v>
      </c>
      <c r="B503">
        <v>2010</v>
      </c>
      <c r="C503" t="s">
        <v>735</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767</v>
      </c>
      <c r="B504">
        <v>2009</v>
      </c>
      <c r="C504" t="s">
        <v>735</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767</v>
      </c>
      <c r="B505">
        <v>2008</v>
      </c>
      <c r="C505" t="s">
        <v>735</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767</v>
      </c>
      <c r="B506">
        <v>2007</v>
      </c>
      <c r="C506" t="s">
        <v>735</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767</v>
      </c>
      <c r="B507">
        <v>2006</v>
      </c>
      <c r="C507" t="s">
        <v>735</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767</v>
      </c>
      <c r="B508">
        <v>2005</v>
      </c>
      <c r="C508" t="s">
        <v>735</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767</v>
      </c>
      <c r="B509">
        <v>2004</v>
      </c>
      <c r="C509" t="s">
        <v>735</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767</v>
      </c>
      <c r="B510">
        <v>2003</v>
      </c>
      <c r="C510" t="s">
        <v>735</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767</v>
      </c>
      <c r="B511">
        <v>2002</v>
      </c>
      <c r="C511" t="s">
        <v>735</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767</v>
      </c>
      <c r="B512">
        <v>2001</v>
      </c>
      <c r="C512" t="s">
        <v>735</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767</v>
      </c>
      <c r="B513">
        <v>2000</v>
      </c>
      <c r="C513" t="s">
        <v>735</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768</v>
      </c>
      <c r="B514">
        <v>2015</v>
      </c>
      <c r="C514" t="s">
        <v>735</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768</v>
      </c>
      <c r="B515">
        <v>2014</v>
      </c>
      <c r="C515" t="s">
        <v>735</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768</v>
      </c>
      <c r="B516">
        <v>2013</v>
      </c>
      <c r="C516" t="s">
        <v>735</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768</v>
      </c>
      <c r="B517">
        <v>2012</v>
      </c>
      <c r="C517" t="s">
        <v>735</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768</v>
      </c>
      <c r="B518">
        <v>2011</v>
      </c>
      <c r="C518" t="s">
        <v>735</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768</v>
      </c>
      <c r="B519">
        <v>2010</v>
      </c>
      <c r="C519" t="s">
        <v>735</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768</v>
      </c>
      <c r="B520">
        <v>2009</v>
      </c>
      <c r="C520" t="s">
        <v>735</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768</v>
      </c>
      <c r="B521">
        <v>2008</v>
      </c>
      <c r="C521" t="s">
        <v>735</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768</v>
      </c>
      <c r="B522">
        <v>2007</v>
      </c>
      <c r="C522" t="s">
        <v>735</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768</v>
      </c>
      <c r="B523">
        <v>2006</v>
      </c>
      <c r="C523" t="s">
        <v>735</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768</v>
      </c>
      <c r="B524">
        <v>2005</v>
      </c>
      <c r="C524" t="s">
        <v>735</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768</v>
      </c>
      <c r="B525">
        <v>2004</v>
      </c>
      <c r="C525" t="s">
        <v>735</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768</v>
      </c>
      <c r="B526">
        <v>2003</v>
      </c>
      <c r="C526" t="s">
        <v>735</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768</v>
      </c>
      <c r="B527">
        <v>2002</v>
      </c>
      <c r="C527" t="s">
        <v>735</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768</v>
      </c>
      <c r="B528">
        <v>2001</v>
      </c>
      <c r="C528" t="s">
        <v>735</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768</v>
      </c>
      <c r="B529">
        <v>2000</v>
      </c>
      <c r="C529" t="s">
        <v>735</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769</v>
      </c>
      <c r="B530">
        <v>2015</v>
      </c>
      <c r="C530" t="s">
        <v>735</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769</v>
      </c>
      <c r="B531">
        <v>2014</v>
      </c>
      <c r="C531" t="s">
        <v>735</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769</v>
      </c>
      <c r="B532">
        <v>2013</v>
      </c>
      <c r="C532" t="s">
        <v>735</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769</v>
      </c>
      <c r="B533">
        <v>2012</v>
      </c>
      <c r="C533" t="s">
        <v>735</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769</v>
      </c>
      <c r="B534">
        <v>2011</v>
      </c>
      <c r="C534" t="s">
        <v>735</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769</v>
      </c>
      <c r="B535">
        <v>2010</v>
      </c>
      <c r="C535" t="s">
        <v>735</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769</v>
      </c>
      <c r="B536">
        <v>2009</v>
      </c>
      <c r="C536" t="s">
        <v>735</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769</v>
      </c>
      <c r="B537">
        <v>2008</v>
      </c>
      <c r="C537" t="s">
        <v>735</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769</v>
      </c>
      <c r="B538">
        <v>2007</v>
      </c>
      <c r="C538" t="s">
        <v>735</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769</v>
      </c>
      <c r="B539">
        <v>2006</v>
      </c>
      <c r="C539" t="s">
        <v>735</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769</v>
      </c>
      <c r="B540">
        <v>2005</v>
      </c>
      <c r="C540" t="s">
        <v>735</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769</v>
      </c>
      <c r="B541">
        <v>2004</v>
      </c>
      <c r="C541" t="s">
        <v>735</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769</v>
      </c>
      <c r="B542">
        <v>2003</v>
      </c>
      <c r="C542" t="s">
        <v>735</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769</v>
      </c>
      <c r="B543">
        <v>2002</v>
      </c>
      <c r="C543" t="s">
        <v>735</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769</v>
      </c>
      <c r="B544">
        <v>2001</v>
      </c>
      <c r="C544" t="s">
        <v>735</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769</v>
      </c>
      <c r="B545">
        <v>2000</v>
      </c>
      <c r="C545" t="s">
        <v>735</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770</v>
      </c>
      <c r="B546">
        <v>2015</v>
      </c>
      <c r="C546" t="s">
        <v>735</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770</v>
      </c>
      <c r="B547">
        <v>2014</v>
      </c>
      <c r="C547" t="s">
        <v>735</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770</v>
      </c>
      <c r="B548">
        <v>2013</v>
      </c>
      <c r="C548" t="s">
        <v>735</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770</v>
      </c>
      <c r="B549">
        <v>2012</v>
      </c>
      <c r="C549" t="s">
        <v>735</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770</v>
      </c>
      <c r="B550">
        <v>2011</v>
      </c>
      <c r="C550" t="s">
        <v>735</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770</v>
      </c>
      <c r="B551">
        <v>2010</v>
      </c>
      <c r="C551" t="s">
        <v>735</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770</v>
      </c>
      <c r="B552">
        <v>2009</v>
      </c>
      <c r="C552" t="s">
        <v>735</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770</v>
      </c>
      <c r="B553">
        <v>2008</v>
      </c>
      <c r="C553" t="s">
        <v>735</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770</v>
      </c>
      <c r="B554">
        <v>2007</v>
      </c>
      <c r="C554" t="s">
        <v>735</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770</v>
      </c>
      <c r="B555">
        <v>2006</v>
      </c>
      <c r="C555" t="s">
        <v>735</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770</v>
      </c>
      <c r="B556">
        <v>2005</v>
      </c>
      <c r="C556" t="s">
        <v>735</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770</v>
      </c>
      <c r="B557">
        <v>2004</v>
      </c>
      <c r="C557" t="s">
        <v>735</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770</v>
      </c>
      <c r="B558">
        <v>2003</v>
      </c>
      <c r="C558" t="s">
        <v>735</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770</v>
      </c>
      <c r="B559">
        <v>2002</v>
      </c>
      <c r="C559" t="s">
        <v>735</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770</v>
      </c>
      <c r="B560">
        <v>2001</v>
      </c>
      <c r="C560" t="s">
        <v>735</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770</v>
      </c>
      <c r="B561">
        <v>2000</v>
      </c>
      <c r="C561" t="s">
        <v>735</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771</v>
      </c>
      <c r="B562">
        <v>2015</v>
      </c>
      <c r="C562" t="s">
        <v>735</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771</v>
      </c>
      <c r="B563">
        <v>2014</v>
      </c>
      <c r="C563" t="s">
        <v>735</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771</v>
      </c>
      <c r="B564">
        <v>2013</v>
      </c>
      <c r="C564" t="s">
        <v>735</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771</v>
      </c>
      <c r="B565">
        <v>2012</v>
      </c>
      <c r="C565" t="s">
        <v>735</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771</v>
      </c>
      <c r="B566">
        <v>2011</v>
      </c>
      <c r="C566" t="s">
        <v>735</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771</v>
      </c>
      <c r="B567">
        <v>2010</v>
      </c>
      <c r="C567" t="s">
        <v>735</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771</v>
      </c>
      <c r="B568">
        <v>2009</v>
      </c>
      <c r="C568" t="s">
        <v>735</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771</v>
      </c>
      <c r="B569">
        <v>2008</v>
      </c>
      <c r="C569" t="s">
        <v>735</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771</v>
      </c>
      <c r="B570">
        <v>2007</v>
      </c>
      <c r="C570" t="s">
        <v>735</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771</v>
      </c>
      <c r="B571">
        <v>2006</v>
      </c>
      <c r="C571" t="s">
        <v>735</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771</v>
      </c>
      <c r="B572">
        <v>2005</v>
      </c>
      <c r="C572" t="s">
        <v>735</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771</v>
      </c>
      <c r="B573">
        <v>2004</v>
      </c>
      <c r="C573" t="s">
        <v>735</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771</v>
      </c>
      <c r="B574">
        <v>2003</v>
      </c>
      <c r="C574" t="s">
        <v>735</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771</v>
      </c>
      <c r="B575">
        <v>2002</v>
      </c>
      <c r="C575" t="s">
        <v>735</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771</v>
      </c>
      <c r="B576">
        <v>2001</v>
      </c>
      <c r="C576" t="s">
        <v>735</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771</v>
      </c>
      <c r="B577">
        <v>2000</v>
      </c>
      <c r="C577" t="s">
        <v>735</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772</v>
      </c>
      <c r="B578">
        <v>2015</v>
      </c>
      <c r="C578" t="s">
        <v>735</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772</v>
      </c>
      <c r="B579">
        <v>2014</v>
      </c>
      <c r="C579" t="s">
        <v>735</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772</v>
      </c>
      <c r="B580">
        <v>2013</v>
      </c>
      <c r="C580" t="s">
        <v>735</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772</v>
      </c>
      <c r="B581">
        <v>2012</v>
      </c>
      <c r="C581" t="s">
        <v>735</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772</v>
      </c>
      <c r="B582">
        <v>2011</v>
      </c>
      <c r="C582" t="s">
        <v>735</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772</v>
      </c>
      <c r="B583">
        <v>2010</v>
      </c>
      <c r="C583" t="s">
        <v>735</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772</v>
      </c>
      <c r="B584">
        <v>2009</v>
      </c>
      <c r="C584" t="s">
        <v>735</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772</v>
      </c>
      <c r="B585">
        <v>2008</v>
      </c>
      <c r="C585" t="s">
        <v>735</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772</v>
      </c>
      <c r="B586">
        <v>2007</v>
      </c>
      <c r="C586" t="s">
        <v>735</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772</v>
      </c>
      <c r="B587">
        <v>2006</v>
      </c>
      <c r="C587" t="s">
        <v>735</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772</v>
      </c>
      <c r="B588">
        <v>2005</v>
      </c>
      <c r="C588" t="s">
        <v>735</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772</v>
      </c>
      <c r="B589">
        <v>2004</v>
      </c>
      <c r="C589" t="s">
        <v>735</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772</v>
      </c>
      <c r="B590">
        <v>2003</v>
      </c>
      <c r="C590" t="s">
        <v>735</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772</v>
      </c>
      <c r="B591">
        <v>2002</v>
      </c>
      <c r="C591" t="s">
        <v>735</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772</v>
      </c>
      <c r="B592">
        <v>2001</v>
      </c>
      <c r="C592" t="s">
        <v>735</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772</v>
      </c>
      <c r="B593">
        <v>2000</v>
      </c>
      <c r="C593" t="s">
        <v>735</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773</v>
      </c>
      <c r="B594">
        <v>2015</v>
      </c>
      <c r="C594" t="s">
        <v>735</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773</v>
      </c>
      <c r="B595">
        <v>2014</v>
      </c>
      <c r="C595" t="s">
        <v>735</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773</v>
      </c>
      <c r="B596">
        <v>2013</v>
      </c>
      <c r="C596" t="s">
        <v>735</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773</v>
      </c>
      <c r="B597">
        <v>2012</v>
      </c>
      <c r="C597" t="s">
        <v>735</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773</v>
      </c>
      <c r="B598">
        <v>2011</v>
      </c>
      <c r="C598" t="s">
        <v>735</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773</v>
      </c>
      <c r="B599">
        <v>2010</v>
      </c>
      <c r="C599" t="s">
        <v>735</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773</v>
      </c>
      <c r="B600">
        <v>2009</v>
      </c>
      <c r="C600" t="s">
        <v>735</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773</v>
      </c>
      <c r="B601">
        <v>2008</v>
      </c>
      <c r="C601" t="s">
        <v>735</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773</v>
      </c>
      <c r="B602">
        <v>2007</v>
      </c>
      <c r="C602" t="s">
        <v>735</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773</v>
      </c>
      <c r="B603">
        <v>2006</v>
      </c>
      <c r="C603" t="s">
        <v>735</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773</v>
      </c>
      <c r="B604">
        <v>2005</v>
      </c>
      <c r="C604" t="s">
        <v>735</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773</v>
      </c>
      <c r="B605">
        <v>2004</v>
      </c>
      <c r="C605" t="s">
        <v>735</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773</v>
      </c>
      <c r="B606">
        <v>2003</v>
      </c>
      <c r="C606" t="s">
        <v>735</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773</v>
      </c>
      <c r="B607">
        <v>2002</v>
      </c>
      <c r="C607" t="s">
        <v>735</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773</v>
      </c>
      <c r="B608">
        <v>2001</v>
      </c>
      <c r="C608" t="s">
        <v>735</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773</v>
      </c>
      <c r="B609">
        <v>2000</v>
      </c>
      <c r="C609" t="s">
        <v>735</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774</v>
      </c>
      <c r="B610">
        <v>2015</v>
      </c>
      <c r="C610" t="s">
        <v>735</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774</v>
      </c>
      <c r="B611">
        <v>2014</v>
      </c>
      <c r="C611" t="s">
        <v>735</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774</v>
      </c>
      <c r="B612">
        <v>2013</v>
      </c>
      <c r="C612" t="s">
        <v>735</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774</v>
      </c>
      <c r="B613">
        <v>2012</v>
      </c>
      <c r="C613" t="s">
        <v>735</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774</v>
      </c>
      <c r="B614">
        <v>2011</v>
      </c>
      <c r="C614" t="s">
        <v>735</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774</v>
      </c>
      <c r="B615">
        <v>2010</v>
      </c>
      <c r="C615" t="s">
        <v>735</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774</v>
      </c>
      <c r="B616">
        <v>2009</v>
      </c>
      <c r="C616" t="s">
        <v>735</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774</v>
      </c>
      <c r="B617">
        <v>2008</v>
      </c>
      <c r="C617" t="s">
        <v>735</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774</v>
      </c>
      <c r="B618">
        <v>2007</v>
      </c>
      <c r="C618" t="s">
        <v>735</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774</v>
      </c>
      <c r="B619">
        <v>2006</v>
      </c>
      <c r="C619" t="s">
        <v>735</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774</v>
      </c>
      <c r="B620">
        <v>2005</v>
      </c>
      <c r="C620" t="s">
        <v>735</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774</v>
      </c>
      <c r="B621">
        <v>2004</v>
      </c>
      <c r="C621" t="s">
        <v>735</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774</v>
      </c>
      <c r="B622">
        <v>2003</v>
      </c>
      <c r="C622" t="s">
        <v>735</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774</v>
      </c>
      <c r="B623">
        <v>2002</v>
      </c>
      <c r="C623" t="s">
        <v>735</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774</v>
      </c>
      <c r="B624">
        <v>2001</v>
      </c>
      <c r="C624" t="s">
        <v>735</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774</v>
      </c>
      <c r="B625">
        <v>2000</v>
      </c>
      <c r="C625" t="s">
        <v>735</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775</v>
      </c>
      <c r="B626">
        <v>2013</v>
      </c>
      <c r="C626" t="s">
        <v>735</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776</v>
      </c>
      <c r="B627">
        <v>2015</v>
      </c>
      <c r="C627" t="s">
        <v>735</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776</v>
      </c>
      <c r="B628">
        <v>2014</v>
      </c>
      <c r="C628" t="s">
        <v>735</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776</v>
      </c>
      <c r="B629">
        <v>2013</v>
      </c>
      <c r="C629" t="s">
        <v>735</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776</v>
      </c>
      <c r="B630">
        <v>2012</v>
      </c>
      <c r="C630" t="s">
        <v>735</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776</v>
      </c>
      <c r="B631">
        <v>2011</v>
      </c>
      <c r="C631" t="s">
        <v>735</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776</v>
      </c>
      <c r="B632">
        <v>2010</v>
      </c>
      <c r="C632" t="s">
        <v>735</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776</v>
      </c>
      <c r="B633">
        <v>2009</v>
      </c>
      <c r="C633" t="s">
        <v>735</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776</v>
      </c>
      <c r="B634">
        <v>2008</v>
      </c>
      <c r="C634" t="s">
        <v>735</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776</v>
      </c>
      <c r="B635">
        <v>2007</v>
      </c>
      <c r="C635" t="s">
        <v>735</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776</v>
      </c>
      <c r="B636">
        <v>2006</v>
      </c>
      <c r="C636" t="s">
        <v>735</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776</v>
      </c>
      <c r="B637">
        <v>2005</v>
      </c>
      <c r="C637" t="s">
        <v>735</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776</v>
      </c>
      <c r="B638">
        <v>2004</v>
      </c>
      <c r="C638" t="s">
        <v>735</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776</v>
      </c>
      <c r="B639">
        <v>2003</v>
      </c>
      <c r="C639" t="s">
        <v>735</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776</v>
      </c>
      <c r="B640">
        <v>2002</v>
      </c>
      <c r="C640" t="s">
        <v>735</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776</v>
      </c>
      <c r="B641">
        <v>2001</v>
      </c>
      <c r="C641" t="s">
        <v>735</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776</v>
      </c>
      <c r="B642">
        <v>2000</v>
      </c>
      <c r="C642" t="s">
        <v>735</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777</v>
      </c>
      <c r="B643">
        <v>2015</v>
      </c>
      <c r="C643" t="s">
        <v>743</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777</v>
      </c>
      <c r="B644">
        <v>2014</v>
      </c>
      <c r="C644" t="s">
        <v>743</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777</v>
      </c>
      <c r="B645">
        <v>2013</v>
      </c>
      <c r="C645" t="s">
        <v>743</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777</v>
      </c>
      <c r="B646">
        <v>2012</v>
      </c>
      <c r="C646" t="s">
        <v>743</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777</v>
      </c>
      <c r="B647">
        <v>2011</v>
      </c>
      <c r="C647" t="s">
        <v>743</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777</v>
      </c>
      <c r="B648">
        <v>2010</v>
      </c>
      <c r="C648" t="s">
        <v>743</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777</v>
      </c>
      <c r="B649">
        <v>2009</v>
      </c>
      <c r="C649" t="s">
        <v>743</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777</v>
      </c>
      <c r="B650">
        <v>2008</v>
      </c>
      <c r="C650" t="s">
        <v>743</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777</v>
      </c>
      <c r="B651">
        <v>2007</v>
      </c>
      <c r="C651" t="s">
        <v>743</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777</v>
      </c>
      <c r="B652">
        <v>2006</v>
      </c>
      <c r="C652" t="s">
        <v>743</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777</v>
      </c>
      <c r="B653">
        <v>2005</v>
      </c>
      <c r="C653" t="s">
        <v>743</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777</v>
      </c>
      <c r="B654">
        <v>2004</v>
      </c>
      <c r="C654" t="s">
        <v>743</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777</v>
      </c>
      <c r="B655">
        <v>2003</v>
      </c>
      <c r="C655" t="s">
        <v>743</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777</v>
      </c>
      <c r="B656">
        <v>2002</v>
      </c>
      <c r="C656" t="s">
        <v>743</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777</v>
      </c>
      <c r="B657">
        <v>2001</v>
      </c>
      <c r="C657" t="s">
        <v>743</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777</v>
      </c>
      <c r="B658">
        <v>2000</v>
      </c>
      <c r="C658" t="s">
        <v>743</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778</v>
      </c>
      <c r="B659">
        <v>2015</v>
      </c>
      <c r="C659" t="s">
        <v>735</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778</v>
      </c>
      <c r="B660">
        <v>2014</v>
      </c>
      <c r="C660" t="s">
        <v>735</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778</v>
      </c>
      <c r="B661">
        <v>2013</v>
      </c>
      <c r="C661" t="s">
        <v>735</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778</v>
      </c>
      <c r="B662">
        <v>2012</v>
      </c>
      <c r="C662" t="s">
        <v>735</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778</v>
      </c>
      <c r="B663">
        <v>2011</v>
      </c>
      <c r="C663" t="s">
        <v>735</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778</v>
      </c>
      <c r="B664">
        <v>2010</v>
      </c>
      <c r="C664" t="s">
        <v>735</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778</v>
      </c>
      <c r="B665">
        <v>2009</v>
      </c>
      <c r="C665" t="s">
        <v>735</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778</v>
      </c>
      <c r="B666">
        <v>2008</v>
      </c>
      <c r="C666" t="s">
        <v>735</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778</v>
      </c>
      <c r="B667">
        <v>2007</v>
      </c>
      <c r="C667" t="s">
        <v>735</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778</v>
      </c>
      <c r="B668">
        <v>2006</v>
      </c>
      <c r="C668" t="s">
        <v>735</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778</v>
      </c>
      <c r="B669">
        <v>2005</v>
      </c>
      <c r="C669" t="s">
        <v>735</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778</v>
      </c>
      <c r="B670">
        <v>2004</v>
      </c>
      <c r="C670" t="s">
        <v>735</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778</v>
      </c>
      <c r="B671">
        <v>2003</v>
      </c>
      <c r="C671" t="s">
        <v>735</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778</v>
      </c>
      <c r="B672">
        <v>2002</v>
      </c>
      <c r="C672" t="s">
        <v>735</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778</v>
      </c>
      <c r="B673">
        <v>2001</v>
      </c>
      <c r="C673" t="s">
        <v>735</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778</v>
      </c>
      <c r="B674">
        <v>2000</v>
      </c>
      <c r="C674" t="s">
        <v>735</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779</v>
      </c>
      <c r="B675">
        <v>2015</v>
      </c>
      <c r="C675" t="s">
        <v>743</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779</v>
      </c>
      <c r="B676">
        <v>2014</v>
      </c>
      <c r="C676" t="s">
        <v>743</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779</v>
      </c>
      <c r="B677">
        <v>2013</v>
      </c>
      <c r="C677" t="s">
        <v>743</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779</v>
      </c>
      <c r="B678">
        <v>2012</v>
      </c>
      <c r="C678" t="s">
        <v>743</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779</v>
      </c>
      <c r="B679">
        <v>2011</v>
      </c>
      <c r="C679" t="s">
        <v>743</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779</v>
      </c>
      <c r="B680">
        <v>2010</v>
      </c>
      <c r="C680" t="s">
        <v>743</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779</v>
      </c>
      <c r="B681">
        <v>2009</v>
      </c>
      <c r="C681" t="s">
        <v>743</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779</v>
      </c>
      <c r="B682">
        <v>2008</v>
      </c>
      <c r="C682" t="s">
        <v>743</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779</v>
      </c>
      <c r="B683">
        <v>2007</v>
      </c>
      <c r="C683" t="s">
        <v>743</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779</v>
      </c>
      <c r="B684">
        <v>2006</v>
      </c>
      <c r="C684" t="s">
        <v>743</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779</v>
      </c>
      <c r="B685">
        <v>2005</v>
      </c>
      <c r="C685" t="s">
        <v>743</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779</v>
      </c>
      <c r="B686">
        <v>2004</v>
      </c>
      <c r="C686" t="s">
        <v>743</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779</v>
      </c>
      <c r="B687">
        <v>2003</v>
      </c>
      <c r="C687" t="s">
        <v>743</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779</v>
      </c>
      <c r="B688">
        <v>2002</v>
      </c>
      <c r="C688" t="s">
        <v>743</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779</v>
      </c>
      <c r="B689">
        <v>2001</v>
      </c>
      <c r="C689" t="s">
        <v>743</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779</v>
      </c>
      <c r="B690">
        <v>2000</v>
      </c>
      <c r="C690" t="s">
        <v>743</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780</v>
      </c>
      <c r="B691">
        <v>2015</v>
      </c>
      <c r="C691" t="s">
        <v>743</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780</v>
      </c>
      <c r="B692">
        <v>2014</v>
      </c>
      <c r="C692" t="s">
        <v>743</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780</v>
      </c>
      <c r="B693">
        <v>2013</v>
      </c>
      <c r="C693" t="s">
        <v>743</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780</v>
      </c>
      <c r="B694">
        <v>2012</v>
      </c>
      <c r="C694" t="s">
        <v>743</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780</v>
      </c>
      <c r="B695">
        <v>2011</v>
      </c>
      <c r="C695" t="s">
        <v>743</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780</v>
      </c>
      <c r="B696">
        <v>2010</v>
      </c>
      <c r="C696" t="s">
        <v>743</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780</v>
      </c>
      <c r="B697">
        <v>2009</v>
      </c>
      <c r="C697" t="s">
        <v>743</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780</v>
      </c>
      <c r="B698">
        <v>2008</v>
      </c>
      <c r="C698" t="s">
        <v>743</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780</v>
      </c>
      <c r="B699">
        <v>2007</v>
      </c>
      <c r="C699" t="s">
        <v>743</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780</v>
      </c>
      <c r="B700">
        <v>2006</v>
      </c>
      <c r="C700" t="s">
        <v>743</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780</v>
      </c>
      <c r="B701">
        <v>2005</v>
      </c>
      <c r="C701" t="s">
        <v>743</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780</v>
      </c>
      <c r="B702">
        <v>2004</v>
      </c>
      <c r="C702" t="s">
        <v>743</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780</v>
      </c>
      <c r="B703">
        <v>2003</v>
      </c>
      <c r="C703" t="s">
        <v>743</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780</v>
      </c>
      <c r="B704">
        <v>2002</v>
      </c>
      <c r="C704" t="s">
        <v>743</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780</v>
      </c>
      <c r="B705">
        <v>2001</v>
      </c>
      <c r="C705" t="s">
        <v>743</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780</v>
      </c>
      <c r="B706">
        <v>2000</v>
      </c>
      <c r="C706" t="s">
        <v>743</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781</v>
      </c>
      <c r="B707">
        <v>2015</v>
      </c>
      <c r="C707" t="s">
        <v>735</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781</v>
      </c>
      <c r="B708">
        <v>2014</v>
      </c>
      <c r="C708" t="s">
        <v>735</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781</v>
      </c>
      <c r="B709">
        <v>2013</v>
      </c>
      <c r="C709" t="s">
        <v>735</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781</v>
      </c>
      <c r="B710">
        <v>2012</v>
      </c>
      <c r="C710" t="s">
        <v>735</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781</v>
      </c>
      <c r="B711">
        <v>2011</v>
      </c>
      <c r="C711" t="s">
        <v>735</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781</v>
      </c>
      <c r="B712">
        <v>2010</v>
      </c>
      <c r="C712" t="s">
        <v>735</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781</v>
      </c>
      <c r="B713">
        <v>2009</v>
      </c>
      <c r="C713" t="s">
        <v>735</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781</v>
      </c>
      <c r="B714">
        <v>2008</v>
      </c>
      <c r="C714" t="s">
        <v>735</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781</v>
      </c>
      <c r="B715">
        <v>2007</v>
      </c>
      <c r="C715" t="s">
        <v>735</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781</v>
      </c>
      <c r="B716">
        <v>2006</v>
      </c>
      <c r="C716" t="s">
        <v>735</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781</v>
      </c>
      <c r="B717">
        <v>2005</v>
      </c>
      <c r="C717" t="s">
        <v>735</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781</v>
      </c>
      <c r="B718">
        <v>2004</v>
      </c>
      <c r="C718" t="s">
        <v>735</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781</v>
      </c>
      <c r="B719">
        <v>2003</v>
      </c>
      <c r="C719" t="s">
        <v>735</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781</v>
      </c>
      <c r="B720">
        <v>2002</v>
      </c>
      <c r="C720" t="s">
        <v>735</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781</v>
      </c>
      <c r="B721">
        <v>2001</v>
      </c>
      <c r="C721" t="s">
        <v>735</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781</v>
      </c>
      <c r="B722">
        <v>2000</v>
      </c>
      <c r="C722" t="s">
        <v>735</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782</v>
      </c>
      <c r="B723">
        <v>2015</v>
      </c>
      <c r="C723" t="s">
        <v>735</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782</v>
      </c>
      <c r="B724">
        <v>2014</v>
      </c>
      <c r="C724" t="s">
        <v>735</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782</v>
      </c>
      <c r="B725">
        <v>2013</v>
      </c>
      <c r="C725" t="s">
        <v>735</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782</v>
      </c>
      <c r="B726">
        <v>2012</v>
      </c>
      <c r="C726" t="s">
        <v>735</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782</v>
      </c>
      <c r="B727">
        <v>2011</v>
      </c>
      <c r="C727" t="s">
        <v>735</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782</v>
      </c>
      <c r="B728">
        <v>2010</v>
      </c>
      <c r="C728" t="s">
        <v>735</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782</v>
      </c>
      <c r="B729">
        <v>2009</v>
      </c>
      <c r="C729" t="s">
        <v>735</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782</v>
      </c>
      <c r="B730">
        <v>2008</v>
      </c>
      <c r="C730" t="s">
        <v>735</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782</v>
      </c>
      <c r="B731">
        <v>2007</v>
      </c>
      <c r="C731" t="s">
        <v>735</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782</v>
      </c>
      <c r="B732">
        <v>2006</v>
      </c>
      <c r="C732" t="s">
        <v>735</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782</v>
      </c>
      <c r="B733">
        <v>2005</v>
      </c>
      <c r="C733" t="s">
        <v>735</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782</v>
      </c>
      <c r="B734">
        <v>2004</v>
      </c>
      <c r="C734" t="s">
        <v>735</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782</v>
      </c>
      <c r="B735">
        <v>2003</v>
      </c>
      <c r="C735" t="s">
        <v>735</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782</v>
      </c>
      <c r="B736">
        <v>2002</v>
      </c>
      <c r="C736" t="s">
        <v>735</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782</v>
      </c>
      <c r="B737">
        <v>2001</v>
      </c>
      <c r="C737" t="s">
        <v>735</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782</v>
      </c>
      <c r="B738">
        <v>2000</v>
      </c>
      <c r="C738" t="s">
        <v>735</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783</v>
      </c>
      <c r="B739">
        <v>2015</v>
      </c>
      <c r="C739" t="s">
        <v>743</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783</v>
      </c>
      <c r="B740">
        <v>2014</v>
      </c>
      <c r="C740" t="s">
        <v>743</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783</v>
      </c>
      <c r="B741">
        <v>2013</v>
      </c>
      <c r="C741" t="s">
        <v>743</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783</v>
      </c>
      <c r="B742">
        <v>2012</v>
      </c>
      <c r="C742" t="s">
        <v>743</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783</v>
      </c>
      <c r="B743">
        <v>2011</v>
      </c>
      <c r="C743" t="s">
        <v>743</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783</v>
      </c>
      <c r="B744">
        <v>2010</v>
      </c>
      <c r="C744" t="s">
        <v>743</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783</v>
      </c>
      <c r="B745">
        <v>2009</v>
      </c>
      <c r="C745" t="s">
        <v>743</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783</v>
      </c>
      <c r="B746">
        <v>2008</v>
      </c>
      <c r="C746" t="s">
        <v>743</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783</v>
      </c>
      <c r="B747">
        <v>2007</v>
      </c>
      <c r="C747" t="s">
        <v>743</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783</v>
      </c>
      <c r="B748">
        <v>2006</v>
      </c>
      <c r="C748" t="s">
        <v>743</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783</v>
      </c>
      <c r="B749">
        <v>2005</v>
      </c>
      <c r="C749" t="s">
        <v>743</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783</v>
      </c>
      <c r="B750">
        <v>2004</v>
      </c>
      <c r="C750" t="s">
        <v>743</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783</v>
      </c>
      <c r="B751">
        <v>2003</v>
      </c>
      <c r="C751" t="s">
        <v>743</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783</v>
      </c>
      <c r="B752">
        <v>2002</v>
      </c>
      <c r="C752" t="s">
        <v>743</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783</v>
      </c>
      <c r="B753">
        <v>2001</v>
      </c>
      <c r="C753" t="s">
        <v>743</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783</v>
      </c>
      <c r="B754">
        <v>2000</v>
      </c>
      <c r="C754" t="s">
        <v>743</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784</v>
      </c>
      <c r="B755">
        <v>2015</v>
      </c>
      <c r="C755" t="s">
        <v>735</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784</v>
      </c>
      <c r="B756">
        <v>2014</v>
      </c>
      <c r="C756" t="s">
        <v>735</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784</v>
      </c>
      <c r="B757">
        <v>2013</v>
      </c>
      <c r="C757" t="s">
        <v>735</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784</v>
      </c>
      <c r="B758">
        <v>2012</v>
      </c>
      <c r="C758" t="s">
        <v>735</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784</v>
      </c>
      <c r="B759">
        <v>2011</v>
      </c>
      <c r="C759" t="s">
        <v>735</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784</v>
      </c>
      <c r="B760">
        <v>2010</v>
      </c>
      <c r="C760" t="s">
        <v>735</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784</v>
      </c>
      <c r="B761">
        <v>2009</v>
      </c>
      <c r="C761" t="s">
        <v>735</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784</v>
      </c>
      <c r="B762">
        <v>2008</v>
      </c>
      <c r="C762" t="s">
        <v>735</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784</v>
      </c>
      <c r="B763">
        <v>2007</v>
      </c>
      <c r="C763" t="s">
        <v>735</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784</v>
      </c>
      <c r="B764">
        <v>2006</v>
      </c>
      <c r="C764" t="s">
        <v>735</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784</v>
      </c>
      <c r="B765">
        <v>2005</v>
      </c>
      <c r="C765" t="s">
        <v>735</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784</v>
      </c>
      <c r="B766">
        <v>2004</v>
      </c>
      <c r="C766" t="s">
        <v>735</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784</v>
      </c>
      <c r="B767">
        <v>2003</v>
      </c>
      <c r="C767" t="s">
        <v>735</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784</v>
      </c>
      <c r="B768">
        <v>2002</v>
      </c>
      <c r="C768" t="s">
        <v>735</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784</v>
      </c>
      <c r="B769">
        <v>2001</v>
      </c>
      <c r="C769" t="s">
        <v>735</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784</v>
      </c>
      <c r="B770">
        <v>2000</v>
      </c>
      <c r="C770" t="s">
        <v>735</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785</v>
      </c>
      <c r="B771">
        <v>2013</v>
      </c>
      <c r="C771" t="s">
        <v>735</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786</v>
      </c>
      <c r="B772">
        <v>2015</v>
      </c>
      <c r="C772" t="s">
        <v>735</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786</v>
      </c>
      <c r="B773">
        <v>2014</v>
      </c>
      <c r="C773" t="s">
        <v>735</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786</v>
      </c>
      <c r="B774">
        <v>2013</v>
      </c>
      <c r="C774" t="s">
        <v>735</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786</v>
      </c>
      <c r="B775">
        <v>2012</v>
      </c>
      <c r="C775" t="s">
        <v>735</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786</v>
      </c>
      <c r="B776">
        <v>2011</v>
      </c>
      <c r="C776" t="s">
        <v>735</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786</v>
      </c>
      <c r="B777">
        <v>2010</v>
      </c>
      <c r="C777" t="s">
        <v>735</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786</v>
      </c>
      <c r="B778">
        <v>2009</v>
      </c>
      <c r="C778" t="s">
        <v>735</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786</v>
      </c>
      <c r="B779">
        <v>2008</v>
      </c>
      <c r="C779" t="s">
        <v>735</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786</v>
      </c>
      <c r="B780">
        <v>2007</v>
      </c>
      <c r="C780" t="s">
        <v>735</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786</v>
      </c>
      <c r="B781">
        <v>2006</v>
      </c>
      <c r="C781" t="s">
        <v>735</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786</v>
      </c>
      <c r="B782">
        <v>2005</v>
      </c>
      <c r="C782" t="s">
        <v>735</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786</v>
      </c>
      <c r="B783">
        <v>2004</v>
      </c>
      <c r="C783" t="s">
        <v>735</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786</v>
      </c>
      <c r="B784">
        <v>2003</v>
      </c>
      <c r="C784" t="s">
        <v>735</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786</v>
      </c>
      <c r="B785">
        <v>2002</v>
      </c>
      <c r="C785" t="s">
        <v>735</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786</v>
      </c>
      <c r="B786">
        <v>2001</v>
      </c>
      <c r="C786" t="s">
        <v>735</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786</v>
      </c>
      <c r="B787">
        <v>2000</v>
      </c>
      <c r="C787" t="s">
        <v>735</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787</v>
      </c>
      <c r="B788">
        <v>2015</v>
      </c>
      <c r="C788" t="s">
        <v>735</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787</v>
      </c>
      <c r="B789">
        <v>2014</v>
      </c>
      <c r="C789" t="s">
        <v>735</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787</v>
      </c>
      <c r="B790">
        <v>2013</v>
      </c>
      <c r="C790" t="s">
        <v>735</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787</v>
      </c>
      <c r="B791">
        <v>2012</v>
      </c>
      <c r="C791" t="s">
        <v>735</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787</v>
      </c>
      <c r="B792">
        <v>2011</v>
      </c>
      <c r="C792" t="s">
        <v>735</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787</v>
      </c>
      <c r="B793">
        <v>2010</v>
      </c>
      <c r="C793" t="s">
        <v>735</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787</v>
      </c>
      <c r="B794">
        <v>2009</v>
      </c>
      <c r="C794" t="s">
        <v>735</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787</v>
      </c>
      <c r="B795">
        <v>2008</v>
      </c>
      <c r="C795" t="s">
        <v>735</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787</v>
      </c>
      <c r="B796">
        <v>2007</v>
      </c>
      <c r="C796" t="s">
        <v>735</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787</v>
      </c>
      <c r="B797">
        <v>2006</v>
      </c>
      <c r="C797" t="s">
        <v>735</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787</v>
      </c>
      <c r="B798">
        <v>2005</v>
      </c>
      <c r="C798" t="s">
        <v>735</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787</v>
      </c>
      <c r="B799">
        <v>2004</v>
      </c>
      <c r="C799" t="s">
        <v>735</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787</v>
      </c>
      <c r="B800">
        <v>2003</v>
      </c>
      <c r="C800" t="s">
        <v>735</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787</v>
      </c>
      <c r="B801">
        <v>2002</v>
      </c>
      <c r="C801" t="s">
        <v>735</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787</v>
      </c>
      <c r="B802">
        <v>2001</v>
      </c>
      <c r="C802" t="s">
        <v>735</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787</v>
      </c>
      <c r="B803">
        <v>2000</v>
      </c>
      <c r="C803" t="s">
        <v>735</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788</v>
      </c>
      <c r="B804">
        <v>2015</v>
      </c>
      <c r="C804" t="s">
        <v>735</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788</v>
      </c>
      <c r="B805">
        <v>2014</v>
      </c>
      <c r="C805" t="s">
        <v>735</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788</v>
      </c>
      <c r="B806">
        <v>2013</v>
      </c>
      <c r="C806" t="s">
        <v>735</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788</v>
      </c>
      <c r="B807">
        <v>2012</v>
      </c>
      <c r="C807" t="s">
        <v>735</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788</v>
      </c>
      <c r="B808">
        <v>2011</v>
      </c>
      <c r="C808" t="s">
        <v>735</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788</v>
      </c>
      <c r="B809">
        <v>2010</v>
      </c>
      <c r="C809" t="s">
        <v>735</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788</v>
      </c>
      <c r="B810">
        <v>2009</v>
      </c>
      <c r="C810" t="s">
        <v>735</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788</v>
      </c>
      <c r="B811">
        <v>2008</v>
      </c>
      <c r="C811" t="s">
        <v>735</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788</v>
      </c>
      <c r="B812">
        <v>2007</v>
      </c>
      <c r="C812" t="s">
        <v>735</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788</v>
      </c>
      <c r="B813">
        <v>2006</v>
      </c>
      <c r="C813" t="s">
        <v>735</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788</v>
      </c>
      <c r="B814">
        <v>2005</v>
      </c>
      <c r="C814" t="s">
        <v>735</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788</v>
      </c>
      <c r="B815">
        <v>2004</v>
      </c>
      <c r="C815" t="s">
        <v>735</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788</v>
      </c>
      <c r="B816">
        <v>2003</v>
      </c>
      <c r="C816" t="s">
        <v>735</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788</v>
      </c>
      <c r="B817">
        <v>2002</v>
      </c>
      <c r="C817" t="s">
        <v>735</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788</v>
      </c>
      <c r="B818">
        <v>2001</v>
      </c>
      <c r="C818" t="s">
        <v>735</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788</v>
      </c>
      <c r="B819">
        <v>2000</v>
      </c>
      <c r="C819" t="s">
        <v>735</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789</v>
      </c>
      <c r="B820">
        <v>2015</v>
      </c>
      <c r="C820" t="s">
        <v>735</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789</v>
      </c>
      <c r="B821">
        <v>2014</v>
      </c>
      <c r="C821" t="s">
        <v>735</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789</v>
      </c>
      <c r="B822">
        <v>2013</v>
      </c>
      <c r="C822" t="s">
        <v>735</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789</v>
      </c>
      <c r="B823">
        <v>2012</v>
      </c>
      <c r="C823" t="s">
        <v>735</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789</v>
      </c>
      <c r="B824">
        <v>2011</v>
      </c>
      <c r="C824" t="s">
        <v>735</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789</v>
      </c>
      <c r="B825">
        <v>2010</v>
      </c>
      <c r="C825" t="s">
        <v>735</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789</v>
      </c>
      <c r="B826">
        <v>2009</v>
      </c>
      <c r="C826" t="s">
        <v>735</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789</v>
      </c>
      <c r="B827">
        <v>2008</v>
      </c>
      <c r="C827" t="s">
        <v>735</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789</v>
      </c>
      <c r="B828">
        <v>2007</v>
      </c>
      <c r="C828" t="s">
        <v>735</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789</v>
      </c>
      <c r="B829">
        <v>2006</v>
      </c>
      <c r="C829" t="s">
        <v>735</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789</v>
      </c>
      <c r="B830">
        <v>2005</v>
      </c>
      <c r="C830" t="s">
        <v>735</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789</v>
      </c>
      <c r="B831">
        <v>2004</v>
      </c>
      <c r="C831" t="s">
        <v>735</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789</v>
      </c>
      <c r="B832">
        <v>2003</v>
      </c>
      <c r="C832" t="s">
        <v>735</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789</v>
      </c>
      <c r="B833">
        <v>2002</v>
      </c>
      <c r="C833" t="s">
        <v>735</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789</v>
      </c>
      <c r="B834">
        <v>2001</v>
      </c>
      <c r="C834" t="s">
        <v>735</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789</v>
      </c>
      <c r="B835">
        <v>2000</v>
      </c>
      <c r="C835" t="s">
        <v>735</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790</v>
      </c>
      <c r="B836">
        <v>2015</v>
      </c>
      <c r="C836" t="s">
        <v>735</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790</v>
      </c>
      <c r="B837">
        <v>2014</v>
      </c>
      <c r="C837" t="s">
        <v>735</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790</v>
      </c>
      <c r="B838">
        <v>2013</v>
      </c>
      <c r="C838" t="s">
        <v>735</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790</v>
      </c>
      <c r="B839">
        <v>2012</v>
      </c>
      <c r="C839" t="s">
        <v>735</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790</v>
      </c>
      <c r="B840">
        <v>2011</v>
      </c>
      <c r="C840" t="s">
        <v>735</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790</v>
      </c>
      <c r="B841">
        <v>2010</v>
      </c>
      <c r="C841" t="s">
        <v>735</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790</v>
      </c>
      <c r="B842">
        <v>2009</v>
      </c>
      <c r="C842" t="s">
        <v>735</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790</v>
      </c>
      <c r="B843">
        <v>2008</v>
      </c>
      <c r="C843" t="s">
        <v>735</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790</v>
      </c>
      <c r="B844">
        <v>2007</v>
      </c>
      <c r="C844" t="s">
        <v>735</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790</v>
      </c>
      <c r="B845">
        <v>2006</v>
      </c>
      <c r="C845" t="s">
        <v>735</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790</v>
      </c>
      <c r="B846">
        <v>2005</v>
      </c>
      <c r="C846" t="s">
        <v>735</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790</v>
      </c>
      <c r="B847">
        <v>2004</v>
      </c>
      <c r="C847" t="s">
        <v>735</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790</v>
      </c>
      <c r="B848">
        <v>2003</v>
      </c>
      <c r="C848" t="s">
        <v>735</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790</v>
      </c>
      <c r="B849">
        <v>2002</v>
      </c>
      <c r="C849" t="s">
        <v>735</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790</v>
      </c>
      <c r="B850">
        <v>2001</v>
      </c>
      <c r="C850" t="s">
        <v>735</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790</v>
      </c>
      <c r="B851">
        <v>2000</v>
      </c>
      <c r="C851" t="s">
        <v>735</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791</v>
      </c>
      <c r="B852">
        <v>2015</v>
      </c>
      <c r="C852" t="s">
        <v>735</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791</v>
      </c>
      <c r="B853">
        <v>2014</v>
      </c>
      <c r="C853" t="s">
        <v>735</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791</v>
      </c>
      <c r="B854">
        <v>2013</v>
      </c>
      <c r="C854" t="s">
        <v>735</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791</v>
      </c>
      <c r="B855">
        <v>2012</v>
      </c>
      <c r="C855" t="s">
        <v>735</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791</v>
      </c>
      <c r="B856">
        <v>2011</v>
      </c>
      <c r="C856" t="s">
        <v>735</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791</v>
      </c>
      <c r="B857">
        <v>2010</v>
      </c>
      <c r="C857" t="s">
        <v>735</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791</v>
      </c>
      <c r="B858">
        <v>2009</v>
      </c>
      <c r="C858" t="s">
        <v>735</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791</v>
      </c>
      <c r="B859">
        <v>2008</v>
      </c>
      <c r="C859" t="s">
        <v>735</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791</v>
      </c>
      <c r="B860">
        <v>2007</v>
      </c>
      <c r="C860" t="s">
        <v>735</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791</v>
      </c>
      <c r="B861">
        <v>2006</v>
      </c>
      <c r="C861" t="s">
        <v>735</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791</v>
      </c>
      <c r="B862">
        <v>2005</v>
      </c>
      <c r="C862" t="s">
        <v>735</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791</v>
      </c>
      <c r="B863">
        <v>2004</v>
      </c>
      <c r="C863" t="s">
        <v>735</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791</v>
      </c>
      <c r="B864">
        <v>2003</v>
      </c>
      <c r="C864" t="s">
        <v>735</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791</v>
      </c>
      <c r="B865">
        <v>2002</v>
      </c>
      <c r="C865" t="s">
        <v>735</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791</v>
      </c>
      <c r="B866">
        <v>2001</v>
      </c>
      <c r="C866" t="s">
        <v>735</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791</v>
      </c>
      <c r="B867">
        <v>2000</v>
      </c>
      <c r="C867" t="s">
        <v>735</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792</v>
      </c>
      <c r="B868">
        <v>2015</v>
      </c>
      <c r="C868" t="s">
        <v>735</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792</v>
      </c>
      <c r="B869">
        <v>2014</v>
      </c>
      <c r="C869" t="s">
        <v>735</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792</v>
      </c>
      <c r="B870">
        <v>2013</v>
      </c>
      <c r="C870" t="s">
        <v>735</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792</v>
      </c>
      <c r="B871">
        <v>2012</v>
      </c>
      <c r="C871" t="s">
        <v>735</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792</v>
      </c>
      <c r="B872">
        <v>2011</v>
      </c>
      <c r="C872" t="s">
        <v>735</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792</v>
      </c>
      <c r="B873">
        <v>2010</v>
      </c>
      <c r="C873" t="s">
        <v>735</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792</v>
      </c>
      <c r="B874">
        <v>2009</v>
      </c>
      <c r="C874" t="s">
        <v>735</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792</v>
      </c>
      <c r="B875">
        <v>2008</v>
      </c>
      <c r="C875" t="s">
        <v>735</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792</v>
      </c>
      <c r="B876">
        <v>2007</v>
      </c>
      <c r="C876" t="s">
        <v>735</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792</v>
      </c>
      <c r="B877">
        <v>2006</v>
      </c>
      <c r="C877" t="s">
        <v>735</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792</v>
      </c>
      <c r="B878">
        <v>2005</v>
      </c>
      <c r="C878" t="s">
        <v>735</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792</v>
      </c>
      <c r="B879">
        <v>2004</v>
      </c>
      <c r="C879" t="s">
        <v>735</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792</v>
      </c>
      <c r="B880">
        <v>2003</v>
      </c>
      <c r="C880" t="s">
        <v>735</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792</v>
      </c>
      <c r="B881">
        <v>2002</v>
      </c>
      <c r="C881" t="s">
        <v>735</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792</v>
      </c>
      <c r="B882">
        <v>2001</v>
      </c>
      <c r="C882" t="s">
        <v>735</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792</v>
      </c>
      <c r="B883">
        <v>2000</v>
      </c>
      <c r="C883" t="s">
        <v>735</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793</v>
      </c>
      <c r="B884">
        <v>2015</v>
      </c>
      <c r="C884" t="s">
        <v>735</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793</v>
      </c>
      <c r="B885">
        <v>2014</v>
      </c>
      <c r="C885" t="s">
        <v>735</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793</v>
      </c>
      <c r="B886">
        <v>2013</v>
      </c>
      <c r="C886" t="s">
        <v>735</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793</v>
      </c>
      <c r="B887">
        <v>2012</v>
      </c>
      <c r="C887" t="s">
        <v>735</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793</v>
      </c>
      <c r="B888">
        <v>2011</v>
      </c>
      <c r="C888" t="s">
        <v>735</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793</v>
      </c>
      <c r="B889">
        <v>2010</v>
      </c>
      <c r="C889" t="s">
        <v>735</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793</v>
      </c>
      <c r="B890">
        <v>2009</v>
      </c>
      <c r="C890" t="s">
        <v>735</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793</v>
      </c>
      <c r="B891">
        <v>2008</v>
      </c>
      <c r="C891" t="s">
        <v>735</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793</v>
      </c>
      <c r="B892">
        <v>2007</v>
      </c>
      <c r="C892" t="s">
        <v>735</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793</v>
      </c>
      <c r="B893">
        <v>2006</v>
      </c>
      <c r="C893" t="s">
        <v>735</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793</v>
      </c>
      <c r="B894">
        <v>2005</v>
      </c>
      <c r="C894" t="s">
        <v>735</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793</v>
      </c>
      <c r="B895">
        <v>2004</v>
      </c>
      <c r="C895" t="s">
        <v>735</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793</v>
      </c>
      <c r="B896">
        <v>2003</v>
      </c>
      <c r="C896" t="s">
        <v>735</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793</v>
      </c>
      <c r="B897">
        <v>2002</v>
      </c>
      <c r="C897" t="s">
        <v>735</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793</v>
      </c>
      <c r="B898">
        <v>2001</v>
      </c>
      <c r="C898" t="s">
        <v>735</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793</v>
      </c>
      <c r="B899">
        <v>2000</v>
      </c>
      <c r="C899" t="s">
        <v>735</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794</v>
      </c>
      <c r="B900">
        <v>2015</v>
      </c>
      <c r="C900" t="s">
        <v>735</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794</v>
      </c>
      <c r="B901">
        <v>2014</v>
      </c>
      <c r="C901" t="s">
        <v>735</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794</v>
      </c>
      <c r="B902">
        <v>2013</v>
      </c>
      <c r="C902" t="s">
        <v>735</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794</v>
      </c>
      <c r="B903">
        <v>2012</v>
      </c>
      <c r="C903" t="s">
        <v>735</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794</v>
      </c>
      <c r="B904">
        <v>2011</v>
      </c>
      <c r="C904" t="s">
        <v>735</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794</v>
      </c>
      <c r="B905">
        <v>2010</v>
      </c>
      <c r="C905" t="s">
        <v>735</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794</v>
      </c>
      <c r="B906">
        <v>2009</v>
      </c>
      <c r="C906" t="s">
        <v>735</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794</v>
      </c>
      <c r="B907">
        <v>2008</v>
      </c>
      <c r="C907" t="s">
        <v>735</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794</v>
      </c>
      <c r="B908">
        <v>2007</v>
      </c>
      <c r="C908" t="s">
        <v>735</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794</v>
      </c>
      <c r="B909">
        <v>2006</v>
      </c>
      <c r="C909" t="s">
        <v>735</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794</v>
      </c>
      <c r="B910">
        <v>2005</v>
      </c>
      <c r="C910" t="s">
        <v>735</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794</v>
      </c>
      <c r="B911">
        <v>2004</v>
      </c>
      <c r="C911" t="s">
        <v>735</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794</v>
      </c>
      <c r="B912">
        <v>2003</v>
      </c>
      <c r="C912" t="s">
        <v>735</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794</v>
      </c>
      <c r="B913">
        <v>2002</v>
      </c>
      <c r="C913" t="s">
        <v>735</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794</v>
      </c>
      <c r="B914">
        <v>2001</v>
      </c>
      <c r="C914" t="s">
        <v>735</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794</v>
      </c>
      <c r="B915">
        <v>2000</v>
      </c>
      <c r="C915" t="s">
        <v>735</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795</v>
      </c>
      <c r="B916">
        <v>2015</v>
      </c>
      <c r="C916" t="s">
        <v>735</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795</v>
      </c>
      <c r="B917">
        <v>2014</v>
      </c>
      <c r="C917" t="s">
        <v>735</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795</v>
      </c>
      <c r="B918">
        <v>2013</v>
      </c>
      <c r="C918" t="s">
        <v>735</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795</v>
      </c>
      <c r="B919">
        <v>2012</v>
      </c>
      <c r="C919" t="s">
        <v>735</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795</v>
      </c>
      <c r="B920">
        <v>2011</v>
      </c>
      <c r="C920" t="s">
        <v>735</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795</v>
      </c>
      <c r="B921">
        <v>2010</v>
      </c>
      <c r="C921" t="s">
        <v>735</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795</v>
      </c>
      <c r="B922">
        <v>2009</v>
      </c>
      <c r="C922" t="s">
        <v>735</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795</v>
      </c>
      <c r="B923">
        <v>2008</v>
      </c>
      <c r="C923" t="s">
        <v>735</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795</v>
      </c>
      <c r="B924">
        <v>2007</v>
      </c>
      <c r="C924" t="s">
        <v>735</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795</v>
      </c>
      <c r="B925">
        <v>2006</v>
      </c>
      <c r="C925" t="s">
        <v>735</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795</v>
      </c>
      <c r="B926">
        <v>2005</v>
      </c>
      <c r="C926" t="s">
        <v>735</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795</v>
      </c>
      <c r="B927">
        <v>2004</v>
      </c>
      <c r="C927" t="s">
        <v>735</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795</v>
      </c>
      <c r="B928">
        <v>2003</v>
      </c>
      <c r="C928" t="s">
        <v>735</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795</v>
      </c>
      <c r="B929">
        <v>2002</v>
      </c>
      <c r="C929" t="s">
        <v>735</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795</v>
      </c>
      <c r="B930">
        <v>2001</v>
      </c>
      <c r="C930" t="s">
        <v>735</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795</v>
      </c>
      <c r="B931">
        <v>2000</v>
      </c>
      <c r="C931" t="s">
        <v>735</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796</v>
      </c>
      <c r="B932">
        <v>2015</v>
      </c>
      <c r="C932" t="s">
        <v>735</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796</v>
      </c>
      <c r="B933">
        <v>2014</v>
      </c>
      <c r="C933" t="s">
        <v>735</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796</v>
      </c>
      <c r="B934">
        <v>2013</v>
      </c>
      <c r="C934" t="s">
        <v>735</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796</v>
      </c>
      <c r="B935">
        <v>2012</v>
      </c>
      <c r="C935" t="s">
        <v>735</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796</v>
      </c>
      <c r="B936">
        <v>2011</v>
      </c>
      <c r="C936" t="s">
        <v>735</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796</v>
      </c>
      <c r="B937">
        <v>2010</v>
      </c>
      <c r="C937" t="s">
        <v>735</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796</v>
      </c>
      <c r="B938">
        <v>2009</v>
      </c>
      <c r="C938" t="s">
        <v>735</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796</v>
      </c>
      <c r="B939">
        <v>2008</v>
      </c>
      <c r="C939" t="s">
        <v>735</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796</v>
      </c>
      <c r="B940">
        <v>2007</v>
      </c>
      <c r="C940" t="s">
        <v>735</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796</v>
      </c>
      <c r="B941">
        <v>2006</v>
      </c>
      <c r="C941" t="s">
        <v>735</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796</v>
      </c>
      <c r="B942">
        <v>2005</v>
      </c>
      <c r="C942" t="s">
        <v>735</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796</v>
      </c>
      <c r="B943">
        <v>2004</v>
      </c>
      <c r="C943" t="s">
        <v>735</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796</v>
      </c>
      <c r="B944">
        <v>2003</v>
      </c>
      <c r="C944" t="s">
        <v>735</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796</v>
      </c>
      <c r="B945">
        <v>2002</v>
      </c>
      <c r="C945" t="s">
        <v>735</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796</v>
      </c>
      <c r="B946">
        <v>2001</v>
      </c>
      <c r="C946" t="s">
        <v>735</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796</v>
      </c>
      <c r="B947">
        <v>2000</v>
      </c>
      <c r="C947" t="s">
        <v>735</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797</v>
      </c>
      <c r="B948">
        <v>2015</v>
      </c>
      <c r="C948" t="s">
        <v>735</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797</v>
      </c>
      <c r="B949">
        <v>2014</v>
      </c>
      <c r="C949" t="s">
        <v>735</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797</v>
      </c>
      <c r="B950">
        <v>2013</v>
      </c>
      <c r="C950" t="s">
        <v>735</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797</v>
      </c>
      <c r="B951">
        <v>2012</v>
      </c>
      <c r="C951" t="s">
        <v>735</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797</v>
      </c>
      <c r="B952">
        <v>2011</v>
      </c>
      <c r="C952" t="s">
        <v>735</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797</v>
      </c>
      <c r="B953">
        <v>2010</v>
      </c>
      <c r="C953" t="s">
        <v>735</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797</v>
      </c>
      <c r="B954">
        <v>2009</v>
      </c>
      <c r="C954" t="s">
        <v>735</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797</v>
      </c>
      <c r="B955">
        <v>2008</v>
      </c>
      <c r="C955" t="s">
        <v>735</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797</v>
      </c>
      <c r="B956">
        <v>2007</v>
      </c>
      <c r="C956" t="s">
        <v>735</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797</v>
      </c>
      <c r="B957">
        <v>2006</v>
      </c>
      <c r="C957" t="s">
        <v>735</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797</v>
      </c>
      <c r="B958">
        <v>2005</v>
      </c>
      <c r="C958" t="s">
        <v>735</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797</v>
      </c>
      <c r="B959">
        <v>2004</v>
      </c>
      <c r="C959" t="s">
        <v>735</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797</v>
      </c>
      <c r="B960">
        <v>2003</v>
      </c>
      <c r="C960" t="s">
        <v>735</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797</v>
      </c>
      <c r="B961">
        <v>2002</v>
      </c>
      <c r="C961" t="s">
        <v>735</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797</v>
      </c>
      <c r="B962">
        <v>2001</v>
      </c>
      <c r="C962" t="s">
        <v>735</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797</v>
      </c>
      <c r="B963">
        <v>2000</v>
      </c>
      <c r="C963" t="s">
        <v>735</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798</v>
      </c>
      <c r="B964">
        <v>2015</v>
      </c>
      <c r="C964" t="s">
        <v>735</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798</v>
      </c>
      <c r="B965">
        <v>2014</v>
      </c>
      <c r="C965" t="s">
        <v>735</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798</v>
      </c>
      <c r="B966">
        <v>2013</v>
      </c>
      <c r="C966" t="s">
        <v>735</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798</v>
      </c>
      <c r="B967">
        <v>2012</v>
      </c>
      <c r="C967" t="s">
        <v>735</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798</v>
      </c>
      <c r="B968">
        <v>2011</v>
      </c>
      <c r="C968" t="s">
        <v>735</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798</v>
      </c>
      <c r="B969">
        <v>2010</v>
      </c>
      <c r="C969" t="s">
        <v>735</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798</v>
      </c>
      <c r="B970">
        <v>2009</v>
      </c>
      <c r="C970" t="s">
        <v>735</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798</v>
      </c>
      <c r="B971">
        <v>2008</v>
      </c>
      <c r="C971" t="s">
        <v>735</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798</v>
      </c>
      <c r="B972">
        <v>2007</v>
      </c>
      <c r="C972" t="s">
        <v>735</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798</v>
      </c>
      <c r="B973">
        <v>2006</v>
      </c>
      <c r="C973" t="s">
        <v>735</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798</v>
      </c>
      <c r="B974">
        <v>2005</v>
      </c>
      <c r="C974" t="s">
        <v>735</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798</v>
      </c>
      <c r="B975">
        <v>2004</v>
      </c>
      <c r="C975" t="s">
        <v>735</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798</v>
      </c>
      <c r="B976">
        <v>2003</v>
      </c>
      <c r="C976" t="s">
        <v>735</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798</v>
      </c>
      <c r="B977">
        <v>2002</v>
      </c>
      <c r="C977" t="s">
        <v>735</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798</v>
      </c>
      <c r="B978">
        <v>2001</v>
      </c>
      <c r="C978" t="s">
        <v>735</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798</v>
      </c>
      <c r="B979">
        <v>2000</v>
      </c>
      <c r="C979" t="s">
        <v>735</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799</v>
      </c>
      <c r="B980">
        <v>2015</v>
      </c>
      <c r="C980" t="s">
        <v>735</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799</v>
      </c>
      <c r="B981">
        <v>2014</v>
      </c>
      <c r="C981" t="s">
        <v>735</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799</v>
      </c>
      <c r="B982">
        <v>2013</v>
      </c>
      <c r="C982" t="s">
        <v>735</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799</v>
      </c>
      <c r="B983">
        <v>2012</v>
      </c>
      <c r="C983" t="s">
        <v>735</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799</v>
      </c>
      <c r="B984">
        <v>2011</v>
      </c>
      <c r="C984" t="s">
        <v>735</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799</v>
      </c>
      <c r="B985">
        <v>2010</v>
      </c>
      <c r="C985" t="s">
        <v>735</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799</v>
      </c>
      <c r="B986">
        <v>2009</v>
      </c>
      <c r="C986" t="s">
        <v>735</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799</v>
      </c>
      <c r="B987">
        <v>2008</v>
      </c>
      <c r="C987" t="s">
        <v>735</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799</v>
      </c>
      <c r="B988">
        <v>2007</v>
      </c>
      <c r="C988" t="s">
        <v>735</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799</v>
      </c>
      <c r="B989">
        <v>2006</v>
      </c>
      <c r="C989" t="s">
        <v>735</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799</v>
      </c>
      <c r="B990">
        <v>2005</v>
      </c>
      <c r="C990" t="s">
        <v>735</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799</v>
      </c>
      <c r="B991">
        <v>2004</v>
      </c>
      <c r="C991" t="s">
        <v>735</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799</v>
      </c>
      <c r="B992">
        <v>2003</v>
      </c>
      <c r="C992" t="s">
        <v>735</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799</v>
      </c>
      <c r="B993">
        <v>2002</v>
      </c>
      <c r="C993" t="s">
        <v>735</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799</v>
      </c>
      <c r="B994">
        <v>2001</v>
      </c>
      <c r="C994" t="s">
        <v>735</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799</v>
      </c>
      <c r="B995">
        <v>2000</v>
      </c>
      <c r="C995" t="s">
        <v>735</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800</v>
      </c>
      <c r="B996">
        <v>2015</v>
      </c>
      <c r="C996" t="s">
        <v>743</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800</v>
      </c>
      <c r="B997">
        <v>2014</v>
      </c>
      <c r="C997" t="s">
        <v>743</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800</v>
      </c>
      <c r="B998">
        <v>2013</v>
      </c>
      <c r="C998" t="s">
        <v>743</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800</v>
      </c>
      <c r="B999">
        <v>2012</v>
      </c>
      <c r="C999" t="s">
        <v>743</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800</v>
      </c>
      <c r="B1000">
        <v>2011</v>
      </c>
      <c r="C1000" t="s">
        <v>743</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800</v>
      </c>
      <c r="B1001">
        <v>2010</v>
      </c>
      <c r="C1001" t="s">
        <v>743</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800</v>
      </c>
      <c r="B1002">
        <v>2009</v>
      </c>
      <c r="C1002" t="s">
        <v>743</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800</v>
      </c>
      <c r="B1003">
        <v>2008</v>
      </c>
      <c r="C1003" t="s">
        <v>743</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800</v>
      </c>
      <c r="B1004">
        <v>2007</v>
      </c>
      <c r="C1004" t="s">
        <v>743</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800</v>
      </c>
      <c r="B1005">
        <v>2006</v>
      </c>
      <c r="C1005" t="s">
        <v>743</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800</v>
      </c>
      <c r="B1006">
        <v>2005</v>
      </c>
      <c r="C1006" t="s">
        <v>743</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800</v>
      </c>
      <c r="B1007">
        <v>2004</v>
      </c>
      <c r="C1007" t="s">
        <v>743</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800</v>
      </c>
      <c r="B1008">
        <v>2003</v>
      </c>
      <c r="C1008" t="s">
        <v>743</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800</v>
      </c>
      <c r="B1009">
        <v>2002</v>
      </c>
      <c r="C1009" t="s">
        <v>743</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800</v>
      </c>
      <c r="B1010">
        <v>2001</v>
      </c>
      <c r="C1010" t="s">
        <v>743</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800</v>
      </c>
      <c r="B1011">
        <v>2000</v>
      </c>
      <c r="C1011" t="s">
        <v>743</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801</v>
      </c>
      <c r="B1012">
        <v>2015</v>
      </c>
      <c r="C1012" t="s">
        <v>735</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801</v>
      </c>
      <c r="B1013">
        <v>2014</v>
      </c>
      <c r="C1013" t="s">
        <v>735</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801</v>
      </c>
      <c r="B1014">
        <v>2013</v>
      </c>
      <c r="C1014" t="s">
        <v>735</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801</v>
      </c>
      <c r="B1015">
        <v>2012</v>
      </c>
      <c r="C1015" t="s">
        <v>735</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801</v>
      </c>
      <c r="B1016">
        <v>2011</v>
      </c>
      <c r="C1016" t="s">
        <v>735</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801</v>
      </c>
      <c r="B1017">
        <v>2010</v>
      </c>
      <c r="C1017" t="s">
        <v>735</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801</v>
      </c>
      <c r="B1018">
        <v>2009</v>
      </c>
      <c r="C1018" t="s">
        <v>735</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801</v>
      </c>
      <c r="B1019">
        <v>2008</v>
      </c>
      <c r="C1019" t="s">
        <v>735</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801</v>
      </c>
      <c r="B1020">
        <v>2007</v>
      </c>
      <c r="C1020" t="s">
        <v>735</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801</v>
      </c>
      <c r="B1021">
        <v>2006</v>
      </c>
      <c r="C1021" t="s">
        <v>735</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801</v>
      </c>
      <c r="B1022">
        <v>2005</v>
      </c>
      <c r="C1022" t="s">
        <v>735</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801</v>
      </c>
      <c r="B1023">
        <v>2004</v>
      </c>
      <c r="C1023" t="s">
        <v>735</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801</v>
      </c>
      <c r="B1024">
        <v>2003</v>
      </c>
      <c r="C1024" t="s">
        <v>735</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801</v>
      </c>
      <c r="B1025">
        <v>2002</v>
      </c>
      <c r="C1025" t="s">
        <v>735</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801</v>
      </c>
      <c r="B1026">
        <v>2001</v>
      </c>
      <c r="C1026" t="s">
        <v>735</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801</v>
      </c>
      <c r="B1027">
        <v>2000</v>
      </c>
      <c r="C1027" t="s">
        <v>735</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802</v>
      </c>
      <c r="B1028">
        <v>2015</v>
      </c>
      <c r="C1028" t="s">
        <v>735</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802</v>
      </c>
      <c r="B1029">
        <v>2014</v>
      </c>
      <c r="C1029" t="s">
        <v>735</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802</v>
      </c>
      <c r="B1030">
        <v>2013</v>
      </c>
      <c r="C1030" t="s">
        <v>735</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802</v>
      </c>
      <c r="B1031">
        <v>2012</v>
      </c>
      <c r="C1031" t="s">
        <v>735</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802</v>
      </c>
      <c r="B1032">
        <v>2011</v>
      </c>
      <c r="C1032" t="s">
        <v>735</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802</v>
      </c>
      <c r="B1033">
        <v>2010</v>
      </c>
      <c r="C1033" t="s">
        <v>735</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802</v>
      </c>
      <c r="B1034">
        <v>2009</v>
      </c>
      <c r="C1034" t="s">
        <v>735</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802</v>
      </c>
      <c r="B1035">
        <v>2008</v>
      </c>
      <c r="C1035" t="s">
        <v>735</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802</v>
      </c>
      <c r="B1036">
        <v>2007</v>
      </c>
      <c r="C1036" t="s">
        <v>735</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802</v>
      </c>
      <c r="B1037">
        <v>2006</v>
      </c>
      <c r="C1037" t="s">
        <v>735</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802</v>
      </c>
      <c r="B1038">
        <v>2005</v>
      </c>
      <c r="C1038" t="s">
        <v>735</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802</v>
      </c>
      <c r="B1039">
        <v>2004</v>
      </c>
      <c r="C1039" t="s">
        <v>735</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802</v>
      </c>
      <c r="B1040">
        <v>2003</v>
      </c>
      <c r="C1040" t="s">
        <v>735</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802</v>
      </c>
      <c r="B1041">
        <v>2002</v>
      </c>
      <c r="C1041" t="s">
        <v>735</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802</v>
      </c>
      <c r="B1042">
        <v>2001</v>
      </c>
      <c r="C1042" t="s">
        <v>735</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802</v>
      </c>
      <c r="B1043">
        <v>2000</v>
      </c>
      <c r="C1043" t="s">
        <v>735</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803</v>
      </c>
      <c r="B1044">
        <v>2015</v>
      </c>
      <c r="C1044" t="s">
        <v>735</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803</v>
      </c>
      <c r="B1045">
        <v>2014</v>
      </c>
      <c r="C1045" t="s">
        <v>735</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803</v>
      </c>
      <c r="B1046">
        <v>2013</v>
      </c>
      <c r="C1046" t="s">
        <v>735</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803</v>
      </c>
      <c r="B1047">
        <v>2012</v>
      </c>
      <c r="C1047" t="s">
        <v>735</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803</v>
      </c>
      <c r="B1048">
        <v>2011</v>
      </c>
      <c r="C1048" t="s">
        <v>735</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803</v>
      </c>
      <c r="B1049">
        <v>2010</v>
      </c>
      <c r="C1049" t="s">
        <v>735</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803</v>
      </c>
      <c r="B1050">
        <v>2009</v>
      </c>
      <c r="C1050" t="s">
        <v>735</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803</v>
      </c>
      <c r="B1051">
        <v>2008</v>
      </c>
      <c r="C1051" t="s">
        <v>735</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803</v>
      </c>
      <c r="B1052">
        <v>2007</v>
      </c>
      <c r="C1052" t="s">
        <v>735</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803</v>
      </c>
      <c r="B1053">
        <v>2006</v>
      </c>
      <c r="C1053" t="s">
        <v>735</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803</v>
      </c>
      <c r="B1054">
        <v>2005</v>
      </c>
      <c r="C1054" t="s">
        <v>735</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803</v>
      </c>
      <c r="B1055">
        <v>2004</v>
      </c>
      <c r="C1055" t="s">
        <v>735</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803</v>
      </c>
      <c r="B1056">
        <v>2003</v>
      </c>
      <c r="C1056" t="s">
        <v>735</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803</v>
      </c>
      <c r="B1057">
        <v>2002</v>
      </c>
      <c r="C1057" t="s">
        <v>735</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803</v>
      </c>
      <c r="B1058">
        <v>2001</v>
      </c>
      <c r="C1058" t="s">
        <v>735</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803</v>
      </c>
      <c r="B1059">
        <v>2000</v>
      </c>
      <c r="C1059" t="s">
        <v>735</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804</v>
      </c>
      <c r="B1060">
        <v>2015</v>
      </c>
      <c r="C1060" t="s">
        <v>735</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804</v>
      </c>
      <c r="B1061">
        <v>2014</v>
      </c>
      <c r="C1061" t="s">
        <v>735</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804</v>
      </c>
      <c r="B1062">
        <v>2013</v>
      </c>
      <c r="C1062" t="s">
        <v>735</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804</v>
      </c>
      <c r="B1063">
        <v>2012</v>
      </c>
      <c r="C1063" t="s">
        <v>735</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804</v>
      </c>
      <c r="B1064">
        <v>2011</v>
      </c>
      <c r="C1064" t="s">
        <v>735</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804</v>
      </c>
      <c r="B1065">
        <v>2010</v>
      </c>
      <c r="C1065" t="s">
        <v>735</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804</v>
      </c>
      <c r="B1066">
        <v>2009</v>
      </c>
      <c r="C1066" t="s">
        <v>735</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804</v>
      </c>
      <c r="B1067">
        <v>2008</v>
      </c>
      <c r="C1067" t="s">
        <v>735</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804</v>
      </c>
      <c r="B1068">
        <v>2007</v>
      </c>
      <c r="C1068" t="s">
        <v>735</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804</v>
      </c>
      <c r="B1069">
        <v>2006</v>
      </c>
      <c r="C1069" t="s">
        <v>735</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804</v>
      </c>
      <c r="B1070">
        <v>2005</v>
      </c>
      <c r="C1070" t="s">
        <v>735</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804</v>
      </c>
      <c r="B1071">
        <v>2004</v>
      </c>
      <c r="C1071" t="s">
        <v>735</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804</v>
      </c>
      <c r="B1072">
        <v>2003</v>
      </c>
      <c r="C1072" t="s">
        <v>735</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804</v>
      </c>
      <c r="B1073">
        <v>2002</v>
      </c>
      <c r="C1073" t="s">
        <v>735</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804</v>
      </c>
      <c r="B1074">
        <v>2001</v>
      </c>
      <c r="C1074" t="s">
        <v>735</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804</v>
      </c>
      <c r="B1075">
        <v>2000</v>
      </c>
      <c r="C1075" t="s">
        <v>735</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805</v>
      </c>
      <c r="B1076">
        <v>2015</v>
      </c>
      <c r="C1076" t="s">
        <v>735</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805</v>
      </c>
      <c r="B1077">
        <v>2014</v>
      </c>
      <c r="C1077" t="s">
        <v>735</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805</v>
      </c>
      <c r="B1078">
        <v>2013</v>
      </c>
      <c r="C1078" t="s">
        <v>735</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805</v>
      </c>
      <c r="B1079">
        <v>2012</v>
      </c>
      <c r="C1079" t="s">
        <v>735</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805</v>
      </c>
      <c r="B1080">
        <v>2011</v>
      </c>
      <c r="C1080" t="s">
        <v>735</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805</v>
      </c>
      <c r="B1081">
        <v>2010</v>
      </c>
      <c r="C1081" t="s">
        <v>735</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805</v>
      </c>
      <c r="B1082">
        <v>2009</v>
      </c>
      <c r="C1082" t="s">
        <v>735</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805</v>
      </c>
      <c r="B1083">
        <v>2008</v>
      </c>
      <c r="C1083" t="s">
        <v>735</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805</v>
      </c>
      <c r="B1084">
        <v>2007</v>
      </c>
      <c r="C1084" t="s">
        <v>735</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805</v>
      </c>
      <c r="B1085">
        <v>2006</v>
      </c>
      <c r="C1085" t="s">
        <v>735</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805</v>
      </c>
      <c r="B1086">
        <v>2005</v>
      </c>
      <c r="C1086" t="s">
        <v>735</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805</v>
      </c>
      <c r="B1087">
        <v>2004</v>
      </c>
      <c r="C1087" t="s">
        <v>735</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805</v>
      </c>
      <c r="B1088">
        <v>2003</v>
      </c>
      <c r="C1088" t="s">
        <v>735</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805</v>
      </c>
      <c r="B1089">
        <v>2002</v>
      </c>
      <c r="C1089" t="s">
        <v>735</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805</v>
      </c>
      <c r="B1090">
        <v>2001</v>
      </c>
      <c r="C1090" t="s">
        <v>735</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805</v>
      </c>
      <c r="B1091">
        <v>2000</v>
      </c>
      <c r="C1091" t="s">
        <v>735</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806</v>
      </c>
      <c r="B1092">
        <v>2015</v>
      </c>
      <c r="C1092" t="s">
        <v>735</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806</v>
      </c>
      <c r="B1093">
        <v>2014</v>
      </c>
      <c r="C1093" t="s">
        <v>735</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806</v>
      </c>
      <c r="B1094">
        <v>2013</v>
      </c>
      <c r="C1094" t="s">
        <v>735</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806</v>
      </c>
      <c r="B1095">
        <v>2012</v>
      </c>
      <c r="C1095" t="s">
        <v>735</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806</v>
      </c>
      <c r="B1096">
        <v>2011</v>
      </c>
      <c r="C1096" t="s">
        <v>735</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806</v>
      </c>
      <c r="B1097">
        <v>2010</v>
      </c>
      <c r="C1097" t="s">
        <v>735</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806</v>
      </c>
      <c r="B1098">
        <v>2009</v>
      </c>
      <c r="C1098" t="s">
        <v>735</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806</v>
      </c>
      <c r="B1099">
        <v>2008</v>
      </c>
      <c r="C1099" t="s">
        <v>735</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806</v>
      </c>
      <c r="B1100">
        <v>2007</v>
      </c>
      <c r="C1100" t="s">
        <v>735</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806</v>
      </c>
      <c r="B1101">
        <v>2006</v>
      </c>
      <c r="C1101" t="s">
        <v>735</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806</v>
      </c>
      <c r="B1102">
        <v>2005</v>
      </c>
      <c r="C1102" t="s">
        <v>735</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806</v>
      </c>
      <c r="B1103">
        <v>2004</v>
      </c>
      <c r="C1103" t="s">
        <v>735</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806</v>
      </c>
      <c r="B1104">
        <v>2003</v>
      </c>
      <c r="C1104" t="s">
        <v>735</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806</v>
      </c>
      <c r="B1105">
        <v>2002</v>
      </c>
      <c r="C1105" t="s">
        <v>735</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806</v>
      </c>
      <c r="B1106">
        <v>2001</v>
      </c>
      <c r="C1106" t="s">
        <v>735</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806</v>
      </c>
      <c r="B1107">
        <v>2000</v>
      </c>
      <c r="C1107" t="s">
        <v>735</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807</v>
      </c>
      <c r="B1108">
        <v>2015</v>
      </c>
      <c r="C1108" t="s">
        <v>735</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807</v>
      </c>
      <c r="B1109">
        <v>2014</v>
      </c>
      <c r="C1109" t="s">
        <v>735</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807</v>
      </c>
      <c r="B1110">
        <v>2013</v>
      </c>
      <c r="C1110" t="s">
        <v>735</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807</v>
      </c>
      <c r="B1111">
        <v>2012</v>
      </c>
      <c r="C1111" t="s">
        <v>735</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807</v>
      </c>
      <c r="B1112">
        <v>2011</v>
      </c>
      <c r="C1112" t="s">
        <v>735</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807</v>
      </c>
      <c r="B1113">
        <v>2010</v>
      </c>
      <c r="C1113" t="s">
        <v>735</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807</v>
      </c>
      <c r="B1114">
        <v>2009</v>
      </c>
      <c r="C1114" t="s">
        <v>735</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807</v>
      </c>
      <c r="B1115">
        <v>2008</v>
      </c>
      <c r="C1115" t="s">
        <v>735</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807</v>
      </c>
      <c r="B1116">
        <v>2007</v>
      </c>
      <c r="C1116" t="s">
        <v>735</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807</v>
      </c>
      <c r="B1117">
        <v>2006</v>
      </c>
      <c r="C1117" t="s">
        <v>735</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807</v>
      </c>
      <c r="B1118">
        <v>2005</v>
      </c>
      <c r="C1118" t="s">
        <v>735</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807</v>
      </c>
      <c r="B1119">
        <v>2004</v>
      </c>
      <c r="C1119" t="s">
        <v>735</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807</v>
      </c>
      <c r="B1120">
        <v>2003</v>
      </c>
      <c r="C1120" t="s">
        <v>735</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807</v>
      </c>
      <c r="B1121">
        <v>2002</v>
      </c>
      <c r="C1121" t="s">
        <v>735</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807</v>
      </c>
      <c r="B1122">
        <v>2001</v>
      </c>
      <c r="C1122" t="s">
        <v>735</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807</v>
      </c>
      <c r="B1123">
        <v>2000</v>
      </c>
      <c r="C1123" t="s">
        <v>735</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808</v>
      </c>
      <c r="B1124">
        <v>2015</v>
      </c>
      <c r="C1124" t="s">
        <v>735</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808</v>
      </c>
      <c r="B1125">
        <v>2014</v>
      </c>
      <c r="C1125" t="s">
        <v>735</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808</v>
      </c>
      <c r="B1126">
        <v>2013</v>
      </c>
      <c r="C1126" t="s">
        <v>735</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808</v>
      </c>
      <c r="B1127">
        <v>2012</v>
      </c>
      <c r="C1127" t="s">
        <v>735</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808</v>
      </c>
      <c r="B1128">
        <v>2011</v>
      </c>
      <c r="C1128" t="s">
        <v>735</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808</v>
      </c>
      <c r="B1129">
        <v>2010</v>
      </c>
      <c r="C1129" t="s">
        <v>735</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808</v>
      </c>
      <c r="B1130">
        <v>2009</v>
      </c>
      <c r="C1130" t="s">
        <v>735</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808</v>
      </c>
      <c r="B1131">
        <v>2008</v>
      </c>
      <c r="C1131" t="s">
        <v>735</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808</v>
      </c>
      <c r="B1132">
        <v>2007</v>
      </c>
      <c r="C1132" t="s">
        <v>735</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808</v>
      </c>
      <c r="B1133">
        <v>2006</v>
      </c>
      <c r="C1133" t="s">
        <v>735</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808</v>
      </c>
      <c r="B1134">
        <v>2005</v>
      </c>
      <c r="C1134" t="s">
        <v>735</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808</v>
      </c>
      <c r="B1135">
        <v>2004</v>
      </c>
      <c r="C1135" t="s">
        <v>735</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808</v>
      </c>
      <c r="B1136">
        <v>2003</v>
      </c>
      <c r="C1136" t="s">
        <v>735</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808</v>
      </c>
      <c r="B1137">
        <v>2002</v>
      </c>
      <c r="C1137" t="s">
        <v>735</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808</v>
      </c>
      <c r="B1138">
        <v>2001</v>
      </c>
      <c r="C1138" t="s">
        <v>735</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808</v>
      </c>
      <c r="B1139">
        <v>2000</v>
      </c>
      <c r="C1139" t="s">
        <v>735</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809</v>
      </c>
      <c r="B1140">
        <v>2015</v>
      </c>
      <c r="C1140" t="s">
        <v>735</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809</v>
      </c>
      <c r="B1141">
        <v>2014</v>
      </c>
      <c r="C1141" t="s">
        <v>735</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809</v>
      </c>
      <c r="B1142">
        <v>2013</v>
      </c>
      <c r="C1142" t="s">
        <v>735</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809</v>
      </c>
      <c r="B1143">
        <v>2012</v>
      </c>
      <c r="C1143" t="s">
        <v>735</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809</v>
      </c>
      <c r="B1144">
        <v>2011</v>
      </c>
      <c r="C1144" t="s">
        <v>735</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809</v>
      </c>
      <c r="B1145">
        <v>2010</v>
      </c>
      <c r="C1145" t="s">
        <v>735</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809</v>
      </c>
      <c r="B1146">
        <v>2009</v>
      </c>
      <c r="C1146" t="s">
        <v>735</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809</v>
      </c>
      <c r="B1147">
        <v>2008</v>
      </c>
      <c r="C1147" t="s">
        <v>735</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809</v>
      </c>
      <c r="B1148">
        <v>2007</v>
      </c>
      <c r="C1148" t="s">
        <v>735</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809</v>
      </c>
      <c r="B1149">
        <v>2006</v>
      </c>
      <c r="C1149" t="s">
        <v>735</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809</v>
      </c>
      <c r="B1150">
        <v>2005</v>
      </c>
      <c r="C1150" t="s">
        <v>735</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809</v>
      </c>
      <c r="B1151">
        <v>2004</v>
      </c>
      <c r="C1151" t="s">
        <v>735</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809</v>
      </c>
      <c r="B1152">
        <v>2003</v>
      </c>
      <c r="C1152" t="s">
        <v>735</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809</v>
      </c>
      <c r="B1153">
        <v>2002</v>
      </c>
      <c r="C1153" t="s">
        <v>735</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809</v>
      </c>
      <c r="B1154">
        <v>2001</v>
      </c>
      <c r="C1154" t="s">
        <v>735</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809</v>
      </c>
      <c r="B1155">
        <v>2000</v>
      </c>
      <c r="C1155" t="s">
        <v>735</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810</v>
      </c>
      <c r="B1156">
        <v>2015</v>
      </c>
      <c r="C1156" t="s">
        <v>743</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810</v>
      </c>
      <c r="B1157">
        <v>2014</v>
      </c>
      <c r="C1157" t="s">
        <v>743</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810</v>
      </c>
      <c r="B1158">
        <v>2013</v>
      </c>
      <c r="C1158" t="s">
        <v>743</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810</v>
      </c>
      <c r="B1159">
        <v>2012</v>
      </c>
      <c r="C1159" t="s">
        <v>743</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810</v>
      </c>
      <c r="B1160">
        <v>2011</v>
      </c>
      <c r="C1160" t="s">
        <v>743</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810</v>
      </c>
      <c r="B1161">
        <v>2010</v>
      </c>
      <c r="C1161" t="s">
        <v>743</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810</v>
      </c>
      <c r="B1162">
        <v>2009</v>
      </c>
      <c r="C1162" t="s">
        <v>743</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810</v>
      </c>
      <c r="B1163">
        <v>2008</v>
      </c>
      <c r="C1163" t="s">
        <v>743</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810</v>
      </c>
      <c r="B1164">
        <v>2007</v>
      </c>
      <c r="C1164" t="s">
        <v>743</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810</v>
      </c>
      <c r="B1165">
        <v>2006</v>
      </c>
      <c r="C1165" t="s">
        <v>743</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810</v>
      </c>
      <c r="B1166">
        <v>2005</v>
      </c>
      <c r="C1166" t="s">
        <v>743</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810</v>
      </c>
      <c r="B1167">
        <v>2004</v>
      </c>
      <c r="C1167" t="s">
        <v>743</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810</v>
      </c>
      <c r="B1168">
        <v>2003</v>
      </c>
      <c r="C1168" t="s">
        <v>743</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810</v>
      </c>
      <c r="B1169">
        <v>2002</v>
      </c>
      <c r="C1169" t="s">
        <v>743</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810</v>
      </c>
      <c r="B1170">
        <v>2001</v>
      </c>
      <c r="C1170" t="s">
        <v>743</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810</v>
      </c>
      <c r="B1171">
        <v>2000</v>
      </c>
      <c r="C1171" t="s">
        <v>743</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811</v>
      </c>
      <c r="B1172">
        <v>2015</v>
      </c>
      <c r="C1172" t="s">
        <v>743</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811</v>
      </c>
      <c r="B1173">
        <v>2014</v>
      </c>
      <c r="C1173" t="s">
        <v>743</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811</v>
      </c>
      <c r="B1174">
        <v>2013</v>
      </c>
      <c r="C1174" t="s">
        <v>743</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811</v>
      </c>
      <c r="B1175">
        <v>2012</v>
      </c>
      <c r="C1175" t="s">
        <v>743</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811</v>
      </c>
      <c r="B1176">
        <v>2011</v>
      </c>
      <c r="C1176" t="s">
        <v>743</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811</v>
      </c>
      <c r="B1177">
        <v>2010</v>
      </c>
      <c r="C1177" t="s">
        <v>743</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811</v>
      </c>
      <c r="B1178">
        <v>2009</v>
      </c>
      <c r="C1178" t="s">
        <v>743</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811</v>
      </c>
      <c r="B1179">
        <v>2008</v>
      </c>
      <c r="C1179" t="s">
        <v>743</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811</v>
      </c>
      <c r="B1180">
        <v>2007</v>
      </c>
      <c r="C1180" t="s">
        <v>743</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811</v>
      </c>
      <c r="B1181">
        <v>2006</v>
      </c>
      <c r="C1181" t="s">
        <v>743</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811</v>
      </c>
      <c r="B1182">
        <v>2005</v>
      </c>
      <c r="C1182" t="s">
        <v>743</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811</v>
      </c>
      <c r="B1183">
        <v>2004</v>
      </c>
      <c r="C1183" t="s">
        <v>743</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811</v>
      </c>
      <c r="B1184">
        <v>2003</v>
      </c>
      <c r="C1184" t="s">
        <v>743</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811</v>
      </c>
      <c r="B1185">
        <v>2002</v>
      </c>
      <c r="C1185" t="s">
        <v>743</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811</v>
      </c>
      <c r="B1186">
        <v>2001</v>
      </c>
      <c r="C1186" t="s">
        <v>743</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811</v>
      </c>
      <c r="B1187">
        <v>2000</v>
      </c>
      <c r="C1187" t="s">
        <v>743</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812</v>
      </c>
      <c r="B1188">
        <v>2015</v>
      </c>
      <c r="C1188" t="s">
        <v>735</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812</v>
      </c>
      <c r="B1189">
        <v>2014</v>
      </c>
      <c r="C1189" t="s">
        <v>735</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812</v>
      </c>
      <c r="B1190">
        <v>2013</v>
      </c>
      <c r="C1190" t="s">
        <v>735</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812</v>
      </c>
      <c r="B1191">
        <v>2012</v>
      </c>
      <c r="C1191" t="s">
        <v>735</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812</v>
      </c>
      <c r="B1192">
        <v>2011</v>
      </c>
      <c r="C1192" t="s">
        <v>735</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812</v>
      </c>
      <c r="B1193">
        <v>2010</v>
      </c>
      <c r="C1193" t="s">
        <v>735</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812</v>
      </c>
      <c r="B1194">
        <v>2009</v>
      </c>
      <c r="C1194" t="s">
        <v>735</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812</v>
      </c>
      <c r="B1195">
        <v>2008</v>
      </c>
      <c r="C1195" t="s">
        <v>735</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812</v>
      </c>
      <c r="B1196">
        <v>2007</v>
      </c>
      <c r="C1196" t="s">
        <v>735</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812</v>
      </c>
      <c r="B1197">
        <v>2006</v>
      </c>
      <c r="C1197" t="s">
        <v>735</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812</v>
      </c>
      <c r="B1198">
        <v>2005</v>
      </c>
      <c r="C1198" t="s">
        <v>735</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812</v>
      </c>
      <c r="B1199">
        <v>2004</v>
      </c>
      <c r="C1199" t="s">
        <v>735</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812</v>
      </c>
      <c r="B1200">
        <v>2003</v>
      </c>
      <c r="C1200" t="s">
        <v>735</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812</v>
      </c>
      <c r="B1201">
        <v>2002</v>
      </c>
      <c r="C1201" t="s">
        <v>735</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812</v>
      </c>
      <c r="B1202">
        <v>2001</v>
      </c>
      <c r="C1202" t="s">
        <v>735</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812</v>
      </c>
      <c r="B1203">
        <v>2000</v>
      </c>
      <c r="C1203" t="s">
        <v>735</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813</v>
      </c>
      <c r="B1204">
        <v>2015</v>
      </c>
      <c r="C1204" t="s">
        <v>735</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813</v>
      </c>
      <c r="B1205">
        <v>2014</v>
      </c>
      <c r="C1205" t="s">
        <v>735</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813</v>
      </c>
      <c r="B1206">
        <v>2013</v>
      </c>
      <c r="C1206" t="s">
        <v>735</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813</v>
      </c>
      <c r="B1207">
        <v>2012</v>
      </c>
      <c r="C1207" t="s">
        <v>735</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813</v>
      </c>
      <c r="B1208">
        <v>2011</v>
      </c>
      <c r="C1208" t="s">
        <v>735</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813</v>
      </c>
      <c r="B1209">
        <v>2010</v>
      </c>
      <c r="C1209" t="s">
        <v>735</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813</v>
      </c>
      <c r="B1210">
        <v>2009</v>
      </c>
      <c r="C1210" t="s">
        <v>735</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813</v>
      </c>
      <c r="B1211">
        <v>2008</v>
      </c>
      <c r="C1211" t="s">
        <v>735</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813</v>
      </c>
      <c r="B1212">
        <v>2007</v>
      </c>
      <c r="C1212" t="s">
        <v>735</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813</v>
      </c>
      <c r="B1213">
        <v>2006</v>
      </c>
      <c r="C1213" t="s">
        <v>735</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813</v>
      </c>
      <c r="B1214">
        <v>2005</v>
      </c>
      <c r="C1214" t="s">
        <v>735</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813</v>
      </c>
      <c r="B1215">
        <v>2004</v>
      </c>
      <c r="C1215" t="s">
        <v>735</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813</v>
      </c>
      <c r="B1216">
        <v>2003</v>
      </c>
      <c r="C1216" t="s">
        <v>735</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813</v>
      </c>
      <c r="B1217">
        <v>2002</v>
      </c>
      <c r="C1217" t="s">
        <v>735</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813</v>
      </c>
      <c r="B1218">
        <v>2001</v>
      </c>
      <c r="C1218" t="s">
        <v>735</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813</v>
      </c>
      <c r="B1219">
        <v>2000</v>
      </c>
      <c r="C1219" t="s">
        <v>735</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814</v>
      </c>
      <c r="B1220">
        <v>2015</v>
      </c>
      <c r="C1220" t="s">
        <v>735</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814</v>
      </c>
      <c r="B1221">
        <v>2014</v>
      </c>
      <c r="C1221" t="s">
        <v>735</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814</v>
      </c>
      <c r="B1222">
        <v>2013</v>
      </c>
      <c r="C1222" t="s">
        <v>735</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814</v>
      </c>
      <c r="B1223">
        <v>2012</v>
      </c>
      <c r="C1223" t="s">
        <v>735</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814</v>
      </c>
      <c r="B1224">
        <v>2011</v>
      </c>
      <c r="C1224" t="s">
        <v>735</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814</v>
      </c>
      <c r="B1225">
        <v>2010</v>
      </c>
      <c r="C1225" t="s">
        <v>735</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814</v>
      </c>
      <c r="B1226">
        <v>2009</v>
      </c>
      <c r="C1226" t="s">
        <v>735</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814</v>
      </c>
      <c r="B1227">
        <v>2008</v>
      </c>
      <c r="C1227" t="s">
        <v>735</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814</v>
      </c>
      <c r="B1228">
        <v>2007</v>
      </c>
      <c r="C1228" t="s">
        <v>735</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814</v>
      </c>
      <c r="B1229">
        <v>2006</v>
      </c>
      <c r="C1229" t="s">
        <v>735</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814</v>
      </c>
      <c r="B1230">
        <v>2005</v>
      </c>
      <c r="C1230" t="s">
        <v>735</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814</v>
      </c>
      <c r="B1231">
        <v>2004</v>
      </c>
      <c r="C1231" t="s">
        <v>735</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814</v>
      </c>
      <c r="B1232">
        <v>2003</v>
      </c>
      <c r="C1232" t="s">
        <v>735</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814</v>
      </c>
      <c r="B1233">
        <v>2002</v>
      </c>
      <c r="C1233" t="s">
        <v>735</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814</v>
      </c>
      <c r="B1234">
        <v>2001</v>
      </c>
      <c r="C1234" t="s">
        <v>735</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814</v>
      </c>
      <c r="B1235">
        <v>2000</v>
      </c>
      <c r="C1235" t="s">
        <v>735</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815</v>
      </c>
      <c r="B1236">
        <v>2015</v>
      </c>
      <c r="C1236" t="s">
        <v>735</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815</v>
      </c>
      <c r="B1237">
        <v>2014</v>
      </c>
      <c r="C1237" t="s">
        <v>735</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815</v>
      </c>
      <c r="B1238">
        <v>2013</v>
      </c>
      <c r="C1238" t="s">
        <v>735</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815</v>
      </c>
      <c r="B1239">
        <v>2012</v>
      </c>
      <c r="C1239" t="s">
        <v>735</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815</v>
      </c>
      <c r="B1240">
        <v>2011</v>
      </c>
      <c r="C1240" t="s">
        <v>735</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815</v>
      </c>
      <c r="B1241">
        <v>2010</v>
      </c>
      <c r="C1241" t="s">
        <v>735</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815</v>
      </c>
      <c r="B1242">
        <v>2009</v>
      </c>
      <c r="C1242" t="s">
        <v>735</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815</v>
      </c>
      <c r="B1243">
        <v>2008</v>
      </c>
      <c r="C1243" t="s">
        <v>735</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815</v>
      </c>
      <c r="B1244">
        <v>2007</v>
      </c>
      <c r="C1244" t="s">
        <v>735</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815</v>
      </c>
      <c r="B1245">
        <v>2006</v>
      </c>
      <c r="C1245" t="s">
        <v>735</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815</v>
      </c>
      <c r="B1246">
        <v>2005</v>
      </c>
      <c r="C1246" t="s">
        <v>735</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815</v>
      </c>
      <c r="B1247">
        <v>2004</v>
      </c>
      <c r="C1247" t="s">
        <v>735</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815</v>
      </c>
      <c r="B1248">
        <v>2003</v>
      </c>
      <c r="C1248" t="s">
        <v>735</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815</v>
      </c>
      <c r="B1249">
        <v>2002</v>
      </c>
      <c r="C1249" t="s">
        <v>735</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815</v>
      </c>
      <c r="B1250">
        <v>2001</v>
      </c>
      <c r="C1250" t="s">
        <v>735</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815</v>
      </c>
      <c r="B1251">
        <v>2000</v>
      </c>
      <c r="C1251" t="s">
        <v>735</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816</v>
      </c>
      <c r="B1252">
        <v>2015</v>
      </c>
      <c r="C1252" t="s">
        <v>743</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816</v>
      </c>
      <c r="B1253">
        <v>2014</v>
      </c>
      <c r="C1253" t="s">
        <v>743</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816</v>
      </c>
      <c r="B1254">
        <v>2013</v>
      </c>
      <c r="C1254" t="s">
        <v>743</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816</v>
      </c>
      <c r="B1255">
        <v>2012</v>
      </c>
      <c r="C1255" t="s">
        <v>743</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816</v>
      </c>
      <c r="B1256">
        <v>2011</v>
      </c>
      <c r="C1256" t="s">
        <v>743</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816</v>
      </c>
      <c r="B1257">
        <v>2010</v>
      </c>
      <c r="C1257" t="s">
        <v>743</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816</v>
      </c>
      <c r="B1258">
        <v>2009</v>
      </c>
      <c r="C1258" t="s">
        <v>743</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816</v>
      </c>
      <c r="B1259">
        <v>2008</v>
      </c>
      <c r="C1259" t="s">
        <v>743</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816</v>
      </c>
      <c r="B1260">
        <v>2007</v>
      </c>
      <c r="C1260" t="s">
        <v>743</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816</v>
      </c>
      <c r="B1261">
        <v>2006</v>
      </c>
      <c r="C1261" t="s">
        <v>743</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816</v>
      </c>
      <c r="B1262">
        <v>2005</v>
      </c>
      <c r="C1262" t="s">
        <v>743</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816</v>
      </c>
      <c r="B1263">
        <v>2004</v>
      </c>
      <c r="C1263" t="s">
        <v>743</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816</v>
      </c>
      <c r="B1264">
        <v>2003</v>
      </c>
      <c r="C1264" t="s">
        <v>743</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816</v>
      </c>
      <c r="B1265">
        <v>2002</v>
      </c>
      <c r="C1265" t="s">
        <v>743</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816</v>
      </c>
      <c r="B1266">
        <v>2001</v>
      </c>
      <c r="C1266" t="s">
        <v>743</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816</v>
      </c>
      <c r="B1267">
        <v>2000</v>
      </c>
      <c r="C1267" t="s">
        <v>743</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817</v>
      </c>
      <c r="B1268">
        <v>2015</v>
      </c>
      <c r="C1268" t="s">
        <v>735</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817</v>
      </c>
      <c r="B1269">
        <v>2014</v>
      </c>
      <c r="C1269" t="s">
        <v>735</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817</v>
      </c>
      <c r="B1270">
        <v>2013</v>
      </c>
      <c r="C1270" t="s">
        <v>735</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817</v>
      </c>
      <c r="B1271">
        <v>2012</v>
      </c>
      <c r="C1271" t="s">
        <v>735</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817</v>
      </c>
      <c r="B1272">
        <v>2011</v>
      </c>
      <c r="C1272" t="s">
        <v>735</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817</v>
      </c>
      <c r="B1273">
        <v>2010</v>
      </c>
      <c r="C1273" t="s">
        <v>735</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817</v>
      </c>
      <c r="B1274">
        <v>2009</v>
      </c>
      <c r="C1274" t="s">
        <v>735</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817</v>
      </c>
      <c r="B1275">
        <v>2008</v>
      </c>
      <c r="C1275" t="s">
        <v>735</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817</v>
      </c>
      <c r="B1276">
        <v>2007</v>
      </c>
      <c r="C1276" t="s">
        <v>735</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817</v>
      </c>
      <c r="B1277">
        <v>2006</v>
      </c>
      <c r="C1277" t="s">
        <v>735</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817</v>
      </c>
      <c r="B1278">
        <v>2005</v>
      </c>
      <c r="C1278" t="s">
        <v>735</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817</v>
      </c>
      <c r="B1279">
        <v>2004</v>
      </c>
      <c r="C1279" t="s">
        <v>735</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817</v>
      </c>
      <c r="B1280">
        <v>2003</v>
      </c>
      <c r="C1280" t="s">
        <v>735</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817</v>
      </c>
      <c r="B1281">
        <v>2002</v>
      </c>
      <c r="C1281" t="s">
        <v>735</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817</v>
      </c>
      <c r="B1282">
        <v>2001</v>
      </c>
      <c r="C1282" t="s">
        <v>735</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817</v>
      </c>
      <c r="B1283">
        <v>2000</v>
      </c>
      <c r="C1283" t="s">
        <v>735</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818</v>
      </c>
      <c r="B1284">
        <v>2015</v>
      </c>
      <c r="C1284" t="s">
        <v>743</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818</v>
      </c>
      <c r="B1285">
        <v>2014</v>
      </c>
      <c r="C1285" t="s">
        <v>743</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818</v>
      </c>
      <c r="B1286">
        <v>2013</v>
      </c>
      <c r="C1286" t="s">
        <v>743</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818</v>
      </c>
      <c r="B1287">
        <v>2012</v>
      </c>
      <c r="C1287" t="s">
        <v>743</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818</v>
      </c>
      <c r="B1288">
        <v>2011</v>
      </c>
      <c r="C1288" t="s">
        <v>743</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818</v>
      </c>
      <c r="B1289">
        <v>2010</v>
      </c>
      <c r="C1289" t="s">
        <v>743</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818</v>
      </c>
      <c r="B1290">
        <v>2009</v>
      </c>
      <c r="C1290" t="s">
        <v>743</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818</v>
      </c>
      <c r="B1291">
        <v>2008</v>
      </c>
      <c r="C1291" t="s">
        <v>743</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818</v>
      </c>
      <c r="B1292">
        <v>2007</v>
      </c>
      <c r="C1292" t="s">
        <v>743</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818</v>
      </c>
      <c r="B1293">
        <v>2006</v>
      </c>
      <c r="C1293" t="s">
        <v>743</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818</v>
      </c>
      <c r="B1294">
        <v>2005</v>
      </c>
      <c r="C1294" t="s">
        <v>743</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818</v>
      </c>
      <c r="B1295">
        <v>2004</v>
      </c>
      <c r="C1295" t="s">
        <v>743</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818</v>
      </c>
      <c r="B1296">
        <v>2003</v>
      </c>
      <c r="C1296" t="s">
        <v>743</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818</v>
      </c>
      <c r="B1297">
        <v>2002</v>
      </c>
      <c r="C1297" t="s">
        <v>743</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818</v>
      </c>
      <c r="B1298">
        <v>2001</v>
      </c>
      <c r="C1298" t="s">
        <v>743</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818</v>
      </c>
      <c r="B1299">
        <v>2000</v>
      </c>
      <c r="C1299" t="s">
        <v>743</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819</v>
      </c>
      <c r="B1300">
        <v>2015</v>
      </c>
      <c r="C1300" t="s">
        <v>735</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819</v>
      </c>
      <c r="B1301">
        <v>2014</v>
      </c>
      <c r="C1301" t="s">
        <v>735</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819</v>
      </c>
      <c r="B1302">
        <v>2013</v>
      </c>
      <c r="C1302" t="s">
        <v>735</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819</v>
      </c>
      <c r="B1303">
        <v>2012</v>
      </c>
      <c r="C1303" t="s">
        <v>735</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819</v>
      </c>
      <c r="B1304">
        <v>2011</v>
      </c>
      <c r="C1304" t="s">
        <v>735</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819</v>
      </c>
      <c r="B1305">
        <v>2010</v>
      </c>
      <c r="C1305" t="s">
        <v>735</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819</v>
      </c>
      <c r="B1306">
        <v>2009</v>
      </c>
      <c r="C1306" t="s">
        <v>735</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819</v>
      </c>
      <c r="B1307">
        <v>2008</v>
      </c>
      <c r="C1307" t="s">
        <v>735</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819</v>
      </c>
      <c r="B1308">
        <v>2007</v>
      </c>
      <c r="C1308" t="s">
        <v>735</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819</v>
      </c>
      <c r="B1309">
        <v>2006</v>
      </c>
      <c r="C1309" t="s">
        <v>735</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819</v>
      </c>
      <c r="B1310">
        <v>2005</v>
      </c>
      <c r="C1310" t="s">
        <v>735</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819</v>
      </c>
      <c r="B1311">
        <v>2004</v>
      </c>
      <c r="C1311" t="s">
        <v>735</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819</v>
      </c>
      <c r="B1312">
        <v>2003</v>
      </c>
      <c r="C1312" t="s">
        <v>735</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819</v>
      </c>
      <c r="B1313">
        <v>2002</v>
      </c>
      <c r="C1313" t="s">
        <v>735</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819</v>
      </c>
      <c r="B1314">
        <v>2001</v>
      </c>
      <c r="C1314" t="s">
        <v>735</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819</v>
      </c>
      <c r="B1315">
        <v>2000</v>
      </c>
      <c r="C1315" t="s">
        <v>735</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820</v>
      </c>
      <c r="B1316">
        <v>2015</v>
      </c>
      <c r="C1316" t="s">
        <v>743</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820</v>
      </c>
      <c r="B1317">
        <v>2014</v>
      </c>
      <c r="C1317" t="s">
        <v>743</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820</v>
      </c>
      <c r="B1318">
        <v>2013</v>
      </c>
      <c r="C1318" t="s">
        <v>743</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820</v>
      </c>
      <c r="B1319">
        <v>2012</v>
      </c>
      <c r="C1319" t="s">
        <v>743</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820</v>
      </c>
      <c r="B1320">
        <v>2011</v>
      </c>
      <c r="C1320" t="s">
        <v>743</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820</v>
      </c>
      <c r="B1321">
        <v>2010</v>
      </c>
      <c r="C1321" t="s">
        <v>743</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820</v>
      </c>
      <c r="B1322">
        <v>2009</v>
      </c>
      <c r="C1322" t="s">
        <v>743</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820</v>
      </c>
      <c r="B1323">
        <v>2008</v>
      </c>
      <c r="C1323" t="s">
        <v>743</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820</v>
      </c>
      <c r="B1324">
        <v>2007</v>
      </c>
      <c r="C1324" t="s">
        <v>743</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820</v>
      </c>
      <c r="B1325">
        <v>2006</v>
      </c>
      <c r="C1325" t="s">
        <v>743</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820</v>
      </c>
      <c r="B1326">
        <v>2005</v>
      </c>
      <c r="C1326" t="s">
        <v>743</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820</v>
      </c>
      <c r="B1327">
        <v>2004</v>
      </c>
      <c r="C1327" t="s">
        <v>743</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820</v>
      </c>
      <c r="B1328">
        <v>2003</v>
      </c>
      <c r="C1328" t="s">
        <v>743</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820</v>
      </c>
      <c r="B1329">
        <v>2002</v>
      </c>
      <c r="C1329" t="s">
        <v>743</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820</v>
      </c>
      <c r="B1330">
        <v>2001</v>
      </c>
      <c r="C1330" t="s">
        <v>743</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820</v>
      </c>
      <c r="B1331">
        <v>2000</v>
      </c>
      <c r="C1331" t="s">
        <v>743</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821</v>
      </c>
      <c r="B1332">
        <v>2015</v>
      </c>
      <c r="C1332" t="s">
        <v>735</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821</v>
      </c>
      <c r="B1333">
        <v>2014</v>
      </c>
      <c r="C1333" t="s">
        <v>735</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821</v>
      </c>
      <c r="B1334">
        <v>2013</v>
      </c>
      <c r="C1334" t="s">
        <v>735</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821</v>
      </c>
      <c r="B1335">
        <v>2012</v>
      </c>
      <c r="C1335" t="s">
        <v>735</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821</v>
      </c>
      <c r="B1336">
        <v>2011</v>
      </c>
      <c r="C1336" t="s">
        <v>735</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821</v>
      </c>
      <c r="B1337">
        <v>2010</v>
      </c>
      <c r="C1337" t="s">
        <v>735</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821</v>
      </c>
      <c r="B1338">
        <v>2009</v>
      </c>
      <c r="C1338" t="s">
        <v>735</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821</v>
      </c>
      <c r="B1339">
        <v>2008</v>
      </c>
      <c r="C1339" t="s">
        <v>735</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821</v>
      </c>
      <c r="B1340">
        <v>2007</v>
      </c>
      <c r="C1340" t="s">
        <v>735</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821</v>
      </c>
      <c r="B1341">
        <v>2006</v>
      </c>
      <c r="C1341" t="s">
        <v>735</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821</v>
      </c>
      <c r="B1342">
        <v>2005</v>
      </c>
      <c r="C1342" t="s">
        <v>735</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821</v>
      </c>
      <c r="B1343">
        <v>2004</v>
      </c>
      <c r="C1343" t="s">
        <v>735</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821</v>
      </c>
      <c r="B1344">
        <v>2003</v>
      </c>
      <c r="C1344" t="s">
        <v>735</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821</v>
      </c>
      <c r="B1345">
        <v>2002</v>
      </c>
      <c r="C1345" t="s">
        <v>735</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821</v>
      </c>
      <c r="B1346">
        <v>2001</v>
      </c>
      <c r="C1346" t="s">
        <v>735</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821</v>
      </c>
      <c r="B1347">
        <v>2000</v>
      </c>
      <c r="C1347" t="s">
        <v>735</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822</v>
      </c>
      <c r="B1348">
        <v>2015</v>
      </c>
      <c r="C1348" t="s">
        <v>735</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822</v>
      </c>
      <c r="B1349">
        <v>2014</v>
      </c>
      <c r="C1349" t="s">
        <v>735</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822</v>
      </c>
      <c r="B1350">
        <v>2013</v>
      </c>
      <c r="C1350" t="s">
        <v>735</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822</v>
      </c>
      <c r="B1351">
        <v>2012</v>
      </c>
      <c r="C1351" t="s">
        <v>735</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822</v>
      </c>
      <c r="B1352">
        <v>2011</v>
      </c>
      <c r="C1352" t="s">
        <v>735</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822</v>
      </c>
      <c r="B1353">
        <v>2010</v>
      </c>
      <c r="C1353" t="s">
        <v>735</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822</v>
      </c>
      <c r="B1354">
        <v>2009</v>
      </c>
      <c r="C1354" t="s">
        <v>735</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822</v>
      </c>
      <c r="B1355">
        <v>2008</v>
      </c>
      <c r="C1355" t="s">
        <v>735</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822</v>
      </c>
      <c r="B1356">
        <v>2007</v>
      </c>
      <c r="C1356" t="s">
        <v>735</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822</v>
      </c>
      <c r="B1357">
        <v>2006</v>
      </c>
      <c r="C1357" t="s">
        <v>735</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822</v>
      </c>
      <c r="B1358">
        <v>2005</v>
      </c>
      <c r="C1358" t="s">
        <v>735</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822</v>
      </c>
      <c r="B1359">
        <v>2004</v>
      </c>
      <c r="C1359" t="s">
        <v>735</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822</v>
      </c>
      <c r="B1360">
        <v>2003</v>
      </c>
      <c r="C1360" t="s">
        <v>735</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822</v>
      </c>
      <c r="B1361">
        <v>2002</v>
      </c>
      <c r="C1361" t="s">
        <v>735</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822</v>
      </c>
      <c r="B1362">
        <v>2001</v>
      </c>
      <c r="C1362" t="s">
        <v>735</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822</v>
      </c>
      <c r="B1363">
        <v>2000</v>
      </c>
      <c r="C1363" t="s">
        <v>735</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823</v>
      </c>
      <c r="B1364">
        <v>2015</v>
      </c>
      <c r="C1364" t="s">
        <v>735</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823</v>
      </c>
      <c r="B1365">
        <v>2014</v>
      </c>
      <c r="C1365" t="s">
        <v>735</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823</v>
      </c>
      <c r="B1366">
        <v>2013</v>
      </c>
      <c r="C1366" t="s">
        <v>735</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823</v>
      </c>
      <c r="B1367">
        <v>2012</v>
      </c>
      <c r="C1367" t="s">
        <v>735</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823</v>
      </c>
      <c r="B1368">
        <v>2011</v>
      </c>
      <c r="C1368" t="s">
        <v>735</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823</v>
      </c>
      <c r="B1369">
        <v>2010</v>
      </c>
      <c r="C1369" t="s">
        <v>735</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823</v>
      </c>
      <c r="B1370">
        <v>2009</v>
      </c>
      <c r="C1370" t="s">
        <v>735</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823</v>
      </c>
      <c r="B1371">
        <v>2008</v>
      </c>
      <c r="C1371" t="s">
        <v>735</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823</v>
      </c>
      <c r="B1372">
        <v>2007</v>
      </c>
      <c r="C1372" t="s">
        <v>735</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823</v>
      </c>
      <c r="B1373">
        <v>2006</v>
      </c>
      <c r="C1373" t="s">
        <v>735</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823</v>
      </c>
      <c r="B1374">
        <v>2005</v>
      </c>
      <c r="C1374" t="s">
        <v>735</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823</v>
      </c>
      <c r="B1375">
        <v>2004</v>
      </c>
      <c r="C1375" t="s">
        <v>735</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823</v>
      </c>
      <c r="B1376">
        <v>2003</v>
      </c>
      <c r="C1376" t="s">
        <v>735</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823</v>
      </c>
      <c r="B1377">
        <v>2002</v>
      </c>
      <c r="C1377" t="s">
        <v>735</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823</v>
      </c>
      <c r="B1378">
        <v>2001</v>
      </c>
      <c r="C1378" t="s">
        <v>735</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823</v>
      </c>
      <c r="B1379">
        <v>2000</v>
      </c>
      <c r="C1379" t="s">
        <v>735</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824</v>
      </c>
      <c r="B1380">
        <v>2015</v>
      </c>
      <c r="C1380" t="s">
        <v>735</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824</v>
      </c>
      <c r="B1381">
        <v>2014</v>
      </c>
      <c r="C1381" t="s">
        <v>735</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824</v>
      </c>
      <c r="B1382">
        <v>2013</v>
      </c>
      <c r="C1382" t="s">
        <v>735</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824</v>
      </c>
      <c r="B1383">
        <v>2012</v>
      </c>
      <c r="C1383" t="s">
        <v>735</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824</v>
      </c>
      <c r="B1384">
        <v>2011</v>
      </c>
      <c r="C1384" t="s">
        <v>735</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824</v>
      </c>
      <c r="B1385">
        <v>2010</v>
      </c>
      <c r="C1385" t="s">
        <v>735</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824</v>
      </c>
      <c r="B1386">
        <v>2009</v>
      </c>
      <c r="C1386" t="s">
        <v>735</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824</v>
      </c>
      <c r="B1387">
        <v>2008</v>
      </c>
      <c r="C1387" t="s">
        <v>735</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824</v>
      </c>
      <c r="B1388">
        <v>2007</v>
      </c>
      <c r="C1388" t="s">
        <v>735</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824</v>
      </c>
      <c r="B1389">
        <v>2006</v>
      </c>
      <c r="C1389" t="s">
        <v>735</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824</v>
      </c>
      <c r="B1390">
        <v>2005</v>
      </c>
      <c r="C1390" t="s">
        <v>735</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824</v>
      </c>
      <c r="B1391">
        <v>2004</v>
      </c>
      <c r="C1391" t="s">
        <v>735</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824</v>
      </c>
      <c r="B1392">
        <v>2003</v>
      </c>
      <c r="C1392" t="s">
        <v>735</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824</v>
      </c>
      <c r="B1393">
        <v>2002</v>
      </c>
      <c r="C1393" t="s">
        <v>735</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824</v>
      </c>
      <c r="B1394">
        <v>2001</v>
      </c>
      <c r="C1394" t="s">
        <v>735</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824</v>
      </c>
      <c r="B1395">
        <v>2000</v>
      </c>
      <c r="C1395" t="s">
        <v>735</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825</v>
      </c>
      <c r="B1396">
        <v>2015</v>
      </c>
      <c r="C1396" t="s">
        <v>735</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825</v>
      </c>
      <c r="B1397">
        <v>2014</v>
      </c>
      <c r="C1397" t="s">
        <v>735</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825</v>
      </c>
      <c r="B1398">
        <v>2013</v>
      </c>
      <c r="C1398" t="s">
        <v>735</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825</v>
      </c>
      <c r="B1399">
        <v>2012</v>
      </c>
      <c r="C1399" t="s">
        <v>735</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825</v>
      </c>
      <c r="B1400">
        <v>2011</v>
      </c>
      <c r="C1400" t="s">
        <v>735</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825</v>
      </c>
      <c r="B1401">
        <v>2010</v>
      </c>
      <c r="C1401" t="s">
        <v>735</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825</v>
      </c>
      <c r="B1402">
        <v>2009</v>
      </c>
      <c r="C1402" t="s">
        <v>735</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825</v>
      </c>
      <c r="B1403">
        <v>2008</v>
      </c>
      <c r="C1403" t="s">
        <v>735</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825</v>
      </c>
      <c r="B1404">
        <v>2007</v>
      </c>
      <c r="C1404" t="s">
        <v>735</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825</v>
      </c>
      <c r="B1405">
        <v>2006</v>
      </c>
      <c r="C1405" t="s">
        <v>735</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825</v>
      </c>
      <c r="B1406">
        <v>2005</v>
      </c>
      <c r="C1406" t="s">
        <v>735</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825</v>
      </c>
      <c r="B1407">
        <v>2004</v>
      </c>
      <c r="C1407" t="s">
        <v>735</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825</v>
      </c>
      <c r="B1408">
        <v>2003</v>
      </c>
      <c r="C1408" t="s">
        <v>735</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825</v>
      </c>
      <c r="B1409">
        <v>2002</v>
      </c>
      <c r="C1409" t="s">
        <v>735</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825</v>
      </c>
      <c r="B1410">
        <v>2001</v>
      </c>
      <c r="C1410" t="s">
        <v>735</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825</v>
      </c>
      <c r="B1411">
        <v>2000</v>
      </c>
      <c r="C1411" t="s">
        <v>735</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826</v>
      </c>
      <c r="B1412">
        <v>2015</v>
      </c>
      <c r="C1412" t="s">
        <v>735</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826</v>
      </c>
      <c r="B1413">
        <v>2014</v>
      </c>
      <c r="C1413" t="s">
        <v>735</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826</v>
      </c>
      <c r="B1414">
        <v>2013</v>
      </c>
      <c r="C1414" t="s">
        <v>735</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826</v>
      </c>
      <c r="B1415">
        <v>2012</v>
      </c>
      <c r="C1415" t="s">
        <v>735</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826</v>
      </c>
      <c r="B1416">
        <v>2011</v>
      </c>
      <c r="C1416" t="s">
        <v>735</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826</v>
      </c>
      <c r="B1417">
        <v>2010</v>
      </c>
      <c r="C1417" t="s">
        <v>735</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826</v>
      </c>
      <c r="B1418">
        <v>2009</v>
      </c>
      <c r="C1418" t="s">
        <v>735</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826</v>
      </c>
      <c r="B1419">
        <v>2008</v>
      </c>
      <c r="C1419" t="s">
        <v>735</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826</v>
      </c>
      <c r="B1420">
        <v>2007</v>
      </c>
      <c r="C1420" t="s">
        <v>735</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826</v>
      </c>
      <c r="B1421">
        <v>2006</v>
      </c>
      <c r="C1421" t="s">
        <v>735</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826</v>
      </c>
      <c r="B1422">
        <v>2005</v>
      </c>
      <c r="C1422" t="s">
        <v>735</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826</v>
      </c>
      <c r="B1423">
        <v>2004</v>
      </c>
      <c r="C1423" t="s">
        <v>735</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826</v>
      </c>
      <c r="B1424">
        <v>2003</v>
      </c>
      <c r="C1424" t="s">
        <v>735</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826</v>
      </c>
      <c r="B1425">
        <v>2002</v>
      </c>
      <c r="C1425" t="s">
        <v>735</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826</v>
      </c>
      <c r="B1426">
        <v>2001</v>
      </c>
      <c r="C1426" t="s">
        <v>735</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826</v>
      </c>
      <c r="B1427">
        <v>2000</v>
      </c>
      <c r="C1427" t="s">
        <v>735</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827</v>
      </c>
      <c r="B1428">
        <v>2015</v>
      </c>
      <c r="C1428" t="s">
        <v>735</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827</v>
      </c>
      <c r="B1429">
        <v>2014</v>
      </c>
      <c r="C1429" t="s">
        <v>735</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827</v>
      </c>
      <c r="B1430">
        <v>2013</v>
      </c>
      <c r="C1430" t="s">
        <v>735</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827</v>
      </c>
      <c r="B1431">
        <v>2012</v>
      </c>
      <c r="C1431" t="s">
        <v>735</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827</v>
      </c>
      <c r="B1432">
        <v>2011</v>
      </c>
      <c r="C1432" t="s">
        <v>735</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827</v>
      </c>
      <c r="B1433">
        <v>2010</v>
      </c>
      <c r="C1433" t="s">
        <v>735</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827</v>
      </c>
      <c r="B1434">
        <v>2009</v>
      </c>
      <c r="C1434" t="s">
        <v>735</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827</v>
      </c>
      <c r="B1435">
        <v>2008</v>
      </c>
      <c r="C1435" t="s">
        <v>735</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827</v>
      </c>
      <c r="B1436">
        <v>2007</v>
      </c>
      <c r="C1436" t="s">
        <v>735</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827</v>
      </c>
      <c r="B1437">
        <v>2006</v>
      </c>
      <c r="C1437" t="s">
        <v>735</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827</v>
      </c>
      <c r="B1438">
        <v>2005</v>
      </c>
      <c r="C1438" t="s">
        <v>735</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827</v>
      </c>
      <c r="B1439">
        <v>2004</v>
      </c>
      <c r="C1439" t="s">
        <v>735</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827</v>
      </c>
      <c r="B1440">
        <v>2003</v>
      </c>
      <c r="C1440" t="s">
        <v>735</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827</v>
      </c>
      <c r="B1441">
        <v>2002</v>
      </c>
      <c r="C1441" t="s">
        <v>735</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827</v>
      </c>
      <c r="B1442">
        <v>2001</v>
      </c>
      <c r="C1442" t="s">
        <v>735</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827</v>
      </c>
      <c r="B1443">
        <v>2000</v>
      </c>
      <c r="C1443" t="s">
        <v>735</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828</v>
      </c>
      <c r="B1444">
        <v>2015</v>
      </c>
      <c r="C1444" t="s">
        <v>743</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828</v>
      </c>
      <c r="B1445">
        <v>2014</v>
      </c>
      <c r="C1445" t="s">
        <v>743</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828</v>
      </c>
      <c r="B1446">
        <v>2013</v>
      </c>
      <c r="C1446" t="s">
        <v>743</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828</v>
      </c>
      <c r="B1447">
        <v>2012</v>
      </c>
      <c r="C1447" t="s">
        <v>743</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828</v>
      </c>
      <c r="B1448">
        <v>2011</v>
      </c>
      <c r="C1448" t="s">
        <v>743</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828</v>
      </c>
      <c r="B1449">
        <v>2010</v>
      </c>
      <c r="C1449" t="s">
        <v>743</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828</v>
      </c>
      <c r="B1450">
        <v>2009</v>
      </c>
      <c r="C1450" t="s">
        <v>743</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828</v>
      </c>
      <c r="B1451">
        <v>2008</v>
      </c>
      <c r="C1451" t="s">
        <v>743</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828</v>
      </c>
      <c r="B1452">
        <v>2007</v>
      </c>
      <c r="C1452" t="s">
        <v>743</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828</v>
      </c>
      <c r="B1453">
        <v>2006</v>
      </c>
      <c r="C1453" t="s">
        <v>743</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828</v>
      </c>
      <c r="B1454">
        <v>2005</v>
      </c>
      <c r="C1454" t="s">
        <v>743</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828</v>
      </c>
      <c r="B1455">
        <v>2004</v>
      </c>
      <c r="C1455" t="s">
        <v>743</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828</v>
      </c>
      <c r="B1456">
        <v>2003</v>
      </c>
      <c r="C1456" t="s">
        <v>743</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828</v>
      </c>
      <c r="B1457">
        <v>2002</v>
      </c>
      <c r="C1457" t="s">
        <v>743</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828</v>
      </c>
      <c r="B1458">
        <v>2001</v>
      </c>
      <c r="C1458" t="s">
        <v>743</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828</v>
      </c>
      <c r="B1459">
        <v>2000</v>
      </c>
      <c r="C1459" t="s">
        <v>743</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829</v>
      </c>
      <c r="B1460">
        <v>2015</v>
      </c>
      <c r="C1460" t="s">
        <v>735</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829</v>
      </c>
      <c r="B1461">
        <v>2014</v>
      </c>
      <c r="C1461" t="s">
        <v>735</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829</v>
      </c>
      <c r="B1462">
        <v>2013</v>
      </c>
      <c r="C1462" t="s">
        <v>735</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829</v>
      </c>
      <c r="B1463">
        <v>2012</v>
      </c>
      <c r="C1463" t="s">
        <v>735</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829</v>
      </c>
      <c r="B1464">
        <v>2011</v>
      </c>
      <c r="C1464" t="s">
        <v>735</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829</v>
      </c>
      <c r="B1465">
        <v>2010</v>
      </c>
      <c r="C1465" t="s">
        <v>735</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829</v>
      </c>
      <c r="B1466">
        <v>2009</v>
      </c>
      <c r="C1466" t="s">
        <v>735</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829</v>
      </c>
      <c r="B1467">
        <v>2008</v>
      </c>
      <c r="C1467" t="s">
        <v>735</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829</v>
      </c>
      <c r="B1468">
        <v>2007</v>
      </c>
      <c r="C1468" t="s">
        <v>735</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829</v>
      </c>
      <c r="B1469">
        <v>2006</v>
      </c>
      <c r="C1469" t="s">
        <v>735</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829</v>
      </c>
      <c r="B1470">
        <v>2005</v>
      </c>
      <c r="C1470" t="s">
        <v>735</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829</v>
      </c>
      <c r="B1471">
        <v>2004</v>
      </c>
      <c r="C1471" t="s">
        <v>735</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829</v>
      </c>
      <c r="B1472">
        <v>2003</v>
      </c>
      <c r="C1472" t="s">
        <v>735</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829</v>
      </c>
      <c r="B1473">
        <v>2002</v>
      </c>
      <c r="C1473" t="s">
        <v>735</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829</v>
      </c>
      <c r="B1474">
        <v>2001</v>
      </c>
      <c r="C1474" t="s">
        <v>735</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829</v>
      </c>
      <c r="B1475">
        <v>2000</v>
      </c>
      <c r="C1475" t="s">
        <v>735</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830</v>
      </c>
      <c r="B1476">
        <v>2015</v>
      </c>
      <c r="C1476" t="s">
        <v>735</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830</v>
      </c>
      <c r="B1477">
        <v>2014</v>
      </c>
      <c r="C1477" t="s">
        <v>735</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830</v>
      </c>
      <c r="B1478">
        <v>2013</v>
      </c>
      <c r="C1478" t="s">
        <v>735</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830</v>
      </c>
      <c r="B1479">
        <v>2012</v>
      </c>
      <c r="C1479" t="s">
        <v>735</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830</v>
      </c>
      <c r="B1480">
        <v>2011</v>
      </c>
      <c r="C1480" t="s">
        <v>735</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830</v>
      </c>
      <c r="B1481">
        <v>2010</v>
      </c>
      <c r="C1481" t="s">
        <v>735</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830</v>
      </c>
      <c r="B1482">
        <v>2009</v>
      </c>
      <c r="C1482" t="s">
        <v>735</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830</v>
      </c>
      <c r="B1483">
        <v>2008</v>
      </c>
      <c r="C1483" t="s">
        <v>735</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830</v>
      </c>
      <c r="B1484">
        <v>2007</v>
      </c>
      <c r="C1484" t="s">
        <v>735</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830</v>
      </c>
      <c r="B1485">
        <v>2006</v>
      </c>
      <c r="C1485" t="s">
        <v>735</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830</v>
      </c>
      <c r="B1486">
        <v>2005</v>
      </c>
      <c r="C1486" t="s">
        <v>735</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830</v>
      </c>
      <c r="B1487">
        <v>2004</v>
      </c>
      <c r="C1487" t="s">
        <v>735</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830</v>
      </c>
      <c r="B1488">
        <v>2003</v>
      </c>
      <c r="C1488" t="s">
        <v>735</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830</v>
      </c>
      <c r="B1489">
        <v>2002</v>
      </c>
      <c r="C1489" t="s">
        <v>735</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830</v>
      </c>
      <c r="B1490">
        <v>2001</v>
      </c>
      <c r="C1490" t="s">
        <v>735</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830</v>
      </c>
      <c r="B1491">
        <v>2000</v>
      </c>
      <c r="C1491" t="s">
        <v>735</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831</v>
      </c>
      <c r="B1492">
        <v>2015</v>
      </c>
      <c r="C1492" t="s">
        <v>735</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831</v>
      </c>
      <c r="B1493">
        <v>2014</v>
      </c>
      <c r="C1493" t="s">
        <v>735</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831</v>
      </c>
      <c r="B1494">
        <v>2013</v>
      </c>
      <c r="C1494" t="s">
        <v>735</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831</v>
      </c>
      <c r="B1495">
        <v>2012</v>
      </c>
      <c r="C1495" t="s">
        <v>735</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831</v>
      </c>
      <c r="B1496">
        <v>2011</v>
      </c>
      <c r="C1496" t="s">
        <v>735</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831</v>
      </c>
      <c r="B1497">
        <v>2010</v>
      </c>
      <c r="C1497" t="s">
        <v>735</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831</v>
      </c>
      <c r="B1498">
        <v>2009</v>
      </c>
      <c r="C1498" t="s">
        <v>735</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831</v>
      </c>
      <c r="B1499">
        <v>2008</v>
      </c>
      <c r="C1499" t="s">
        <v>735</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831</v>
      </c>
      <c r="B1500">
        <v>2007</v>
      </c>
      <c r="C1500" t="s">
        <v>735</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831</v>
      </c>
      <c r="B1501">
        <v>2006</v>
      </c>
      <c r="C1501" t="s">
        <v>735</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831</v>
      </c>
      <c r="B1502">
        <v>2005</v>
      </c>
      <c r="C1502" t="s">
        <v>735</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831</v>
      </c>
      <c r="B1503">
        <v>2004</v>
      </c>
      <c r="C1503" t="s">
        <v>735</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831</v>
      </c>
      <c r="B1504">
        <v>2003</v>
      </c>
      <c r="C1504" t="s">
        <v>735</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831</v>
      </c>
      <c r="B1505">
        <v>2002</v>
      </c>
      <c r="C1505" t="s">
        <v>735</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831</v>
      </c>
      <c r="B1506">
        <v>2001</v>
      </c>
      <c r="C1506" t="s">
        <v>735</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831</v>
      </c>
      <c r="B1507">
        <v>2000</v>
      </c>
      <c r="C1507" t="s">
        <v>735</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832</v>
      </c>
      <c r="B1508">
        <v>2015</v>
      </c>
      <c r="C1508" t="s">
        <v>735</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832</v>
      </c>
      <c r="B1509">
        <v>2014</v>
      </c>
      <c r="C1509" t="s">
        <v>735</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832</v>
      </c>
      <c r="B1510">
        <v>2013</v>
      </c>
      <c r="C1510" t="s">
        <v>735</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832</v>
      </c>
      <c r="B1511">
        <v>2012</v>
      </c>
      <c r="C1511" t="s">
        <v>735</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832</v>
      </c>
      <c r="B1512">
        <v>2011</v>
      </c>
      <c r="C1512" t="s">
        <v>735</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832</v>
      </c>
      <c r="B1513">
        <v>2010</v>
      </c>
      <c r="C1513" t="s">
        <v>735</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832</v>
      </c>
      <c r="B1514">
        <v>2009</v>
      </c>
      <c r="C1514" t="s">
        <v>735</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832</v>
      </c>
      <c r="B1515">
        <v>2008</v>
      </c>
      <c r="C1515" t="s">
        <v>735</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832</v>
      </c>
      <c r="B1516">
        <v>2007</v>
      </c>
      <c r="C1516" t="s">
        <v>735</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832</v>
      </c>
      <c r="B1517">
        <v>2006</v>
      </c>
      <c r="C1517" t="s">
        <v>735</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832</v>
      </c>
      <c r="B1518">
        <v>2005</v>
      </c>
      <c r="C1518" t="s">
        <v>735</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832</v>
      </c>
      <c r="B1519">
        <v>2004</v>
      </c>
      <c r="C1519" t="s">
        <v>735</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832</v>
      </c>
      <c r="B1520">
        <v>2003</v>
      </c>
      <c r="C1520" t="s">
        <v>735</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832</v>
      </c>
      <c r="B1521">
        <v>2002</v>
      </c>
      <c r="C1521" t="s">
        <v>735</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832</v>
      </c>
      <c r="B1522">
        <v>2001</v>
      </c>
      <c r="C1522" t="s">
        <v>735</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832</v>
      </c>
      <c r="B1523">
        <v>2000</v>
      </c>
      <c r="C1523" t="s">
        <v>735</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833</v>
      </c>
      <c r="B1524">
        <v>2015</v>
      </c>
      <c r="C1524" t="s">
        <v>743</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833</v>
      </c>
      <c r="B1525">
        <v>2014</v>
      </c>
      <c r="C1525" t="s">
        <v>743</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833</v>
      </c>
      <c r="B1526">
        <v>2013</v>
      </c>
      <c r="C1526" t="s">
        <v>743</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833</v>
      </c>
      <c r="B1527">
        <v>2012</v>
      </c>
      <c r="C1527" t="s">
        <v>743</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833</v>
      </c>
      <c r="B1528">
        <v>2011</v>
      </c>
      <c r="C1528" t="s">
        <v>743</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833</v>
      </c>
      <c r="B1529">
        <v>2010</v>
      </c>
      <c r="C1529" t="s">
        <v>743</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833</v>
      </c>
      <c r="B1530">
        <v>2009</v>
      </c>
      <c r="C1530" t="s">
        <v>743</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833</v>
      </c>
      <c r="B1531">
        <v>2008</v>
      </c>
      <c r="C1531" t="s">
        <v>743</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833</v>
      </c>
      <c r="B1532">
        <v>2007</v>
      </c>
      <c r="C1532" t="s">
        <v>743</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833</v>
      </c>
      <c r="B1533">
        <v>2006</v>
      </c>
      <c r="C1533" t="s">
        <v>743</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833</v>
      </c>
      <c r="B1534">
        <v>2005</v>
      </c>
      <c r="C1534" t="s">
        <v>743</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833</v>
      </c>
      <c r="B1535">
        <v>2004</v>
      </c>
      <c r="C1535" t="s">
        <v>743</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833</v>
      </c>
      <c r="B1536">
        <v>2003</v>
      </c>
      <c r="C1536" t="s">
        <v>743</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833</v>
      </c>
      <c r="B1537">
        <v>2002</v>
      </c>
      <c r="C1537" t="s">
        <v>743</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833</v>
      </c>
      <c r="B1538">
        <v>2001</v>
      </c>
      <c r="C1538" t="s">
        <v>743</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833</v>
      </c>
      <c r="B1539">
        <v>2000</v>
      </c>
      <c r="C1539" t="s">
        <v>743</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834</v>
      </c>
      <c r="B1540">
        <v>2015</v>
      </c>
      <c r="C1540" t="s">
        <v>743</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834</v>
      </c>
      <c r="B1541">
        <v>2014</v>
      </c>
      <c r="C1541" t="s">
        <v>743</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834</v>
      </c>
      <c r="B1542">
        <v>2013</v>
      </c>
      <c r="C1542" t="s">
        <v>743</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834</v>
      </c>
      <c r="B1543">
        <v>2012</v>
      </c>
      <c r="C1543" t="s">
        <v>743</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834</v>
      </c>
      <c r="B1544">
        <v>2011</v>
      </c>
      <c r="C1544" t="s">
        <v>743</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834</v>
      </c>
      <c r="B1545">
        <v>2010</v>
      </c>
      <c r="C1545" t="s">
        <v>743</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834</v>
      </c>
      <c r="B1546">
        <v>2009</v>
      </c>
      <c r="C1546" t="s">
        <v>743</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834</v>
      </c>
      <c r="B1547">
        <v>2008</v>
      </c>
      <c r="C1547" t="s">
        <v>743</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834</v>
      </c>
      <c r="B1548">
        <v>2007</v>
      </c>
      <c r="C1548" t="s">
        <v>743</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834</v>
      </c>
      <c r="B1549">
        <v>2006</v>
      </c>
      <c r="C1549" t="s">
        <v>743</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834</v>
      </c>
      <c r="B1550">
        <v>2005</v>
      </c>
      <c r="C1550" t="s">
        <v>743</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834</v>
      </c>
      <c r="B1551">
        <v>2004</v>
      </c>
      <c r="C1551" t="s">
        <v>743</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834</v>
      </c>
      <c r="B1552">
        <v>2003</v>
      </c>
      <c r="C1552" t="s">
        <v>743</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834</v>
      </c>
      <c r="B1553">
        <v>2002</v>
      </c>
      <c r="C1553" t="s">
        <v>743</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834</v>
      </c>
      <c r="B1554">
        <v>2001</v>
      </c>
      <c r="C1554" t="s">
        <v>743</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834</v>
      </c>
      <c r="B1555">
        <v>2000</v>
      </c>
      <c r="C1555" t="s">
        <v>743</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835</v>
      </c>
      <c r="B1556">
        <v>2015</v>
      </c>
      <c r="C1556" t="s">
        <v>735</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835</v>
      </c>
      <c r="B1557">
        <v>2014</v>
      </c>
      <c r="C1557" t="s">
        <v>735</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835</v>
      </c>
      <c r="B1558">
        <v>2013</v>
      </c>
      <c r="C1558" t="s">
        <v>735</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835</v>
      </c>
      <c r="B1559">
        <v>2012</v>
      </c>
      <c r="C1559" t="s">
        <v>735</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835</v>
      </c>
      <c r="B1560">
        <v>2011</v>
      </c>
      <c r="C1560" t="s">
        <v>735</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835</v>
      </c>
      <c r="B1561">
        <v>2010</v>
      </c>
      <c r="C1561" t="s">
        <v>735</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835</v>
      </c>
      <c r="B1562">
        <v>2009</v>
      </c>
      <c r="C1562" t="s">
        <v>735</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835</v>
      </c>
      <c r="B1563">
        <v>2008</v>
      </c>
      <c r="C1563" t="s">
        <v>735</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835</v>
      </c>
      <c r="B1564">
        <v>2007</v>
      </c>
      <c r="C1564" t="s">
        <v>735</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835</v>
      </c>
      <c r="B1565">
        <v>2006</v>
      </c>
      <c r="C1565" t="s">
        <v>735</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835</v>
      </c>
      <c r="B1566">
        <v>2005</v>
      </c>
      <c r="C1566" t="s">
        <v>735</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835</v>
      </c>
      <c r="B1567">
        <v>2004</v>
      </c>
      <c r="C1567" t="s">
        <v>735</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835</v>
      </c>
      <c r="B1568">
        <v>2003</v>
      </c>
      <c r="C1568" t="s">
        <v>735</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835</v>
      </c>
      <c r="B1569">
        <v>2002</v>
      </c>
      <c r="C1569" t="s">
        <v>735</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835</v>
      </c>
      <c r="B1570">
        <v>2001</v>
      </c>
      <c r="C1570" t="s">
        <v>735</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835</v>
      </c>
      <c r="B1571">
        <v>2000</v>
      </c>
      <c r="C1571" t="s">
        <v>735</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836</v>
      </c>
      <c r="B1572">
        <v>2015</v>
      </c>
      <c r="C1572" t="s">
        <v>735</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836</v>
      </c>
      <c r="B1573">
        <v>2014</v>
      </c>
      <c r="C1573" t="s">
        <v>735</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836</v>
      </c>
      <c r="B1574">
        <v>2013</v>
      </c>
      <c r="C1574" t="s">
        <v>735</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836</v>
      </c>
      <c r="B1575">
        <v>2012</v>
      </c>
      <c r="C1575" t="s">
        <v>735</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836</v>
      </c>
      <c r="B1576">
        <v>2011</v>
      </c>
      <c r="C1576" t="s">
        <v>735</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836</v>
      </c>
      <c r="B1577">
        <v>2010</v>
      </c>
      <c r="C1577" t="s">
        <v>735</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836</v>
      </c>
      <c r="B1578">
        <v>2009</v>
      </c>
      <c r="C1578" t="s">
        <v>735</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836</v>
      </c>
      <c r="B1579">
        <v>2008</v>
      </c>
      <c r="C1579" t="s">
        <v>735</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836</v>
      </c>
      <c r="B1580">
        <v>2007</v>
      </c>
      <c r="C1580" t="s">
        <v>735</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836</v>
      </c>
      <c r="B1581">
        <v>2006</v>
      </c>
      <c r="C1581" t="s">
        <v>735</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836</v>
      </c>
      <c r="B1582">
        <v>2005</v>
      </c>
      <c r="C1582" t="s">
        <v>735</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836</v>
      </c>
      <c r="B1583">
        <v>2004</v>
      </c>
      <c r="C1583" t="s">
        <v>735</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836</v>
      </c>
      <c r="B1584">
        <v>2003</v>
      </c>
      <c r="C1584" t="s">
        <v>735</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836</v>
      </c>
      <c r="B1585">
        <v>2002</v>
      </c>
      <c r="C1585" t="s">
        <v>735</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836</v>
      </c>
      <c r="B1586">
        <v>2001</v>
      </c>
      <c r="C1586" t="s">
        <v>735</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836</v>
      </c>
      <c r="B1587">
        <v>2000</v>
      </c>
      <c r="C1587" t="s">
        <v>735</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837</v>
      </c>
      <c r="B1588">
        <v>2015</v>
      </c>
      <c r="C1588" t="s">
        <v>735</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837</v>
      </c>
      <c r="B1589">
        <v>2014</v>
      </c>
      <c r="C1589" t="s">
        <v>735</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837</v>
      </c>
      <c r="B1590">
        <v>2013</v>
      </c>
      <c r="C1590" t="s">
        <v>735</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837</v>
      </c>
      <c r="B1591">
        <v>2012</v>
      </c>
      <c r="C1591" t="s">
        <v>735</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837</v>
      </c>
      <c r="B1592">
        <v>2011</v>
      </c>
      <c r="C1592" t="s">
        <v>735</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837</v>
      </c>
      <c r="B1593">
        <v>2010</v>
      </c>
      <c r="C1593" t="s">
        <v>735</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837</v>
      </c>
      <c r="B1594">
        <v>2009</v>
      </c>
      <c r="C1594" t="s">
        <v>735</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837</v>
      </c>
      <c r="B1595">
        <v>2008</v>
      </c>
      <c r="C1595" t="s">
        <v>735</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837</v>
      </c>
      <c r="B1596">
        <v>2007</v>
      </c>
      <c r="C1596" t="s">
        <v>735</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837</v>
      </c>
      <c r="B1597">
        <v>2006</v>
      </c>
      <c r="C1597" t="s">
        <v>735</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837</v>
      </c>
      <c r="B1598">
        <v>2005</v>
      </c>
      <c r="C1598" t="s">
        <v>735</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837</v>
      </c>
      <c r="B1599">
        <v>2004</v>
      </c>
      <c r="C1599" t="s">
        <v>735</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837</v>
      </c>
      <c r="B1600">
        <v>2003</v>
      </c>
      <c r="C1600" t="s">
        <v>735</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837</v>
      </c>
      <c r="B1601">
        <v>2002</v>
      </c>
      <c r="C1601" t="s">
        <v>735</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837</v>
      </c>
      <c r="B1602">
        <v>2001</v>
      </c>
      <c r="C1602" t="s">
        <v>735</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837</v>
      </c>
      <c r="B1603">
        <v>2000</v>
      </c>
      <c r="C1603" t="s">
        <v>735</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838</v>
      </c>
      <c r="B1604">
        <v>2015</v>
      </c>
      <c r="C1604" t="s">
        <v>735</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838</v>
      </c>
      <c r="B1605">
        <v>2014</v>
      </c>
      <c r="C1605" t="s">
        <v>735</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838</v>
      </c>
      <c r="B1606">
        <v>2013</v>
      </c>
      <c r="C1606" t="s">
        <v>735</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838</v>
      </c>
      <c r="B1607">
        <v>2012</v>
      </c>
      <c r="C1607" t="s">
        <v>735</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838</v>
      </c>
      <c r="B1608">
        <v>2011</v>
      </c>
      <c r="C1608" t="s">
        <v>735</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838</v>
      </c>
      <c r="B1609">
        <v>2010</v>
      </c>
      <c r="C1609" t="s">
        <v>735</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838</v>
      </c>
      <c r="B1610">
        <v>2009</v>
      </c>
      <c r="C1610" t="s">
        <v>735</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838</v>
      </c>
      <c r="B1611">
        <v>2008</v>
      </c>
      <c r="C1611" t="s">
        <v>735</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838</v>
      </c>
      <c r="B1612">
        <v>2007</v>
      </c>
      <c r="C1612" t="s">
        <v>735</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838</v>
      </c>
      <c r="B1613">
        <v>2006</v>
      </c>
      <c r="C1613" t="s">
        <v>735</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838</v>
      </c>
      <c r="B1614">
        <v>2005</v>
      </c>
      <c r="C1614" t="s">
        <v>735</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838</v>
      </c>
      <c r="B1615">
        <v>2004</v>
      </c>
      <c r="C1615" t="s">
        <v>735</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838</v>
      </c>
      <c r="B1616">
        <v>2003</v>
      </c>
      <c r="C1616" t="s">
        <v>735</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838</v>
      </c>
      <c r="B1617">
        <v>2002</v>
      </c>
      <c r="C1617" t="s">
        <v>735</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838</v>
      </c>
      <c r="B1618">
        <v>2001</v>
      </c>
      <c r="C1618" t="s">
        <v>735</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838</v>
      </c>
      <c r="B1619">
        <v>2000</v>
      </c>
      <c r="C1619" t="s">
        <v>735</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839</v>
      </c>
      <c r="B1620">
        <v>2015</v>
      </c>
      <c r="C1620" t="s">
        <v>735</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839</v>
      </c>
      <c r="B1621">
        <v>2014</v>
      </c>
      <c r="C1621" t="s">
        <v>735</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839</v>
      </c>
      <c r="B1622">
        <v>2013</v>
      </c>
      <c r="C1622" t="s">
        <v>735</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839</v>
      </c>
      <c r="B1623">
        <v>2012</v>
      </c>
      <c r="C1623" t="s">
        <v>735</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839</v>
      </c>
      <c r="B1624">
        <v>2011</v>
      </c>
      <c r="C1624" t="s">
        <v>735</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839</v>
      </c>
      <c r="B1625">
        <v>2010</v>
      </c>
      <c r="C1625" t="s">
        <v>735</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839</v>
      </c>
      <c r="B1626">
        <v>2009</v>
      </c>
      <c r="C1626" t="s">
        <v>735</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839</v>
      </c>
      <c r="B1627">
        <v>2008</v>
      </c>
      <c r="C1627" t="s">
        <v>735</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839</v>
      </c>
      <c r="B1628">
        <v>2007</v>
      </c>
      <c r="C1628" t="s">
        <v>735</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839</v>
      </c>
      <c r="B1629">
        <v>2006</v>
      </c>
      <c r="C1629" t="s">
        <v>735</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839</v>
      </c>
      <c r="B1630">
        <v>2005</v>
      </c>
      <c r="C1630" t="s">
        <v>735</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839</v>
      </c>
      <c r="B1631">
        <v>2004</v>
      </c>
      <c r="C1631" t="s">
        <v>735</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839</v>
      </c>
      <c r="B1632">
        <v>2003</v>
      </c>
      <c r="C1632" t="s">
        <v>735</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839</v>
      </c>
      <c r="B1633">
        <v>2002</v>
      </c>
      <c r="C1633" t="s">
        <v>735</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839</v>
      </c>
      <c r="B1634">
        <v>2001</v>
      </c>
      <c r="C1634" t="s">
        <v>735</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839</v>
      </c>
      <c r="B1635">
        <v>2000</v>
      </c>
      <c r="C1635" t="s">
        <v>735</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840</v>
      </c>
      <c r="B1636">
        <v>2015</v>
      </c>
      <c r="C1636" t="s">
        <v>743</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840</v>
      </c>
      <c r="B1637">
        <v>2014</v>
      </c>
      <c r="C1637" t="s">
        <v>743</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840</v>
      </c>
      <c r="B1638">
        <v>2013</v>
      </c>
      <c r="C1638" t="s">
        <v>743</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840</v>
      </c>
      <c r="B1639">
        <v>2012</v>
      </c>
      <c r="C1639" t="s">
        <v>743</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840</v>
      </c>
      <c r="B1640">
        <v>2011</v>
      </c>
      <c r="C1640" t="s">
        <v>743</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840</v>
      </c>
      <c r="B1641">
        <v>2010</v>
      </c>
      <c r="C1641" t="s">
        <v>743</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840</v>
      </c>
      <c r="B1642">
        <v>2009</v>
      </c>
      <c r="C1642" t="s">
        <v>743</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840</v>
      </c>
      <c r="B1643">
        <v>2008</v>
      </c>
      <c r="C1643" t="s">
        <v>743</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840</v>
      </c>
      <c r="B1644">
        <v>2007</v>
      </c>
      <c r="C1644" t="s">
        <v>743</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840</v>
      </c>
      <c r="B1645">
        <v>2006</v>
      </c>
      <c r="C1645" t="s">
        <v>743</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840</v>
      </c>
      <c r="B1646">
        <v>2005</v>
      </c>
      <c r="C1646" t="s">
        <v>743</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840</v>
      </c>
      <c r="B1647">
        <v>2004</v>
      </c>
      <c r="C1647" t="s">
        <v>743</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840</v>
      </c>
      <c r="B1648">
        <v>2003</v>
      </c>
      <c r="C1648" t="s">
        <v>743</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840</v>
      </c>
      <c r="B1649">
        <v>2002</v>
      </c>
      <c r="C1649" t="s">
        <v>743</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840</v>
      </c>
      <c r="B1650">
        <v>2001</v>
      </c>
      <c r="C1650" t="s">
        <v>743</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840</v>
      </c>
      <c r="B1651">
        <v>2000</v>
      </c>
      <c r="C1651" t="s">
        <v>743</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841</v>
      </c>
      <c r="B1652">
        <v>2013</v>
      </c>
      <c r="C1652" t="s">
        <v>735</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842</v>
      </c>
      <c r="B1653">
        <v>2015</v>
      </c>
      <c r="C1653" t="s">
        <v>735</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842</v>
      </c>
      <c r="B1654">
        <v>2014</v>
      </c>
      <c r="C1654" t="s">
        <v>735</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842</v>
      </c>
      <c r="B1655">
        <v>2013</v>
      </c>
      <c r="C1655" t="s">
        <v>735</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842</v>
      </c>
      <c r="B1656">
        <v>2012</v>
      </c>
      <c r="C1656" t="s">
        <v>735</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842</v>
      </c>
      <c r="B1657">
        <v>2011</v>
      </c>
      <c r="C1657" t="s">
        <v>735</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842</v>
      </c>
      <c r="B1658">
        <v>2010</v>
      </c>
      <c r="C1658" t="s">
        <v>735</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842</v>
      </c>
      <c r="B1659">
        <v>2009</v>
      </c>
      <c r="C1659" t="s">
        <v>735</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842</v>
      </c>
      <c r="B1660">
        <v>2008</v>
      </c>
      <c r="C1660" t="s">
        <v>735</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842</v>
      </c>
      <c r="B1661">
        <v>2007</v>
      </c>
      <c r="C1661" t="s">
        <v>735</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842</v>
      </c>
      <c r="B1662">
        <v>2006</v>
      </c>
      <c r="C1662" t="s">
        <v>735</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842</v>
      </c>
      <c r="B1663">
        <v>2005</v>
      </c>
      <c r="C1663" t="s">
        <v>735</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842</v>
      </c>
      <c r="B1664">
        <v>2004</v>
      </c>
      <c r="C1664" t="s">
        <v>735</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842</v>
      </c>
      <c r="B1665">
        <v>2003</v>
      </c>
      <c r="C1665" t="s">
        <v>735</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842</v>
      </c>
      <c r="B1666">
        <v>2002</v>
      </c>
      <c r="C1666" t="s">
        <v>735</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842</v>
      </c>
      <c r="B1667">
        <v>2001</v>
      </c>
      <c r="C1667" t="s">
        <v>735</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842</v>
      </c>
      <c r="B1668">
        <v>2000</v>
      </c>
      <c r="C1668" t="s">
        <v>735</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843</v>
      </c>
      <c r="B1669">
        <v>2015</v>
      </c>
      <c r="C1669" t="s">
        <v>735</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843</v>
      </c>
      <c r="B1670">
        <v>2014</v>
      </c>
      <c r="C1670" t="s">
        <v>735</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843</v>
      </c>
      <c r="B1671">
        <v>2013</v>
      </c>
      <c r="C1671" t="s">
        <v>735</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843</v>
      </c>
      <c r="B1672">
        <v>2012</v>
      </c>
      <c r="C1672" t="s">
        <v>735</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843</v>
      </c>
      <c r="B1673">
        <v>2011</v>
      </c>
      <c r="C1673" t="s">
        <v>735</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843</v>
      </c>
      <c r="B1674">
        <v>2010</v>
      </c>
      <c r="C1674" t="s">
        <v>735</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843</v>
      </c>
      <c r="B1675">
        <v>2009</v>
      </c>
      <c r="C1675" t="s">
        <v>735</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843</v>
      </c>
      <c r="B1676">
        <v>2008</v>
      </c>
      <c r="C1676" t="s">
        <v>735</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843</v>
      </c>
      <c r="B1677">
        <v>2007</v>
      </c>
      <c r="C1677" t="s">
        <v>735</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843</v>
      </c>
      <c r="B1678">
        <v>2006</v>
      </c>
      <c r="C1678" t="s">
        <v>735</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843</v>
      </c>
      <c r="B1679">
        <v>2005</v>
      </c>
      <c r="C1679" t="s">
        <v>735</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843</v>
      </c>
      <c r="B1680">
        <v>2004</v>
      </c>
      <c r="C1680" t="s">
        <v>735</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843</v>
      </c>
      <c r="B1681">
        <v>2003</v>
      </c>
      <c r="C1681" t="s">
        <v>735</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843</v>
      </c>
      <c r="B1682">
        <v>2002</v>
      </c>
      <c r="C1682" t="s">
        <v>735</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843</v>
      </c>
      <c r="B1683">
        <v>2001</v>
      </c>
      <c r="C1683" t="s">
        <v>735</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843</v>
      </c>
      <c r="B1684">
        <v>2000</v>
      </c>
      <c r="C1684" t="s">
        <v>735</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844</v>
      </c>
      <c r="B1685">
        <v>2015</v>
      </c>
      <c r="C1685" t="s">
        <v>735</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844</v>
      </c>
      <c r="B1686">
        <v>2014</v>
      </c>
      <c r="C1686" t="s">
        <v>735</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844</v>
      </c>
      <c r="B1687">
        <v>2013</v>
      </c>
      <c r="C1687" t="s">
        <v>735</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844</v>
      </c>
      <c r="B1688">
        <v>2012</v>
      </c>
      <c r="C1688" t="s">
        <v>735</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844</v>
      </c>
      <c r="B1689">
        <v>2011</v>
      </c>
      <c r="C1689" t="s">
        <v>735</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844</v>
      </c>
      <c r="B1690">
        <v>2010</v>
      </c>
      <c r="C1690" t="s">
        <v>735</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844</v>
      </c>
      <c r="B1691">
        <v>2009</v>
      </c>
      <c r="C1691" t="s">
        <v>735</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844</v>
      </c>
      <c r="B1692">
        <v>2008</v>
      </c>
      <c r="C1692" t="s">
        <v>735</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844</v>
      </c>
      <c r="B1693">
        <v>2007</v>
      </c>
      <c r="C1693" t="s">
        <v>735</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844</v>
      </c>
      <c r="B1694">
        <v>2006</v>
      </c>
      <c r="C1694" t="s">
        <v>735</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844</v>
      </c>
      <c r="B1695">
        <v>2005</v>
      </c>
      <c r="C1695" t="s">
        <v>735</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844</v>
      </c>
      <c r="B1696">
        <v>2004</v>
      </c>
      <c r="C1696" t="s">
        <v>735</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844</v>
      </c>
      <c r="B1697">
        <v>2003</v>
      </c>
      <c r="C1697" t="s">
        <v>735</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844</v>
      </c>
      <c r="B1698">
        <v>2002</v>
      </c>
      <c r="C1698" t="s">
        <v>735</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844</v>
      </c>
      <c r="B1699">
        <v>2001</v>
      </c>
      <c r="C1699" t="s">
        <v>735</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844</v>
      </c>
      <c r="B1700">
        <v>2000</v>
      </c>
      <c r="C1700" t="s">
        <v>735</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845</v>
      </c>
      <c r="B1701">
        <v>2015</v>
      </c>
      <c r="C1701" t="s">
        <v>735</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845</v>
      </c>
      <c r="B1702">
        <v>2014</v>
      </c>
      <c r="C1702" t="s">
        <v>735</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845</v>
      </c>
      <c r="B1703">
        <v>2013</v>
      </c>
      <c r="C1703" t="s">
        <v>735</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845</v>
      </c>
      <c r="B1704">
        <v>2012</v>
      </c>
      <c r="C1704" t="s">
        <v>735</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845</v>
      </c>
      <c r="B1705">
        <v>2011</v>
      </c>
      <c r="C1705" t="s">
        <v>735</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845</v>
      </c>
      <c r="B1706">
        <v>2010</v>
      </c>
      <c r="C1706" t="s">
        <v>735</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845</v>
      </c>
      <c r="B1707">
        <v>2009</v>
      </c>
      <c r="C1707" t="s">
        <v>735</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845</v>
      </c>
      <c r="B1708">
        <v>2008</v>
      </c>
      <c r="C1708" t="s">
        <v>735</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845</v>
      </c>
      <c r="B1709">
        <v>2007</v>
      </c>
      <c r="C1709" t="s">
        <v>735</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845</v>
      </c>
      <c r="B1710">
        <v>2006</v>
      </c>
      <c r="C1710" t="s">
        <v>735</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845</v>
      </c>
      <c r="B1711">
        <v>2005</v>
      </c>
      <c r="C1711" t="s">
        <v>735</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845</v>
      </c>
      <c r="B1712">
        <v>2004</v>
      </c>
      <c r="C1712" t="s">
        <v>735</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845</v>
      </c>
      <c r="B1713">
        <v>2003</v>
      </c>
      <c r="C1713" t="s">
        <v>735</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845</v>
      </c>
      <c r="B1714">
        <v>2002</v>
      </c>
      <c r="C1714" t="s">
        <v>735</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845</v>
      </c>
      <c r="B1715">
        <v>2001</v>
      </c>
      <c r="C1715" t="s">
        <v>735</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845</v>
      </c>
      <c r="B1716">
        <v>2000</v>
      </c>
      <c r="C1716" t="s">
        <v>735</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846</v>
      </c>
      <c r="B1717">
        <v>2013</v>
      </c>
      <c r="C1717" t="s">
        <v>735</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847</v>
      </c>
      <c r="B1718">
        <v>2015</v>
      </c>
      <c r="C1718" t="s">
        <v>735</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847</v>
      </c>
      <c r="B1719">
        <v>2014</v>
      </c>
      <c r="C1719" t="s">
        <v>735</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847</v>
      </c>
      <c r="B1720">
        <v>2013</v>
      </c>
      <c r="C1720" t="s">
        <v>735</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847</v>
      </c>
      <c r="B1721">
        <v>2012</v>
      </c>
      <c r="C1721" t="s">
        <v>735</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847</v>
      </c>
      <c r="B1722">
        <v>2011</v>
      </c>
      <c r="C1722" t="s">
        <v>735</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847</v>
      </c>
      <c r="B1723">
        <v>2010</v>
      </c>
      <c r="C1723" t="s">
        <v>735</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847</v>
      </c>
      <c r="B1724">
        <v>2009</v>
      </c>
      <c r="C1724" t="s">
        <v>735</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847</v>
      </c>
      <c r="B1725">
        <v>2008</v>
      </c>
      <c r="C1725" t="s">
        <v>735</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847</v>
      </c>
      <c r="B1726">
        <v>2007</v>
      </c>
      <c r="C1726" t="s">
        <v>735</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847</v>
      </c>
      <c r="B1727">
        <v>2006</v>
      </c>
      <c r="C1727" t="s">
        <v>735</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847</v>
      </c>
      <c r="B1728">
        <v>2005</v>
      </c>
      <c r="C1728" t="s">
        <v>735</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847</v>
      </c>
      <c r="B1729">
        <v>2004</v>
      </c>
      <c r="C1729" t="s">
        <v>735</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847</v>
      </c>
      <c r="B1730">
        <v>2003</v>
      </c>
      <c r="C1730" t="s">
        <v>735</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847</v>
      </c>
      <c r="B1731">
        <v>2002</v>
      </c>
      <c r="C1731" t="s">
        <v>735</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847</v>
      </c>
      <c r="B1732">
        <v>2001</v>
      </c>
      <c r="C1732" t="s">
        <v>735</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847</v>
      </c>
      <c r="B1733">
        <v>2000</v>
      </c>
      <c r="C1733" t="s">
        <v>735</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848</v>
      </c>
      <c r="B1734">
        <v>2015</v>
      </c>
      <c r="C1734" t="s">
        <v>735</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848</v>
      </c>
      <c r="B1735">
        <v>2014</v>
      </c>
      <c r="C1735" t="s">
        <v>735</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848</v>
      </c>
      <c r="B1736">
        <v>2013</v>
      </c>
      <c r="C1736" t="s">
        <v>735</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848</v>
      </c>
      <c r="B1737">
        <v>2012</v>
      </c>
      <c r="C1737" t="s">
        <v>735</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848</v>
      </c>
      <c r="B1738">
        <v>2011</v>
      </c>
      <c r="C1738" t="s">
        <v>735</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848</v>
      </c>
      <c r="B1739">
        <v>2010</v>
      </c>
      <c r="C1739" t="s">
        <v>735</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848</v>
      </c>
      <c r="B1740">
        <v>2009</v>
      </c>
      <c r="C1740" t="s">
        <v>735</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848</v>
      </c>
      <c r="B1741">
        <v>2008</v>
      </c>
      <c r="C1741" t="s">
        <v>735</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848</v>
      </c>
      <c r="B1742">
        <v>2007</v>
      </c>
      <c r="C1742" t="s">
        <v>735</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848</v>
      </c>
      <c r="B1743">
        <v>2006</v>
      </c>
      <c r="C1743" t="s">
        <v>735</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848</v>
      </c>
      <c r="B1744">
        <v>2005</v>
      </c>
      <c r="C1744" t="s">
        <v>735</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848</v>
      </c>
      <c r="B1745">
        <v>2004</v>
      </c>
      <c r="C1745" t="s">
        <v>735</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848</v>
      </c>
      <c r="B1746">
        <v>2003</v>
      </c>
      <c r="C1746" t="s">
        <v>735</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848</v>
      </c>
      <c r="B1747">
        <v>2002</v>
      </c>
      <c r="C1747" t="s">
        <v>735</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848</v>
      </c>
      <c r="B1748">
        <v>2001</v>
      </c>
      <c r="C1748" t="s">
        <v>735</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848</v>
      </c>
      <c r="B1749">
        <v>2000</v>
      </c>
      <c r="C1749" t="s">
        <v>735</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849</v>
      </c>
      <c r="B1750">
        <v>2015</v>
      </c>
      <c r="C1750" t="s">
        <v>735</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849</v>
      </c>
      <c r="B1751">
        <v>2014</v>
      </c>
      <c r="C1751" t="s">
        <v>735</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849</v>
      </c>
      <c r="B1752">
        <v>2013</v>
      </c>
      <c r="C1752" t="s">
        <v>735</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849</v>
      </c>
      <c r="B1753">
        <v>2012</v>
      </c>
      <c r="C1753" t="s">
        <v>735</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849</v>
      </c>
      <c r="B1754">
        <v>2011</v>
      </c>
      <c r="C1754" t="s">
        <v>735</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849</v>
      </c>
      <c r="B1755">
        <v>2010</v>
      </c>
      <c r="C1755" t="s">
        <v>735</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849</v>
      </c>
      <c r="B1756">
        <v>2009</v>
      </c>
      <c r="C1756" t="s">
        <v>735</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849</v>
      </c>
      <c r="B1757">
        <v>2008</v>
      </c>
      <c r="C1757" t="s">
        <v>735</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849</v>
      </c>
      <c r="B1758">
        <v>2007</v>
      </c>
      <c r="C1758" t="s">
        <v>735</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849</v>
      </c>
      <c r="B1759">
        <v>2006</v>
      </c>
      <c r="C1759" t="s">
        <v>735</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849</v>
      </c>
      <c r="B1760">
        <v>2005</v>
      </c>
      <c r="C1760" t="s">
        <v>735</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849</v>
      </c>
      <c r="B1761">
        <v>2004</v>
      </c>
      <c r="C1761" t="s">
        <v>735</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849</v>
      </c>
      <c r="B1762">
        <v>2003</v>
      </c>
      <c r="C1762" t="s">
        <v>735</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849</v>
      </c>
      <c r="B1763">
        <v>2002</v>
      </c>
      <c r="C1763" t="s">
        <v>735</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849</v>
      </c>
      <c r="B1764">
        <v>2001</v>
      </c>
      <c r="C1764" t="s">
        <v>735</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849</v>
      </c>
      <c r="B1765">
        <v>2000</v>
      </c>
      <c r="C1765" t="s">
        <v>735</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850</v>
      </c>
      <c r="B1766">
        <v>2015</v>
      </c>
      <c r="C1766" t="s">
        <v>735</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850</v>
      </c>
      <c r="B1767">
        <v>2014</v>
      </c>
      <c r="C1767" t="s">
        <v>735</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850</v>
      </c>
      <c r="B1768">
        <v>2013</v>
      </c>
      <c r="C1768" t="s">
        <v>735</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850</v>
      </c>
      <c r="B1769">
        <v>2012</v>
      </c>
      <c r="C1769" t="s">
        <v>735</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850</v>
      </c>
      <c r="B1770">
        <v>2011</v>
      </c>
      <c r="C1770" t="s">
        <v>735</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850</v>
      </c>
      <c r="B1771">
        <v>2010</v>
      </c>
      <c r="C1771" t="s">
        <v>735</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850</v>
      </c>
      <c r="B1772">
        <v>2009</v>
      </c>
      <c r="C1772" t="s">
        <v>735</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850</v>
      </c>
      <c r="B1773">
        <v>2008</v>
      </c>
      <c r="C1773" t="s">
        <v>735</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850</v>
      </c>
      <c r="B1774">
        <v>2007</v>
      </c>
      <c r="C1774" t="s">
        <v>735</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850</v>
      </c>
      <c r="B1775">
        <v>2006</v>
      </c>
      <c r="C1775" t="s">
        <v>735</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850</v>
      </c>
      <c r="B1776">
        <v>2005</v>
      </c>
      <c r="C1776" t="s">
        <v>735</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850</v>
      </c>
      <c r="B1777">
        <v>2004</v>
      </c>
      <c r="C1777" t="s">
        <v>735</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850</v>
      </c>
      <c r="B1778">
        <v>2003</v>
      </c>
      <c r="C1778" t="s">
        <v>735</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850</v>
      </c>
      <c r="B1779">
        <v>2002</v>
      </c>
      <c r="C1779" t="s">
        <v>735</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850</v>
      </c>
      <c r="B1780">
        <v>2001</v>
      </c>
      <c r="C1780" t="s">
        <v>735</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850</v>
      </c>
      <c r="B1781">
        <v>2000</v>
      </c>
      <c r="C1781" t="s">
        <v>735</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851</v>
      </c>
      <c r="B1782">
        <v>2015</v>
      </c>
      <c r="C1782" t="s">
        <v>735</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851</v>
      </c>
      <c r="B1783">
        <v>2014</v>
      </c>
      <c r="C1783" t="s">
        <v>735</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851</v>
      </c>
      <c r="B1784">
        <v>2013</v>
      </c>
      <c r="C1784" t="s">
        <v>735</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851</v>
      </c>
      <c r="B1785">
        <v>2012</v>
      </c>
      <c r="C1785" t="s">
        <v>735</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851</v>
      </c>
      <c r="B1786">
        <v>2011</v>
      </c>
      <c r="C1786" t="s">
        <v>735</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851</v>
      </c>
      <c r="B1787">
        <v>2010</v>
      </c>
      <c r="C1787" t="s">
        <v>735</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851</v>
      </c>
      <c r="B1788">
        <v>2009</v>
      </c>
      <c r="C1788" t="s">
        <v>735</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851</v>
      </c>
      <c r="B1789">
        <v>2008</v>
      </c>
      <c r="C1789" t="s">
        <v>735</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851</v>
      </c>
      <c r="B1790">
        <v>2007</v>
      </c>
      <c r="C1790" t="s">
        <v>735</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851</v>
      </c>
      <c r="B1791">
        <v>2006</v>
      </c>
      <c r="C1791" t="s">
        <v>735</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851</v>
      </c>
      <c r="B1792">
        <v>2005</v>
      </c>
      <c r="C1792" t="s">
        <v>735</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851</v>
      </c>
      <c r="B1793">
        <v>2004</v>
      </c>
      <c r="C1793" t="s">
        <v>735</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851</v>
      </c>
      <c r="B1794">
        <v>2003</v>
      </c>
      <c r="C1794" t="s">
        <v>735</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851</v>
      </c>
      <c r="B1795">
        <v>2002</v>
      </c>
      <c r="C1795" t="s">
        <v>735</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851</v>
      </c>
      <c r="B1796">
        <v>2001</v>
      </c>
      <c r="C1796" t="s">
        <v>735</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851</v>
      </c>
      <c r="B1797">
        <v>2000</v>
      </c>
      <c r="C1797" t="s">
        <v>735</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852</v>
      </c>
      <c r="B1798">
        <v>2015</v>
      </c>
      <c r="C1798" t="s">
        <v>735</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852</v>
      </c>
      <c r="B1799">
        <v>2014</v>
      </c>
      <c r="C1799" t="s">
        <v>735</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852</v>
      </c>
      <c r="B1800">
        <v>2013</v>
      </c>
      <c r="C1800" t="s">
        <v>735</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852</v>
      </c>
      <c r="B1801">
        <v>2012</v>
      </c>
      <c r="C1801" t="s">
        <v>735</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852</v>
      </c>
      <c r="B1802">
        <v>2011</v>
      </c>
      <c r="C1802" t="s">
        <v>735</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852</v>
      </c>
      <c r="B1803">
        <v>2010</v>
      </c>
      <c r="C1803" t="s">
        <v>735</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852</v>
      </c>
      <c r="B1804">
        <v>2009</v>
      </c>
      <c r="C1804" t="s">
        <v>735</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852</v>
      </c>
      <c r="B1805">
        <v>2008</v>
      </c>
      <c r="C1805" t="s">
        <v>735</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852</v>
      </c>
      <c r="B1806">
        <v>2007</v>
      </c>
      <c r="C1806" t="s">
        <v>735</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852</v>
      </c>
      <c r="B1807">
        <v>2006</v>
      </c>
      <c r="C1807" t="s">
        <v>735</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852</v>
      </c>
      <c r="B1808">
        <v>2005</v>
      </c>
      <c r="C1808" t="s">
        <v>735</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852</v>
      </c>
      <c r="B1809">
        <v>2004</v>
      </c>
      <c r="C1809" t="s">
        <v>735</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852</v>
      </c>
      <c r="B1810">
        <v>2003</v>
      </c>
      <c r="C1810" t="s">
        <v>735</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852</v>
      </c>
      <c r="B1811">
        <v>2002</v>
      </c>
      <c r="C1811" t="s">
        <v>735</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852</v>
      </c>
      <c r="B1812">
        <v>2001</v>
      </c>
      <c r="C1812" t="s">
        <v>735</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852</v>
      </c>
      <c r="B1813">
        <v>2000</v>
      </c>
      <c r="C1813" t="s">
        <v>735</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853</v>
      </c>
      <c r="B1814">
        <v>2013</v>
      </c>
      <c r="C1814" t="s">
        <v>735</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854</v>
      </c>
      <c r="B1815">
        <v>2015</v>
      </c>
      <c r="C1815" t="s">
        <v>735</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854</v>
      </c>
      <c r="B1816">
        <v>2014</v>
      </c>
      <c r="C1816" t="s">
        <v>735</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854</v>
      </c>
      <c r="B1817">
        <v>2013</v>
      </c>
      <c r="C1817" t="s">
        <v>735</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854</v>
      </c>
      <c r="B1818">
        <v>2012</v>
      </c>
      <c r="C1818" t="s">
        <v>735</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854</v>
      </c>
      <c r="B1819">
        <v>2011</v>
      </c>
      <c r="C1819" t="s">
        <v>735</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854</v>
      </c>
      <c r="B1820">
        <v>2010</v>
      </c>
      <c r="C1820" t="s">
        <v>735</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854</v>
      </c>
      <c r="B1821">
        <v>2009</v>
      </c>
      <c r="C1821" t="s">
        <v>735</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854</v>
      </c>
      <c r="B1822">
        <v>2008</v>
      </c>
      <c r="C1822" t="s">
        <v>735</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854</v>
      </c>
      <c r="B1823">
        <v>2007</v>
      </c>
      <c r="C1823" t="s">
        <v>735</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854</v>
      </c>
      <c r="B1824">
        <v>2006</v>
      </c>
      <c r="C1824" t="s">
        <v>735</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854</v>
      </c>
      <c r="B1825">
        <v>2005</v>
      </c>
      <c r="C1825" t="s">
        <v>735</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854</v>
      </c>
      <c r="B1826">
        <v>2004</v>
      </c>
      <c r="C1826" t="s">
        <v>735</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854</v>
      </c>
      <c r="B1827">
        <v>2003</v>
      </c>
      <c r="C1827" t="s">
        <v>735</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854</v>
      </c>
      <c r="B1828">
        <v>2002</v>
      </c>
      <c r="C1828" t="s">
        <v>735</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854</v>
      </c>
      <c r="B1829">
        <v>2001</v>
      </c>
      <c r="C1829" t="s">
        <v>735</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854</v>
      </c>
      <c r="B1830">
        <v>2000</v>
      </c>
      <c r="C1830" t="s">
        <v>735</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855</v>
      </c>
      <c r="B1831">
        <v>2015</v>
      </c>
      <c r="C1831" t="s">
        <v>743</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855</v>
      </c>
      <c r="B1832">
        <v>2014</v>
      </c>
      <c r="C1832" t="s">
        <v>743</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855</v>
      </c>
      <c r="B1833">
        <v>2013</v>
      </c>
      <c r="C1833" t="s">
        <v>743</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855</v>
      </c>
      <c r="B1834">
        <v>2012</v>
      </c>
      <c r="C1834" t="s">
        <v>743</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855</v>
      </c>
      <c r="B1835">
        <v>2011</v>
      </c>
      <c r="C1835" t="s">
        <v>743</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855</v>
      </c>
      <c r="B1836">
        <v>2010</v>
      </c>
      <c r="C1836" t="s">
        <v>743</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855</v>
      </c>
      <c r="B1837">
        <v>2009</v>
      </c>
      <c r="C1837" t="s">
        <v>743</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855</v>
      </c>
      <c r="B1838">
        <v>2008</v>
      </c>
      <c r="C1838" t="s">
        <v>743</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855</v>
      </c>
      <c r="B1839">
        <v>2007</v>
      </c>
      <c r="C1839" t="s">
        <v>743</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855</v>
      </c>
      <c r="B1840">
        <v>2006</v>
      </c>
      <c r="C1840" t="s">
        <v>743</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855</v>
      </c>
      <c r="B1841">
        <v>2005</v>
      </c>
      <c r="C1841" t="s">
        <v>743</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855</v>
      </c>
      <c r="B1842">
        <v>2004</v>
      </c>
      <c r="C1842" t="s">
        <v>743</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855</v>
      </c>
      <c r="B1843">
        <v>2003</v>
      </c>
      <c r="C1843" t="s">
        <v>743</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855</v>
      </c>
      <c r="B1844">
        <v>2002</v>
      </c>
      <c r="C1844" t="s">
        <v>743</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855</v>
      </c>
      <c r="B1845">
        <v>2001</v>
      </c>
      <c r="C1845" t="s">
        <v>743</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855</v>
      </c>
      <c r="B1846">
        <v>2000</v>
      </c>
      <c r="C1846" t="s">
        <v>743</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856</v>
      </c>
      <c r="B1847">
        <v>2015</v>
      </c>
      <c r="C1847" t="s">
        <v>743</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856</v>
      </c>
      <c r="B1848">
        <v>2014</v>
      </c>
      <c r="C1848" t="s">
        <v>743</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856</v>
      </c>
      <c r="B1849">
        <v>2013</v>
      </c>
      <c r="C1849" t="s">
        <v>743</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856</v>
      </c>
      <c r="B1850">
        <v>2012</v>
      </c>
      <c r="C1850" t="s">
        <v>743</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856</v>
      </c>
      <c r="B1851">
        <v>2011</v>
      </c>
      <c r="C1851" t="s">
        <v>743</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856</v>
      </c>
      <c r="B1852">
        <v>2010</v>
      </c>
      <c r="C1852" t="s">
        <v>743</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856</v>
      </c>
      <c r="B1853">
        <v>2009</v>
      </c>
      <c r="C1853" t="s">
        <v>743</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856</v>
      </c>
      <c r="B1854">
        <v>2008</v>
      </c>
      <c r="C1854" t="s">
        <v>743</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856</v>
      </c>
      <c r="B1855">
        <v>2007</v>
      </c>
      <c r="C1855" t="s">
        <v>743</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856</v>
      </c>
      <c r="B1856">
        <v>2006</v>
      </c>
      <c r="C1856" t="s">
        <v>743</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856</v>
      </c>
      <c r="B1857">
        <v>2005</v>
      </c>
      <c r="C1857" t="s">
        <v>743</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856</v>
      </c>
      <c r="B1858">
        <v>2004</v>
      </c>
      <c r="C1858" t="s">
        <v>743</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856</v>
      </c>
      <c r="B1859">
        <v>2003</v>
      </c>
      <c r="C1859" t="s">
        <v>743</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856</v>
      </c>
      <c r="B1860">
        <v>2002</v>
      </c>
      <c r="C1860" t="s">
        <v>743</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856</v>
      </c>
      <c r="B1861">
        <v>2001</v>
      </c>
      <c r="C1861" t="s">
        <v>743</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856</v>
      </c>
      <c r="B1862">
        <v>2000</v>
      </c>
      <c r="C1862" t="s">
        <v>743</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857</v>
      </c>
      <c r="B1863">
        <v>2015</v>
      </c>
      <c r="C1863" t="s">
        <v>735</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857</v>
      </c>
      <c r="B1864">
        <v>2014</v>
      </c>
      <c r="C1864" t="s">
        <v>735</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857</v>
      </c>
      <c r="B1865">
        <v>2013</v>
      </c>
      <c r="C1865" t="s">
        <v>735</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857</v>
      </c>
      <c r="B1866">
        <v>2012</v>
      </c>
      <c r="C1866" t="s">
        <v>735</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857</v>
      </c>
      <c r="B1867">
        <v>2011</v>
      </c>
      <c r="C1867" t="s">
        <v>735</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857</v>
      </c>
      <c r="B1868">
        <v>2010</v>
      </c>
      <c r="C1868" t="s">
        <v>735</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857</v>
      </c>
      <c r="B1869">
        <v>2009</v>
      </c>
      <c r="C1869" t="s">
        <v>735</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857</v>
      </c>
      <c r="B1870">
        <v>2008</v>
      </c>
      <c r="C1870" t="s">
        <v>735</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857</v>
      </c>
      <c r="B1871">
        <v>2007</v>
      </c>
      <c r="C1871" t="s">
        <v>735</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857</v>
      </c>
      <c r="B1872">
        <v>2006</v>
      </c>
      <c r="C1872" t="s">
        <v>735</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857</v>
      </c>
      <c r="B1873">
        <v>2005</v>
      </c>
      <c r="C1873" t="s">
        <v>735</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857</v>
      </c>
      <c r="B1874">
        <v>2004</v>
      </c>
      <c r="C1874" t="s">
        <v>735</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857</v>
      </c>
      <c r="B1875">
        <v>2003</v>
      </c>
      <c r="C1875" t="s">
        <v>735</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857</v>
      </c>
      <c r="B1876">
        <v>2002</v>
      </c>
      <c r="C1876" t="s">
        <v>735</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857</v>
      </c>
      <c r="B1877">
        <v>2001</v>
      </c>
      <c r="C1877" t="s">
        <v>735</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857</v>
      </c>
      <c r="B1878">
        <v>2000</v>
      </c>
      <c r="C1878" t="s">
        <v>735</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858</v>
      </c>
      <c r="B1879">
        <v>2015</v>
      </c>
      <c r="C1879" t="s">
        <v>735</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858</v>
      </c>
      <c r="B1880">
        <v>2014</v>
      </c>
      <c r="C1880" t="s">
        <v>735</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858</v>
      </c>
      <c r="B1881">
        <v>2013</v>
      </c>
      <c r="C1881" t="s">
        <v>735</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858</v>
      </c>
      <c r="B1882">
        <v>2012</v>
      </c>
      <c r="C1882" t="s">
        <v>735</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858</v>
      </c>
      <c r="B1883">
        <v>2011</v>
      </c>
      <c r="C1883" t="s">
        <v>735</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858</v>
      </c>
      <c r="B1884">
        <v>2010</v>
      </c>
      <c r="C1884" t="s">
        <v>735</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858</v>
      </c>
      <c r="B1885">
        <v>2009</v>
      </c>
      <c r="C1885" t="s">
        <v>735</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858</v>
      </c>
      <c r="B1886">
        <v>2008</v>
      </c>
      <c r="C1886" t="s">
        <v>735</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858</v>
      </c>
      <c r="B1887">
        <v>2007</v>
      </c>
      <c r="C1887" t="s">
        <v>735</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858</v>
      </c>
      <c r="B1888">
        <v>2006</v>
      </c>
      <c r="C1888" t="s">
        <v>735</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858</v>
      </c>
      <c r="B1889">
        <v>2005</v>
      </c>
      <c r="C1889" t="s">
        <v>735</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858</v>
      </c>
      <c r="B1890">
        <v>2004</v>
      </c>
      <c r="C1890" t="s">
        <v>735</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858</v>
      </c>
      <c r="B1891">
        <v>2003</v>
      </c>
      <c r="C1891" t="s">
        <v>735</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858</v>
      </c>
      <c r="B1892">
        <v>2002</v>
      </c>
      <c r="C1892" t="s">
        <v>735</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858</v>
      </c>
      <c r="B1893">
        <v>2001</v>
      </c>
      <c r="C1893" t="s">
        <v>735</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858</v>
      </c>
      <c r="B1894">
        <v>2000</v>
      </c>
      <c r="C1894" t="s">
        <v>735</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859</v>
      </c>
      <c r="B1895">
        <v>2015</v>
      </c>
      <c r="C1895" t="s">
        <v>735</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859</v>
      </c>
      <c r="B1896">
        <v>2014</v>
      </c>
      <c r="C1896" t="s">
        <v>735</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859</v>
      </c>
      <c r="B1897">
        <v>2013</v>
      </c>
      <c r="C1897" t="s">
        <v>735</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859</v>
      </c>
      <c r="B1898">
        <v>2012</v>
      </c>
      <c r="C1898" t="s">
        <v>735</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859</v>
      </c>
      <c r="B1899">
        <v>2011</v>
      </c>
      <c r="C1899" t="s">
        <v>735</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859</v>
      </c>
      <c r="B1900">
        <v>2010</v>
      </c>
      <c r="C1900" t="s">
        <v>735</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859</v>
      </c>
      <c r="B1901">
        <v>2009</v>
      </c>
      <c r="C1901" t="s">
        <v>735</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859</v>
      </c>
      <c r="B1902">
        <v>2008</v>
      </c>
      <c r="C1902" t="s">
        <v>735</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859</v>
      </c>
      <c r="B1903">
        <v>2007</v>
      </c>
      <c r="C1903" t="s">
        <v>735</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859</v>
      </c>
      <c r="B1904">
        <v>2006</v>
      </c>
      <c r="C1904" t="s">
        <v>735</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859</v>
      </c>
      <c r="B1905">
        <v>2005</v>
      </c>
      <c r="C1905" t="s">
        <v>735</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859</v>
      </c>
      <c r="B1906">
        <v>2004</v>
      </c>
      <c r="C1906" t="s">
        <v>735</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859</v>
      </c>
      <c r="B1907">
        <v>2003</v>
      </c>
      <c r="C1907" t="s">
        <v>735</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859</v>
      </c>
      <c r="B1908">
        <v>2002</v>
      </c>
      <c r="C1908" t="s">
        <v>735</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859</v>
      </c>
      <c r="B1909">
        <v>2001</v>
      </c>
      <c r="C1909" t="s">
        <v>735</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859</v>
      </c>
      <c r="B1910">
        <v>2000</v>
      </c>
      <c r="C1910" t="s">
        <v>735</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860</v>
      </c>
      <c r="B1911">
        <v>2013</v>
      </c>
      <c r="C1911" t="s">
        <v>735</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861</v>
      </c>
      <c r="B1912">
        <v>2015</v>
      </c>
      <c r="C1912" t="s">
        <v>743</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861</v>
      </c>
      <c r="B1913">
        <v>2014</v>
      </c>
      <c r="C1913" t="s">
        <v>743</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861</v>
      </c>
      <c r="B1914">
        <v>2013</v>
      </c>
      <c r="C1914" t="s">
        <v>743</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861</v>
      </c>
      <c r="B1915">
        <v>2012</v>
      </c>
      <c r="C1915" t="s">
        <v>743</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861</v>
      </c>
      <c r="B1916">
        <v>2011</v>
      </c>
      <c r="C1916" t="s">
        <v>743</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861</v>
      </c>
      <c r="B1917">
        <v>2010</v>
      </c>
      <c r="C1917" t="s">
        <v>743</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861</v>
      </c>
      <c r="B1918">
        <v>2009</v>
      </c>
      <c r="C1918" t="s">
        <v>743</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861</v>
      </c>
      <c r="B1919">
        <v>2008</v>
      </c>
      <c r="C1919" t="s">
        <v>743</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861</v>
      </c>
      <c r="B1920">
        <v>2007</v>
      </c>
      <c r="C1920" t="s">
        <v>743</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861</v>
      </c>
      <c r="B1921">
        <v>2006</v>
      </c>
      <c r="C1921" t="s">
        <v>743</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861</v>
      </c>
      <c r="B1922">
        <v>2005</v>
      </c>
      <c r="C1922" t="s">
        <v>743</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861</v>
      </c>
      <c r="B1923">
        <v>2004</v>
      </c>
      <c r="C1923" t="s">
        <v>743</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861</v>
      </c>
      <c r="B1924">
        <v>2003</v>
      </c>
      <c r="C1924" t="s">
        <v>743</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861</v>
      </c>
      <c r="B1925">
        <v>2002</v>
      </c>
      <c r="C1925" t="s">
        <v>743</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861</v>
      </c>
      <c r="B1926">
        <v>2001</v>
      </c>
      <c r="C1926" t="s">
        <v>743</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861</v>
      </c>
      <c r="B1927">
        <v>2000</v>
      </c>
      <c r="C1927" t="s">
        <v>743</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862</v>
      </c>
      <c r="B1928">
        <v>2015</v>
      </c>
      <c r="C1928" t="s">
        <v>735</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862</v>
      </c>
      <c r="B1929">
        <v>2014</v>
      </c>
      <c r="C1929" t="s">
        <v>735</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862</v>
      </c>
      <c r="B1930">
        <v>2013</v>
      </c>
      <c r="C1930" t="s">
        <v>735</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862</v>
      </c>
      <c r="B1931">
        <v>2012</v>
      </c>
      <c r="C1931" t="s">
        <v>735</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862</v>
      </c>
      <c r="B1932">
        <v>2011</v>
      </c>
      <c r="C1932" t="s">
        <v>735</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862</v>
      </c>
      <c r="B1933">
        <v>2010</v>
      </c>
      <c r="C1933" t="s">
        <v>735</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862</v>
      </c>
      <c r="B1934">
        <v>2009</v>
      </c>
      <c r="C1934" t="s">
        <v>735</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862</v>
      </c>
      <c r="B1935">
        <v>2008</v>
      </c>
      <c r="C1935" t="s">
        <v>735</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862</v>
      </c>
      <c r="B1936">
        <v>2007</v>
      </c>
      <c r="C1936" t="s">
        <v>735</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862</v>
      </c>
      <c r="B1937">
        <v>2006</v>
      </c>
      <c r="C1937" t="s">
        <v>735</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862</v>
      </c>
      <c r="B1938">
        <v>2005</v>
      </c>
      <c r="C1938" t="s">
        <v>735</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862</v>
      </c>
      <c r="B1939">
        <v>2004</v>
      </c>
      <c r="C1939" t="s">
        <v>735</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862</v>
      </c>
      <c r="B1940">
        <v>2003</v>
      </c>
      <c r="C1940" t="s">
        <v>735</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862</v>
      </c>
      <c r="B1941">
        <v>2002</v>
      </c>
      <c r="C1941" t="s">
        <v>735</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862</v>
      </c>
      <c r="B1942">
        <v>2001</v>
      </c>
      <c r="C1942" t="s">
        <v>735</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862</v>
      </c>
      <c r="B1943">
        <v>2000</v>
      </c>
      <c r="C1943" t="s">
        <v>735</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863</v>
      </c>
      <c r="B1944">
        <v>2015</v>
      </c>
      <c r="C1944" t="s">
        <v>735</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863</v>
      </c>
      <c r="B1945">
        <v>2014</v>
      </c>
      <c r="C1945" t="s">
        <v>735</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863</v>
      </c>
      <c r="B1946">
        <v>2013</v>
      </c>
      <c r="C1946" t="s">
        <v>735</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863</v>
      </c>
      <c r="B1947">
        <v>2012</v>
      </c>
      <c r="C1947" t="s">
        <v>735</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863</v>
      </c>
      <c r="B1948">
        <v>2011</v>
      </c>
      <c r="C1948" t="s">
        <v>735</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863</v>
      </c>
      <c r="B1949">
        <v>2010</v>
      </c>
      <c r="C1949" t="s">
        <v>735</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863</v>
      </c>
      <c r="B1950">
        <v>2009</v>
      </c>
      <c r="C1950" t="s">
        <v>735</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863</v>
      </c>
      <c r="B1951">
        <v>2008</v>
      </c>
      <c r="C1951" t="s">
        <v>735</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863</v>
      </c>
      <c r="B1952">
        <v>2007</v>
      </c>
      <c r="C1952" t="s">
        <v>735</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863</v>
      </c>
      <c r="B1953">
        <v>2006</v>
      </c>
      <c r="C1953" t="s">
        <v>735</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863</v>
      </c>
      <c r="B1954">
        <v>2005</v>
      </c>
      <c r="C1954" t="s">
        <v>735</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863</v>
      </c>
      <c r="B1955">
        <v>2004</v>
      </c>
      <c r="C1955" t="s">
        <v>735</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863</v>
      </c>
      <c r="B1956">
        <v>2003</v>
      </c>
      <c r="C1956" t="s">
        <v>735</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863</v>
      </c>
      <c r="B1957">
        <v>2002</v>
      </c>
      <c r="C1957" t="s">
        <v>735</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863</v>
      </c>
      <c r="B1958">
        <v>2001</v>
      </c>
      <c r="C1958" t="s">
        <v>735</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863</v>
      </c>
      <c r="B1959">
        <v>2000</v>
      </c>
      <c r="C1959" t="s">
        <v>735</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864</v>
      </c>
      <c r="B1960">
        <v>2013</v>
      </c>
      <c r="C1960" t="s">
        <v>735</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865</v>
      </c>
      <c r="B1961">
        <v>2015</v>
      </c>
      <c r="C1961" t="s">
        <v>735</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865</v>
      </c>
      <c r="B1962">
        <v>2014</v>
      </c>
      <c r="C1962" t="s">
        <v>735</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865</v>
      </c>
      <c r="B1963">
        <v>2013</v>
      </c>
      <c r="C1963" t="s">
        <v>735</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865</v>
      </c>
      <c r="B1964">
        <v>2012</v>
      </c>
      <c r="C1964" t="s">
        <v>735</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865</v>
      </c>
      <c r="B1965">
        <v>2011</v>
      </c>
      <c r="C1965" t="s">
        <v>735</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865</v>
      </c>
      <c r="B1966">
        <v>2010</v>
      </c>
      <c r="C1966" t="s">
        <v>735</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865</v>
      </c>
      <c r="B1967">
        <v>2009</v>
      </c>
      <c r="C1967" t="s">
        <v>735</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865</v>
      </c>
      <c r="B1968">
        <v>2008</v>
      </c>
      <c r="C1968" t="s">
        <v>735</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865</v>
      </c>
      <c r="B1969">
        <v>2007</v>
      </c>
      <c r="C1969" t="s">
        <v>735</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865</v>
      </c>
      <c r="B1970">
        <v>2006</v>
      </c>
      <c r="C1970" t="s">
        <v>735</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865</v>
      </c>
      <c r="B1971">
        <v>2005</v>
      </c>
      <c r="C1971" t="s">
        <v>735</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865</v>
      </c>
      <c r="B1972">
        <v>2004</v>
      </c>
      <c r="C1972" t="s">
        <v>735</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865</v>
      </c>
      <c r="B1973">
        <v>2003</v>
      </c>
      <c r="C1973" t="s">
        <v>735</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865</v>
      </c>
      <c r="B1974">
        <v>2002</v>
      </c>
      <c r="C1974" t="s">
        <v>735</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865</v>
      </c>
      <c r="B1975">
        <v>2001</v>
      </c>
      <c r="C1975" t="s">
        <v>735</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865</v>
      </c>
      <c r="B1976">
        <v>2000</v>
      </c>
      <c r="C1976" t="s">
        <v>735</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866</v>
      </c>
      <c r="B1977">
        <v>2015</v>
      </c>
      <c r="C1977" t="s">
        <v>735</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866</v>
      </c>
      <c r="B1978">
        <v>2014</v>
      </c>
      <c r="C1978" t="s">
        <v>735</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866</v>
      </c>
      <c r="B1979">
        <v>2013</v>
      </c>
      <c r="C1979" t="s">
        <v>735</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866</v>
      </c>
      <c r="B1980">
        <v>2012</v>
      </c>
      <c r="C1980" t="s">
        <v>735</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866</v>
      </c>
      <c r="B1981">
        <v>2011</v>
      </c>
      <c r="C1981" t="s">
        <v>735</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866</v>
      </c>
      <c r="B1982">
        <v>2010</v>
      </c>
      <c r="C1982" t="s">
        <v>735</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866</v>
      </c>
      <c r="B1983">
        <v>2009</v>
      </c>
      <c r="C1983" t="s">
        <v>735</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866</v>
      </c>
      <c r="B1984">
        <v>2008</v>
      </c>
      <c r="C1984" t="s">
        <v>735</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866</v>
      </c>
      <c r="B1985">
        <v>2007</v>
      </c>
      <c r="C1985" t="s">
        <v>735</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866</v>
      </c>
      <c r="B1986">
        <v>2006</v>
      </c>
      <c r="C1986" t="s">
        <v>735</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866</v>
      </c>
      <c r="B1987">
        <v>2005</v>
      </c>
      <c r="C1987" t="s">
        <v>735</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866</v>
      </c>
      <c r="B1988">
        <v>2004</v>
      </c>
      <c r="C1988" t="s">
        <v>735</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866</v>
      </c>
      <c r="B1989">
        <v>2003</v>
      </c>
      <c r="C1989" t="s">
        <v>735</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866</v>
      </c>
      <c r="B1990">
        <v>2002</v>
      </c>
      <c r="C1990" t="s">
        <v>735</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866</v>
      </c>
      <c r="B1991">
        <v>2001</v>
      </c>
      <c r="C1991" t="s">
        <v>735</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866</v>
      </c>
      <c r="B1992">
        <v>2000</v>
      </c>
      <c r="C1992" t="s">
        <v>735</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867</v>
      </c>
      <c r="B1993">
        <v>2015</v>
      </c>
      <c r="C1993" t="s">
        <v>735</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867</v>
      </c>
      <c r="B1994">
        <v>2014</v>
      </c>
      <c r="C1994" t="s">
        <v>735</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867</v>
      </c>
      <c r="B1995">
        <v>2013</v>
      </c>
      <c r="C1995" t="s">
        <v>735</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867</v>
      </c>
      <c r="B1996">
        <v>2012</v>
      </c>
      <c r="C1996" t="s">
        <v>735</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867</v>
      </c>
      <c r="B1997">
        <v>2011</v>
      </c>
      <c r="C1997" t="s">
        <v>735</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867</v>
      </c>
      <c r="B1998">
        <v>2010</v>
      </c>
      <c r="C1998" t="s">
        <v>735</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867</v>
      </c>
      <c r="B1999">
        <v>2009</v>
      </c>
      <c r="C1999" t="s">
        <v>735</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867</v>
      </c>
      <c r="B2000">
        <v>2008</v>
      </c>
      <c r="C2000" t="s">
        <v>735</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867</v>
      </c>
      <c r="B2001">
        <v>2007</v>
      </c>
      <c r="C2001" t="s">
        <v>735</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867</v>
      </c>
      <c r="B2002">
        <v>2006</v>
      </c>
      <c r="C2002" t="s">
        <v>735</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867</v>
      </c>
      <c r="B2003">
        <v>2005</v>
      </c>
      <c r="C2003" t="s">
        <v>735</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867</v>
      </c>
      <c r="B2004">
        <v>2004</v>
      </c>
      <c r="C2004" t="s">
        <v>735</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867</v>
      </c>
      <c r="B2005">
        <v>2003</v>
      </c>
      <c r="C2005" t="s">
        <v>735</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867</v>
      </c>
      <c r="B2006">
        <v>2002</v>
      </c>
      <c r="C2006" t="s">
        <v>735</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867</v>
      </c>
      <c r="B2007">
        <v>2001</v>
      </c>
      <c r="C2007" t="s">
        <v>735</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867</v>
      </c>
      <c r="B2008">
        <v>2000</v>
      </c>
      <c r="C2008" t="s">
        <v>735</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868</v>
      </c>
      <c r="B2009">
        <v>2015</v>
      </c>
      <c r="C2009" t="s">
        <v>735</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868</v>
      </c>
      <c r="B2010">
        <v>2014</v>
      </c>
      <c r="C2010" t="s">
        <v>735</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868</v>
      </c>
      <c r="B2011">
        <v>2013</v>
      </c>
      <c r="C2011" t="s">
        <v>735</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868</v>
      </c>
      <c r="B2012">
        <v>2012</v>
      </c>
      <c r="C2012" t="s">
        <v>735</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868</v>
      </c>
      <c r="B2013">
        <v>2011</v>
      </c>
      <c r="C2013" t="s">
        <v>735</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868</v>
      </c>
      <c r="B2014">
        <v>2010</v>
      </c>
      <c r="C2014" t="s">
        <v>735</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868</v>
      </c>
      <c r="B2015">
        <v>2009</v>
      </c>
      <c r="C2015" t="s">
        <v>735</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868</v>
      </c>
      <c r="B2016">
        <v>2008</v>
      </c>
      <c r="C2016" t="s">
        <v>735</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868</v>
      </c>
      <c r="B2017">
        <v>2007</v>
      </c>
      <c r="C2017" t="s">
        <v>735</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868</v>
      </c>
      <c r="B2018">
        <v>2006</v>
      </c>
      <c r="C2018" t="s">
        <v>735</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868</v>
      </c>
      <c r="B2019">
        <v>2005</v>
      </c>
      <c r="C2019" t="s">
        <v>735</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868</v>
      </c>
      <c r="B2020">
        <v>2004</v>
      </c>
      <c r="C2020" t="s">
        <v>735</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868</v>
      </c>
      <c r="B2021">
        <v>2003</v>
      </c>
      <c r="C2021" t="s">
        <v>735</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868</v>
      </c>
      <c r="B2022">
        <v>2002</v>
      </c>
      <c r="C2022" t="s">
        <v>735</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868</v>
      </c>
      <c r="B2023">
        <v>2001</v>
      </c>
      <c r="C2023" t="s">
        <v>735</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868</v>
      </c>
      <c r="B2024">
        <v>2000</v>
      </c>
      <c r="C2024" t="s">
        <v>735</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869</v>
      </c>
      <c r="B2025">
        <v>2015</v>
      </c>
      <c r="C2025" t="s">
        <v>735</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869</v>
      </c>
      <c r="B2026">
        <v>2014</v>
      </c>
      <c r="C2026" t="s">
        <v>735</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869</v>
      </c>
      <c r="B2027">
        <v>2013</v>
      </c>
      <c r="C2027" t="s">
        <v>735</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869</v>
      </c>
      <c r="B2028">
        <v>2012</v>
      </c>
      <c r="C2028" t="s">
        <v>735</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869</v>
      </c>
      <c r="B2029">
        <v>2011</v>
      </c>
      <c r="C2029" t="s">
        <v>735</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869</v>
      </c>
      <c r="B2030">
        <v>2010</v>
      </c>
      <c r="C2030" t="s">
        <v>735</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869</v>
      </c>
      <c r="B2031">
        <v>2009</v>
      </c>
      <c r="C2031" t="s">
        <v>735</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869</v>
      </c>
      <c r="B2032">
        <v>2008</v>
      </c>
      <c r="C2032" t="s">
        <v>735</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869</v>
      </c>
      <c r="B2033">
        <v>2007</v>
      </c>
      <c r="C2033" t="s">
        <v>735</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869</v>
      </c>
      <c r="B2034">
        <v>2006</v>
      </c>
      <c r="C2034" t="s">
        <v>735</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869</v>
      </c>
      <c r="B2035">
        <v>2005</v>
      </c>
      <c r="C2035" t="s">
        <v>735</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869</v>
      </c>
      <c r="B2036">
        <v>2004</v>
      </c>
      <c r="C2036" t="s">
        <v>735</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869</v>
      </c>
      <c r="B2037">
        <v>2003</v>
      </c>
      <c r="C2037" t="s">
        <v>735</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869</v>
      </c>
      <c r="B2038">
        <v>2002</v>
      </c>
      <c r="C2038" t="s">
        <v>735</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869</v>
      </c>
      <c r="B2039">
        <v>2001</v>
      </c>
      <c r="C2039" t="s">
        <v>735</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869</v>
      </c>
      <c r="B2040">
        <v>2000</v>
      </c>
      <c r="C2040" t="s">
        <v>735</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870</v>
      </c>
      <c r="B2041">
        <v>2015</v>
      </c>
      <c r="C2041" t="s">
        <v>743</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870</v>
      </c>
      <c r="B2042">
        <v>2014</v>
      </c>
      <c r="C2042" t="s">
        <v>743</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870</v>
      </c>
      <c r="B2043">
        <v>2013</v>
      </c>
      <c r="C2043" t="s">
        <v>743</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870</v>
      </c>
      <c r="B2044">
        <v>2012</v>
      </c>
      <c r="C2044" t="s">
        <v>743</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870</v>
      </c>
      <c r="B2045">
        <v>2011</v>
      </c>
      <c r="C2045" t="s">
        <v>743</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870</v>
      </c>
      <c r="B2046">
        <v>2010</v>
      </c>
      <c r="C2046" t="s">
        <v>743</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870</v>
      </c>
      <c r="B2047">
        <v>2009</v>
      </c>
      <c r="C2047" t="s">
        <v>743</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870</v>
      </c>
      <c r="B2048">
        <v>2008</v>
      </c>
      <c r="C2048" t="s">
        <v>743</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870</v>
      </c>
      <c r="B2049">
        <v>2007</v>
      </c>
      <c r="C2049" t="s">
        <v>743</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870</v>
      </c>
      <c r="B2050">
        <v>2006</v>
      </c>
      <c r="C2050" t="s">
        <v>743</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870</v>
      </c>
      <c r="B2051">
        <v>2005</v>
      </c>
      <c r="C2051" t="s">
        <v>743</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870</v>
      </c>
      <c r="B2052">
        <v>2004</v>
      </c>
      <c r="C2052" t="s">
        <v>743</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870</v>
      </c>
      <c r="B2053">
        <v>2003</v>
      </c>
      <c r="C2053" t="s">
        <v>743</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870</v>
      </c>
      <c r="B2054">
        <v>2002</v>
      </c>
      <c r="C2054" t="s">
        <v>743</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870</v>
      </c>
      <c r="B2055">
        <v>2001</v>
      </c>
      <c r="C2055" t="s">
        <v>743</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870</v>
      </c>
      <c r="B2056">
        <v>2000</v>
      </c>
      <c r="C2056" t="s">
        <v>743</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871</v>
      </c>
      <c r="B2057">
        <v>2015</v>
      </c>
      <c r="C2057" t="s">
        <v>743</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871</v>
      </c>
      <c r="B2058">
        <v>2014</v>
      </c>
      <c r="C2058" t="s">
        <v>743</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871</v>
      </c>
      <c r="B2059">
        <v>2013</v>
      </c>
      <c r="C2059" t="s">
        <v>743</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871</v>
      </c>
      <c r="B2060">
        <v>2012</v>
      </c>
      <c r="C2060" t="s">
        <v>743</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871</v>
      </c>
      <c r="B2061">
        <v>2011</v>
      </c>
      <c r="C2061" t="s">
        <v>743</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871</v>
      </c>
      <c r="B2062">
        <v>2010</v>
      </c>
      <c r="C2062" t="s">
        <v>743</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871</v>
      </c>
      <c r="B2063">
        <v>2009</v>
      </c>
      <c r="C2063" t="s">
        <v>743</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871</v>
      </c>
      <c r="B2064">
        <v>2008</v>
      </c>
      <c r="C2064" t="s">
        <v>743</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871</v>
      </c>
      <c r="B2065">
        <v>2007</v>
      </c>
      <c r="C2065" t="s">
        <v>743</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871</v>
      </c>
      <c r="B2066">
        <v>2006</v>
      </c>
      <c r="C2066" t="s">
        <v>743</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871</v>
      </c>
      <c r="B2067">
        <v>2005</v>
      </c>
      <c r="C2067" t="s">
        <v>743</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871</v>
      </c>
      <c r="B2068">
        <v>2004</v>
      </c>
      <c r="C2068" t="s">
        <v>743</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871</v>
      </c>
      <c r="B2069">
        <v>2003</v>
      </c>
      <c r="C2069" t="s">
        <v>743</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871</v>
      </c>
      <c r="B2070">
        <v>2002</v>
      </c>
      <c r="C2070" t="s">
        <v>743</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871</v>
      </c>
      <c r="B2071">
        <v>2001</v>
      </c>
      <c r="C2071" t="s">
        <v>743</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871</v>
      </c>
      <c r="B2072">
        <v>2000</v>
      </c>
      <c r="C2072" t="s">
        <v>743</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872</v>
      </c>
      <c r="B2073">
        <v>2015</v>
      </c>
      <c r="C2073" t="s">
        <v>735</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872</v>
      </c>
      <c r="B2074">
        <v>2014</v>
      </c>
      <c r="C2074" t="s">
        <v>735</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872</v>
      </c>
      <c r="B2075">
        <v>2013</v>
      </c>
      <c r="C2075" t="s">
        <v>735</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872</v>
      </c>
      <c r="B2076">
        <v>2012</v>
      </c>
      <c r="C2076" t="s">
        <v>735</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872</v>
      </c>
      <c r="B2077">
        <v>2011</v>
      </c>
      <c r="C2077" t="s">
        <v>735</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872</v>
      </c>
      <c r="B2078">
        <v>2010</v>
      </c>
      <c r="C2078" t="s">
        <v>735</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872</v>
      </c>
      <c r="B2079">
        <v>2009</v>
      </c>
      <c r="C2079" t="s">
        <v>735</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872</v>
      </c>
      <c r="B2080">
        <v>2008</v>
      </c>
      <c r="C2080" t="s">
        <v>735</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872</v>
      </c>
      <c r="B2081">
        <v>2007</v>
      </c>
      <c r="C2081" t="s">
        <v>735</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872</v>
      </c>
      <c r="B2082">
        <v>2006</v>
      </c>
      <c r="C2082" t="s">
        <v>735</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872</v>
      </c>
      <c r="B2083">
        <v>2005</v>
      </c>
      <c r="C2083" t="s">
        <v>735</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872</v>
      </c>
      <c r="B2084">
        <v>2004</v>
      </c>
      <c r="C2084" t="s">
        <v>735</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872</v>
      </c>
      <c r="B2085">
        <v>2003</v>
      </c>
      <c r="C2085" t="s">
        <v>735</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872</v>
      </c>
      <c r="B2086">
        <v>2002</v>
      </c>
      <c r="C2086" t="s">
        <v>735</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872</v>
      </c>
      <c r="B2087">
        <v>2001</v>
      </c>
      <c r="C2087" t="s">
        <v>735</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872</v>
      </c>
      <c r="B2088">
        <v>2000</v>
      </c>
      <c r="C2088" t="s">
        <v>735</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873</v>
      </c>
      <c r="B2089">
        <v>2015</v>
      </c>
      <c r="C2089" t="s">
        <v>735</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873</v>
      </c>
      <c r="B2090">
        <v>2014</v>
      </c>
      <c r="C2090" t="s">
        <v>735</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873</v>
      </c>
      <c r="B2091">
        <v>2013</v>
      </c>
      <c r="C2091" t="s">
        <v>735</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873</v>
      </c>
      <c r="B2092">
        <v>2012</v>
      </c>
      <c r="C2092" t="s">
        <v>735</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873</v>
      </c>
      <c r="B2093">
        <v>2011</v>
      </c>
      <c r="C2093" t="s">
        <v>735</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873</v>
      </c>
      <c r="B2094">
        <v>2010</v>
      </c>
      <c r="C2094" t="s">
        <v>735</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873</v>
      </c>
      <c r="B2095">
        <v>2009</v>
      </c>
      <c r="C2095" t="s">
        <v>735</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873</v>
      </c>
      <c r="B2096">
        <v>2008</v>
      </c>
      <c r="C2096" t="s">
        <v>735</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873</v>
      </c>
      <c r="B2097">
        <v>2007</v>
      </c>
      <c r="C2097" t="s">
        <v>735</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873</v>
      </c>
      <c r="B2098">
        <v>2006</v>
      </c>
      <c r="C2098" t="s">
        <v>735</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873</v>
      </c>
      <c r="B2099">
        <v>2005</v>
      </c>
      <c r="C2099" t="s">
        <v>735</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873</v>
      </c>
      <c r="B2100">
        <v>2004</v>
      </c>
      <c r="C2100" t="s">
        <v>735</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873</v>
      </c>
      <c r="B2101">
        <v>2003</v>
      </c>
      <c r="C2101" t="s">
        <v>735</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873</v>
      </c>
      <c r="B2102">
        <v>2002</v>
      </c>
      <c r="C2102" t="s">
        <v>735</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873</v>
      </c>
      <c r="B2103">
        <v>2001</v>
      </c>
      <c r="C2103" t="s">
        <v>735</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873</v>
      </c>
      <c r="B2104">
        <v>2000</v>
      </c>
      <c r="C2104" t="s">
        <v>735</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874</v>
      </c>
      <c r="B2105">
        <v>2015</v>
      </c>
      <c r="C2105" t="s">
        <v>735</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874</v>
      </c>
      <c r="B2106">
        <v>2014</v>
      </c>
      <c r="C2106" t="s">
        <v>735</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874</v>
      </c>
      <c r="B2107">
        <v>2013</v>
      </c>
      <c r="C2107" t="s">
        <v>735</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874</v>
      </c>
      <c r="B2108">
        <v>2012</v>
      </c>
      <c r="C2108" t="s">
        <v>735</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874</v>
      </c>
      <c r="B2109">
        <v>2011</v>
      </c>
      <c r="C2109" t="s">
        <v>735</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874</v>
      </c>
      <c r="B2110">
        <v>2010</v>
      </c>
      <c r="C2110" t="s">
        <v>735</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874</v>
      </c>
      <c r="B2111">
        <v>2009</v>
      </c>
      <c r="C2111" t="s">
        <v>735</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874</v>
      </c>
      <c r="B2112">
        <v>2008</v>
      </c>
      <c r="C2112" t="s">
        <v>735</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874</v>
      </c>
      <c r="B2113">
        <v>2007</v>
      </c>
      <c r="C2113" t="s">
        <v>735</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874</v>
      </c>
      <c r="B2114">
        <v>2006</v>
      </c>
      <c r="C2114" t="s">
        <v>735</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874</v>
      </c>
      <c r="B2115">
        <v>2005</v>
      </c>
      <c r="C2115" t="s">
        <v>735</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874</v>
      </c>
      <c r="B2116">
        <v>2004</v>
      </c>
      <c r="C2116" t="s">
        <v>735</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874</v>
      </c>
      <c r="B2117">
        <v>2003</v>
      </c>
      <c r="C2117" t="s">
        <v>735</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874</v>
      </c>
      <c r="B2118">
        <v>2002</v>
      </c>
      <c r="C2118" t="s">
        <v>735</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874</v>
      </c>
      <c r="B2119">
        <v>2001</v>
      </c>
      <c r="C2119" t="s">
        <v>735</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874</v>
      </c>
      <c r="B2120">
        <v>2000</v>
      </c>
      <c r="C2120" t="s">
        <v>735</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875</v>
      </c>
      <c r="B2121">
        <v>2015</v>
      </c>
      <c r="C2121" t="s">
        <v>743</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875</v>
      </c>
      <c r="B2122">
        <v>2014</v>
      </c>
      <c r="C2122" t="s">
        <v>743</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875</v>
      </c>
      <c r="B2123">
        <v>2013</v>
      </c>
      <c r="C2123" t="s">
        <v>743</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875</v>
      </c>
      <c r="B2124">
        <v>2012</v>
      </c>
      <c r="C2124" t="s">
        <v>743</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875</v>
      </c>
      <c r="B2125">
        <v>2011</v>
      </c>
      <c r="C2125" t="s">
        <v>743</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875</v>
      </c>
      <c r="B2126">
        <v>2010</v>
      </c>
      <c r="C2126" t="s">
        <v>743</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875</v>
      </c>
      <c r="B2127">
        <v>2009</v>
      </c>
      <c r="C2127" t="s">
        <v>743</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875</v>
      </c>
      <c r="B2128">
        <v>2008</v>
      </c>
      <c r="C2128" t="s">
        <v>743</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875</v>
      </c>
      <c r="B2129">
        <v>2007</v>
      </c>
      <c r="C2129" t="s">
        <v>743</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875</v>
      </c>
      <c r="B2130">
        <v>2006</v>
      </c>
      <c r="C2130" t="s">
        <v>743</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875</v>
      </c>
      <c r="B2131">
        <v>2005</v>
      </c>
      <c r="C2131" t="s">
        <v>743</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875</v>
      </c>
      <c r="B2132">
        <v>2004</v>
      </c>
      <c r="C2132" t="s">
        <v>743</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875</v>
      </c>
      <c r="B2133">
        <v>2003</v>
      </c>
      <c r="C2133" t="s">
        <v>743</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875</v>
      </c>
      <c r="B2134">
        <v>2002</v>
      </c>
      <c r="C2134" t="s">
        <v>743</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875</v>
      </c>
      <c r="B2135">
        <v>2001</v>
      </c>
      <c r="C2135" t="s">
        <v>743</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875</v>
      </c>
      <c r="B2136">
        <v>2000</v>
      </c>
      <c r="C2136" t="s">
        <v>743</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876</v>
      </c>
      <c r="B2137">
        <v>2015</v>
      </c>
      <c r="C2137" t="s">
        <v>735</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876</v>
      </c>
      <c r="B2138">
        <v>2014</v>
      </c>
      <c r="C2138" t="s">
        <v>735</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876</v>
      </c>
      <c r="B2139">
        <v>2013</v>
      </c>
      <c r="C2139" t="s">
        <v>735</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876</v>
      </c>
      <c r="B2140">
        <v>2012</v>
      </c>
      <c r="C2140" t="s">
        <v>735</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876</v>
      </c>
      <c r="B2141">
        <v>2011</v>
      </c>
      <c r="C2141" t="s">
        <v>735</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876</v>
      </c>
      <c r="B2142">
        <v>2010</v>
      </c>
      <c r="C2142" t="s">
        <v>735</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876</v>
      </c>
      <c r="B2143">
        <v>2009</v>
      </c>
      <c r="C2143" t="s">
        <v>735</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876</v>
      </c>
      <c r="B2144">
        <v>2008</v>
      </c>
      <c r="C2144" t="s">
        <v>735</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876</v>
      </c>
      <c r="B2145">
        <v>2007</v>
      </c>
      <c r="C2145" t="s">
        <v>735</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876</v>
      </c>
      <c r="B2146">
        <v>2006</v>
      </c>
      <c r="C2146" t="s">
        <v>735</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876</v>
      </c>
      <c r="B2147">
        <v>2005</v>
      </c>
      <c r="C2147" t="s">
        <v>735</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876</v>
      </c>
      <c r="B2148">
        <v>2004</v>
      </c>
      <c r="C2148" t="s">
        <v>735</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876</v>
      </c>
      <c r="B2149">
        <v>2003</v>
      </c>
      <c r="C2149" t="s">
        <v>735</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876</v>
      </c>
      <c r="B2150">
        <v>2002</v>
      </c>
      <c r="C2150" t="s">
        <v>735</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876</v>
      </c>
      <c r="B2151">
        <v>2001</v>
      </c>
      <c r="C2151" t="s">
        <v>735</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876</v>
      </c>
      <c r="B2152">
        <v>2000</v>
      </c>
      <c r="C2152" t="s">
        <v>735</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877</v>
      </c>
      <c r="B2153">
        <v>2015</v>
      </c>
      <c r="C2153" t="s">
        <v>735</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877</v>
      </c>
      <c r="B2154">
        <v>2014</v>
      </c>
      <c r="C2154" t="s">
        <v>735</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877</v>
      </c>
      <c r="B2155">
        <v>2013</v>
      </c>
      <c r="C2155" t="s">
        <v>735</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877</v>
      </c>
      <c r="B2156">
        <v>2012</v>
      </c>
      <c r="C2156" t="s">
        <v>735</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877</v>
      </c>
      <c r="B2157">
        <v>2011</v>
      </c>
      <c r="C2157" t="s">
        <v>735</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877</v>
      </c>
      <c r="B2158">
        <v>2010</v>
      </c>
      <c r="C2158" t="s">
        <v>735</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877</v>
      </c>
      <c r="B2159">
        <v>2009</v>
      </c>
      <c r="C2159" t="s">
        <v>735</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877</v>
      </c>
      <c r="B2160">
        <v>2008</v>
      </c>
      <c r="C2160" t="s">
        <v>735</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877</v>
      </c>
      <c r="B2161">
        <v>2007</v>
      </c>
      <c r="C2161" t="s">
        <v>735</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877</v>
      </c>
      <c r="B2162">
        <v>2006</v>
      </c>
      <c r="C2162" t="s">
        <v>735</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877</v>
      </c>
      <c r="B2163">
        <v>2005</v>
      </c>
      <c r="C2163" t="s">
        <v>735</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877</v>
      </c>
      <c r="B2164">
        <v>2004</v>
      </c>
      <c r="C2164" t="s">
        <v>735</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877</v>
      </c>
      <c r="B2165">
        <v>2003</v>
      </c>
      <c r="C2165" t="s">
        <v>735</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877</v>
      </c>
      <c r="B2166">
        <v>2002</v>
      </c>
      <c r="C2166" t="s">
        <v>735</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877</v>
      </c>
      <c r="B2167">
        <v>2001</v>
      </c>
      <c r="C2167" t="s">
        <v>735</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877</v>
      </c>
      <c r="B2168">
        <v>2000</v>
      </c>
      <c r="C2168" t="s">
        <v>735</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878</v>
      </c>
      <c r="B2169">
        <v>2013</v>
      </c>
      <c r="C2169" t="s">
        <v>735</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879</v>
      </c>
      <c r="B2170">
        <v>2015</v>
      </c>
      <c r="C2170" t="s">
        <v>735</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879</v>
      </c>
      <c r="B2171">
        <v>2014</v>
      </c>
      <c r="C2171" t="s">
        <v>735</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879</v>
      </c>
      <c r="B2172">
        <v>2013</v>
      </c>
      <c r="C2172" t="s">
        <v>735</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879</v>
      </c>
      <c r="B2173">
        <v>2012</v>
      </c>
      <c r="C2173" t="s">
        <v>735</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879</v>
      </c>
      <c r="B2174">
        <v>2011</v>
      </c>
      <c r="C2174" t="s">
        <v>735</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879</v>
      </c>
      <c r="B2175">
        <v>2010</v>
      </c>
      <c r="C2175" t="s">
        <v>735</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879</v>
      </c>
      <c r="B2176">
        <v>2009</v>
      </c>
      <c r="C2176" t="s">
        <v>735</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879</v>
      </c>
      <c r="B2177">
        <v>2008</v>
      </c>
      <c r="C2177" t="s">
        <v>735</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879</v>
      </c>
      <c r="B2178">
        <v>2007</v>
      </c>
      <c r="C2178" t="s">
        <v>735</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879</v>
      </c>
      <c r="B2179">
        <v>2006</v>
      </c>
      <c r="C2179" t="s">
        <v>735</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879</v>
      </c>
      <c r="B2180">
        <v>2005</v>
      </c>
      <c r="C2180" t="s">
        <v>735</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879</v>
      </c>
      <c r="B2181">
        <v>2004</v>
      </c>
      <c r="C2181" t="s">
        <v>735</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879</v>
      </c>
      <c r="B2182">
        <v>2003</v>
      </c>
      <c r="C2182" t="s">
        <v>735</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879</v>
      </c>
      <c r="B2183">
        <v>2002</v>
      </c>
      <c r="C2183" t="s">
        <v>735</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879</v>
      </c>
      <c r="B2184">
        <v>2001</v>
      </c>
      <c r="C2184" t="s">
        <v>735</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879</v>
      </c>
      <c r="B2185">
        <v>2000</v>
      </c>
      <c r="C2185" t="s">
        <v>735</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880</v>
      </c>
      <c r="B2186">
        <v>2015</v>
      </c>
      <c r="C2186" t="s">
        <v>735</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880</v>
      </c>
      <c r="B2187">
        <v>2014</v>
      </c>
      <c r="C2187" t="s">
        <v>735</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880</v>
      </c>
      <c r="B2188">
        <v>2013</v>
      </c>
      <c r="C2188" t="s">
        <v>735</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880</v>
      </c>
      <c r="B2189">
        <v>2012</v>
      </c>
      <c r="C2189" t="s">
        <v>735</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880</v>
      </c>
      <c r="B2190">
        <v>2011</v>
      </c>
      <c r="C2190" t="s">
        <v>735</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880</v>
      </c>
      <c r="B2191">
        <v>2010</v>
      </c>
      <c r="C2191" t="s">
        <v>735</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880</v>
      </c>
      <c r="B2192">
        <v>2009</v>
      </c>
      <c r="C2192" t="s">
        <v>735</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880</v>
      </c>
      <c r="B2193">
        <v>2008</v>
      </c>
      <c r="C2193" t="s">
        <v>735</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880</v>
      </c>
      <c r="B2194">
        <v>2007</v>
      </c>
      <c r="C2194" t="s">
        <v>735</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880</v>
      </c>
      <c r="B2195">
        <v>2006</v>
      </c>
      <c r="C2195" t="s">
        <v>735</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880</v>
      </c>
      <c r="B2196">
        <v>2005</v>
      </c>
      <c r="C2196" t="s">
        <v>735</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880</v>
      </c>
      <c r="B2197">
        <v>2004</v>
      </c>
      <c r="C2197" t="s">
        <v>735</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880</v>
      </c>
      <c r="B2198">
        <v>2003</v>
      </c>
      <c r="C2198" t="s">
        <v>735</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880</v>
      </c>
      <c r="B2199">
        <v>2002</v>
      </c>
      <c r="C2199" t="s">
        <v>735</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880</v>
      </c>
      <c r="B2200">
        <v>2001</v>
      </c>
      <c r="C2200" t="s">
        <v>735</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880</v>
      </c>
      <c r="B2201">
        <v>2000</v>
      </c>
      <c r="C2201" t="s">
        <v>735</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881</v>
      </c>
      <c r="B2202">
        <v>2015</v>
      </c>
      <c r="C2202" t="s">
        <v>735</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881</v>
      </c>
      <c r="B2203">
        <v>2014</v>
      </c>
      <c r="C2203" t="s">
        <v>735</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881</v>
      </c>
      <c r="B2204">
        <v>2013</v>
      </c>
      <c r="C2204" t="s">
        <v>735</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881</v>
      </c>
      <c r="B2205">
        <v>2012</v>
      </c>
      <c r="C2205" t="s">
        <v>735</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881</v>
      </c>
      <c r="B2206">
        <v>2011</v>
      </c>
      <c r="C2206" t="s">
        <v>735</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881</v>
      </c>
      <c r="B2207">
        <v>2010</v>
      </c>
      <c r="C2207" t="s">
        <v>735</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881</v>
      </c>
      <c r="B2208">
        <v>2009</v>
      </c>
      <c r="C2208" t="s">
        <v>735</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881</v>
      </c>
      <c r="B2209">
        <v>2008</v>
      </c>
      <c r="C2209" t="s">
        <v>735</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881</v>
      </c>
      <c r="B2210">
        <v>2007</v>
      </c>
      <c r="C2210" t="s">
        <v>735</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881</v>
      </c>
      <c r="B2211">
        <v>2006</v>
      </c>
      <c r="C2211" t="s">
        <v>735</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881</v>
      </c>
      <c r="B2212">
        <v>2005</v>
      </c>
      <c r="C2212" t="s">
        <v>735</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881</v>
      </c>
      <c r="B2213">
        <v>2004</v>
      </c>
      <c r="C2213" t="s">
        <v>735</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881</v>
      </c>
      <c r="B2214">
        <v>2003</v>
      </c>
      <c r="C2214" t="s">
        <v>735</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881</v>
      </c>
      <c r="B2215">
        <v>2002</v>
      </c>
      <c r="C2215" t="s">
        <v>735</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881</v>
      </c>
      <c r="B2216">
        <v>2001</v>
      </c>
      <c r="C2216" t="s">
        <v>735</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881</v>
      </c>
      <c r="B2217">
        <v>2000</v>
      </c>
      <c r="C2217" t="s">
        <v>735</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882</v>
      </c>
      <c r="B2218">
        <v>2013</v>
      </c>
      <c r="C2218" t="s">
        <v>735</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883</v>
      </c>
      <c r="B2219">
        <v>2015</v>
      </c>
      <c r="C2219" t="s">
        <v>735</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883</v>
      </c>
      <c r="B2220">
        <v>2014</v>
      </c>
      <c r="C2220" t="s">
        <v>735</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883</v>
      </c>
      <c r="B2221">
        <v>2013</v>
      </c>
      <c r="C2221" t="s">
        <v>735</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883</v>
      </c>
      <c r="B2222">
        <v>2012</v>
      </c>
      <c r="C2222" t="s">
        <v>735</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883</v>
      </c>
      <c r="B2223">
        <v>2011</v>
      </c>
      <c r="C2223" t="s">
        <v>735</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883</v>
      </c>
      <c r="B2224">
        <v>2010</v>
      </c>
      <c r="C2224" t="s">
        <v>735</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883</v>
      </c>
      <c r="B2225">
        <v>2009</v>
      </c>
      <c r="C2225" t="s">
        <v>735</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883</v>
      </c>
      <c r="B2226">
        <v>2008</v>
      </c>
      <c r="C2226" t="s">
        <v>735</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883</v>
      </c>
      <c r="B2227">
        <v>2007</v>
      </c>
      <c r="C2227" t="s">
        <v>735</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883</v>
      </c>
      <c r="B2228">
        <v>2006</v>
      </c>
      <c r="C2228" t="s">
        <v>735</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883</v>
      </c>
      <c r="B2229">
        <v>2005</v>
      </c>
      <c r="C2229" t="s">
        <v>735</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883</v>
      </c>
      <c r="B2230">
        <v>2004</v>
      </c>
      <c r="C2230" t="s">
        <v>735</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883</v>
      </c>
      <c r="B2231">
        <v>2003</v>
      </c>
      <c r="C2231" t="s">
        <v>735</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883</v>
      </c>
      <c r="B2232">
        <v>2002</v>
      </c>
      <c r="C2232" t="s">
        <v>735</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883</v>
      </c>
      <c r="B2233">
        <v>2001</v>
      </c>
      <c r="C2233" t="s">
        <v>735</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883</v>
      </c>
      <c r="B2234">
        <v>2000</v>
      </c>
      <c r="C2234" t="s">
        <v>735</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884</v>
      </c>
      <c r="B2235">
        <v>2015</v>
      </c>
      <c r="C2235" t="s">
        <v>735</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884</v>
      </c>
      <c r="B2236">
        <v>2014</v>
      </c>
      <c r="C2236" t="s">
        <v>735</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884</v>
      </c>
      <c r="B2237">
        <v>2013</v>
      </c>
      <c r="C2237" t="s">
        <v>735</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884</v>
      </c>
      <c r="B2238">
        <v>2012</v>
      </c>
      <c r="C2238" t="s">
        <v>735</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884</v>
      </c>
      <c r="B2239">
        <v>2011</v>
      </c>
      <c r="C2239" t="s">
        <v>735</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884</v>
      </c>
      <c r="B2240">
        <v>2010</v>
      </c>
      <c r="C2240" t="s">
        <v>735</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884</v>
      </c>
      <c r="B2241">
        <v>2009</v>
      </c>
      <c r="C2241" t="s">
        <v>735</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884</v>
      </c>
      <c r="B2242">
        <v>2008</v>
      </c>
      <c r="C2242" t="s">
        <v>735</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884</v>
      </c>
      <c r="B2243">
        <v>2007</v>
      </c>
      <c r="C2243" t="s">
        <v>735</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884</v>
      </c>
      <c r="B2244">
        <v>2006</v>
      </c>
      <c r="C2244" t="s">
        <v>735</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884</v>
      </c>
      <c r="B2245">
        <v>2005</v>
      </c>
      <c r="C2245" t="s">
        <v>735</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884</v>
      </c>
      <c r="B2246">
        <v>2004</v>
      </c>
      <c r="C2246" t="s">
        <v>735</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884</v>
      </c>
      <c r="B2247">
        <v>2003</v>
      </c>
      <c r="C2247" t="s">
        <v>735</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884</v>
      </c>
      <c r="B2248">
        <v>2002</v>
      </c>
      <c r="C2248" t="s">
        <v>735</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884</v>
      </c>
      <c r="B2249">
        <v>2001</v>
      </c>
      <c r="C2249" t="s">
        <v>735</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884</v>
      </c>
      <c r="B2250">
        <v>2000</v>
      </c>
      <c r="C2250" t="s">
        <v>735</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885</v>
      </c>
      <c r="B2251">
        <v>2015</v>
      </c>
      <c r="C2251" t="s">
        <v>735</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885</v>
      </c>
      <c r="B2252">
        <v>2014</v>
      </c>
      <c r="C2252" t="s">
        <v>735</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885</v>
      </c>
      <c r="B2253">
        <v>2013</v>
      </c>
      <c r="C2253" t="s">
        <v>735</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885</v>
      </c>
      <c r="B2254">
        <v>2012</v>
      </c>
      <c r="C2254" t="s">
        <v>735</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885</v>
      </c>
      <c r="B2255">
        <v>2011</v>
      </c>
      <c r="C2255" t="s">
        <v>735</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885</v>
      </c>
      <c r="B2256">
        <v>2010</v>
      </c>
      <c r="C2256" t="s">
        <v>735</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885</v>
      </c>
      <c r="B2257">
        <v>2009</v>
      </c>
      <c r="C2257" t="s">
        <v>735</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885</v>
      </c>
      <c r="B2258">
        <v>2008</v>
      </c>
      <c r="C2258" t="s">
        <v>735</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885</v>
      </c>
      <c r="B2259">
        <v>2007</v>
      </c>
      <c r="C2259" t="s">
        <v>735</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885</v>
      </c>
      <c r="B2260">
        <v>2006</v>
      </c>
      <c r="C2260" t="s">
        <v>735</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885</v>
      </c>
      <c r="B2261">
        <v>2005</v>
      </c>
      <c r="C2261" t="s">
        <v>735</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885</v>
      </c>
      <c r="B2262">
        <v>2004</v>
      </c>
      <c r="C2262" t="s">
        <v>735</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885</v>
      </c>
      <c r="B2263">
        <v>2003</v>
      </c>
      <c r="C2263" t="s">
        <v>735</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885</v>
      </c>
      <c r="B2264">
        <v>2002</v>
      </c>
      <c r="C2264" t="s">
        <v>735</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885</v>
      </c>
      <c r="B2265">
        <v>2001</v>
      </c>
      <c r="C2265" t="s">
        <v>735</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885</v>
      </c>
      <c r="B2266">
        <v>2000</v>
      </c>
      <c r="C2266" t="s">
        <v>735</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886</v>
      </c>
      <c r="B2267">
        <v>2015</v>
      </c>
      <c r="C2267" t="s">
        <v>735</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886</v>
      </c>
      <c r="B2268">
        <v>2014</v>
      </c>
      <c r="C2268" t="s">
        <v>735</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886</v>
      </c>
      <c r="B2269">
        <v>2013</v>
      </c>
      <c r="C2269" t="s">
        <v>735</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886</v>
      </c>
      <c r="B2270">
        <v>2012</v>
      </c>
      <c r="C2270" t="s">
        <v>735</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886</v>
      </c>
      <c r="B2271">
        <v>2011</v>
      </c>
      <c r="C2271" t="s">
        <v>735</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886</v>
      </c>
      <c r="B2272">
        <v>2010</v>
      </c>
      <c r="C2272" t="s">
        <v>735</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886</v>
      </c>
      <c r="B2273">
        <v>2009</v>
      </c>
      <c r="C2273" t="s">
        <v>735</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886</v>
      </c>
      <c r="B2274">
        <v>2008</v>
      </c>
      <c r="C2274" t="s">
        <v>735</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886</v>
      </c>
      <c r="B2275">
        <v>2007</v>
      </c>
      <c r="C2275" t="s">
        <v>735</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886</v>
      </c>
      <c r="B2276">
        <v>2006</v>
      </c>
      <c r="C2276" t="s">
        <v>735</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886</v>
      </c>
      <c r="B2277">
        <v>2005</v>
      </c>
      <c r="C2277" t="s">
        <v>735</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886</v>
      </c>
      <c r="B2278">
        <v>2004</v>
      </c>
      <c r="C2278" t="s">
        <v>735</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886</v>
      </c>
      <c r="B2279">
        <v>2003</v>
      </c>
      <c r="C2279" t="s">
        <v>735</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886</v>
      </c>
      <c r="B2280">
        <v>2002</v>
      </c>
      <c r="C2280" t="s">
        <v>735</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886</v>
      </c>
      <c r="B2281">
        <v>2001</v>
      </c>
      <c r="C2281" t="s">
        <v>735</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886</v>
      </c>
      <c r="B2282">
        <v>2000</v>
      </c>
      <c r="C2282" t="s">
        <v>735</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887</v>
      </c>
      <c r="B2283">
        <v>2015</v>
      </c>
      <c r="C2283" t="s">
        <v>735</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887</v>
      </c>
      <c r="B2284">
        <v>2014</v>
      </c>
      <c r="C2284" t="s">
        <v>735</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887</v>
      </c>
      <c r="B2285">
        <v>2013</v>
      </c>
      <c r="C2285" t="s">
        <v>735</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887</v>
      </c>
      <c r="B2286">
        <v>2012</v>
      </c>
      <c r="C2286" t="s">
        <v>735</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887</v>
      </c>
      <c r="B2287">
        <v>2011</v>
      </c>
      <c r="C2287" t="s">
        <v>735</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887</v>
      </c>
      <c r="B2288">
        <v>2010</v>
      </c>
      <c r="C2288" t="s">
        <v>735</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887</v>
      </c>
      <c r="B2289">
        <v>2009</v>
      </c>
      <c r="C2289" t="s">
        <v>735</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887</v>
      </c>
      <c r="B2290">
        <v>2008</v>
      </c>
      <c r="C2290" t="s">
        <v>735</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887</v>
      </c>
      <c r="B2291">
        <v>2007</v>
      </c>
      <c r="C2291" t="s">
        <v>735</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887</v>
      </c>
      <c r="B2292">
        <v>2006</v>
      </c>
      <c r="C2292" t="s">
        <v>735</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887</v>
      </c>
      <c r="B2293">
        <v>2005</v>
      </c>
      <c r="C2293" t="s">
        <v>735</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887</v>
      </c>
      <c r="B2294">
        <v>2004</v>
      </c>
      <c r="C2294" t="s">
        <v>735</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887</v>
      </c>
      <c r="B2295">
        <v>2003</v>
      </c>
      <c r="C2295" t="s">
        <v>735</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887</v>
      </c>
      <c r="B2296">
        <v>2002</v>
      </c>
      <c r="C2296" t="s">
        <v>735</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887</v>
      </c>
      <c r="B2297">
        <v>2001</v>
      </c>
      <c r="C2297" t="s">
        <v>735</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887</v>
      </c>
      <c r="B2298">
        <v>2000</v>
      </c>
      <c r="C2298" t="s">
        <v>735</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888</v>
      </c>
      <c r="B2299">
        <v>2015</v>
      </c>
      <c r="C2299" t="s">
        <v>735</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888</v>
      </c>
      <c r="B2300">
        <v>2014</v>
      </c>
      <c r="C2300" t="s">
        <v>735</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888</v>
      </c>
      <c r="B2301">
        <v>2013</v>
      </c>
      <c r="C2301" t="s">
        <v>735</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888</v>
      </c>
      <c r="B2302">
        <v>2012</v>
      </c>
      <c r="C2302" t="s">
        <v>735</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888</v>
      </c>
      <c r="B2303">
        <v>2011</v>
      </c>
      <c r="C2303" t="s">
        <v>735</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888</v>
      </c>
      <c r="B2304">
        <v>2010</v>
      </c>
      <c r="C2304" t="s">
        <v>735</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888</v>
      </c>
      <c r="B2305">
        <v>2009</v>
      </c>
      <c r="C2305" t="s">
        <v>735</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888</v>
      </c>
      <c r="B2306">
        <v>2008</v>
      </c>
      <c r="C2306" t="s">
        <v>735</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888</v>
      </c>
      <c r="B2307">
        <v>2007</v>
      </c>
      <c r="C2307" t="s">
        <v>735</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888</v>
      </c>
      <c r="B2308">
        <v>2006</v>
      </c>
      <c r="C2308" t="s">
        <v>735</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888</v>
      </c>
      <c r="B2309">
        <v>2005</v>
      </c>
      <c r="C2309" t="s">
        <v>735</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888</v>
      </c>
      <c r="B2310">
        <v>2004</v>
      </c>
      <c r="C2310" t="s">
        <v>735</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888</v>
      </c>
      <c r="B2311">
        <v>2003</v>
      </c>
      <c r="C2311" t="s">
        <v>735</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888</v>
      </c>
      <c r="B2312">
        <v>2002</v>
      </c>
      <c r="C2312" t="s">
        <v>735</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888</v>
      </c>
      <c r="B2313">
        <v>2001</v>
      </c>
      <c r="C2313" t="s">
        <v>735</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888</v>
      </c>
      <c r="B2314">
        <v>2000</v>
      </c>
      <c r="C2314" t="s">
        <v>735</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889</v>
      </c>
      <c r="B2315">
        <v>2015</v>
      </c>
      <c r="C2315" t="s">
        <v>743</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889</v>
      </c>
      <c r="B2316">
        <v>2014</v>
      </c>
      <c r="C2316" t="s">
        <v>743</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889</v>
      </c>
      <c r="B2317">
        <v>2013</v>
      </c>
      <c r="C2317" t="s">
        <v>743</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889</v>
      </c>
      <c r="B2318">
        <v>2012</v>
      </c>
      <c r="C2318" t="s">
        <v>743</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889</v>
      </c>
      <c r="B2319">
        <v>2011</v>
      </c>
      <c r="C2319" t="s">
        <v>743</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889</v>
      </c>
      <c r="B2320">
        <v>2010</v>
      </c>
      <c r="C2320" t="s">
        <v>743</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889</v>
      </c>
      <c r="B2321">
        <v>2009</v>
      </c>
      <c r="C2321" t="s">
        <v>743</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889</v>
      </c>
      <c r="B2322">
        <v>2008</v>
      </c>
      <c r="C2322" t="s">
        <v>743</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889</v>
      </c>
      <c r="B2323">
        <v>2007</v>
      </c>
      <c r="C2323" t="s">
        <v>743</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889</v>
      </c>
      <c r="B2324">
        <v>2006</v>
      </c>
      <c r="C2324" t="s">
        <v>743</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889</v>
      </c>
      <c r="B2325">
        <v>2005</v>
      </c>
      <c r="C2325" t="s">
        <v>743</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889</v>
      </c>
      <c r="B2326">
        <v>2004</v>
      </c>
      <c r="C2326" t="s">
        <v>743</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889</v>
      </c>
      <c r="B2327">
        <v>2003</v>
      </c>
      <c r="C2327" t="s">
        <v>743</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889</v>
      </c>
      <c r="B2328">
        <v>2002</v>
      </c>
      <c r="C2328" t="s">
        <v>743</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889</v>
      </c>
      <c r="B2329">
        <v>2001</v>
      </c>
      <c r="C2329" t="s">
        <v>743</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889</v>
      </c>
      <c r="B2330">
        <v>2000</v>
      </c>
      <c r="C2330" t="s">
        <v>743</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890</v>
      </c>
      <c r="B2331">
        <v>2015</v>
      </c>
      <c r="C2331" t="s">
        <v>743</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890</v>
      </c>
      <c r="B2332">
        <v>2014</v>
      </c>
      <c r="C2332" t="s">
        <v>743</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890</v>
      </c>
      <c r="B2333">
        <v>2013</v>
      </c>
      <c r="C2333" t="s">
        <v>743</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890</v>
      </c>
      <c r="B2334">
        <v>2012</v>
      </c>
      <c r="C2334" t="s">
        <v>743</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890</v>
      </c>
      <c r="B2335">
        <v>2011</v>
      </c>
      <c r="C2335" t="s">
        <v>743</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890</v>
      </c>
      <c r="B2336">
        <v>2010</v>
      </c>
      <c r="C2336" t="s">
        <v>743</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890</v>
      </c>
      <c r="B2337">
        <v>2009</v>
      </c>
      <c r="C2337" t="s">
        <v>743</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890</v>
      </c>
      <c r="B2338">
        <v>2008</v>
      </c>
      <c r="C2338" t="s">
        <v>743</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890</v>
      </c>
      <c r="B2339">
        <v>2007</v>
      </c>
      <c r="C2339" t="s">
        <v>743</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890</v>
      </c>
      <c r="B2340">
        <v>2006</v>
      </c>
      <c r="C2340" t="s">
        <v>743</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890</v>
      </c>
      <c r="B2341">
        <v>2005</v>
      </c>
      <c r="C2341" t="s">
        <v>743</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890</v>
      </c>
      <c r="B2342">
        <v>2004</v>
      </c>
      <c r="C2342" t="s">
        <v>743</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890</v>
      </c>
      <c r="B2343">
        <v>2003</v>
      </c>
      <c r="C2343" t="s">
        <v>743</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890</v>
      </c>
      <c r="B2344">
        <v>2002</v>
      </c>
      <c r="C2344" t="s">
        <v>743</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890</v>
      </c>
      <c r="B2345">
        <v>2001</v>
      </c>
      <c r="C2345" t="s">
        <v>743</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890</v>
      </c>
      <c r="B2346">
        <v>2000</v>
      </c>
      <c r="C2346" t="s">
        <v>743</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891</v>
      </c>
      <c r="B2347">
        <v>2015</v>
      </c>
      <c r="C2347" t="s">
        <v>743</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891</v>
      </c>
      <c r="B2348">
        <v>2014</v>
      </c>
      <c r="C2348" t="s">
        <v>743</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891</v>
      </c>
      <c r="B2349">
        <v>2013</v>
      </c>
      <c r="C2349" t="s">
        <v>743</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891</v>
      </c>
      <c r="B2350">
        <v>2012</v>
      </c>
      <c r="C2350" t="s">
        <v>743</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891</v>
      </c>
      <c r="B2351">
        <v>2011</v>
      </c>
      <c r="C2351" t="s">
        <v>743</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891</v>
      </c>
      <c r="B2352">
        <v>2010</v>
      </c>
      <c r="C2352" t="s">
        <v>743</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891</v>
      </c>
      <c r="B2353">
        <v>2009</v>
      </c>
      <c r="C2353" t="s">
        <v>743</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891</v>
      </c>
      <c r="B2354">
        <v>2008</v>
      </c>
      <c r="C2354" t="s">
        <v>743</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891</v>
      </c>
      <c r="B2355">
        <v>2007</v>
      </c>
      <c r="C2355" t="s">
        <v>743</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891</v>
      </c>
      <c r="B2356">
        <v>2006</v>
      </c>
      <c r="C2356" t="s">
        <v>743</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891</v>
      </c>
      <c r="B2357">
        <v>2005</v>
      </c>
      <c r="C2357" t="s">
        <v>743</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891</v>
      </c>
      <c r="B2358">
        <v>2004</v>
      </c>
      <c r="C2358" t="s">
        <v>743</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891</v>
      </c>
      <c r="B2359">
        <v>2003</v>
      </c>
      <c r="C2359" t="s">
        <v>743</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891</v>
      </c>
      <c r="B2360">
        <v>2002</v>
      </c>
      <c r="C2360" t="s">
        <v>743</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891</v>
      </c>
      <c r="B2361">
        <v>2001</v>
      </c>
      <c r="C2361" t="s">
        <v>743</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891</v>
      </c>
      <c r="B2362">
        <v>2000</v>
      </c>
      <c r="C2362" t="s">
        <v>743</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892</v>
      </c>
      <c r="B2363">
        <v>2015</v>
      </c>
      <c r="C2363" t="s">
        <v>735</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892</v>
      </c>
      <c r="B2364">
        <v>2014</v>
      </c>
      <c r="C2364" t="s">
        <v>735</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892</v>
      </c>
      <c r="B2365">
        <v>2013</v>
      </c>
      <c r="C2365" t="s">
        <v>735</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892</v>
      </c>
      <c r="B2366">
        <v>2012</v>
      </c>
      <c r="C2366" t="s">
        <v>735</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892</v>
      </c>
      <c r="B2367">
        <v>2011</v>
      </c>
      <c r="C2367" t="s">
        <v>735</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892</v>
      </c>
      <c r="B2368">
        <v>2010</v>
      </c>
      <c r="C2368" t="s">
        <v>735</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892</v>
      </c>
      <c r="B2369">
        <v>2009</v>
      </c>
      <c r="C2369" t="s">
        <v>735</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892</v>
      </c>
      <c r="B2370">
        <v>2008</v>
      </c>
      <c r="C2370" t="s">
        <v>735</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892</v>
      </c>
      <c r="B2371">
        <v>2007</v>
      </c>
      <c r="C2371" t="s">
        <v>735</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892</v>
      </c>
      <c r="B2372">
        <v>2006</v>
      </c>
      <c r="C2372" t="s">
        <v>735</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892</v>
      </c>
      <c r="B2373">
        <v>2005</v>
      </c>
      <c r="C2373" t="s">
        <v>735</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892</v>
      </c>
      <c r="B2374">
        <v>2004</v>
      </c>
      <c r="C2374" t="s">
        <v>735</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892</v>
      </c>
      <c r="B2375">
        <v>2003</v>
      </c>
      <c r="C2375" t="s">
        <v>735</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892</v>
      </c>
      <c r="B2376">
        <v>2002</v>
      </c>
      <c r="C2376" t="s">
        <v>735</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892</v>
      </c>
      <c r="B2377">
        <v>2001</v>
      </c>
      <c r="C2377" t="s">
        <v>735</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892</v>
      </c>
      <c r="B2378">
        <v>2000</v>
      </c>
      <c r="C2378" t="s">
        <v>735</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893</v>
      </c>
      <c r="B2379">
        <v>2015</v>
      </c>
      <c r="C2379" t="s">
        <v>735</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893</v>
      </c>
      <c r="B2380">
        <v>2014</v>
      </c>
      <c r="C2380" t="s">
        <v>735</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893</v>
      </c>
      <c r="B2381">
        <v>2013</v>
      </c>
      <c r="C2381" t="s">
        <v>735</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893</v>
      </c>
      <c r="B2382">
        <v>2012</v>
      </c>
      <c r="C2382" t="s">
        <v>735</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893</v>
      </c>
      <c r="B2383">
        <v>2011</v>
      </c>
      <c r="C2383" t="s">
        <v>735</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893</v>
      </c>
      <c r="B2384">
        <v>2010</v>
      </c>
      <c r="C2384" t="s">
        <v>735</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893</v>
      </c>
      <c r="B2385">
        <v>2009</v>
      </c>
      <c r="C2385" t="s">
        <v>735</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893</v>
      </c>
      <c r="B2386">
        <v>2008</v>
      </c>
      <c r="C2386" t="s">
        <v>735</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893</v>
      </c>
      <c r="B2387">
        <v>2007</v>
      </c>
      <c r="C2387" t="s">
        <v>735</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893</v>
      </c>
      <c r="B2388">
        <v>2006</v>
      </c>
      <c r="C2388" t="s">
        <v>735</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893</v>
      </c>
      <c r="B2389">
        <v>2005</v>
      </c>
      <c r="C2389" t="s">
        <v>735</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893</v>
      </c>
      <c r="B2390">
        <v>2004</v>
      </c>
      <c r="C2390" t="s">
        <v>735</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893</v>
      </c>
      <c r="B2391">
        <v>2003</v>
      </c>
      <c r="C2391" t="s">
        <v>735</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893</v>
      </c>
      <c r="B2392">
        <v>2002</v>
      </c>
      <c r="C2392" t="s">
        <v>735</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893</v>
      </c>
      <c r="B2393">
        <v>2001</v>
      </c>
      <c r="C2393" t="s">
        <v>735</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893</v>
      </c>
      <c r="B2394">
        <v>2000</v>
      </c>
      <c r="C2394" t="s">
        <v>735</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894</v>
      </c>
      <c r="B2395">
        <v>2015</v>
      </c>
      <c r="C2395" t="s">
        <v>735</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894</v>
      </c>
      <c r="B2396">
        <v>2014</v>
      </c>
      <c r="C2396" t="s">
        <v>735</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894</v>
      </c>
      <c r="B2397">
        <v>2013</v>
      </c>
      <c r="C2397" t="s">
        <v>735</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894</v>
      </c>
      <c r="B2398">
        <v>2012</v>
      </c>
      <c r="C2398" t="s">
        <v>735</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894</v>
      </c>
      <c r="B2399">
        <v>2011</v>
      </c>
      <c r="C2399" t="s">
        <v>735</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894</v>
      </c>
      <c r="B2400">
        <v>2010</v>
      </c>
      <c r="C2400" t="s">
        <v>735</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894</v>
      </c>
      <c r="B2401">
        <v>2009</v>
      </c>
      <c r="C2401" t="s">
        <v>735</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894</v>
      </c>
      <c r="B2402">
        <v>2008</v>
      </c>
      <c r="C2402" t="s">
        <v>735</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894</v>
      </c>
      <c r="B2403">
        <v>2007</v>
      </c>
      <c r="C2403" t="s">
        <v>735</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894</v>
      </c>
      <c r="B2404">
        <v>2006</v>
      </c>
      <c r="C2404" t="s">
        <v>735</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894</v>
      </c>
      <c r="B2405">
        <v>2005</v>
      </c>
      <c r="C2405" t="s">
        <v>735</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894</v>
      </c>
      <c r="B2406">
        <v>2004</v>
      </c>
      <c r="C2406" t="s">
        <v>735</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894</v>
      </c>
      <c r="B2407">
        <v>2003</v>
      </c>
      <c r="C2407" t="s">
        <v>735</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894</v>
      </c>
      <c r="B2408">
        <v>2002</v>
      </c>
      <c r="C2408" t="s">
        <v>735</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894</v>
      </c>
      <c r="B2409">
        <v>2001</v>
      </c>
      <c r="C2409" t="s">
        <v>735</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894</v>
      </c>
      <c r="B2410">
        <v>2000</v>
      </c>
      <c r="C2410" t="s">
        <v>735</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895</v>
      </c>
      <c r="B2411">
        <v>2015</v>
      </c>
      <c r="C2411" t="s">
        <v>735</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895</v>
      </c>
      <c r="B2412">
        <v>2014</v>
      </c>
      <c r="C2412" t="s">
        <v>735</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895</v>
      </c>
      <c r="B2413">
        <v>2013</v>
      </c>
      <c r="C2413" t="s">
        <v>735</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895</v>
      </c>
      <c r="B2414">
        <v>2012</v>
      </c>
      <c r="C2414" t="s">
        <v>735</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895</v>
      </c>
      <c r="B2415">
        <v>2011</v>
      </c>
      <c r="C2415" t="s">
        <v>735</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895</v>
      </c>
      <c r="B2416">
        <v>2010</v>
      </c>
      <c r="C2416" t="s">
        <v>735</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895</v>
      </c>
      <c r="B2417">
        <v>2009</v>
      </c>
      <c r="C2417" t="s">
        <v>735</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895</v>
      </c>
      <c r="B2418">
        <v>2008</v>
      </c>
      <c r="C2418" t="s">
        <v>735</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895</v>
      </c>
      <c r="B2419">
        <v>2007</v>
      </c>
      <c r="C2419" t="s">
        <v>735</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895</v>
      </c>
      <c r="B2420">
        <v>2006</v>
      </c>
      <c r="C2420" t="s">
        <v>735</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895</v>
      </c>
      <c r="B2421">
        <v>2005</v>
      </c>
      <c r="C2421" t="s">
        <v>735</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895</v>
      </c>
      <c r="B2422">
        <v>2004</v>
      </c>
      <c r="C2422" t="s">
        <v>735</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895</v>
      </c>
      <c r="B2423">
        <v>2003</v>
      </c>
      <c r="C2423" t="s">
        <v>735</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895</v>
      </c>
      <c r="B2424">
        <v>2002</v>
      </c>
      <c r="C2424" t="s">
        <v>735</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895</v>
      </c>
      <c r="B2425">
        <v>2001</v>
      </c>
      <c r="C2425" t="s">
        <v>735</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895</v>
      </c>
      <c r="B2426">
        <v>2000</v>
      </c>
      <c r="C2426" t="s">
        <v>735</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896</v>
      </c>
      <c r="B2427">
        <v>2015</v>
      </c>
      <c r="C2427" t="s">
        <v>743</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896</v>
      </c>
      <c r="B2428">
        <v>2014</v>
      </c>
      <c r="C2428" t="s">
        <v>743</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896</v>
      </c>
      <c r="B2429">
        <v>2013</v>
      </c>
      <c r="C2429" t="s">
        <v>743</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896</v>
      </c>
      <c r="B2430">
        <v>2012</v>
      </c>
      <c r="C2430" t="s">
        <v>743</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896</v>
      </c>
      <c r="B2431">
        <v>2011</v>
      </c>
      <c r="C2431" t="s">
        <v>743</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896</v>
      </c>
      <c r="B2432">
        <v>2010</v>
      </c>
      <c r="C2432" t="s">
        <v>743</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896</v>
      </c>
      <c r="B2433">
        <v>2009</v>
      </c>
      <c r="C2433" t="s">
        <v>743</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896</v>
      </c>
      <c r="B2434">
        <v>2008</v>
      </c>
      <c r="C2434" t="s">
        <v>743</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896</v>
      </c>
      <c r="B2435">
        <v>2007</v>
      </c>
      <c r="C2435" t="s">
        <v>743</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896</v>
      </c>
      <c r="B2436">
        <v>2006</v>
      </c>
      <c r="C2436" t="s">
        <v>743</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896</v>
      </c>
      <c r="B2437">
        <v>2005</v>
      </c>
      <c r="C2437" t="s">
        <v>743</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896</v>
      </c>
      <c r="B2438">
        <v>2004</v>
      </c>
      <c r="C2438" t="s">
        <v>743</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896</v>
      </c>
      <c r="B2439">
        <v>2003</v>
      </c>
      <c r="C2439" t="s">
        <v>743</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896</v>
      </c>
      <c r="B2440">
        <v>2002</v>
      </c>
      <c r="C2440" t="s">
        <v>743</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896</v>
      </c>
      <c r="B2441">
        <v>2001</v>
      </c>
      <c r="C2441" t="s">
        <v>743</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896</v>
      </c>
      <c r="B2442">
        <v>2000</v>
      </c>
      <c r="C2442" t="s">
        <v>743</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897</v>
      </c>
      <c r="B2443">
        <v>2015</v>
      </c>
      <c r="C2443" t="s">
        <v>735</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897</v>
      </c>
      <c r="B2444">
        <v>2014</v>
      </c>
      <c r="C2444" t="s">
        <v>735</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897</v>
      </c>
      <c r="B2445">
        <v>2013</v>
      </c>
      <c r="C2445" t="s">
        <v>735</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897</v>
      </c>
      <c r="B2446">
        <v>2012</v>
      </c>
      <c r="C2446" t="s">
        <v>735</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897</v>
      </c>
      <c r="B2447">
        <v>2011</v>
      </c>
      <c r="C2447" t="s">
        <v>735</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897</v>
      </c>
      <c r="B2448">
        <v>2010</v>
      </c>
      <c r="C2448" t="s">
        <v>735</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897</v>
      </c>
      <c r="B2449">
        <v>2009</v>
      </c>
      <c r="C2449" t="s">
        <v>735</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897</v>
      </c>
      <c r="B2450">
        <v>2008</v>
      </c>
      <c r="C2450" t="s">
        <v>735</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897</v>
      </c>
      <c r="B2451">
        <v>2007</v>
      </c>
      <c r="C2451" t="s">
        <v>735</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897</v>
      </c>
      <c r="B2452">
        <v>2006</v>
      </c>
      <c r="C2452" t="s">
        <v>735</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897</v>
      </c>
      <c r="B2453">
        <v>2005</v>
      </c>
      <c r="C2453" t="s">
        <v>735</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897</v>
      </c>
      <c r="B2454">
        <v>2004</v>
      </c>
      <c r="C2454" t="s">
        <v>735</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897</v>
      </c>
      <c r="B2455">
        <v>2003</v>
      </c>
      <c r="C2455" t="s">
        <v>735</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897</v>
      </c>
      <c r="B2456">
        <v>2002</v>
      </c>
      <c r="C2456" t="s">
        <v>735</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897</v>
      </c>
      <c r="B2457">
        <v>2001</v>
      </c>
      <c r="C2457" t="s">
        <v>735</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897</v>
      </c>
      <c r="B2458">
        <v>2000</v>
      </c>
      <c r="C2458" t="s">
        <v>735</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898</v>
      </c>
      <c r="B2459">
        <v>2015</v>
      </c>
      <c r="C2459" t="s">
        <v>735</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898</v>
      </c>
      <c r="B2460">
        <v>2014</v>
      </c>
      <c r="C2460" t="s">
        <v>735</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898</v>
      </c>
      <c r="B2461">
        <v>2013</v>
      </c>
      <c r="C2461" t="s">
        <v>735</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898</v>
      </c>
      <c r="B2462">
        <v>2012</v>
      </c>
      <c r="C2462" t="s">
        <v>735</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898</v>
      </c>
      <c r="B2463">
        <v>2011</v>
      </c>
      <c r="C2463" t="s">
        <v>735</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898</v>
      </c>
      <c r="B2464">
        <v>2010</v>
      </c>
      <c r="C2464" t="s">
        <v>735</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898</v>
      </c>
      <c r="B2465">
        <v>2009</v>
      </c>
      <c r="C2465" t="s">
        <v>735</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898</v>
      </c>
      <c r="B2466">
        <v>2008</v>
      </c>
      <c r="C2466" t="s">
        <v>735</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898</v>
      </c>
      <c r="B2467">
        <v>2007</v>
      </c>
      <c r="C2467" t="s">
        <v>735</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898</v>
      </c>
      <c r="B2468">
        <v>2006</v>
      </c>
      <c r="C2468" t="s">
        <v>735</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898</v>
      </c>
      <c r="B2469">
        <v>2005</v>
      </c>
      <c r="C2469" t="s">
        <v>735</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898</v>
      </c>
      <c r="B2470">
        <v>2004</v>
      </c>
      <c r="C2470" t="s">
        <v>735</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898</v>
      </c>
      <c r="B2471">
        <v>2003</v>
      </c>
      <c r="C2471" t="s">
        <v>735</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898</v>
      </c>
      <c r="B2472">
        <v>2002</v>
      </c>
      <c r="C2472" t="s">
        <v>735</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898</v>
      </c>
      <c r="B2473">
        <v>2001</v>
      </c>
      <c r="C2473" t="s">
        <v>735</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898</v>
      </c>
      <c r="B2474">
        <v>2000</v>
      </c>
      <c r="C2474" t="s">
        <v>735</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899</v>
      </c>
      <c r="B2475">
        <v>2015</v>
      </c>
      <c r="C2475" t="s">
        <v>735</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899</v>
      </c>
      <c r="B2476">
        <v>2014</v>
      </c>
      <c r="C2476" t="s">
        <v>735</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899</v>
      </c>
      <c r="B2477">
        <v>2013</v>
      </c>
      <c r="C2477" t="s">
        <v>735</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899</v>
      </c>
      <c r="B2478">
        <v>2012</v>
      </c>
      <c r="C2478" t="s">
        <v>735</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899</v>
      </c>
      <c r="B2479">
        <v>2011</v>
      </c>
      <c r="C2479" t="s">
        <v>735</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899</v>
      </c>
      <c r="B2480">
        <v>2010</v>
      </c>
      <c r="C2480" t="s">
        <v>735</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899</v>
      </c>
      <c r="B2481">
        <v>2009</v>
      </c>
      <c r="C2481" t="s">
        <v>735</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899</v>
      </c>
      <c r="B2482">
        <v>2008</v>
      </c>
      <c r="C2482" t="s">
        <v>735</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899</v>
      </c>
      <c r="B2483">
        <v>2007</v>
      </c>
      <c r="C2483" t="s">
        <v>735</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899</v>
      </c>
      <c r="B2484">
        <v>2006</v>
      </c>
      <c r="C2484" t="s">
        <v>735</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899</v>
      </c>
      <c r="B2485">
        <v>2005</v>
      </c>
      <c r="C2485" t="s">
        <v>735</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899</v>
      </c>
      <c r="B2486">
        <v>2004</v>
      </c>
      <c r="C2486" t="s">
        <v>735</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899</v>
      </c>
      <c r="B2487">
        <v>2003</v>
      </c>
      <c r="C2487" t="s">
        <v>735</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899</v>
      </c>
      <c r="B2488">
        <v>2002</v>
      </c>
      <c r="C2488" t="s">
        <v>735</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899</v>
      </c>
      <c r="B2489">
        <v>2001</v>
      </c>
      <c r="C2489" t="s">
        <v>735</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899</v>
      </c>
      <c r="B2490">
        <v>2000</v>
      </c>
      <c r="C2490" t="s">
        <v>735</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900</v>
      </c>
      <c r="B2491">
        <v>2015</v>
      </c>
      <c r="C2491" t="s">
        <v>735</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900</v>
      </c>
      <c r="B2492">
        <v>2014</v>
      </c>
      <c r="C2492" t="s">
        <v>735</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900</v>
      </c>
      <c r="B2493">
        <v>2013</v>
      </c>
      <c r="C2493" t="s">
        <v>735</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900</v>
      </c>
      <c r="B2494">
        <v>2012</v>
      </c>
      <c r="C2494" t="s">
        <v>735</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900</v>
      </c>
      <c r="B2495">
        <v>2011</v>
      </c>
      <c r="C2495" t="s">
        <v>735</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900</v>
      </c>
      <c r="B2496">
        <v>2010</v>
      </c>
      <c r="C2496" t="s">
        <v>735</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900</v>
      </c>
      <c r="B2497">
        <v>2009</v>
      </c>
      <c r="C2497" t="s">
        <v>735</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900</v>
      </c>
      <c r="B2498">
        <v>2008</v>
      </c>
      <c r="C2498" t="s">
        <v>735</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900</v>
      </c>
      <c r="B2499">
        <v>2007</v>
      </c>
      <c r="C2499" t="s">
        <v>735</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900</v>
      </c>
      <c r="B2500">
        <v>2006</v>
      </c>
      <c r="C2500" t="s">
        <v>735</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900</v>
      </c>
      <c r="B2501">
        <v>2005</v>
      </c>
      <c r="C2501" t="s">
        <v>735</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900</v>
      </c>
      <c r="B2502">
        <v>2004</v>
      </c>
      <c r="C2502" t="s">
        <v>735</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900</v>
      </c>
      <c r="B2503">
        <v>2003</v>
      </c>
      <c r="C2503" t="s">
        <v>735</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900</v>
      </c>
      <c r="B2504">
        <v>2002</v>
      </c>
      <c r="C2504" t="s">
        <v>735</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900</v>
      </c>
      <c r="B2505">
        <v>2001</v>
      </c>
      <c r="C2505" t="s">
        <v>735</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900</v>
      </c>
      <c r="B2506">
        <v>2000</v>
      </c>
      <c r="C2506" t="s">
        <v>735</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901</v>
      </c>
      <c r="B2507">
        <v>2015</v>
      </c>
      <c r="C2507" t="s">
        <v>743</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901</v>
      </c>
      <c r="B2508">
        <v>2014</v>
      </c>
      <c r="C2508" t="s">
        <v>743</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901</v>
      </c>
      <c r="B2509">
        <v>2013</v>
      </c>
      <c r="C2509" t="s">
        <v>743</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901</v>
      </c>
      <c r="B2510">
        <v>2012</v>
      </c>
      <c r="C2510" t="s">
        <v>743</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901</v>
      </c>
      <c r="B2511">
        <v>2011</v>
      </c>
      <c r="C2511" t="s">
        <v>743</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901</v>
      </c>
      <c r="B2512">
        <v>2010</v>
      </c>
      <c r="C2512" t="s">
        <v>743</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901</v>
      </c>
      <c r="B2513">
        <v>2009</v>
      </c>
      <c r="C2513" t="s">
        <v>743</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901</v>
      </c>
      <c r="B2514">
        <v>2008</v>
      </c>
      <c r="C2514" t="s">
        <v>743</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901</v>
      </c>
      <c r="B2515">
        <v>2007</v>
      </c>
      <c r="C2515" t="s">
        <v>743</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901</v>
      </c>
      <c r="B2516">
        <v>2006</v>
      </c>
      <c r="C2516" t="s">
        <v>743</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901</v>
      </c>
      <c r="B2517">
        <v>2005</v>
      </c>
      <c r="C2517" t="s">
        <v>743</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901</v>
      </c>
      <c r="B2518">
        <v>2004</v>
      </c>
      <c r="C2518" t="s">
        <v>743</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901</v>
      </c>
      <c r="B2519">
        <v>2003</v>
      </c>
      <c r="C2519" t="s">
        <v>743</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901</v>
      </c>
      <c r="B2520">
        <v>2002</v>
      </c>
      <c r="C2520" t="s">
        <v>743</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901</v>
      </c>
      <c r="B2521">
        <v>2001</v>
      </c>
      <c r="C2521" t="s">
        <v>743</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901</v>
      </c>
      <c r="B2522">
        <v>2000</v>
      </c>
      <c r="C2522" t="s">
        <v>743</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902</v>
      </c>
      <c r="B2523">
        <v>2015</v>
      </c>
      <c r="C2523" t="s">
        <v>743</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902</v>
      </c>
      <c r="B2524">
        <v>2014</v>
      </c>
      <c r="C2524" t="s">
        <v>743</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902</v>
      </c>
      <c r="B2525">
        <v>2013</v>
      </c>
      <c r="C2525" t="s">
        <v>743</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902</v>
      </c>
      <c r="B2526">
        <v>2012</v>
      </c>
      <c r="C2526" t="s">
        <v>743</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902</v>
      </c>
      <c r="B2527">
        <v>2011</v>
      </c>
      <c r="C2527" t="s">
        <v>743</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902</v>
      </c>
      <c r="B2528">
        <v>2010</v>
      </c>
      <c r="C2528" t="s">
        <v>743</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902</v>
      </c>
      <c r="B2529">
        <v>2009</v>
      </c>
      <c r="C2529" t="s">
        <v>743</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902</v>
      </c>
      <c r="B2530">
        <v>2008</v>
      </c>
      <c r="C2530" t="s">
        <v>743</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902</v>
      </c>
      <c r="B2531">
        <v>2007</v>
      </c>
      <c r="C2531" t="s">
        <v>743</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902</v>
      </c>
      <c r="B2532">
        <v>2006</v>
      </c>
      <c r="C2532" t="s">
        <v>743</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902</v>
      </c>
      <c r="B2533">
        <v>2005</v>
      </c>
      <c r="C2533" t="s">
        <v>743</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902</v>
      </c>
      <c r="B2534">
        <v>2004</v>
      </c>
      <c r="C2534" t="s">
        <v>743</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902</v>
      </c>
      <c r="B2535">
        <v>2003</v>
      </c>
      <c r="C2535" t="s">
        <v>743</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902</v>
      </c>
      <c r="B2536">
        <v>2002</v>
      </c>
      <c r="C2536" t="s">
        <v>743</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902</v>
      </c>
      <c r="B2537">
        <v>2001</v>
      </c>
      <c r="C2537" t="s">
        <v>743</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902</v>
      </c>
      <c r="B2538">
        <v>2000</v>
      </c>
      <c r="C2538" t="s">
        <v>743</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903</v>
      </c>
      <c r="B2539">
        <v>2015</v>
      </c>
      <c r="C2539" t="s">
        <v>735</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903</v>
      </c>
      <c r="B2540">
        <v>2014</v>
      </c>
      <c r="C2540" t="s">
        <v>735</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903</v>
      </c>
      <c r="B2541">
        <v>2013</v>
      </c>
      <c r="C2541" t="s">
        <v>735</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903</v>
      </c>
      <c r="B2542">
        <v>2012</v>
      </c>
      <c r="C2542" t="s">
        <v>735</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903</v>
      </c>
      <c r="B2543">
        <v>2011</v>
      </c>
      <c r="C2543" t="s">
        <v>735</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903</v>
      </c>
      <c r="B2544">
        <v>2010</v>
      </c>
      <c r="C2544" t="s">
        <v>735</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903</v>
      </c>
      <c r="B2545">
        <v>2009</v>
      </c>
      <c r="C2545" t="s">
        <v>735</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903</v>
      </c>
      <c r="B2546">
        <v>2008</v>
      </c>
      <c r="C2546" t="s">
        <v>735</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903</v>
      </c>
      <c r="B2547">
        <v>2007</v>
      </c>
      <c r="C2547" t="s">
        <v>735</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903</v>
      </c>
      <c r="B2548">
        <v>2006</v>
      </c>
      <c r="C2548" t="s">
        <v>735</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903</v>
      </c>
      <c r="B2549">
        <v>2005</v>
      </c>
      <c r="C2549" t="s">
        <v>735</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903</v>
      </c>
      <c r="B2550">
        <v>2004</v>
      </c>
      <c r="C2550" t="s">
        <v>735</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903</v>
      </c>
      <c r="B2551">
        <v>2003</v>
      </c>
      <c r="C2551" t="s">
        <v>735</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903</v>
      </c>
      <c r="B2552">
        <v>2002</v>
      </c>
      <c r="C2552" t="s">
        <v>735</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903</v>
      </c>
      <c r="B2553">
        <v>2001</v>
      </c>
      <c r="C2553" t="s">
        <v>735</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903</v>
      </c>
      <c r="B2554">
        <v>2000</v>
      </c>
      <c r="C2554" t="s">
        <v>735</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904</v>
      </c>
      <c r="B2555">
        <v>2015</v>
      </c>
      <c r="C2555" t="s">
        <v>735</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904</v>
      </c>
      <c r="B2556">
        <v>2014</v>
      </c>
      <c r="C2556" t="s">
        <v>735</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904</v>
      </c>
      <c r="B2557">
        <v>2013</v>
      </c>
      <c r="C2557" t="s">
        <v>735</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904</v>
      </c>
      <c r="B2558">
        <v>2012</v>
      </c>
      <c r="C2558" t="s">
        <v>735</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904</v>
      </c>
      <c r="B2559">
        <v>2011</v>
      </c>
      <c r="C2559" t="s">
        <v>735</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904</v>
      </c>
      <c r="B2560">
        <v>2010</v>
      </c>
      <c r="C2560" t="s">
        <v>735</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904</v>
      </c>
      <c r="B2561">
        <v>2009</v>
      </c>
      <c r="C2561" t="s">
        <v>735</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904</v>
      </c>
      <c r="B2562">
        <v>2008</v>
      </c>
      <c r="C2562" t="s">
        <v>735</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904</v>
      </c>
      <c r="B2563">
        <v>2007</v>
      </c>
      <c r="C2563" t="s">
        <v>735</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904</v>
      </c>
      <c r="B2564">
        <v>2006</v>
      </c>
      <c r="C2564" t="s">
        <v>735</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904</v>
      </c>
      <c r="B2565">
        <v>2005</v>
      </c>
      <c r="C2565" t="s">
        <v>735</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904</v>
      </c>
      <c r="B2566">
        <v>2004</v>
      </c>
      <c r="C2566" t="s">
        <v>735</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904</v>
      </c>
      <c r="B2567">
        <v>2003</v>
      </c>
      <c r="C2567" t="s">
        <v>735</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904</v>
      </c>
      <c r="B2568">
        <v>2002</v>
      </c>
      <c r="C2568" t="s">
        <v>735</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904</v>
      </c>
      <c r="B2569">
        <v>2001</v>
      </c>
      <c r="C2569" t="s">
        <v>735</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904</v>
      </c>
      <c r="B2570">
        <v>2000</v>
      </c>
      <c r="C2570" t="s">
        <v>735</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905</v>
      </c>
      <c r="B2571">
        <v>2015</v>
      </c>
      <c r="C2571" t="s">
        <v>735</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905</v>
      </c>
      <c r="B2572">
        <v>2014</v>
      </c>
      <c r="C2572" t="s">
        <v>735</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905</v>
      </c>
      <c r="B2573">
        <v>2013</v>
      </c>
      <c r="C2573" t="s">
        <v>735</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905</v>
      </c>
      <c r="B2574">
        <v>2012</v>
      </c>
      <c r="C2574" t="s">
        <v>735</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905</v>
      </c>
      <c r="B2575">
        <v>2011</v>
      </c>
      <c r="C2575" t="s">
        <v>735</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905</v>
      </c>
      <c r="B2576">
        <v>2010</v>
      </c>
      <c r="C2576" t="s">
        <v>735</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905</v>
      </c>
      <c r="B2577">
        <v>2009</v>
      </c>
      <c r="C2577" t="s">
        <v>735</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905</v>
      </c>
      <c r="B2578">
        <v>2008</v>
      </c>
      <c r="C2578" t="s">
        <v>735</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905</v>
      </c>
      <c r="B2579">
        <v>2007</v>
      </c>
      <c r="C2579" t="s">
        <v>735</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905</v>
      </c>
      <c r="B2580">
        <v>2006</v>
      </c>
      <c r="C2580" t="s">
        <v>735</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905</v>
      </c>
      <c r="B2581">
        <v>2005</v>
      </c>
      <c r="C2581" t="s">
        <v>735</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905</v>
      </c>
      <c r="B2582">
        <v>2004</v>
      </c>
      <c r="C2582" t="s">
        <v>735</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905</v>
      </c>
      <c r="B2583">
        <v>2003</v>
      </c>
      <c r="C2583" t="s">
        <v>735</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905</v>
      </c>
      <c r="B2584">
        <v>2002</v>
      </c>
      <c r="C2584" t="s">
        <v>735</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905</v>
      </c>
      <c r="B2585">
        <v>2001</v>
      </c>
      <c r="C2585" t="s">
        <v>735</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905</v>
      </c>
      <c r="B2586">
        <v>2000</v>
      </c>
      <c r="C2586" t="s">
        <v>735</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906</v>
      </c>
      <c r="B2587">
        <v>2015</v>
      </c>
      <c r="C2587" t="s">
        <v>735</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906</v>
      </c>
      <c r="B2588">
        <v>2014</v>
      </c>
      <c r="C2588" t="s">
        <v>735</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906</v>
      </c>
      <c r="B2589">
        <v>2013</v>
      </c>
      <c r="C2589" t="s">
        <v>735</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906</v>
      </c>
      <c r="B2590">
        <v>2012</v>
      </c>
      <c r="C2590" t="s">
        <v>735</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906</v>
      </c>
      <c r="B2591">
        <v>2011</v>
      </c>
      <c r="C2591" t="s">
        <v>735</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906</v>
      </c>
      <c r="B2592">
        <v>2010</v>
      </c>
      <c r="C2592" t="s">
        <v>735</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906</v>
      </c>
      <c r="B2593">
        <v>2009</v>
      </c>
      <c r="C2593" t="s">
        <v>735</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906</v>
      </c>
      <c r="B2594">
        <v>2008</v>
      </c>
      <c r="C2594" t="s">
        <v>735</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906</v>
      </c>
      <c r="B2595">
        <v>2007</v>
      </c>
      <c r="C2595" t="s">
        <v>735</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906</v>
      </c>
      <c r="B2596">
        <v>2006</v>
      </c>
      <c r="C2596" t="s">
        <v>735</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906</v>
      </c>
      <c r="B2597">
        <v>2005</v>
      </c>
      <c r="C2597" t="s">
        <v>735</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906</v>
      </c>
      <c r="B2598">
        <v>2004</v>
      </c>
      <c r="C2598" t="s">
        <v>735</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906</v>
      </c>
      <c r="B2599">
        <v>2003</v>
      </c>
      <c r="C2599" t="s">
        <v>735</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906</v>
      </c>
      <c r="B2600">
        <v>2002</v>
      </c>
      <c r="C2600" t="s">
        <v>735</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906</v>
      </c>
      <c r="B2601">
        <v>2001</v>
      </c>
      <c r="C2601" t="s">
        <v>735</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906</v>
      </c>
      <c r="B2602">
        <v>2000</v>
      </c>
      <c r="C2602" t="s">
        <v>735</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907</v>
      </c>
      <c r="B2603">
        <v>2015</v>
      </c>
      <c r="C2603" t="s">
        <v>735</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907</v>
      </c>
      <c r="B2604">
        <v>2014</v>
      </c>
      <c r="C2604" t="s">
        <v>735</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907</v>
      </c>
      <c r="B2605">
        <v>2013</v>
      </c>
      <c r="C2605" t="s">
        <v>735</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907</v>
      </c>
      <c r="B2606">
        <v>2012</v>
      </c>
      <c r="C2606" t="s">
        <v>735</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907</v>
      </c>
      <c r="B2607">
        <v>2011</v>
      </c>
      <c r="C2607" t="s">
        <v>735</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907</v>
      </c>
      <c r="B2608">
        <v>2010</v>
      </c>
      <c r="C2608" t="s">
        <v>735</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907</v>
      </c>
      <c r="B2609">
        <v>2009</v>
      </c>
      <c r="C2609" t="s">
        <v>735</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907</v>
      </c>
      <c r="B2610">
        <v>2008</v>
      </c>
      <c r="C2610" t="s">
        <v>735</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907</v>
      </c>
      <c r="B2611">
        <v>2007</v>
      </c>
      <c r="C2611" t="s">
        <v>735</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907</v>
      </c>
      <c r="B2612">
        <v>2006</v>
      </c>
      <c r="C2612" t="s">
        <v>735</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907</v>
      </c>
      <c r="B2613">
        <v>2005</v>
      </c>
      <c r="C2613" t="s">
        <v>735</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907</v>
      </c>
      <c r="B2614">
        <v>2004</v>
      </c>
      <c r="C2614" t="s">
        <v>735</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907</v>
      </c>
      <c r="B2615">
        <v>2003</v>
      </c>
      <c r="C2615" t="s">
        <v>735</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907</v>
      </c>
      <c r="B2616">
        <v>2002</v>
      </c>
      <c r="C2616" t="s">
        <v>735</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907</v>
      </c>
      <c r="B2617">
        <v>2001</v>
      </c>
      <c r="C2617" t="s">
        <v>735</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907</v>
      </c>
      <c r="B2618">
        <v>2000</v>
      </c>
      <c r="C2618" t="s">
        <v>735</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908</v>
      </c>
      <c r="B2619">
        <v>2015</v>
      </c>
      <c r="C2619" t="s">
        <v>735</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908</v>
      </c>
      <c r="B2620">
        <v>2014</v>
      </c>
      <c r="C2620" t="s">
        <v>735</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908</v>
      </c>
      <c r="B2621">
        <v>2013</v>
      </c>
      <c r="C2621" t="s">
        <v>735</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908</v>
      </c>
      <c r="B2622">
        <v>2012</v>
      </c>
      <c r="C2622" t="s">
        <v>735</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908</v>
      </c>
      <c r="B2623">
        <v>2011</v>
      </c>
      <c r="C2623" t="s">
        <v>735</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908</v>
      </c>
      <c r="B2624">
        <v>2010</v>
      </c>
      <c r="C2624" t="s">
        <v>735</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908</v>
      </c>
      <c r="B2625">
        <v>2009</v>
      </c>
      <c r="C2625" t="s">
        <v>735</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908</v>
      </c>
      <c r="B2626">
        <v>2008</v>
      </c>
      <c r="C2626" t="s">
        <v>735</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908</v>
      </c>
      <c r="B2627">
        <v>2007</v>
      </c>
      <c r="C2627" t="s">
        <v>735</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908</v>
      </c>
      <c r="B2628">
        <v>2006</v>
      </c>
      <c r="C2628" t="s">
        <v>735</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908</v>
      </c>
      <c r="B2629">
        <v>2005</v>
      </c>
      <c r="C2629" t="s">
        <v>735</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908</v>
      </c>
      <c r="B2630">
        <v>2004</v>
      </c>
      <c r="C2630" t="s">
        <v>735</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908</v>
      </c>
      <c r="B2631">
        <v>2003</v>
      </c>
      <c r="C2631" t="s">
        <v>735</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908</v>
      </c>
      <c r="B2632">
        <v>2002</v>
      </c>
      <c r="C2632" t="s">
        <v>735</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908</v>
      </c>
      <c r="B2633">
        <v>2001</v>
      </c>
      <c r="C2633" t="s">
        <v>735</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908</v>
      </c>
      <c r="B2634">
        <v>2000</v>
      </c>
      <c r="C2634" t="s">
        <v>735</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909</v>
      </c>
      <c r="B2635">
        <v>2015</v>
      </c>
      <c r="C2635" t="s">
        <v>735</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909</v>
      </c>
      <c r="B2636">
        <v>2014</v>
      </c>
      <c r="C2636" t="s">
        <v>735</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909</v>
      </c>
      <c r="B2637">
        <v>2013</v>
      </c>
      <c r="C2637" t="s">
        <v>735</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909</v>
      </c>
      <c r="B2638">
        <v>2012</v>
      </c>
      <c r="C2638" t="s">
        <v>735</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909</v>
      </c>
      <c r="B2639">
        <v>2011</v>
      </c>
      <c r="C2639" t="s">
        <v>735</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909</v>
      </c>
      <c r="B2640">
        <v>2010</v>
      </c>
      <c r="C2640" t="s">
        <v>735</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909</v>
      </c>
      <c r="B2641">
        <v>2009</v>
      </c>
      <c r="C2641" t="s">
        <v>735</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909</v>
      </c>
      <c r="B2642">
        <v>2008</v>
      </c>
      <c r="C2642" t="s">
        <v>735</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909</v>
      </c>
      <c r="B2643">
        <v>2007</v>
      </c>
      <c r="C2643" t="s">
        <v>735</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909</v>
      </c>
      <c r="B2644">
        <v>2006</v>
      </c>
      <c r="C2644" t="s">
        <v>735</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909</v>
      </c>
      <c r="B2645">
        <v>2005</v>
      </c>
      <c r="C2645" t="s">
        <v>735</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909</v>
      </c>
      <c r="B2646">
        <v>2004</v>
      </c>
      <c r="C2646" t="s">
        <v>735</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909</v>
      </c>
      <c r="B2647">
        <v>2003</v>
      </c>
      <c r="C2647" t="s">
        <v>735</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909</v>
      </c>
      <c r="B2648">
        <v>2002</v>
      </c>
      <c r="C2648" t="s">
        <v>735</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909</v>
      </c>
      <c r="B2649">
        <v>2001</v>
      </c>
      <c r="C2649" t="s">
        <v>735</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909</v>
      </c>
      <c r="B2650">
        <v>2000</v>
      </c>
      <c r="C2650" t="s">
        <v>735</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910</v>
      </c>
      <c r="B2651">
        <v>2015</v>
      </c>
      <c r="C2651" t="s">
        <v>735</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910</v>
      </c>
      <c r="B2652">
        <v>2014</v>
      </c>
      <c r="C2652" t="s">
        <v>735</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910</v>
      </c>
      <c r="B2653">
        <v>2013</v>
      </c>
      <c r="C2653" t="s">
        <v>735</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910</v>
      </c>
      <c r="B2654">
        <v>2012</v>
      </c>
      <c r="C2654" t="s">
        <v>735</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910</v>
      </c>
      <c r="B2655">
        <v>2011</v>
      </c>
      <c r="C2655" t="s">
        <v>735</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910</v>
      </c>
      <c r="B2656">
        <v>2010</v>
      </c>
      <c r="C2656" t="s">
        <v>735</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910</v>
      </c>
      <c r="B2657">
        <v>2009</v>
      </c>
      <c r="C2657" t="s">
        <v>735</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910</v>
      </c>
      <c r="B2658">
        <v>2008</v>
      </c>
      <c r="C2658" t="s">
        <v>735</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910</v>
      </c>
      <c r="B2659">
        <v>2007</v>
      </c>
      <c r="C2659" t="s">
        <v>735</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910</v>
      </c>
      <c r="B2660">
        <v>2006</v>
      </c>
      <c r="C2660" t="s">
        <v>735</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910</v>
      </c>
      <c r="B2661">
        <v>2005</v>
      </c>
      <c r="C2661" t="s">
        <v>735</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910</v>
      </c>
      <c r="B2662">
        <v>2004</v>
      </c>
      <c r="C2662" t="s">
        <v>735</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910</v>
      </c>
      <c r="B2663">
        <v>2003</v>
      </c>
      <c r="C2663" t="s">
        <v>735</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910</v>
      </c>
      <c r="B2664">
        <v>2002</v>
      </c>
      <c r="C2664" t="s">
        <v>735</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910</v>
      </c>
      <c r="B2665">
        <v>2001</v>
      </c>
      <c r="C2665" t="s">
        <v>735</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910</v>
      </c>
      <c r="B2666">
        <v>2000</v>
      </c>
      <c r="C2666" t="s">
        <v>735</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911</v>
      </c>
      <c r="B2667">
        <v>2015</v>
      </c>
      <c r="C2667" t="s">
        <v>735</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911</v>
      </c>
      <c r="B2668">
        <v>2014</v>
      </c>
      <c r="C2668" t="s">
        <v>735</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911</v>
      </c>
      <c r="B2669">
        <v>2013</v>
      </c>
      <c r="C2669" t="s">
        <v>735</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911</v>
      </c>
      <c r="B2670">
        <v>2012</v>
      </c>
      <c r="C2670" t="s">
        <v>735</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911</v>
      </c>
      <c r="B2671">
        <v>2011</v>
      </c>
      <c r="C2671" t="s">
        <v>735</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911</v>
      </c>
      <c r="B2672">
        <v>2010</v>
      </c>
      <c r="C2672" t="s">
        <v>735</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911</v>
      </c>
      <c r="B2673">
        <v>2009</v>
      </c>
      <c r="C2673" t="s">
        <v>735</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911</v>
      </c>
      <c r="B2674">
        <v>2008</v>
      </c>
      <c r="C2674" t="s">
        <v>735</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911</v>
      </c>
      <c r="B2675">
        <v>2007</v>
      </c>
      <c r="C2675" t="s">
        <v>735</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911</v>
      </c>
      <c r="B2676">
        <v>2006</v>
      </c>
      <c r="C2676" t="s">
        <v>735</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911</v>
      </c>
      <c r="B2677">
        <v>2005</v>
      </c>
      <c r="C2677" t="s">
        <v>735</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911</v>
      </c>
      <c r="B2678">
        <v>2004</v>
      </c>
      <c r="C2678" t="s">
        <v>735</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911</v>
      </c>
      <c r="B2679">
        <v>2003</v>
      </c>
      <c r="C2679" t="s">
        <v>735</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911</v>
      </c>
      <c r="B2680">
        <v>2002</v>
      </c>
      <c r="C2680" t="s">
        <v>735</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911</v>
      </c>
      <c r="B2681">
        <v>2001</v>
      </c>
      <c r="C2681" t="s">
        <v>735</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911</v>
      </c>
      <c r="B2682">
        <v>2000</v>
      </c>
      <c r="C2682" t="s">
        <v>735</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912</v>
      </c>
      <c r="B2683">
        <v>2015</v>
      </c>
      <c r="C2683" t="s">
        <v>735</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912</v>
      </c>
      <c r="B2684">
        <v>2014</v>
      </c>
      <c r="C2684" t="s">
        <v>735</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912</v>
      </c>
      <c r="B2685">
        <v>2013</v>
      </c>
      <c r="C2685" t="s">
        <v>735</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912</v>
      </c>
      <c r="B2686">
        <v>2012</v>
      </c>
      <c r="C2686" t="s">
        <v>735</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912</v>
      </c>
      <c r="B2687">
        <v>2011</v>
      </c>
      <c r="C2687" t="s">
        <v>735</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912</v>
      </c>
      <c r="B2688">
        <v>2010</v>
      </c>
      <c r="C2688" t="s">
        <v>735</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912</v>
      </c>
      <c r="B2689">
        <v>2009</v>
      </c>
      <c r="C2689" t="s">
        <v>735</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912</v>
      </c>
      <c r="B2690">
        <v>2008</v>
      </c>
      <c r="C2690" t="s">
        <v>735</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912</v>
      </c>
      <c r="B2691">
        <v>2007</v>
      </c>
      <c r="C2691" t="s">
        <v>735</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912</v>
      </c>
      <c r="B2692">
        <v>2006</v>
      </c>
      <c r="C2692" t="s">
        <v>735</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912</v>
      </c>
      <c r="B2693">
        <v>2005</v>
      </c>
      <c r="C2693" t="s">
        <v>735</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912</v>
      </c>
      <c r="B2694">
        <v>2004</v>
      </c>
      <c r="C2694" t="s">
        <v>735</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912</v>
      </c>
      <c r="B2695">
        <v>2003</v>
      </c>
      <c r="C2695" t="s">
        <v>735</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912</v>
      </c>
      <c r="B2696">
        <v>2002</v>
      </c>
      <c r="C2696" t="s">
        <v>735</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912</v>
      </c>
      <c r="B2697">
        <v>2001</v>
      </c>
      <c r="C2697" t="s">
        <v>735</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912</v>
      </c>
      <c r="B2698">
        <v>2000</v>
      </c>
      <c r="C2698" t="s">
        <v>735</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913</v>
      </c>
      <c r="B2699">
        <v>2015</v>
      </c>
      <c r="C2699" t="s">
        <v>735</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913</v>
      </c>
      <c r="B2700">
        <v>2014</v>
      </c>
      <c r="C2700" t="s">
        <v>735</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913</v>
      </c>
      <c r="B2701">
        <v>2013</v>
      </c>
      <c r="C2701" t="s">
        <v>735</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913</v>
      </c>
      <c r="B2702">
        <v>2012</v>
      </c>
      <c r="C2702" t="s">
        <v>735</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913</v>
      </c>
      <c r="B2703">
        <v>2011</v>
      </c>
      <c r="C2703" t="s">
        <v>735</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913</v>
      </c>
      <c r="B2704">
        <v>2010</v>
      </c>
      <c r="C2704" t="s">
        <v>735</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913</v>
      </c>
      <c r="B2705">
        <v>2009</v>
      </c>
      <c r="C2705" t="s">
        <v>735</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913</v>
      </c>
      <c r="B2706">
        <v>2008</v>
      </c>
      <c r="C2706" t="s">
        <v>735</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913</v>
      </c>
      <c r="B2707">
        <v>2007</v>
      </c>
      <c r="C2707" t="s">
        <v>735</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913</v>
      </c>
      <c r="B2708">
        <v>2006</v>
      </c>
      <c r="C2708" t="s">
        <v>735</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913</v>
      </c>
      <c r="B2709">
        <v>2005</v>
      </c>
      <c r="C2709" t="s">
        <v>735</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913</v>
      </c>
      <c r="B2710">
        <v>2004</v>
      </c>
      <c r="C2710" t="s">
        <v>735</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913</v>
      </c>
      <c r="B2711">
        <v>2003</v>
      </c>
      <c r="C2711" t="s">
        <v>735</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913</v>
      </c>
      <c r="B2712">
        <v>2002</v>
      </c>
      <c r="C2712" t="s">
        <v>735</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913</v>
      </c>
      <c r="B2713">
        <v>2001</v>
      </c>
      <c r="C2713" t="s">
        <v>735</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913</v>
      </c>
      <c r="B2714">
        <v>2000</v>
      </c>
      <c r="C2714" t="s">
        <v>735</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914</v>
      </c>
      <c r="B2715">
        <v>2013</v>
      </c>
      <c r="C2715" t="s">
        <v>735</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915</v>
      </c>
      <c r="B2716">
        <v>2015</v>
      </c>
      <c r="C2716" t="s">
        <v>735</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915</v>
      </c>
      <c r="B2717">
        <v>2014</v>
      </c>
      <c r="C2717" t="s">
        <v>735</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915</v>
      </c>
      <c r="B2718">
        <v>2013</v>
      </c>
      <c r="C2718" t="s">
        <v>735</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915</v>
      </c>
      <c r="B2719">
        <v>2012</v>
      </c>
      <c r="C2719" t="s">
        <v>735</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915</v>
      </c>
      <c r="B2720">
        <v>2011</v>
      </c>
      <c r="C2720" t="s">
        <v>735</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915</v>
      </c>
      <c r="B2721">
        <v>2010</v>
      </c>
      <c r="C2721" t="s">
        <v>735</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915</v>
      </c>
      <c r="B2722">
        <v>2009</v>
      </c>
      <c r="C2722" t="s">
        <v>735</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915</v>
      </c>
      <c r="B2723">
        <v>2008</v>
      </c>
      <c r="C2723" t="s">
        <v>735</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915</v>
      </c>
      <c r="B2724">
        <v>2007</v>
      </c>
      <c r="C2724" t="s">
        <v>735</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915</v>
      </c>
      <c r="B2725">
        <v>2006</v>
      </c>
      <c r="C2725" t="s">
        <v>735</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915</v>
      </c>
      <c r="B2726">
        <v>2005</v>
      </c>
      <c r="C2726" t="s">
        <v>735</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915</v>
      </c>
      <c r="B2727">
        <v>2004</v>
      </c>
      <c r="C2727" t="s">
        <v>735</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915</v>
      </c>
      <c r="B2728">
        <v>2003</v>
      </c>
      <c r="C2728" t="s">
        <v>735</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915</v>
      </c>
      <c r="B2729">
        <v>2002</v>
      </c>
      <c r="C2729" t="s">
        <v>735</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915</v>
      </c>
      <c r="B2730">
        <v>2001</v>
      </c>
      <c r="C2730" t="s">
        <v>735</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915</v>
      </c>
      <c r="B2731">
        <v>2000</v>
      </c>
      <c r="C2731" t="s">
        <v>735</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916</v>
      </c>
      <c r="B2732">
        <v>2015</v>
      </c>
      <c r="C2732" t="s">
        <v>735</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916</v>
      </c>
      <c r="B2733">
        <v>2014</v>
      </c>
      <c r="C2733" t="s">
        <v>735</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916</v>
      </c>
      <c r="B2734">
        <v>2013</v>
      </c>
      <c r="C2734" t="s">
        <v>735</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916</v>
      </c>
      <c r="B2735">
        <v>2012</v>
      </c>
      <c r="C2735" t="s">
        <v>735</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916</v>
      </c>
      <c r="B2736">
        <v>2011</v>
      </c>
      <c r="C2736" t="s">
        <v>735</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916</v>
      </c>
      <c r="B2737">
        <v>2010</v>
      </c>
      <c r="C2737" t="s">
        <v>735</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916</v>
      </c>
      <c r="B2738">
        <v>2009</v>
      </c>
      <c r="C2738" t="s">
        <v>735</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916</v>
      </c>
      <c r="B2739">
        <v>2008</v>
      </c>
      <c r="C2739" t="s">
        <v>735</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916</v>
      </c>
      <c r="B2740">
        <v>2007</v>
      </c>
      <c r="C2740" t="s">
        <v>735</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916</v>
      </c>
      <c r="B2741">
        <v>2006</v>
      </c>
      <c r="C2741" t="s">
        <v>735</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916</v>
      </c>
      <c r="B2742">
        <v>2005</v>
      </c>
      <c r="C2742" t="s">
        <v>735</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916</v>
      </c>
      <c r="B2743">
        <v>2004</v>
      </c>
      <c r="C2743" t="s">
        <v>735</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916</v>
      </c>
      <c r="B2744">
        <v>2003</v>
      </c>
      <c r="C2744" t="s">
        <v>735</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916</v>
      </c>
      <c r="B2745">
        <v>2002</v>
      </c>
      <c r="C2745" t="s">
        <v>735</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916</v>
      </c>
      <c r="B2746">
        <v>2001</v>
      </c>
      <c r="C2746" t="s">
        <v>735</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916</v>
      </c>
      <c r="B2747">
        <v>2000</v>
      </c>
      <c r="C2747" t="s">
        <v>735</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917</v>
      </c>
      <c r="B2748">
        <v>2015</v>
      </c>
      <c r="C2748" t="s">
        <v>735</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917</v>
      </c>
      <c r="B2749">
        <v>2014</v>
      </c>
      <c r="C2749" t="s">
        <v>735</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917</v>
      </c>
      <c r="B2750">
        <v>2013</v>
      </c>
      <c r="C2750" t="s">
        <v>735</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917</v>
      </c>
      <c r="B2751">
        <v>2012</v>
      </c>
      <c r="C2751" t="s">
        <v>735</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917</v>
      </c>
      <c r="B2752">
        <v>2011</v>
      </c>
      <c r="C2752" t="s">
        <v>735</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917</v>
      </c>
      <c r="B2753">
        <v>2010</v>
      </c>
      <c r="C2753" t="s">
        <v>735</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917</v>
      </c>
      <c r="B2754">
        <v>2009</v>
      </c>
      <c r="C2754" t="s">
        <v>735</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917</v>
      </c>
      <c r="B2755">
        <v>2008</v>
      </c>
      <c r="C2755" t="s">
        <v>735</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917</v>
      </c>
      <c r="B2756">
        <v>2007</v>
      </c>
      <c r="C2756" t="s">
        <v>735</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917</v>
      </c>
      <c r="B2757">
        <v>2006</v>
      </c>
      <c r="C2757" t="s">
        <v>735</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917</v>
      </c>
      <c r="B2758">
        <v>2005</v>
      </c>
      <c r="C2758" t="s">
        <v>735</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917</v>
      </c>
      <c r="B2759">
        <v>2004</v>
      </c>
      <c r="C2759" t="s">
        <v>735</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917</v>
      </c>
      <c r="B2760">
        <v>2003</v>
      </c>
      <c r="C2760" t="s">
        <v>735</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917</v>
      </c>
      <c r="B2761">
        <v>2002</v>
      </c>
      <c r="C2761" t="s">
        <v>735</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917</v>
      </c>
      <c r="B2762">
        <v>2001</v>
      </c>
      <c r="C2762" t="s">
        <v>735</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917</v>
      </c>
      <c r="B2763">
        <v>2000</v>
      </c>
      <c r="C2763" t="s">
        <v>735</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918</v>
      </c>
      <c r="B2764">
        <v>2015</v>
      </c>
      <c r="C2764" t="s">
        <v>743</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918</v>
      </c>
      <c r="B2765">
        <v>2014</v>
      </c>
      <c r="C2765" t="s">
        <v>743</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918</v>
      </c>
      <c r="B2766">
        <v>2013</v>
      </c>
      <c r="C2766" t="s">
        <v>743</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918</v>
      </c>
      <c r="B2767">
        <v>2012</v>
      </c>
      <c r="C2767" t="s">
        <v>743</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918</v>
      </c>
      <c r="B2768">
        <v>2011</v>
      </c>
      <c r="C2768" t="s">
        <v>743</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918</v>
      </c>
      <c r="B2769">
        <v>2010</v>
      </c>
      <c r="C2769" t="s">
        <v>743</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918</v>
      </c>
      <c r="B2770">
        <v>2009</v>
      </c>
      <c r="C2770" t="s">
        <v>743</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918</v>
      </c>
      <c r="B2771">
        <v>2008</v>
      </c>
      <c r="C2771" t="s">
        <v>743</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918</v>
      </c>
      <c r="B2772">
        <v>2007</v>
      </c>
      <c r="C2772" t="s">
        <v>743</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918</v>
      </c>
      <c r="B2773">
        <v>2006</v>
      </c>
      <c r="C2773" t="s">
        <v>743</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918</v>
      </c>
      <c r="B2774">
        <v>2005</v>
      </c>
      <c r="C2774" t="s">
        <v>743</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918</v>
      </c>
      <c r="B2775">
        <v>2004</v>
      </c>
      <c r="C2775" t="s">
        <v>743</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918</v>
      </c>
      <c r="B2776">
        <v>2003</v>
      </c>
      <c r="C2776" t="s">
        <v>743</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918</v>
      </c>
      <c r="B2777">
        <v>2002</v>
      </c>
      <c r="C2777" t="s">
        <v>743</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918</v>
      </c>
      <c r="B2778">
        <v>2001</v>
      </c>
      <c r="C2778" t="s">
        <v>743</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918</v>
      </c>
      <c r="B2779">
        <v>2000</v>
      </c>
      <c r="C2779" t="s">
        <v>743</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919</v>
      </c>
      <c r="B2780">
        <v>2015</v>
      </c>
      <c r="C2780" t="s">
        <v>735</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919</v>
      </c>
      <c r="B2781">
        <v>2014</v>
      </c>
      <c r="C2781" t="s">
        <v>735</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919</v>
      </c>
      <c r="B2782">
        <v>2013</v>
      </c>
      <c r="C2782" t="s">
        <v>735</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919</v>
      </c>
      <c r="B2783">
        <v>2012</v>
      </c>
      <c r="C2783" t="s">
        <v>735</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919</v>
      </c>
      <c r="B2784">
        <v>2011</v>
      </c>
      <c r="C2784" t="s">
        <v>735</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919</v>
      </c>
      <c r="B2785">
        <v>2010</v>
      </c>
      <c r="C2785" t="s">
        <v>735</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919</v>
      </c>
      <c r="B2786">
        <v>2009</v>
      </c>
      <c r="C2786" t="s">
        <v>735</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919</v>
      </c>
      <c r="B2787">
        <v>2008</v>
      </c>
      <c r="C2787" t="s">
        <v>735</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919</v>
      </c>
      <c r="B2788">
        <v>2007</v>
      </c>
      <c r="C2788" t="s">
        <v>735</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919</v>
      </c>
      <c r="B2789">
        <v>2006</v>
      </c>
      <c r="C2789" t="s">
        <v>735</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919</v>
      </c>
      <c r="B2790">
        <v>2005</v>
      </c>
      <c r="C2790" t="s">
        <v>735</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919</v>
      </c>
      <c r="B2791">
        <v>2004</v>
      </c>
      <c r="C2791" t="s">
        <v>735</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919</v>
      </c>
      <c r="B2792">
        <v>2003</v>
      </c>
      <c r="C2792" t="s">
        <v>735</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919</v>
      </c>
      <c r="B2793">
        <v>2002</v>
      </c>
      <c r="C2793" t="s">
        <v>735</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919</v>
      </c>
      <c r="B2794">
        <v>2001</v>
      </c>
      <c r="C2794" t="s">
        <v>735</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919</v>
      </c>
      <c r="B2795">
        <v>2000</v>
      </c>
      <c r="C2795" t="s">
        <v>735</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920</v>
      </c>
      <c r="B2796">
        <v>2015</v>
      </c>
      <c r="C2796" t="s">
        <v>743</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920</v>
      </c>
      <c r="B2797">
        <v>2014</v>
      </c>
      <c r="C2797" t="s">
        <v>743</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920</v>
      </c>
      <c r="B2798">
        <v>2013</v>
      </c>
      <c r="C2798" t="s">
        <v>743</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920</v>
      </c>
      <c r="B2799">
        <v>2012</v>
      </c>
      <c r="C2799" t="s">
        <v>743</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920</v>
      </c>
      <c r="B2800">
        <v>2011</v>
      </c>
      <c r="C2800" t="s">
        <v>743</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920</v>
      </c>
      <c r="B2801">
        <v>2010</v>
      </c>
      <c r="C2801" t="s">
        <v>743</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920</v>
      </c>
      <c r="B2802">
        <v>2009</v>
      </c>
      <c r="C2802" t="s">
        <v>743</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920</v>
      </c>
      <c r="B2803">
        <v>2008</v>
      </c>
      <c r="C2803" t="s">
        <v>743</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920</v>
      </c>
      <c r="B2804">
        <v>2007</v>
      </c>
      <c r="C2804" t="s">
        <v>743</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920</v>
      </c>
      <c r="B2805">
        <v>2006</v>
      </c>
      <c r="C2805" t="s">
        <v>743</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920</v>
      </c>
      <c r="B2806">
        <v>2005</v>
      </c>
      <c r="C2806" t="s">
        <v>743</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920</v>
      </c>
      <c r="B2807">
        <v>2004</v>
      </c>
      <c r="C2807" t="s">
        <v>743</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920</v>
      </c>
      <c r="B2808">
        <v>2003</v>
      </c>
      <c r="C2808" t="s">
        <v>743</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920</v>
      </c>
      <c r="B2809">
        <v>2002</v>
      </c>
      <c r="C2809" t="s">
        <v>743</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920</v>
      </c>
      <c r="B2810">
        <v>2001</v>
      </c>
      <c r="C2810" t="s">
        <v>743</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920</v>
      </c>
      <c r="B2811">
        <v>2000</v>
      </c>
      <c r="C2811" t="s">
        <v>743</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921</v>
      </c>
      <c r="B2812">
        <v>2015</v>
      </c>
      <c r="C2812" t="s">
        <v>735</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921</v>
      </c>
      <c r="B2813">
        <v>2014</v>
      </c>
      <c r="C2813" t="s">
        <v>735</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921</v>
      </c>
      <c r="B2814">
        <v>2013</v>
      </c>
      <c r="C2814" t="s">
        <v>735</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921</v>
      </c>
      <c r="B2815">
        <v>2012</v>
      </c>
      <c r="C2815" t="s">
        <v>735</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921</v>
      </c>
      <c r="B2816">
        <v>2011</v>
      </c>
      <c r="C2816" t="s">
        <v>735</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921</v>
      </c>
      <c r="B2817">
        <v>2010</v>
      </c>
      <c r="C2817" t="s">
        <v>735</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921</v>
      </c>
      <c r="B2818">
        <v>2009</v>
      </c>
      <c r="C2818" t="s">
        <v>735</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921</v>
      </c>
      <c r="B2819">
        <v>2008</v>
      </c>
      <c r="C2819" t="s">
        <v>735</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921</v>
      </c>
      <c r="B2820">
        <v>2007</v>
      </c>
      <c r="C2820" t="s">
        <v>735</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921</v>
      </c>
      <c r="B2821">
        <v>2006</v>
      </c>
      <c r="C2821" t="s">
        <v>735</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921</v>
      </c>
      <c r="B2822">
        <v>2005</v>
      </c>
      <c r="C2822" t="s">
        <v>735</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921</v>
      </c>
      <c r="B2823">
        <v>2004</v>
      </c>
      <c r="C2823" t="s">
        <v>735</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921</v>
      </c>
      <c r="B2824">
        <v>2003</v>
      </c>
      <c r="C2824" t="s">
        <v>735</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921</v>
      </c>
      <c r="B2825">
        <v>2002</v>
      </c>
      <c r="C2825" t="s">
        <v>735</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921</v>
      </c>
      <c r="B2826">
        <v>2001</v>
      </c>
      <c r="C2826" t="s">
        <v>735</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921</v>
      </c>
      <c r="B2827">
        <v>2000</v>
      </c>
      <c r="C2827" t="s">
        <v>735</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922</v>
      </c>
      <c r="B2828">
        <v>2015</v>
      </c>
      <c r="C2828" t="s">
        <v>735</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922</v>
      </c>
      <c r="B2829">
        <v>2014</v>
      </c>
      <c r="C2829" t="s">
        <v>735</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922</v>
      </c>
      <c r="B2830">
        <v>2013</v>
      </c>
      <c r="C2830" t="s">
        <v>735</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922</v>
      </c>
      <c r="B2831">
        <v>2012</v>
      </c>
      <c r="C2831" t="s">
        <v>735</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922</v>
      </c>
      <c r="B2832">
        <v>2011</v>
      </c>
      <c r="C2832" t="s">
        <v>735</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922</v>
      </c>
      <c r="B2833">
        <v>2010</v>
      </c>
      <c r="C2833" t="s">
        <v>735</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922</v>
      </c>
      <c r="B2834">
        <v>2009</v>
      </c>
      <c r="C2834" t="s">
        <v>735</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922</v>
      </c>
      <c r="B2835">
        <v>2008</v>
      </c>
      <c r="C2835" t="s">
        <v>735</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922</v>
      </c>
      <c r="B2836">
        <v>2007</v>
      </c>
      <c r="C2836" t="s">
        <v>735</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922</v>
      </c>
      <c r="B2837">
        <v>2006</v>
      </c>
      <c r="C2837" t="s">
        <v>735</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922</v>
      </c>
      <c r="B2838">
        <v>2005</v>
      </c>
      <c r="C2838" t="s">
        <v>735</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922</v>
      </c>
      <c r="B2839">
        <v>2004</v>
      </c>
      <c r="C2839" t="s">
        <v>735</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922</v>
      </c>
      <c r="B2840">
        <v>2003</v>
      </c>
      <c r="C2840" t="s">
        <v>735</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922</v>
      </c>
      <c r="B2841">
        <v>2002</v>
      </c>
      <c r="C2841" t="s">
        <v>735</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922</v>
      </c>
      <c r="B2842">
        <v>2001</v>
      </c>
      <c r="C2842" t="s">
        <v>735</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922</v>
      </c>
      <c r="B2843">
        <v>2000</v>
      </c>
      <c r="C2843" t="s">
        <v>735</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923</v>
      </c>
      <c r="B2844">
        <v>2015</v>
      </c>
      <c r="C2844" t="s">
        <v>735</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923</v>
      </c>
      <c r="B2845">
        <v>2014</v>
      </c>
      <c r="C2845" t="s">
        <v>735</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923</v>
      </c>
      <c r="B2846">
        <v>2013</v>
      </c>
      <c r="C2846" t="s">
        <v>735</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923</v>
      </c>
      <c r="B2847">
        <v>2012</v>
      </c>
      <c r="C2847" t="s">
        <v>735</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923</v>
      </c>
      <c r="B2848">
        <v>2011</v>
      </c>
      <c r="C2848" t="s">
        <v>735</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923</v>
      </c>
      <c r="B2849">
        <v>2010</v>
      </c>
      <c r="C2849" t="s">
        <v>735</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923</v>
      </c>
      <c r="B2850">
        <v>2009</v>
      </c>
      <c r="C2850" t="s">
        <v>735</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923</v>
      </c>
      <c r="B2851">
        <v>2008</v>
      </c>
      <c r="C2851" t="s">
        <v>735</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923</v>
      </c>
      <c r="B2852">
        <v>2007</v>
      </c>
      <c r="C2852" t="s">
        <v>735</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923</v>
      </c>
      <c r="B2853">
        <v>2006</v>
      </c>
      <c r="C2853" t="s">
        <v>735</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923</v>
      </c>
      <c r="B2854">
        <v>2005</v>
      </c>
      <c r="C2854" t="s">
        <v>735</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923</v>
      </c>
      <c r="B2855">
        <v>2004</v>
      </c>
      <c r="C2855" t="s">
        <v>735</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923</v>
      </c>
      <c r="B2856">
        <v>2003</v>
      </c>
      <c r="C2856" t="s">
        <v>735</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923</v>
      </c>
      <c r="B2857">
        <v>2002</v>
      </c>
      <c r="C2857" t="s">
        <v>735</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923</v>
      </c>
      <c r="B2858">
        <v>2001</v>
      </c>
      <c r="C2858" t="s">
        <v>735</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923</v>
      </c>
      <c r="B2859">
        <v>2000</v>
      </c>
      <c r="C2859" t="s">
        <v>735</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924</v>
      </c>
      <c r="B2860">
        <v>2015</v>
      </c>
      <c r="C2860" t="s">
        <v>735</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924</v>
      </c>
      <c r="B2861">
        <v>2014</v>
      </c>
      <c r="C2861" t="s">
        <v>735</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924</v>
      </c>
      <c r="B2862">
        <v>2013</v>
      </c>
      <c r="C2862" t="s">
        <v>735</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924</v>
      </c>
      <c r="B2863">
        <v>2012</v>
      </c>
      <c r="C2863" t="s">
        <v>735</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924</v>
      </c>
      <c r="B2864">
        <v>2011</v>
      </c>
      <c r="C2864" t="s">
        <v>735</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924</v>
      </c>
      <c r="B2865">
        <v>2010</v>
      </c>
      <c r="C2865" t="s">
        <v>735</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924</v>
      </c>
      <c r="B2866">
        <v>2009</v>
      </c>
      <c r="C2866" t="s">
        <v>735</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924</v>
      </c>
      <c r="B2867">
        <v>2008</v>
      </c>
      <c r="C2867" t="s">
        <v>735</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924</v>
      </c>
      <c r="B2868">
        <v>2007</v>
      </c>
      <c r="C2868" t="s">
        <v>735</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924</v>
      </c>
      <c r="B2869">
        <v>2006</v>
      </c>
      <c r="C2869" t="s">
        <v>735</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924</v>
      </c>
      <c r="B2870">
        <v>2005</v>
      </c>
      <c r="C2870" t="s">
        <v>735</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924</v>
      </c>
      <c r="B2871">
        <v>2004</v>
      </c>
      <c r="C2871" t="s">
        <v>735</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924</v>
      </c>
      <c r="B2872">
        <v>2003</v>
      </c>
      <c r="C2872" t="s">
        <v>735</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924</v>
      </c>
      <c r="B2873">
        <v>2002</v>
      </c>
      <c r="C2873" t="s">
        <v>735</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924</v>
      </c>
      <c r="B2874">
        <v>2001</v>
      </c>
      <c r="C2874" t="s">
        <v>735</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924</v>
      </c>
      <c r="B2875">
        <v>2000</v>
      </c>
      <c r="C2875" t="s">
        <v>735</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925</v>
      </c>
      <c r="B2876">
        <v>2015</v>
      </c>
      <c r="C2876" t="s">
        <v>735</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925</v>
      </c>
      <c r="B2877">
        <v>2014</v>
      </c>
      <c r="C2877" t="s">
        <v>735</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925</v>
      </c>
      <c r="B2878">
        <v>2013</v>
      </c>
      <c r="C2878" t="s">
        <v>735</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925</v>
      </c>
      <c r="B2879">
        <v>2012</v>
      </c>
      <c r="C2879" t="s">
        <v>735</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925</v>
      </c>
      <c r="B2880">
        <v>2011</v>
      </c>
      <c r="C2880" t="s">
        <v>735</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925</v>
      </c>
      <c r="B2881">
        <v>2010</v>
      </c>
      <c r="C2881" t="s">
        <v>735</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925</v>
      </c>
      <c r="B2882">
        <v>2009</v>
      </c>
      <c r="C2882" t="s">
        <v>735</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925</v>
      </c>
      <c r="B2883">
        <v>2008</v>
      </c>
      <c r="C2883" t="s">
        <v>735</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925</v>
      </c>
      <c r="B2884">
        <v>2007</v>
      </c>
      <c r="C2884" t="s">
        <v>735</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925</v>
      </c>
      <c r="B2885">
        <v>2006</v>
      </c>
      <c r="C2885" t="s">
        <v>735</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925</v>
      </c>
      <c r="B2886">
        <v>2005</v>
      </c>
      <c r="C2886" t="s">
        <v>735</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925</v>
      </c>
      <c r="B2887">
        <v>2004</v>
      </c>
      <c r="C2887" t="s">
        <v>735</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925</v>
      </c>
      <c r="B2888">
        <v>2003</v>
      </c>
      <c r="C2888" t="s">
        <v>735</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925</v>
      </c>
      <c r="B2889">
        <v>2002</v>
      </c>
      <c r="C2889" t="s">
        <v>735</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925</v>
      </c>
      <c r="B2890">
        <v>2001</v>
      </c>
      <c r="C2890" t="s">
        <v>735</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925</v>
      </c>
      <c r="B2891">
        <v>2000</v>
      </c>
      <c r="C2891" t="s">
        <v>735</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926</v>
      </c>
      <c r="B2892">
        <v>2015</v>
      </c>
      <c r="C2892" t="s">
        <v>735</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926</v>
      </c>
      <c r="B2893">
        <v>2014</v>
      </c>
      <c r="C2893" t="s">
        <v>735</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926</v>
      </c>
      <c r="B2894">
        <v>2013</v>
      </c>
      <c r="C2894" t="s">
        <v>735</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926</v>
      </c>
      <c r="B2895">
        <v>2012</v>
      </c>
      <c r="C2895" t="s">
        <v>735</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926</v>
      </c>
      <c r="B2896">
        <v>2011</v>
      </c>
      <c r="C2896" t="s">
        <v>735</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926</v>
      </c>
      <c r="B2897">
        <v>2010</v>
      </c>
      <c r="C2897" t="s">
        <v>735</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926</v>
      </c>
      <c r="B2898">
        <v>2009</v>
      </c>
      <c r="C2898" t="s">
        <v>735</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926</v>
      </c>
      <c r="B2899">
        <v>2008</v>
      </c>
      <c r="C2899" t="s">
        <v>735</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926</v>
      </c>
      <c r="B2900">
        <v>2007</v>
      </c>
      <c r="C2900" t="s">
        <v>735</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926</v>
      </c>
      <c r="B2901">
        <v>2006</v>
      </c>
      <c r="C2901" t="s">
        <v>735</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926</v>
      </c>
      <c r="B2902">
        <v>2005</v>
      </c>
      <c r="C2902" t="s">
        <v>735</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926</v>
      </c>
      <c r="B2903">
        <v>2004</v>
      </c>
      <c r="C2903" t="s">
        <v>735</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926</v>
      </c>
      <c r="B2904">
        <v>2003</v>
      </c>
      <c r="C2904" t="s">
        <v>735</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926</v>
      </c>
      <c r="B2905">
        <v>2002</v>
      </c>
      <c r="C2905" t="s">
        <v>735</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926</v>
      </c>
      <c r="B2906">
        <v>2001</v>
      </c>
      <c r="C2906" t="s">
        <v>735</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926</v>
      </c>
      <c r="B2907">
        <v>2000</v>
      </c>
      <c r="C2907" t="s">
        <v>735</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927</v>
      </c>
      <c r="B2908">
        <v>2015</v>
      </c>
      <c r="C2908" t="s">
        <v>735</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927</v>
      </c>
      <c r="B2909">
        <v>2014</v>
      </c>
      <c r="C2909" t="s">
        <v>735</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927</v>
      </c>
      <c r="B2910">
        <v>2013</v>
      </c>
      <c r="C2910" t="s">
        <v>735</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927</v>
      </c>
      <c r="B2911">
        <v>2012</v>
      </c>
      <c r="C2911" t="s">
        <v>735</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927</v>
      </c>
      <c r="B2912">
        <v>2011</v>
      </c>
      <c r="C2912" t="s">
        <v>735</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927</v>
      </c>
      <c r="B2913">
        <v>2010</v>
      </c>
      <c r="C2913" t="s">
        <v>735</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927</v>
      </c>
      <c r="B2914">
        <v>2009</v>
      </c>
      <c r="C2914" t="s">
        <v>735</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927</v>
      </c>
      <c r="B2915">
        <v>2008</v>
      </c>
      <c r="C2915" t="s">
        <v>735</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927</v>
      </c>
      <c r="B2916">
        <v>2007</v>
      </c>
      <c r="C2916" t="s">
        <v>735</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927</v>
      </c>
      <c r="B2917">
        <v>2006</v>
      </c>
      <c r="C2917" t="s">
        <v>735</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927</v>
      </c>
      <c r="B2918">
        <v>2005</v>
      </c>
      <c r="C2918" t="s">
        <v>735</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927</v>
      </c>
      <c r="B2919">
        <v>2004</v>
      </c>
      <c r="C2919" t="s">
        <v>735</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927</v>
      </c>
      <c r="B2920">
        <v>2003</v>
      </c>
      <c r="C2920" t="s">
        <v>735</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927</v>
      </c>
      <c r="B2921">
        <v>2002</v>
      </c>
      <c r="C2921" t="s">
        <v>735</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927</v>
      </c>
      <c r="B2922">
        <v>2001</v>
      </c>
      <c r="C2922" t="s">
        <v>735</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927</v>
      </c>
      <c r="B2923">
        <v>2000</v>
      </c>
      <c r="C2923" t="s">
        <v>735</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928</v>
      </c>
      <c r="B2924">
        <v>2015</v>
      </c>
      <c r="C2924" t="s">
        <v>735</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928</v>
      </c>
      <c r="B2925">
        <v>2014</v>
      </c>
      <c r="C2925" t="s">
        <v>735</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928</v>
      </c>
      <c r="B2926">
        <v>2013</v>
      </c>
      <c r="C2926" t="s">
        <v>735</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928</v>
      </c>
      <c r="B2927">
        <v>2012</v>
      </c>
      <c r="C2927" t="s">
        <v>735</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928</v>
      </c>
      <c r="B2928">
        <v>2011</v>
      </c>
      <c r="C2928" t="s">
        <v>735</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928</v>
      </c>
      <c r="B2929">
        <v>2010</v>
      </c>
      <c r="C2929" t="s">
        <v>735</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928</v>
      </c>
      <c r="B2930">
        <v>2009</v>
      </c>
      <c r="C2930" t="s">
        <v>735</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928</v>
      </c>
      <c r="B2931">
        <v>2008</v>
      </c>
      <c r="C2931" t="s">
        <v>735</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928</v>
      </c>
      <c r="B2932">
        <v>2007</v>
      </c>
      <c r="C2932" t="s">
        <v>735</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928</v>
      </c>
      <c r="B2933">
        <v>2006</v>
      </c>
      <c r="C2933" t="s">
        <v>735</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928</v>
      </c>
      <c r="B2934">
        <v>2005</v>
      </c>
      <c r="C2934" t="s">
        <v>735</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928</v>
      </c>
      <c r="B2935">
        <v>2004</v>
      </c>
      <c r="C2935" t="s">
        <v>735</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928</v>
      </c>
      <c r="B2936">
        <v>2003</v>
      </c>
      <c r="C2936" t="s">
        <v>735</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928</v>
      </c>
      <c r="B2937">
        <v>2002</v>
      </c>
      <c r="C2937" t="s">
        <v>735</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928</v>
      </c>
      <c r="B2938">
        <v>2001</v>
      </c>
      <c r="C2938" t="s">
        <v>735</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928</v>
      </c>
      <c r="B2939">
        <v>2000</v>
      </c>
      <c r="C2939" t="s">
        <v>735</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2AE51-1D40-404C-81F2-FDC7001E0876}">
  <sheetPr>
    <tabColor rgb="FFD9D9D9"/>
  </sheetPr>
  <dimension ref="A1:K52"/>
  <sheetViews>
    <sheetView workbookViewId="0">
      <pane ySplit="1" topLeftCell="A2" activePane="bottomLeft" state="frozenSplit"/>
      <selection pane="bottomLeft"/>
    </sheetView>
  </sheetViews>
  <sheetFormatPr defaultRowHeight="15" x14ac:dyDescent="0.25"/>
  <cols>
    <col min="1" max="1" width="9" bestFit="1" customWidth="1"/>
    <col min="2" max="2" width="9.7109375" bestFit="1" customWidth="1"/>
    <col min="3" max="3" width="13.28515625" bestFit="1" customWidth="1"/>
    <col min="4" max="4" width="14.7109375" bestFit="1" customWidth="1"/>
    <col min="5" max="6" width="19.5703125" bestFit="1" customWidth="1"/>
    <col min="7" max="7" width="15.42578125" bestFit="1" customWidth="1"/>
    <col min="8" max="8" width="16" bestFit="1" customWidth="1"/>
    <col min="9" max="9" width="16.7109375" bestFit="1" customWidth="1"/>
    <col min="10" max="10" width="14.85546875" bestFit="1" customWidth="1"/>
    <col min="11" max="11" width="12.7109375" customWidth="1"/>
  </cols>
  <sheetData>
    <row r="1" spans="1:11" x14ac:dyDescent="0.25">
      <c r="A1" t="s">
        <v>1581</v>
      </c>
      <c r="B1" t="s">
        <v>1582</v>
      </c>
      <c r="C1" t="s">
        <v>1583</v>
      </c>
      <c r="D1" t="s">
        <v>1584</v>
      </c>
      <c r="E1" t="s">
        <v>1585</v>
      </c>
      <c r="F1" t="s">
        <v>1586</v>
      </c>
      <c r="G1" t="s">
        <v>1587</v>
      </c>
      <c r="H1" t="s">
        <v>1588</v>
      </c>
      <c r="I1" t="s">
        <v>1589</v>
      </c>
      <c r="J1" t="s">
        <v>1590</v>
      </c>
      <c r="K1" t="s">
        <v>733</v>
      </c>
    </row>
    <row r="2" spans="1:11" x14ac:dyDescent="0.25">
      <c r="A2" t="s">
        <v>1591</v>
      </c>
      <c r="B2" t="s">
        <v>1592</v>
      </c>
      <c r="C2">
        <v>1998</v>
      </c>
      <c r="D2">
        <v>14</v>
      </c>
      <c r="E2">
        <v>14</v>
      </c>
      <c r="F2">
        <v>7.8</v>
      </c>
      <c r="G2">
        <v>181512</v>
      </c>
      <c r="H2">
        <v>2.6390573296152584</v>
      </c>
      <c r="I2">
        <v>2.0541237336955462</v>
      </c>
      <c r="J2">
        <v>12.109077046203975</v>
      </c>
      <c r="K2" t="b">
        <f>Data_Completeness(ProductionLotsData[[#This Row],[Fiscal_Year]:[log Unit Cost]])</f>
        <v>1</v>
      </c>
    </row>
    <row r="3" spans="1:11" x14ac:dyDescent="0.25">
      <c r="A3" t="s">
        <v>1593</v>
      </c>
      <c r="B3" t="s">
        <v>1592</v>
      </c>
      <c r="C3">
        <v>1999</v>
      </c>
      <c r="D3">
        <v>20</v>
      </c>
      <c r="E3">
        <v>34</v>
      </c>
      <c r="F3">
        <v>22.6</v>
      </c>
      <c r="G3">
        <v>128514</v>
      </c>
      <c r="H3">
        <v>3.5263605246161616</v>
      </c>
      <c r="I3">
        <v>3.1179499062782403</v>
      </c>
      <c r="J3">
        <v>11.763793126799197</v>
      </c>
      <c r="K3" t="b">
        <f>Data_Completeness(ProductionLotsData[[#This Row],[Fiscal_Year]:[log Unit Cost]])</f>
        <v>1</v>
      </c>
    </row>
    <row r="4" spans="1:11" x14ac:dyDescent="0.25">
      <c r="A4" t="s">
        <v>1594</v>
      </c>
      <c r="B4" t="s">
        <v>1592</v>
      </c>
      <c r="C4">
        <v>2000</v>
      </c>
      <c r="D4">
        <v>20</v>
      </c>
      <c r="E4">
        <v>54</v>
      </c>
      <c r="F4">
        <v>37.700000000000003</v>
      </c>
      <c r="G4">
        <v>129653</v>
      </c>
      <c r="H4">
        <v>3.9889840465642745</v>
      </c>
      <c r="I4">
        <v>3.629660094453965</v>
      </c>
      <c r="J4">
        <v>11.772616929920082</v>
      </c>
      <c r="K4" t="b">
        <f>Data_Completeness(ProductionLotsData[[#This Row],[Fiscal_Year]:[log Unit Cost]])</f>
        <v>1</v>
      </c>
    </row>
    <row r="5" spans="1:11" x14ac:dyDescent="0.25">
      <c r="A5" t="s">
        <v>1595</v>
      </c>
      <c r="B5" t="s">
        <v>1592</v>
      </c>
      <c r="C5">
        <v>2001</v>
      </c>
      <c r="D5">
        <v>11</v>
      </c>
      <c r="E5">
        <v>65</v>
      </c>
      <c r="F5">
        <v>46.1</v>
      </c>
      <c r="G5">
        <v>119532</v>
      </c>
      <c r="H5">
        <v>4.1743872698956368</v>
      </c>
      <c r="I5">
        <v>3.8308129500026027</v>
      </c>
      <c r="J5">
        <v>11.691339396933166</v>
      </c>
      <c r="K5" t="b">
        <f>Data_Completeness(ProductionLotsData[[#This Row],[Fiscal_Year]:[log Unit Cost]])</f>
        <v>1</v>
      </c>
    </row>
    <row r="6" spans="1:11" x14ac:dyDescent="0.25">
      <c r="A6" t="s">
        <v>1596</v>
      </c>
      <c r="B6" t="s">
        <v>1592</v>
      </c>
      <c r="C6">
        <v>2002</v>
      </c>
      <c r="D6">
        <v>17</v>
      </c>
      <c r="E6">
        <v>82</v>
      </c>
      <c r="F6">
        <v>52.3</v>
      </c>
      <c r="G6">
        <v>111349</v>
      </c>
      <c r="H6">
        <v>4.4067192472642533</v>
      </c>
      <c r="I6">
        <v>3.9569963710708773</v>
      </c>
      <c r="J6">
        <v>11.620424691953675</v>
      </c>
      <c r="K6" t="b">
        <f>Data_Completeness(ProductionLotsData[[#This Row],[Fiscal_Year]:[log Unit Cost]])</f>
        <v>1</v>
      </c>
    </row>
    <row r="7" spans="1:11" x14ac:dyDescent="0.25">
      <c r="A7" t="s">
        <v>1597</v>
      </c>
      <c r="B7" t="s">
        <v>1592</v>
      </c>
      <c r="C7">
        <v>2003</v>
      </c>
      <c r="D7">
        <v>15</v>
      </c>
      <c r="E7">
        <v>97</v>
      </c>
      <c r="F7">
        <v>59.2</v>
      </c>
      <c r="G7">
        <v>112030</v>
      </c>
      <c r="H7">
        <v>4.5747109785033828</v>
      </c>
      <c r="I7">
        <v>4.0809215418899605</v>
      </c>
      <c r="J7">
        <v>11.626521971552769</v>
      </c>
      <c r="K7" t="b">
        <f>Data_Completeness(ProductionLotsData[[#This Row],[Fiscal_Year]:[log Unit Cost]])</f>
        <v>1</v>
      </c>
    </row>
    <row r="8" spans="1:11" x14ac:dyDescent="0.25">
      <c r="A8" t="s">
        <v>1598</v>
      </c>
      <c r="B8" t="s">
        <v>1592</v>
      </c>
      <c r="C8">
        <v>2012</v>
      </c>
      <c r="D8">
        <v>9</v>
      </c>
      <c r="E8">
        <v>106</v>
      </c>
      <c r="F8">
        <v>20</v>
      </c>
      <c r="G8">
        <v>147393</v>
      </c>
      <c r="H8">
        <v>4.6634390941120669</v>
      </c>
      <c r="I8">
        <v>2.9957322735539909</v>
      </c>
      <c r="J8">
        <v>11.900857767786087</v>
      </c>
      <c r="K8" t="b">
        <f>Data_Completeness(ProductionLotsData[[#This Row],[Fiscal_Year]:[log Unit Cost]])</f>
        <v>1</v>
      </c>
    </row>
    <row r="9" spans="1:11" x14ac:dyDescent="0.25">
      <c r="A9" t="s">
        <v>1599</v>
      </c>
      <c r="B9" t="s">
        <v>1592</v>
      </c>
      <c r="C9">
        <v>2013</v>
      </c>
      <c r="D9">
        <v>20</v>
      </c>
      <c r="E9">
        <v>126</v>
      </c>
      <c r="F9">
        <v>30.8</v>
      </c>
      <c r="G9">
        <v>135356</v>
      </c>
      <c r="H9">
        <v>4.836281906951478</v>
      </c>
      <c r="I9">
        <v>3.427514689979529</v>
      </c>
      <c r="J9">
        <v>11.815663623575993</v>
      </c>
      <c r="K9" t="b">
        <f>Data_Completeness(ProductionLotsData[[#This Row],[Fiscal_Year]:[log Unit Cost]])</f>
        <v>1</v>
      </c>
    </row>
    <row r="10" spans="1:11" x14ac:dyDescent="0.25">
      <c r="A10" t="s">
        <v>1600</v>
      </c>
      <c r="B10" t="s">
        <v>1592</v>
      </c>
      <c r="C10">
        <v>2014</v>
      </c>
      <c r="D10">
        <v>13</v>
      </c>
      <c r="E10">
        <v>139</v>
      </c>
      <c r="F10">
        <v>41.2</v>
      </c>
      <c r="G10">
        <v>126320</v>
      </c>
      <c r="H10">
        <v>4.9344739331306915</v>
      </c>
      <c r="I10">
        <v>3.7184382563554808</v>
      </c>
      <c r="J10">
        <v>11.746573648929523</v>
      </c>
      <c r="K10" t="b">
        <f>Data_Completeness(ProductionLotsData[[#This Row],[Fiscal_Year]:[log Unit Cost]])</f>
        <v>1</v>
      </c>
    </row>
    <row r="11" spans="1:11" x14ac:dyDescent="0.25">
      <c r="A11" t="s">
        <v>1601</v>
      </c>
      <c r="B11" t="s">
        <v>1592</v>
      </c>
      <c r="C11">
        <v>2015</v>
      </c>
      <c r="D11">
        <v>21</v>
      </c>
      <c r="E11">
        <v>160</v>
      </c>
      <c r="F11">
        <v>51</v>
      </c>
      <c r="G11">
        <v>125929</v>
      </c>
      <c r="H11">
        <v>5.0751738152338266</v>
      </c>
      <c r="I11">
        <v>3.9318256327243257</v>
      </c>
      <c r="J11">
        <v>11.743473535048805</v>
      </c>
      <c r="K11" t="b">
        <f>Data_Completeness(ProductionLotsData[[#This Row],[Fiscal_Year]:[log Unit Cost]])</f>
        <v>1</v>
      </c>
    </row>
    <row r="12" spans="1:11" x14ac:dyDescent="0.25">
      <c r="A12" t="s">
        <v>1602</v>
      </c>
      <c r="B12" t="s">
        <v>1592</v>
      </c>
      <c r="C12">
        <v>2016</v>
      </c>
      <c r="D12">
        <v>23</v>
      </c>
      <c r="E12">
        <v>183</v>
      </c>
      <c r="F12">
        <v>63.8</v>
      </c>
      <c r="G12">
        <v>111123</v>
      </c>
      <c r="H12">
        <v>5.2094861528414214</v>
      </c>
      <c r="I12">
        <v>4.1557531903507439</v>
      </c>
      <c r="J12">
        <v>11.618392974903964</v>
      </c>
      <c r="K12" t="b">
        <f>Data_Completeness(ProductionLotsData[[#This Row],[Fiscal_Year]:[log Unit Cost]])</f>
        <v>1</v>
      </c>
    </row>
    <row r="13" spans="1:11" x14ac:dyDescent="0.25">
      <c r="A13" t="s">
        <v>1603</v>
      </c>
      <c r="B13" t="s">
        <v>1592</v>
      </c>
      <c r="C13">
        <v>2017</v>
      </c>
      <c r="D13">
        <v>8</v>
      </c>
      <c r="E13">
        <v>191</v>
      </c>
      <c r="F13">
        <v>68</v>
      </c>
      <c r="G13">
        <v>113720</v>
      </c>
      <c r="H13">
        <v>5.2522734280466299</v>
      </c>
      <c r="I13">
        <v>4.219507705176107</v>
      </c>
      <c r="J13">
        <v>11.641494565764937</v>
      </c>
      <c r="K13" t="b">
        <f>Data_Completeness(ProductionLotsData[[#This Row],[Fiscal_Year]:[log Unit Cost]])</f>
        <v>1</v>
      </c>
    </row>
    <row r="14" spans="1:11" x14ac:dyDescent="0.25">
      <c r="A14" t="s">
        <v>1604</v>
      </c>
      <c r="B14" t="s">
        <v>1592</v>
      </c>
      <c r="C14">
        <v>2018</v>
      </c>
      <c r="D14">
        <v>21</v>
      </c>
      <c r="E14">
        <v>212</v>
      </c>
      <c r="F14">
        <v>71.7</v>
      </c>
      <c r="G14">
        <v>104656</v>
      </c>
      <c r="H14">
        <v>5.3565862746720123</v>
      </c>
      <c r="I14">
        <v>4.2724907476055751</v>
      </c>
      <c r="J14">
        <v>11.558434060200995</v>
      </c>
      <c r="K14" t="b">
        <f>Data_Completeness(ProductionLotsData[[#This Row],[Fiscal_Year]:[log Unit Cost]])</f>
        <v>1</v>
      </c>
    </row>
    <row r="15" spans="1:11" x14ac:dyDescent="0.25">
      <c r="A15" t="s">
        <v>1605</v>
      </c>
      <c r="B15" t="s">
        <v>1592</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x14ac:dyDescent="0.25">
      <c r="A16" t="s">
        <v>1606</v>
      </c>
      <c r="B16" t="s">
        <v>1592</v>
      </c>
      <c r="C16">
        <v>2020</v>
      </c>
      <c r="D16">
        <v>11</v>
      </c>
      <c r="E16">
        <v>234</v>
      </c>
      <c r="F16">
        <v>74.2</v>
      </c>
      <c r="G16">
        <v>103753</v>
      </c>
      <c r="H16">
        <v>5.4553211153577017</v>
      </c>
      <c r="I16">
        <v>4.3067641501733345</v>
      </c>
      <c r="J16">
        <v>11.549768353337546</v>
      </c>
      <c r="K16" t="b">
        <f>Data_Completeness(ProductionLotsData[[#This Row],[Fiscal_Year]:[log Unit Cost]])</f>
        <v>1</v>
      </c>
    </row>
    <row r="17" spans="1:11" x14ac:dyDescent="0.25">
      <c r="A17" t="s">
        <v>1607</v>
      </c>
      <c r="B17" t="s">
        <v>1592</v>
      </c>
      <c r="C17">
        <v>2021</v>
      </c>
      <c r="D17">
        <v>11</v>
      </c>
      <c r="E17">
        <v>245</v>
      </c>
      <c r="F17">
        <v>73.3</v>
      </c>
      <c r="G17">
        <v>105240</v>
      </c>
      <c r="H17">
        <v>5.5012582105447274</v>
      </c>
      <c r="I17">
        <v>4.2945606088926054</v>
      </c>
      <c r="J17">
        <v>11.563998735154229</v>
      </c>
      <c r="K17" t="b">
        <f>Data_Completeness(ProductionLotsData[[#This Row],[Fiscal_Year]:[log Unit Cost]])</f>
        <v>1</v>
      </c>
    </row>
    <row r="18" spans="1:11" x14ac:dyDescent="0.25">
      <c r="A18" t="s">
        <v>1608</v>
      </c>
      <c r="B18" t="s">
        <v>1592</v>
      </c>
      <c r="C18">
        <v>2022</v>
      </c>
      <c r="D18">
        <v>9</v>
      </c>
      <c r="E18">
        <v>254</v>
      </c>
      <c r="F18">
        <v>71.5</v>
      </c>
      <c r="G18">
        <v>105643</v>
      </c>
      <c r="H18">
        <v>5.5373342670185366</v>
      </c>
      <c r="I18">
        <v>4.2696974496999616</v>
      </c>
      <c r="J18">
        <v>11.567820764341809</v>
      </c>
      <c r="K18" t="b">
        <f>Data_Completeness(ProductionLotsData[[#This Row],[Fiscal_Year]:[log Unit Cost]])</f>
        <v>1</v>
      </c>
    </row>
    <row r="19" spans="1:11" x14ac:dyDescent="0.25">
      <c r="A19" t="s">
        <v>1609</v>
      </c>
      <c r="B19" t="s">
        <v>1592</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x14ac:dyDescent="0.25">
      <c r="A20" t="s">
        <v>1610</v>
      </c>
      <c r="B20" t="s">
        <v>1611</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x14ac:dyDescent="0.25">
      <c r="A21" t="s">
        <v>1612</v>
      </c>
      <c r="B21" t="s">
        <v>1611</v>
      </c>
      <c r="C21">
        <v>2002</v>
      </c>
      <c r="D21">
        <v>20</v>
      </c>
      <c r="E21">
        <v>37</v>
      </c>
      <c r="F21">
        <v>25.2</v>
      </c>
      <c r="G21">
        <v>165341</v>
      </c>
      <c r="H21">
        <v>3.6109179126442243</v>
      </c>
      <c r="I21">
        <v>3.2268439945173775</v>
      </c>
      <c r="J21">
        <v>12.015765286931597</v>
      </c>
      <c r="K21" t="b">
        <f>Data_Completeness(ProductionLotsData[[#This Row],[Fiscal_Year]:[log Unit Cost]])</f>
        <v>1</v>
      </c>
    </row>
    <row r="22" spans="1:11" x14ac:dyDescent="0.25">
      <c r="A22" t="s">
        <v>1613</v>
      </c>
      <c r="B22" t="s">
        <v>1611</v>
      </c>
      <c r="C22">
        <v>2003</v>
      </c>
      <c r="D22">
        <v>9</v>
      </c>
      <c r="E22">
        <v>46</v>
      </c>
      <c r="F22">
        <v>34.4</v>
      </c>
      <c r="G22">
        <v>165018</v>
      </c>
      <c r="H22">
        <v>3.8286413964890951</v>
      </c>
      <c r="I22">
        <v>3.5380565643793527</v>
      </c>
      <c r="J22">
        <v>12.013809837841828</v>
      </c>
      <c r="K22" t="b">
        <f>Data_Completeness(ProductionLotsData[[#This Row],[Fiscal_Year]:[log Unit Cost]])</f>
        <v>1</v>
      </c>
    </row>
    <row r="23" spans="1:11" x14ac:dyDescent="0.25">
      <c r="A23" t="s">
        <v>1614</v>
      </c>
      <c r="B23" t="s">
        <v>1611</v>
      </c>
      <c r="C23">
        <v>2004</v>
      </c>
      <c r="D23">
        <v>18</v>
      </c>
      <c r="E23">
        <v>64</v>
      </c>
      <c r="F23">
        <v>42.1</v>
      </c>
      <c r="G23">
        <v>151613</v>
      </c>
      <c r="H23">
        <v>4.1588830833596715</v>
      </c>
      <c r="I23">
        <v>3.7400477406883357</v>
      </c>
      <c r="J23">
        <v>11.92908650049281</v>
      </c>
      <c r="K23" t="b">
        <f>Data_Completeness(ProductionLotsData[[#This Row],[Fiscal_Year]:[log Unit Cost]])</f>
        <v>1</v>
      </c>
    </row>
    <row r="24" spans="1:11" x14ac:dyDescent="0.25">
      <c r="A24" t="s">
        <v>1615</v>
      </c>
      <c r="B24" t="s">
        <v>1611</v>
      </c>
      <c r="C24">
        <v>2005</v>
      </c>
      <c r="D24">
        <v>17</v>
      </c>
      <c r="E24">
        <v>81</v>
      </c>
      <c r="F24">
        <v>51.9</v>
      </c>
      <c r="G24">
        <v>135420</v>
      </c>
      <c r="H24">
        <v>4.3944491546724391</v>
      </c>
      <c r="I24">
        <v>3.949318790171843</v>
      </c>
      <c r="J24">
        <v>11.816136339039636</v>
      </c>
      <c r="K24" t="b">
        <f>Data_Completeness(ProductionLotsData[[#This Row],[Fiscal_Year]:[log Unit Cost]])</f>
        <v>1</v>
      </c>
    </row>
    <row r="25" spans="1:11" x14ac:dyDescent="0.25">
      <c r="A25" t="s">
        <v>1616</v>
      </c>
      <c r="B25" t="s">
        <v>1611</v>
      </c>
      <c r="C25">
        <v>2006</v>
      </c>
      <c r="D25">
        <v>22</v>
      </c>
      <c r="E25">
        <v>103</v>
      </c>
      <c r="F25">
        <v>62.3</v>
      </c>
      <c r="G25">
        <v>142299</v>
      </c>
      <c r="H25">
        <v>4.6347289882296359</v>
      </c>
      <c r="I25">
        <v>4.1319614257934072</v>
      </c>
      <c r="J25">
        <v>11.865685756646364</v>
      </c>
      <c r="K25" t="b">
        <f>Data_Completeness(ProductionLotsData[[#This Row],[Fiscal_Year]:[log Unit Cost]])</f>
        <v>1</v>
      </c>
    </row>
    <row r="26" spans="1:11" x14ac:dyDescent="0.25">
      <c r="A26" t="s">
        <v>1617</v>
      </c>
      <c r="B26" t="s">
        <v>1611</v>
      </c>
      <c r="C26">
        <v>2007</v>
      </c>
      <c r="D26">
        <v>19</v>
      </c>
      <c r="E26">
        <v>122</v>
      </c>
      <c r="F26">
        <v>71.8</v>
      </c>
      <c r="G26">
        <v>136703</v>
      </c>
      <c r="H26">
        <v>4.8040210447332568</v>
      </c>
      <c r="I26">
        <v>4.2738844760541781</v>
      </c>
      <c r="J26">
        <v>11.825565968338095</v>
      </c>
      <c r="K26" t="b">
        <f>Data_Completeness(ProductionLotsData[[#This Row],[Fiscal_Year]:[log Unit Cost]])</f>
        <v>1</v>
      </c>
    </row>
    <row r="27" spans="1:11" x14ac:dyDescent="0.25">
      <c r="A27" t="s">
        <v>1618</v>
      </c>
      <c r="B27" t="s">
        <v>1611</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x14ac:dyDescent="0.25">
      <c r="A28" t="s">
        <v>1619</v>
      </c>
      <c r="B28" t="s">
        <v>1611</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x14ac:dyDescent="0.25">
      <c r="A29" t="s">
        <v>1620</v>
      </c>
      <c r="B29" t="s">
        <v>1611</v>
      </c>
      <c r="C29">
        <v>2010</v>
      </c>
      <c r="D29">
        <v>19</v>
      </c>
      <c r="E29">
        <v>173</v>
      </c>
      <c r="F29">
        <v>85.3</v>
      </c>
      <c r="G29">
        <v>115946</v>
      </c>
      <c r="H29">
        <v>5.1532915944977793</v>
      </c>
      <c r="I29">
        <v>4.4461744544976334</v>
      </c>
      <c r="J29">
        <v>11.660879844460332</v>
      </c>
      <c r="K29" t="b">
        <f>Data_Completeness(ProductionLotsData[[#This Row],[Fiscal_Year]:[log Unit Cost]])</f>
        <v>1</v>
      </c>
    </row>
    <row r="30" spans="1:11" x14ac:dyDescent="0.25">
      <c r="A30" t="s">
        <v>1621</v>
      </c>
      <c r="B30" t="s">
        <v>1611</v>
      </c>
      <c r="C30">
        <v>2011</v>
      </c>
      <c r="D30">
        <v>11</v>
      </c>
      <c r="E30">
        <v>184</v>
      </c>
      <c r="F30">
        <v>86</v>
      </c>
      <c r="G30">
        <v>117838</v>
      </c>
      <c r="H30">
        <v>5.2149357576089859</v>
      </c>
      <c r="I30">
        <v>4.4543472962535073</v>
      </c>
      <c r="J30">
        <v>11.677066078826835</v>
      </c>
      <c r="K30" t="b">
        <f>Data_Completeness(ProductionLotsData[[#This Row],[Fiscal_Year]:[log Unit Cost]])</f>
        <v>1</v>
      </c>
    </row>
    <row r="31" spans="1:11" x14ac:dyDescent="0.25">
      <c r="A31" t="s">
        <v>1622</v>
      </c>
      <c r="B31" t="s">
        <v>1611</v>
      </c>
      <c r="C31">
        <v>2012</v>
      </c>
      <c r="D31">
        <v>22</v>
      </c>
      <c r="E31">
        <v>206</v>
      </c>
      <c r="F31">
        <v>88.8</v>
      </c>
      <c r="G31">
        <v>128077</v>
      </c>
      <c r="H31">
        <v>5.3278761687895813</v>
      </c>
      <c r="I31">
        <v>4.4863866499981242</v>
      </c>
      <c r="J31">
        <v>11.760386924535565</v>
      </c>
      <c r="K31" t="b">
        <f>Data_Completeness(ProductionLotsData[[#This Row],[Fiscal_Year]:[log Unit Cost]])</f>
        <v>1</v>
      </c>
    </row>
    <row r="32" spans="1:11" x14ac:dyDescent="0.25">
      <c r="A32" t="s">
        <v>1623</v>
      </c>
      <c r="B32" t="s">
        <v>1611</v>
      </c>
      <c r="C32">
        <v>2013</v>
      </c>
      <c r="D32">
        <v>12</v>
      </c>
      <c r="E32">
        <v>218</v>
      </c>
      <c r="F32">
        <v>90.8</v>
      </c>
      <c r="G32">
        <v>127702</v>
      </c>
      <c r="H32">
        <v>5.3844950627890888</v>
      </c>
      <c r="I32">
        <v>4.5086592856072478</v>
      </c>
      <c r="J32">
        <v>11.757454703605113</v>
      </c>
      <c r="K32" t="b">
        <f>Data_Completeness(ProductionLotsData[[#This Row],[Fiscal_Year]:[log Unit Cost]])</f>
        <v>1</v>
      </c>
    </row>
    <row r="33" spans="1:11" x14ac:dyDescent="0.25">
      <c r="A33" t="s">
        <v>1624</v>
      </c>
      <c r="B33" t="s">
        <v>1611</v>
      </c>
      <c r="C33">
        <v>2014</v>
      </c>
      <c r="D33">
        <v>16</v>
      </c>
      <c r="E33">
        <v>234</v>
      </c>
      <c r="F33">
        <v>90.3</v>
      </c>
      <c r="G33">
        <v>127280</v>
      </c>
      <c r="H33">
        <v>5.4553211153577017</v>
      </c>
      <c r="I33">
        <v>4.5031374604229395</v>
      </c>
      <c r="J33">
        <v>11.754144663011669</v>
      </c>
      <c r="K33" t="b">
        <f>Data_Completeness(ProductionLotsData[[#This Row],[Fiscal_Year]:[log Unit Cost]])</f>
        <v>1</v>
      </c>
    </row>
    <row r="34" spans="1:11" x14ac:dyDescent="0.25">
      <c r="A34" t="s">
        <v>1625</v>
      </c>
      <c r="B34" t="s">
        <v>1611</v>
      </c>
      <c r="C34">
        <v>2015</v>
      </c>
      <c r="D34">
        <v>19</v>
      </c>
      <c r="E34">
        <v>253</v>
      </c>
      <c r="F34">
        <v>93.1</v>
      </c>
      <c r="G34">
        <v>125676</v>
      </c>
      <c r="H34">
        <v>5.5333894887275203</v>
      </c>
      <c r="I34">
        <v>4.5336741842830213</v>
      </c>
      <c r="J34">
        <v>11.741462445561146</v>
      </c>
      <c r="K34" t="b">
        <f>Data_Completeness(ProductionLotsData[[#This Row],[Fiscal_Year]:[log Unit Cost]])</f>
        <v>1</v>
      </c>
    </row>
    <row r="35" spans="1:11" x14ac:dyDescent="0.25">
      <c r="A35" t="s">
        <v>1626</v>
      </c>
      <c r="B35" t="s">
        <v>1611</v>
      </c>
      <c r="C35">
        <v>2016</v>
      </c>
      <c r="D35">
        <v>14</v>
      </c>
      <c r="E35">
        <v>267</v>
      </c>
      <c r="F35">
        <v>94.2</v>
      </c>
      <c r="G35">
        <v>123160</v>
      </c>
      <c r="H35">
        <v>5.5872486584002496</v>
      </c>
      <c r="I35">
        <v>4.5454201815823172</v>
      </c>
      <c r="J35">
        <v>11.721239602038438</v>
      </c>
      <c r="K35" t="b">
        <f>Data_Completeness(ProductionLotsData[[#This Row],[Fiscal_Year]:[log Unit Cost]])</f>
        <v>1</v>
      </c>
    </row>
    <row r="36" spans="1:11" x14ac:dyDescent="0.25">
      <c r="A36" t="s">
        <v>1627</v>
      </c>
      <c r="B36" t="s">
        <v>1611</v>
      </c>
      <c r="C36">
        <v>2017</v>
      </c>
      <c r="D36">
        <v>10</v>
      </c>
      <c r="E36">
        <v>277</v>
      </c>
      <c r="F36">
        <v>91</v>
      </c>
      <c r="G36">
        <v>117143</v>
      </c>
      <c r="H36">
        <v>5.6240175061873385</v>
      </c>
      <c r="I36">
        <v>4.5108595065168497</v>
      </c>
      <c r="J36">
        <v>11.671150689696574</v>
      </c>
      <c r="K36" t="b">
        <f>Data_Completeness(ProductionLotsData[[#This Row],[Fiscal_Year]:[log Unit Cost]])</f>
        <v>1</v>
      </c>
    </row>
    <row r="37" spans="1:11" x14ac:dyDescent="0.25">
      <c r="A37" t="s">
        <v>1628</v>
      </c>
      <c r="B37" t="s">
        <v>1611</v>
      </c>
      <c r="C37">
        <v>2018</v>
      </c>
      <c r="D37">
        <v>21</v>
      </c>
      <c r="E37">
        <v>298</v>
      </c>
      <c r="F37">
        <v>92.1</v>
      </c>
      <c r="G37">
        <v>126852</v>
      </c>
      <c r="H37">
        <v>5.6970934865054046</v>
      </c>
      <c r="I37">
        <v>4.5228749432612609</v>
      </c>
      <c r="J37">
        <v>11.750776331556663</v>
      </c>
      <c r="K37" t="b">
        <f>Data_Completeness(ProductionLotsData[[#This Row],[Fiscal_Year]:[log Unit Cost]])</f>
        <v>1</v>
      </c>
    </row>
    <row r="38" spans="1:11" x14ac:dyDescent="0.25">
      <c r="A38" t="s">
        <v>1629</v>
      </c>
      <c r="B38" t="s">
        <v>1611</v>
      </c>
      <c r="C38">
        <v>2019</v>
      </c>
      <c r="D38">
        <v>20</v>
      </c>
      <c r="E38">
        <v>318</v>
      </c>
      <c r="F38">
        <v>97.2</v>
      </c>
      <c r="G38">
        <v>124251</v>
      </c>
      <c r="H38">
        <v>5.7620513827801769</v>
      </c>
      <c r="I38">
        <v>4.5767707114663931</v>
      </c>
      <c r="J38">
        <v>11.730058992216227</v>
      </c>
      <c r="K38" t="b">
        <f>Data_Completeness(ProductionLotsData[[#This Row],[Fiscal_Year]:[log Unit Cost]])</f>
        <v>1</v>
      </c>
    </row>
    <row r="39" spans="1:11" x14ac:dyDescent="0.25">
      <c r="A39" t="s">
        <v>1630</v>
      </c>
      <c r="B39" t="s">
        <v>1611</v>
      </c>
      <c r="C39">
        <v>2020</v>
      </c>
      <c r="D39">
        <v>13</v>
      </c>
      <c r="E39">
        <v>331</v>
      </c>
      <c r="F39">
        <v>97.6</v>
      </c>
      <c r="G39">
        <v>111098</v>
      </c>
      <c r="H39">
        <v>5.8021183753770629</v>
      </c>
      <c r="I39">
        <v>4.580877493419047</v>
      </c>
      <c r="J39">
        <v>11.618167973665507</v>
      </c>
      <c r="K39" t="b">
        <f>Data_Completeness(ProductionLotsData[[#This Row],[Fiscal_Year]:[log Unit Cost]])</f>
        <v>1</v>
      </c>
    </row>
    <row r="40" spans="1:11" x14ac:dyDescent="0.25">
      <c r="A40" t="s">
        <v>1631</v>
      </c>
      <c r="B40" t="s">
        <v>1632</v>
      </c>
      <c r="C40">
        <v>2005</v>
      </c>
      <c r="D40">
        <v>22</v>
      </c>
      <c r="E40">
        <v>22</v>
      </c>
      <c r="F40">
        <v>11.8</v>
      </c>
      <c r="G40">
        <v>155282</v>
      </c>
      <c r="H40">
        <v>3.0910424533583161</v>
      </c>
      <c r="I40">
        <v>2.4680995314716192</v>
      </c>
      <c r="J40">
        <v>11.95299809771873</v>
      </c>
      <c r="K40" t="b">
        <f>Data_Completeness(ProductionLotsData[[#This Row],[Fiscal_Year]:[log Unit Cost]])</f>
        <v>1</v>
      </c>
    </row>
    <row r="41" spans="1:11" x14ac:dyDescent="0.25">
      <c r="A41" t="s">
        <v>1633</v>
      </c>
      <c r="B41" t="s">
        <v>1632</v>
      </c>
      <c r="C41">
        <v>2006</v>
      </c>
      <c r="D41">
        <v>15</v>
      </c>
      <c r="E41">
        <v>37</v>
      </c>
      <c r="F41">
        <v>26.9</v>
      </c>
      <c r="G41">
        <v>119380</v>
      </c>
      <c r="H41">
        <v>3.6109179126442243</v>
      </c>
      <c r="I41">
        <v>3.2921262866077932</v>
      </c>
      <c r="J41">
        <v>11.690066961722641</v>
      </c>
      <c r="K41" t="b">
        <f>Data_Completeness(ProductionLotsData[[#This Row],[Fiscal_Year]:[log Unit Cost]])</f>
        <v>1</v>
      </c>
    </row>
    <row r="42" spans="1:11" x14ac:dyDescent="0.25">
      <c r="A42" t="s">
        <v>1634</v>
      </c>
      <c r="B42" t="s">
        <v>1632</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x14ac:dyDescent="0.25">
      <c r="A43" t="s">
        <v>1635</v>
      </c>
      <c r="B43" t="s">
        <v>1632</v>
      </c>
      <c r="C43">
        <v>2011</v>
      </c>
      <c r="D43">
        <v>22</v>
      </c>
      <c r="E43">
        <v>76</v>
      </c>
      <c r="F43">
        <v>35.1</v>
      </c>
      <c r="G43">
        <v>123261</v>
      </c>
      <c r="H43">
        <v>4.3307333402863311</v>
      </c>
      <c r="I43">
        <v>3.55820113047182</v>
      </c>
      <c r="J43">
        <v>11.722059337415338</v>
      </c>
      <c r="K43" t="b">
        <f>Data_Completeness(ProductionLotsData[[#This Row],[Fiscal_Year]:[log Unit Cost]])</f>
        <v>1</v>
      </c>
    </row>
    <row r="44" spans="1:11" x14ac:dyDescent="0.25">
      <c r="A44" t="s">
        <v>1636</v>
      </c>
      <c r="B44" t="s">
        <v>1632</v>
      </c>
      <c r="C44">
        <v>2012</v>
      </c>
      <c r="D44">
        <v>18</v>
      </c>
      <c r="E44">
        <v>94</v>
      </c>
      <c r="F44">
        <v>48.2</v>
      </c>
      <c r="G44">
        <v>117072</v>
      </c>
      <c r="H44">
        <v>4.5432947822700038</v>
      </c>
      <c r="I44">
        <v>3.8753590210565547</v>
      </c>
      <c r="J44">
        <v>11.670544409123812</v>
      </c>
      <c r="K44" t="b">
        <f>Data_Completeness(ProductionLotsData[[#This Row],[Fiscal_Year]:[log Unit Cost]])</f>
        <v>1</v>
      </c>
    </row>
    <row r="45" spans="1:11" x14ac:dyDescent="0.25">
      <c r="A45" t="s">
        <v>1637</v>
      </c>
      <c r="B45" t="s">
        <v>1632</v>
      </c>
      <c r="C45">
        <v>2013</v>
      </c>
      <c r="D45">
        <v>13</v>
      </c>
      <c r="E45">
        <v>107</v>
      </c>
      <c r="F45">
        <v>55.1</v>
      </c>
      <c r="G45">
        <v>97218</v>
      </c>
      <c r="H45">
        <v>4.6728288344619058</v>
      </c>
      <c r="I45">
        <v>4.0091497161588689</v>
      </c>
      <c r="J45">
        <v>11.484711158489056</v>
      </c>
      <c r="K45" t="b">
        <f>Data_Completeness(ProductionLotsData[[#This Row],[Fiscal_Year]:[log Unit Cost]])</f>
        <v>1</v>
      </c>
    </row>
    <row r="46" spans="1:11" x14ac:dyDescent="0.25">
      <c r="A46" t="s">
        <v>1638</v>
      </c>
      <c r="B46" t="s">
        <v>1632</v>
      </c>
      <c r="C46">
        <v>2014</v>
      </c>
      <c r="D46">
        <v>21</v>
      </c>
      <c r="E46">
        <v>128</v>
      </c>
      <c r="F46">
        <v>62.9</v>
      </c>
      <c r="G46">
        <v>96265</v>
      </c>
      <c r="H46">
        <v>4.8520302639196169</v>
      </c>
      <c r="I46">
        <v>4.1415461637063951</v>
      </c>
      <c r="J46">
        <v>11.474860084163437</v>
      </c>
      <c r="K46" t="b">
        <f>Data_Completeness(ProductionLotsData[[#This Row],[Fiscal_Year]:[log Unit Cost]])</f>
        <v>1</v>
      </c>
    </row>
    <row r="47" spans="1:11" x14ac:dyDescent="0.25">
      <c r="A47" t="s">
        <v>1639</v>
      </c>
      <c r="B47" t="s">
        <v>1632</v>
      </c>
      <c r="C47">
        <v>2019</v>
      </c>
      <c r="D47">
        <v>22</v>
      </c>
      <c r="E47">
        <v>150</v>
      </c>
      <c r="F47">
        <v>43.6</v>
      </c>
      <c r="G47">
        <v>110333</v>
      </c>
      <c r="H47">
        <v>5.0106352940962555</v>
      </c>
      <c r="I47">
        <v>3.7750571503549888</v>
      </c>
      <c r="J47">
        <v>11.61125834453849</v>
      </c>
      <c r="K47" t="b">
        <f>Data_Completeness(ProductionLotsData[[#This Row],[Fiscal_Year]:[log Unit Cost]])</f>
        <v>1</v>
      </c>
    </row>
    <row r="48" spans="1:11" x14ac:dyDescent="0.25">
      <c r="A48" t="s">
        <v>1640</v>
      </c>
      <c r="B48" t="s">
        <v>1632</v>
      </c>
      <c r="C48">
        <v>2020</v>
      </c>
      <c r="D48">
        <v>24</v>
      </c>
      <c r="E48">
        <v>174</v>
      </c>
      <c r="F48">
        <v>58.4</v>
      </c>
      <c r="G48">
        <v>105100</v>
      </c>
      <c r="H48">
        <v>5.1590552992145291</v>
      </c>
      <c r="I48">
        <v>4.0673158898341812</v>
      </c>
      <c r="J48">
        <v>11.562667556865042</v>
      </c>
      <c r="K48" t="b">
        <f>Data_Completeness(ProductionLotsData[[#This Row],[Fiscal_Year]:[log Unit Cost]])</f>
        <v>1</v>
      </c>
    </row>
    <row r="49" spans="1:11" x14ac:dyDescent="0.25">
      <c r="A49" t="s">
        <v>1641</v>
      </c>
      <c r="B49" t="s">
        <v>1632</v>
      </c>
      <c r="C49">
        <v>2021</v>
      </c>
      <c r="D49">
        <v>23</v>
      </c>
      <c r="E49">
        <v>197</v>
      </c>
      <c r="F49">
        <v>71.3</v>
      </c>
      <c r="G49">
        <v>95996</v>
      </c>
      <c r="H49">
        <v>5.2832037287379885</v>
      </c>
      <c r="I49">
        <v>4.26689632742025</v>
      </c>
      <c r="J49">
        <v>11.472061802915228</v>
      </c>
      <c r="K49" t="b">
        <f>Data_Completeness(ProductionLotsData[[#This Row],[Fiscal_Year]:[log Unit Cost]])</f>
        <v>1</v>
      </c>
    </row>
    <row r="50" spans="1:11" x14ac:dyDescent="0.25">
      <c r="A50" t="s">
        <v>1642</v>
      </c>
      <c r="B50" t="s">
        <v>1632</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x14ac:dyDescent="0.25">
      <c r="A51" t="s">
        <v>1643</v>
      </c>
      <c r="B51" t="s">
        <v>1632</v>
      </c>
      <c r="C51">
        <v>2023</v>
      </c>
      <c r="D51">
        <v>19</v>
      </c>
      <c r="E51">
        <v>226</v>
      </c>
      <c r="F51">
        <v>77.8</v>
      </c>
      <c r="G51">
        <v>101933</v>
      </c>
      <c r="H51">
        <v>5.4205349992722862</v>
      </c>
      <c r="I51">
        <v>4.3541414311843463</v>
      </c>
      <c r="J51">
        <v>11.532071013692459</v>
      </c>
      <c r="K51" t="b">
        <f>Data_Completeness(ProductionLotsData[[#This Row],[Fiscal_Year]:[log Unit Cost]])</f>
        <v>1</v>
      </c>
    </row>
    <row r="52" spans="1:11" x14ac:dyDescent="0.25">
      <c r="A52" t="s">
        <v>1644</v>
      </c>
      <c r="B52" t="s">
        <v>1632</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A9CCB-FB1B-4A18-8F08-B942EA597FA4}">
  <sheetPr>
    <tabColor rgb="FF808080"/>
  </sheetPr>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4" t="s">
        <v>1751</v>
      </c>
      <c r="B1" s="5"/>
      <c r="C1" s="5"/>
      <c r="D1" s="5"/>
    </row>
    <row r="2" spans="1:4" x14ac:dyDescent="0.25">
      <c r="A2" s="6" t="s">
        <v>1752</v>
      </c>
      <c r="B2" s="6" t="s">
        <v>1753</v>
      </c>
      <c r="C2" s="6" t="s">
        <v>1754</v>
      </c>
      <c r="D2" s="6" t="s">
        <v>1755</v>
      </c>
    </row>
    <row r="3" spans="1:4" ht="105" x14ac:dyDescent="0.25">
      <c r="A3" t="s">
        <v>1756</v>
      </c>
      <c r="B3" s="9">
        <v>46189</v>
      </c>
      <c r="C3" t="s">
        <v>1757</v>
      </c>
      <c r="D3" s="2" t="s">
        <v>1758</v>
      </c>
    </row>
    <row r="4" spans="1:4" ht="105" x14ac:dyDescent="0.25">
      <c r="A4" t="s">
        <v>1759</v>
      </c>
      <c r="B4" s="9">
        <v>46202</v>
      </c>
      <c r="C4" t="s">
        <v>1757</v>
      </c>
      <c r="D4" s="2" t="s">
        <v>1760</v>
      </c>
    </row>
    <row r="5" spans="1:4" ht="105" x14ac:dyDescent="0.25">
      <c r="A5" t="s">
        <v>1761</v>
      </c>
      <c r="B5" s="9">
        <v>46206</v>
      </c>
      <c r="C5" t="s">
        <v>1757</v>
      </c>
      <c r="D5" s="2" t="s">
        <v>1762</v>
      </c>
    </row>
    <row r="6" spans="1:4" ht="150" x14ac:dyDescent="0.25">
      <c r="A6" t="s">
        <v>1763</v>
      </c>
      <c r="B6" s="9">
        <v>46208</v>
      </c>
      <c r="C6" t="s">
        <v>1764</v>
      </c>
      <c r="D6" s="2" t="s">
        <v>1765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1E2A-9194-460A-9F95-9C427E9D6190}">
  <sheetPr>
    <tabColor rgb="FFDCE6F1"/>
  </sheetPr>
  <dimension ref="A1:A20"/>
  <sheetViews>
    <sheetView workbookViewId="0"/>
  </sheetViews>
  <sheetFormatPr defaultRowHeight="15" x14ac:dyDescent="0.25"/>
  <cols>
    <col min="1" max="1" width="110.7109375" customWidth="1"/>
  </cols>
  <sheetData>
    <row r="1" spans="1:1" x14ac:dyDescent="0.25">
      <c r="A1" s="4" t="s">
        <v>1645</v>
      </c>
    </row>
    <row r="2" spans="1:1" ht="30" x14ac:dyDescent="0.25">
      <c r="A2" s="2" t="s">
        <v>1646</v>
      </c>
    </row>
    <row r="3" spans="1:1" ht="30" x14ac:dyDescent="0.25">
      <c r="A3" s="2" t="s">
        <v>1647</v>
      </c>
    </row>
    <row r="5" spans="1:1" x14ac:dyDescent="0.25">
      <c r="A5" s="4" t="s">
        <v>1648</v>
      </c>
    </row>
    <row r="6" spans="1:1" ht="75" x14ac:dyDescent="0.25">
      <c r="A6" s="2" t="s">
        <v>1649</v>
      </c>
    </row>
    <row r="8" spans="1:1" x14ac:dyDescent="0.25">
      <c r="A8" s="4" t="s">
        <v>1650</v>
      </c>
    </row>
    <row r="9" spans="1:1" ht="180" x14ac:dyDescent="0.25">
      <c r="A9" s="2" t="s">
        <v>1651</v>
      </c>
    </row>
    <row r="10" spans="1:1" ht="90" x14ac:dyDescent="0.25">
      <c r="A10" s="2" t="s">
        <v>1652</v>
      </c>
    </row>
    <row r="11" spans="1:1" ht="150" x14ac:dyDescent="0.25">
      <c r="A11" s="2" t="s">
        <v>1653</v>
      </c>
    </row>
    <row r="13" spans="1:1" x14ac:dyDescent="0.25">
      <c r="A13" s="4" t="s">
        <v>1654</v>
      </c>
    </row>
    <row r="14" spans="1:1" ht="45" x14ac:dyDescent="0.25">
      <c r="A14" s="2" t="s">
        <v>1655</v>
      </c>
    </row>
    <row r="16" spans="1:1" x14ac:dyDescent="0.25">
      <c r="A16" s="4" t="s">
        <v>1656</v>
      </c>
    </row>
    <row r="17" spans="1:1" ht="60" x14ac:dyDescent="0.25">
      <c r="A17" s="2" t="s">
        <v>1657</v>
      </c>
    </row>
    <row r="19" spans="1:1" x14ac:dyDescent="0.25">
      <c r="A19" s="4" t="s">
        <v>1658</v>
      </c>
    </row>
    <row r="20" spans="1:1" ht="120" x14ac:dyDescent="0.25">
      <c r="A20" s="2" t="s">
        <v>1659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C963-EB9D-4FB7-A96B-BBA89C9114B8}">
  <sheetPr>
    <tabColor rgb="FFDCE6F1"/>
  </sheetPr>
  <dimension ref="A1:AW394"/>
  <sheetViews>
    <sheetView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9.140625" hidden="1" customWidth="1" outlineLevel="1"/>
    <col min="7" max="7" width="11.7109375" customWidth="1" outlineLevel="1"/>
    <col min="8" max="8" width="10.7109375" customWidth="1" outlineLevel="1"/>
    <col min="9" max="9" width="38.7109375" customWidth="1" outlineLevel="1"/>
    <col min="10" max="10" width="14.7109375" customWidth="1" outlineLevel="1"/>
    <col min="11" max="11" width="7.7109375" customWidth="1" outlineLevel="1"/>
    <col min="12" max="12" width="16.7109375" customWidth="1" outlineLevel="1"/>
    <col min="13" max="13" width="10.7109375" customWidth="1" outlineLevel="1"/>
    <col min="14" max="14" width="8.7109375" customWidth="1" outlineLevel="1"/>
    <col min="15" max="15" width="2.7109375" customWidth="1"/>
    <col min="16" max="16" width="24.7109375" customWidth="1" outlineLevel="1"/>
    <col min="17" max="22" width="9.7109375" customWidth="1" outlineLevel="1"/>
    <col min="23" max="23" width="2.7109375" customWidth="1"/>
    <col min="24" max="24" width="22.7109375" customWidth="1" outlineLevel="1"/>
    <col min="25" max="26" width="12.7109375" customWidth="1" outlineLevel="1"/>
    <col min="27" max="27" width="24.7109375" customWidth="1" outlineLevel="1"/>
    <col min="28" max="28" width="16.7109375" customWidth="1" outlineLevel="1"/>
    <col min="29" max="29" width="14.7109375" customWidth="1" outlineLevel="1"/>
    <col min="30" max="31" width="10.7109375" customWidth="1" outlineLevel="1"/>
    <col min="32" max="32" width="2.7109375" customWidth="1"/>
    <col min="33" max="33" width="24.7109375" customWidth="1" outlineLevel="1"/>
    <col min="34" max="34" width="16.7109375" customWidth="1" outlineLevel="1"/>
    <col min="35" max="35" width="14.7109375" style="12" customWidth="1" outlineLevel="1"/>
    <col min="36" max="36" width="2.7109375" customWidth="1"/>
    <col min="37" max="37" width="16.7109375" customWidth="1" outlineLevel="1"/>
    <col min="38" max="39" width="10.7109375" style="12" customWidth="1" outlineLevel="1"/>
    <col min="40" max="42" width="9.7109375" style="12" customWidth="1" outlineLevel="1"/>
    <col min="43" max="43" width="12.7109375" style="12" customWidth="1" outlineLevel="1"/>
    <col min="44" max="44" width="9.7109375" style="12" customWidth="1" outlineLevel="1"/>
    <col min="45" max="45" width="14.7109375" style="12" customWidth="1" outlineLevel="1"/>
    <col min="46" max="46" width="17.7109375" style="12" customWidth="1" outlineLevel="1"/>
    <col min="47" max="47" width="14.7109375" style="12" customWidth="1" outlineLevel="1"/>
    <col min="48" max="48" width="12.7109375" style="12" customWidth="1" outlineLevel="1"/>
    <col min="49" max="49" width="15.7109375" customWidth="1"/>
  </cols>
  <sheetData>
    <row r="1" spans="1:49" x14ac:dyDescent="0.25">
      <c r="A1" s="4" t="s">
        <v>1785</v>
      </c>
      <c r="B1" s="8" t="str" cm="1">
        <f t="array" ref="B1">IF(SUMPRODUCT(N(_xlfn.TAKE(Spec_Role,COLUMNS(Source_Data))="Fixed Effects"))&gt;1,"ERROR: multiple Fixed Effects rows (mark at most one variable)","")</f>
        <v/>
      </c>
      <c r="E1" s="8" t="str" cm="1">
        <f t="array" ref="E1">IF(SUMPRODUCT(N(_xlfn.TAKE(Spec_Sequence,COLUMNS(Source_Data))=TRUE))&gt;1,"ERROR: multiple Sequence flags (mark at most one variable)","")</f>
        <v/>
      </c>
      <c r="I1" s="8" t="s">
        <v>1791</v>
      </c>
      <c r="J1" s="8" t="s">
        <v>1786</v>
      </c>
      <c r="K1" s="8" t="s">
        <v>1787</v>
      </c>
      <c r="L1" s="8" t="s">
        <v>1788</v>
      </c>
      <c r="M1" s="8" t="s">
        <v>1789</v>
      </c>
      <c r="N1" s="8" t="s">
        <v>1790</v>
      </c>
      <c r="P1" s="4" t="s">
        <v>1793</v>
      </c>
      <c r="X1" s="4" t="s">
        <v>1796</v>
      </c>
      <c r="AG1" s="21" t="s">
        <v>1822</v>
      </c>
      <c r="AH1" s="24"/>
      <c r="AK1" s="4" t="s">
        <v>1840</v>
      </c>
    </row>
    <row r="2" spans="1:49" ht="60" x14ac:dyDescent="0.25">
      <c r="A2" s="8" t="s">
        <v>1792</v>
      </c>
      <c r="C2" s="10"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Sequence is not evenly spaced: spacings besides Δ exist — Difference_By / Lag_By return #N/A at gap rows.</v>
      </c>
      <c r="J2" t="str" cm="1">
        <f t="array" ref="J2">IF(SUMPRODUCT(N(_xlfn.TAKE(Spec_Role,COLUMNS(Source_Data))="Fixed Effects"))=0,"n/a",IFERROR(INDEX(_xlfn.TOROW(Header_Names),_xlfn.XMATCH("Fixed Effects",_xlfn.TAKE(Spec_Role,COLUMNS(Source_Data)))),"FE"))</f>
        <v>n/a</v>
      </c>
      <c r="K2" t="str" cm="1">
        <f t="array" ref="K2">IF(SUMPRODUCT(N(_xlfn.TAKE(Spec_Role,COLUMNS(Source_Data))="Fixed Effects"))=0,"n/a",Absorbed_Degrees_Of_Freedom()+1)</f>
        <v>n/a</v>
      </c>
      <c r="L2" t="str" cm="1">
        <f t="array" ref="L2">IF(SUMPRODUCT(N(_xlfn.TAKE(Spec_Role,COLUMNS(Source_Data))="Fixed Effects"))=0,"n/a",Absorbed_Degrees_Of_Freedom())</f>
        <v>n/a</v>
      </c>
      <c r="M2" cm="1">
        <f t="array" ref="M2:N10">IFERROR(Sequence_Delta_Spectrum(),"")</f>
        <v>1</v>
      </c>
      <c r="N2">
        <v>44</v>
      </c>
      <c r="P2" s="32"/>
      <c r="Q2" s="32" t="s">
        <v>1794</v>
      </c>
      <c r="R2" s="32" t="s">
        <v>1795</v>
      </c>
      <c r="S2" s="32" t="s">
        <v>347</v>
      </c>
      <c r="T2" s="32" t="s">
        <v>353</v>
      </c>
      <c r="U2" s="32" t="s">
        <v>185</v>
      </c>
      <c r="V2" s="32" t="s">
        <v>179</v>
      </c>
      <c r="W2" s="2"/>
      <c r="X2" s="2"/>
      <c r="Y2" s="2"/>
      <c r="Z2" s="2"/>
      <c r="AA2" s="2"/>
      <c r="AB2" s="33" t="s">
        <v>1797</v>
      </c>
      <c r="AC2" s="33" t="str" cm="1">
        <f t="array" ref="AC2">_xlfn.LET(_xlpm.n_c,COLUMNS(Source_Data),_xlpm.p,_xlfn.XMATCH("Response (y)",_xlfn.TAKE(Spec_Role,_xlpm.n_c)),_xlpm.h,INDEX(_xlfn.TOROW(Header_Names),_xlpm.p),IFERROR(IF(INDEX(_xlfn.TAKE(Spec_Transform,_xlpm.n_c),_xlpm.p)="Log","Ln("&amp;_xlpm.h&amp;")",_xlpm.h),"(none)"))</f>
        <v>MPG</v>
      </c>
      <c r="AD2" s="2"/>
      <c r="AE2" s="2"/>
      <c r="AF2" s="2"/>
      <c r="AG2" s="34" t="s">
        <v>1823</v>
      </c>
      <c r="AH2" s="35"/>
      <c r="AI2" s="36"/>
      <c r="AJ2" s="2"/>
      <c r="AK2" s="32" t="s">
        <v>1841</v>
      </c>
      <c r="AL2" s="37" t="str" cm="1">
        <f t="array" ref="AL2">IF(AND(SUMPRODUCT(N(_xlfn.TAKE(Spec_Role,COLUMNS(Source_Data))="Fixed Effects"))&gt;0,IFERROR(INDEX(_xlfn.TAKE(Spec_Transform,COLUMNS(Source_Data)),_xlfn.XMATCH("Response (y)",_xlfn.TAKE(Spec_Role,COLUMNS(Source_Data))))="Log",FALSE)),"Y"&amp;" (Deviation from "&amp;IFERROR(INDEX(_xlfn.TOROW(Header_Names),_xlfn.XMATCH("Fixed Effects",_xlfn.TAKE(Spec_Role,COLUMNS(Source_Data)))),"FE")&amp;" Avg., Log)",IF(SUMPRODUCT(N(_xlfn.TAKE(Spec_Role,COLUMNS(Source_Data))="Fixed Effects"))&gt;0,"Y"&amp;" (Deviation from "&amp;IFERROR(INDEX(_xlfn.TOROW(Header_Names),_xlfn.XMATCH("Fixed Effects",_xlfn.TAKE(Spec_Role,COLUMNS(Source_Data)))),"FE")&amp;" Avg.)",IF(IFERROR(INDEX(_xlfn.TAKE(Spec_Transform,COLUMNS(Source_Data)),_xlfn.XMATCH("Response (y)",_xlfn.TAKE(Spec_Role,COLUMNS(Source_Data))))="Log",FALSE),"Y (Log)","Y")))</f>
        <v>Y</v>
      </c>
      <c r="AM2" s="37" t="str" cm="1">
        <f t="array" ref="AM2">IF(AND(SUMPRODUCT(N(_xlfn.TAKE(Spec_Role,COLUMNS(Source_Data))="Fixed Effects"))&gt;0,IFERROR(INDEX(_xlfn.TAKE(Spec_Transform,COLUMNS(Source_Data)),_xlfn.XMATCH("Response (y)",_xlfn.TAKE(Spec_Role,COLUMNS(Source_Data))))="Log",FALSE)),"Predicted Y"&amp;" (Within "&amp;IFERROR(INDEX(_xlfn.TOROW(Header_Names),_xlfn.XMATCH("Fixed Effects",_xlfn.TAKE(Spec_Role,COLUMNS(Source_Data)))),"FE")&amp;", Log)",IF(SUMPRODUCT(N(_xlfn.TAKE(Spec_Role,COLUMNS(Source_Data))="Fixed Effects"))&gt;0,"Predicted Y"&amp;" (Within "&amp;IFERROR(INDEX(_xlfn.TOROW(Header_Names),_xlfn.XMATCH("Fixed Effects",_xlfn.TAKE(Spec_Role,COLUMNS(Source_Data)))),"FE")&amp;")",IF(IFERROR(INDEX(_xlfn.TAKE(Spec_Transform,COLUMNS(Source_Data)),_xlfn.XMATCH("Response (y)",_xlfn.TAKE(Spec_Role,COLUMNS(Source_Data))))="Log",FALSE),"Predicted Y (Log)","Predicted Y")))</f>
        <v>Predicted Y</v>
      </c>
      <c r="AN2" s="37" t="str" cm="1">
        <f t="array" ref="AN2">IF(AND(SUMPRODUCT(N(_xlfn.TAKE(Spec_Role,COLUMNS(Source_Data))="Fixed Effects"))&gt;0,IFERROR(INDEX(_xlfn.TAKE(Spec_Transform,COLUMNS(Source_Data)),_xlfn.XMATCH("Response (y)",_xlfn.TAKE(Spec_Role,COLUMNS(Source_Data))))="Log",FALSE)),"Residuals"&amp;" (Within "&amp;IFERROR(INDEX(_xlfn.TOROW(Header_Names),_xlfn.XMATCH("Fixed Effects",_xlfn.TAKE(Spec_Role,COLUMNS(Source_Data)))),"FE")&amp;", Log)",IF(SUMPRODUCT(N(_xlfn.TAKE(Spec_Role,COLUMNS(Source_Data))="Fixed Effects"))&gt;0,"Residuals"&amp;" (Within "&amp;IFERROR(INDEX(_xlfn.TOROW(Header_Names),_xlfn.XMATCH("Fixed Effects",_xlfn.TAKE(Spec_Role,COLUMNS(Source_Data)))),"FE")&amp;")",IF(IFERROR(INDEX(_xlfn.TAKE(Spec_Transform,COLUMNS(Source_Data)),_xlfn.XMATCH("Response (y)",_xlfn.TAKE(Spec_Role,COLUMNS(Source_Data))))="Log",FALSE),"Residuals (Log)","Residuals")))</f>
        <v>Residuals</v>
      </c>
      <c r="AO2" s="37" t="str" cm="1">
        <f t="array" ref="AO2">IF(SUMPRODUCT(N(_xlfn.TAKE(Spec_Role,COLUMNS(Source_Data))="Fixed Effects"))&gt;0,"Hat Diagonal"&amp;" (Within "&amp;IFERROR(INDEX(_xlfn.TOROW(Header_Names),_xlfn.XMATCH("Fixed Effects",_xlfn.TAKE(Spec_Role,COLUMNS(Source_Data)))),"FE")&amp;")","Hat Diagonal")</f>
        <v>Hat Diagonal</v>
      </c>
      <c r="AP2" s="37" t="str" cm="1">
        <f t="array" ref="AP2">IF(SUMPRODUCT(N(_xlfn.TAKE(Spec_Role,COLUMNS(Source_Data))="Fixed Effects"))&gt;0,"Studentized Residuals"&amp;" (Within "&amp;IFERROR(INDEX(_xlfn.TOROW(Header_Names),_xlfn.XMATCH("Fixed Effects",_xlfn.TAKE(Spec_Role,COLUMNS(Source_Data)))),"FE")&amp;")","Studentized Residuals")</f>
        <v>Studentized Residuals</v>
      </c>
      <c r="AQ2" s="37" t="str" cm="1">
        <f t="array" ref="AQ2">IF(SUMPRODUCT(N(_xlfn.TAKE(Spec_Role,COLUMNS(Source_Data))="Fixed Effects"))&gt;0,"Cook's Distance"&amp;" (Within "&amp;IFERROR(INDEX(_xlfn.TOROW(Header_Names),_xlfn.XMATCH("Fixed Effects",_xlfn.TAKE(Spec_Role,COLUMNS(Source_Data)))),"FE")&amp;")","Cook's Distance")</f>
        <v>Cook's Distance</v>
      </c>
      <c r="AR2" s="37" t="str" cm="1">
        <f t="array" ref="AR2">IF(SUMPRODUCT(N(_xlfn.TAKE(Spec_Role,COLUMNS(Source_Data))="Fixed Effects"))&gt;0,"Normal Scores Ranked"&amp;" (Within "&amp;IFERROR(INDEX(_xlfn.TOROW(Header_Names),_xlfn.XMATCH("Fixed Effects",_xlfn.TAKE(Spec_Role,COLUMNS(Source_Data)))),"FE")&amp;")","Normal Scores Ranked")</f>
        <v>Normal Scores Ranked</v>
      </c>
      <c r="AS2" s="37" t="str" cm="1">
        <f t="array" ref="AS2">IF(SUMPRODUCT(N(_xlfn.TAKE(Spec_Role,COLUMNS(Source_Data))="Fixed Effects"))&gt;0,"Studentized Residuals Ranked"&amp;" (Within "&amp;IFERROR(INDEX(_xlfn.TOROW(Header_Names),_xlfn.XMATCH("Fixed Effects",_xlfn.TAKE(Spec_Role,COLUMNS(Source_Data)))),"FE")&amp;")","Studentized Residuals Ranked")</f>
        <v>Studentized Residuals Ranked</v>
      </c>
      <c r="AT2" s="37" t="str" cm="1">
        <f t="array" ref="AT2">IF(SUMPRODUCT(N(_xlfn.TAKE(Spec_Role,COLUMNS(Source_Data))="Fixed Effects"))&gt;0,"Scale-Location"&amp;" (Within "&amp;IFERROR(INDEX(_xlfn.TOROW(Header_Names),_xlfn.XMATCH("Fixed Effects",_xlfn.TAKE(Spec_Role,COLUMNS(Source_Data)))),"FE")&amp;")","Scale-Location")</f>
        <v>Scale-Location</v>
      </c>
      <c r="AU2" s="37" t="str" cm="1">
        <f t="array" ref="AU2">IF(AND(SUMPRODUCT(N(_xlfn.TAKE(Spec_Role,COLUMNS(Source_Data))="Fixed Effects"))&gt;0,IFERROR(INDEX(_xlfn.TAKE(Spec_Transform,COLUMNS(Source_Data)),_xlfn.XMATCH("Response (y)",_xlfn.TAKE(Spec_Role,COLUMNS(Source_Data))))="Log",FALSE)),"PRESS Residual"&amp;" (Within "&amp;IFERROR(INDEX(_xlfn.TOROW(Header_Names),_xlfn.XMATCH("Fixed Effects",_xlfn.TAKE(Spec_Role,COLUMNS(Source_Data)))),"FE")&amp;", Log)",IF(SUMPRODUCT(N(_xlfn.TAKE(Spec_Role,COLUMNS(Source_Data))="Fixed Effects"))&gt;0,"PRESS Residual"&amp;" (Within "&amp;IFERROR(INDEX(_xlfn.TOROW(Header_Names),_xlfn.XMATCH("Fixed Effects",_xlfn.TAKE(Spec_Role,COLUMNS(Source_Data)))),"FE")&amp;")",IF(IFERROR(INDEX(_xlfn.TAKE(Spec_Transform,COLUMNS(Source_Data)),_xlfn.XMATCH("Response (y)",_xlfn.TAKE(Spec_Role,COLUMNS(Source_Data))))="Log",FALSE),"PRESS Residual (Log)","PRESS Residual")))</f>
        <v>PRESS Residual</v>
      </c>
      <c r="AV2" s="37" t="str" cm="1">
        <f t="array" ref="AV2">IF(SUMPRODUCT(N(_xlfn.TAKE(Spec_Role,COLUMNS(Source_Data))="Fixed Effects"))&gt;0,"Cook's Distance (Flagged)"&amp;" (Within "&amp;IFERROR(INDEX(_xlfn.TOROW(Header_Names),_xlfn.XMATCH("Fixed Effects",_xlfn.TAKE(Spec_Role,COLUMNS(Source_Data)))),"FE")&amp;")","Cook's Distance (Flagged)")</f>
        <v>Cook's Distance (Flagged)</v>
      </c>
      <c r="AW2" s="2"/>
    </row>
    <row r="3" spans="1:49" x14ac:dyDescent="0.25">
      <c r="A3" s="6" t="s">
        <v>1766</v>
      </c>
      <c r="B3" s="6" t="s">
        <v>1767</v>
      </c>
      <c r="C3" s="6" t="s">
        <v>1768</v>
      </c>
      <c r="D3" s="6" t="s">
        <v>1769</v>
      </c>
      <c r="E3" s="6" t="s">
        <v>1770</v>
      </c>
      <c r="F3" s="6" t="s">
        <v>1771</v>
      </c>
      <c r="G3" s="6" t="s">
        <v>1772</v>
      </c>
      <c r="H3" s="6" t="s">
        <v>1773</v>
      </c>
      <c r="I3" s="6" t="s">
        <v>1774</v>
      </c>
      <c r="J3" s="6" t="s">
        <v>1775</v>
      </c>
      <c r="K3" s="6" t="s">
        <v>1776</v>
      </c>
      <c r="L3" s="6" t="s">
        <v>1777</v>
      </c>
      <c r="M3">
        <v>2</v>
      </c>
      <c r="N3">
        <v>22</v>
      </c>
      <c r="P3" t="str" cm="1">
        <f t="array" ref="P3:P18">TRANSPOSE(Constructed_Column_Names())</f>
        <v>Horsepower</v>
      </c>
      <c r="Q3" s="11" cm="1">
        <f t="array" ref="Q3:Q18">Pearson_R(X_s(),Response_Column(),Sample_Include())</f>
        <v>-0.7784267838977752</v>
      </c>
      <c r="R3" s="11" cm="1">
        <f t="array" ref="R3:R18">Spearman_R(X_s(),Response_Column(),Sample_Include())</f>
        <v>-0.85361640244538828</v>
      </c>
      <c r="S3" s="11" cm="1">
        <f t="array" ref="S3:S18">Skewness(X_s(),Sample_Include())</f>
        <v>1.0873262824048666</v>
      </c>
      <c r="T3" s="11" cm="1">
        <f t="array" ref="T3:T18">Kurtosis(X_s(),Sample_Include())</f>
        <v>0.69694699974278684</v>
      </c>
      <c r="U3" s="11" cm="1">
        <f t="array" ref="U3:U18">GVIF(X_s(),Constructed_Column_Names(),Allow_Intercept,Sample_Include())</f>
        <v>5.5543959920421502</v>
      </c>
      <c r="V3" s="11" cm="1">
        <f t="array" ref="V3:V18">Generalized_Tolerance(X_s(),Constructed_Column_Names(),Allow_Intercept,Sample_Include())</f>
        <v>0.18003757770110593</v>
      </c>
      <c r="X3" s="21" t="s">
        <v>1798</v>
      </c>
      <c r="Y3" s="24"/>
      <c r="AA3" s="21" t="s">
        <v>1803</v>
      </c>
      <c r="AB3" s="24"/>
      <c r="AG3" s="13" t="s">
        <v>1824</v>
      </c>
      <c r="AH3" s="16" cm="1">
        <f t="array" ref="AH3:AH11">IF(Zero_Predictors_Selected(),IF(AND(Allow_Intercept,Intercept_Only_N()&gt;=2),_xlfn.LET(_xlpm.point,Intercept_Only_Point(),_xlpm.se_mean,Intercept_Only_S()/SQRT(Intercept_Only_N()),_xlpm.se_new,Intercept_Only_S()*SQRT(1+1/Intercept_Only_N()),_xlpm.t_crit,_xlfn.T.INV.2T(alpha,Intercept_Only_DF()),_xlfn.VSTACK(_xlpm.point,_xlpm.se_mean,_xlpm.se_new,_xlpm.t_crit,_xlpm.point-_xlpm.t_crit*_xlpm.se_mean,_xlpm.point+_xlpm.t_crit*_xlpm.se_mean,_xlpm.point-_xlpm.t_crit*_xlpm.se_new,_xlpm.point+_xlpm.t_crit*_xlpm.se_new,1-alpha)),NA()),_xlfn.LET(_xlpm.raw,_xlfn.TAKE($AH$19:$AH$62,COLUMNS(X_s())),_xlpm.trn,TRANSPOSE(Constructed_Column_Transforms()),_xlpm.pred_input,IF(_xlpm.trn="Log",Ln_Positive(_xlpm.raw),_xlpm.raw),Group_Prediction_Interval(X_s(),Response_Column(),_xlpm.pred_input,Prediction_Group_Column(),$AH$12,Allow_Intercept,Sample_Include(),alpha,Absorbed_Degrees_Of_Freedom())))</f>
        <v>23.445918367346941</v>
      </c>
      <c r="AK3" t="str" cm="1">
        <f t="array" ref="AK3:AK394">IFERROR(_xlfn._xlws.FILTER(Row_Labels(),Sample_Include()),NA())</f>
        <v>chevrolet chevelle malibu</v>
      </c>
      <c r="AL3" s="12" cm="1">
        <f t="array" ref="AL3:AL394">Dependent_Variable(y_s(),Sample_Include())</f>
        <v>18</v>
      </c>
      <c r="AM3" s="12" cm="1">
        <f t="array" ref="AM3:AM394">Predictions(X_s_Within(),y_s(),Allow_Intercept,Sample_Include())</f>
        <v>16.838573626431661</v>
      </c>
      <c r="AN3" s="12" cm="1">
        <f t="array" ref="AN3:AN394">Residuals(X_s_Within(),y_s(),Allow_Intercept,Sample_Include())</f>
        <v>1.1614263735683394</v>
      </c>
      <c r="AO3" s="12" cm="1">
        <f t="array" ref="AO3:AO394">Hat_Diagonal(X_s_Within(),Allow_Intercept,Sample_Include())</f>
        <v>4.0149898039742615E-2</v>
      </c>
      <c r="AP3" s="12" cm="1">
        <f t="array" ref="AP3:AP394">Studentized_Residuals(X_s_Within(),y_s(),Allow_Intercept,Sample_Include(),Absorbed_Degrees_Of_Freedom())</f>
        <v>0.38649046111355201</v>
      </c>
      <c r="AQ3" s="12" cm="1">
        <f t="array" ref="AQ3:AQ394">Cooks_Distance(X_s_Within(),y_s(),Allow_Intercept,Sample_Include(),Absorbed_Degrees_Of_Freedom())</f>
        <v>3.6754428083898453E-4</v>
      </c>
      <c r="AR3" s="12" cm="1">
        <f t="array" ref="AR3:AR394">_xlfn._xlws.SORT(Normal_Scores(y_s(),Sample_Include()))</f>
        <v>-3.0172230343004571</v>
      </c>
      <c r="AS3" s="12" cm="1">
        <f t="array" ref="AS3:AS394">Studentized_Residuals_Ranked(X_s_Within(),y_s(),Allow_Intercept,Sample_Include(),Absorbed_Degrees_Of_Freedom())</f>
        <v>-3.451682617569364</v>
      </c>
      <c r="AT3" s="12" cm="1">
        <f t="array" ref="AT3:AT394">SQRT(ABS(Studentized_Residuals(X_s_Within(),y_s(),Allow_Intercept,Sample_Include(),Absorbed_Degrees_Of_Freedom())))</f>
        <v>0.6216835699240828</v>
      </c>
      <c r="AU3" s="12" cm="1">
        <f t="array" ref="AU3:AU394">LOOCV_Residual(X_s_Within(),y_s(),Allow_Intercept,Sample_Include())</f>
        <v>1.2100080743820438</v>
      </c>
      <c r="AV3" s="12" t="e" cm="1">
        <f t="array" ref="AV3:AV394">IF(_xlfn.ANCHORARRAY(AQ3)&gt;MIN(4/$Y$8,0.9),_xlfn.ANCHORARRAY(AQ3),NA())</f>
        <v>#N/A</v>
      </c>
    </row>
    <row r="4" spans="1:49" x14ac:dyDescent="0.25">
      <c r="A4" t="str" cm="1">
        <f t="array" ref="A4:A15">TRANSPOSE(Header_Names)</f>
        <v>MPG</v>
      </c>
      <c r="B4" s="10" t="s">
        <v>1778</v>
      </c>
      <c r="C4" s="10" t="b">
        <v>0</v>
      </c>
      <c r="D4" s="10" t="s">
        <v>1779</v>
      </c>
      <c r="E4" s="10"/>
      <c r="F4" s="10"/>
      <c r="G4" s="10" t="s">
        <v>1780</v>
      </c>
      <c r="H4" s="10"/>
      <c r="I4" s="10"/>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4">
        <v>3</v>
      </c>
      <c r="N4">
        <v>13</v>
      </c>
      <c r="P4" t="str">
        <v>Weight</v>
      </c>
      <c r="Q4" s="11">
        <v>-0.83224421483157562</v>
      </c>
      <c r="R4" s="11">
        <v>-0.87558511987398702</v>
      </c>
      <c r="S4" s="11">
        <v>0.51958567405583889</v>
      </c>
      <c r="T4" s="11">
        <v>-0.80925938832796707</v>
      </c>
      <c r="U4" s="11">
        <v>5.7185914136149254</v>
      </c>
      <c r="V4" s="11">
        <v>0.174868237240937</v>
      </c>
      <c r="X4" s="13" t="s">
        <v>1799</v>
      </c>
      <c r="Y4" s="16" cm="1">
        <f t="array" ref="Y4">Multiple_R(X_s_Within(),y_s(),Allow_Intercept,Sample_Include())</f>
        <v>0.9229740928315785</v>
      </c>
      <c r="AA4" s="13" t="s">
        <v>79</v>
      </c>
      <c r="AB4" s="16" cm="1">
        <f t="array" ref="AB4">PRESS(X_s_Within(),y_s(),Allow_Intercept,Sample_Include())</f>
        <v>3865.0233891256084</v>
      </c>
      <c r="AG4" s="13" t="s">
        <v>1825</v>
      </c>
      <c r="AH4" s="16">
        <v>0.15492024062955478</v>
      </c>
      <c r="AK4" t="str">
        <v>buick skylark 320</v>
      </c>
      <c r="AL4" s="12">
        <v>15</v>
      </c>
      <c r="AM4" s="12">
        <v>15.313332990800655</v>
      </c>
      <c r="AN4" s="12">
        <v>-0.3133329908006548</v>
      </c>
      <c r="AO4" s="12">
        <v>3.5578253857220431E-2</v>
      </c>
      <c r="AP4" s="12">
        <v>-0.10402109723738608</v>
      </c>
      <c r="AQ4" s="12">
        <v>2.34807289196539E-5</v>
      </c>
      <c r="AR4" s="12">
        <v>-2.6670046532742777</v>
      </c>
      <c r="AS4" s="12">
        <v>-2.7327997376671536</v>
      </c>
      <c r="AT4" s="12">
        <v>0.32252301815124151</v>
      </c>
      <c r="AU4" s="12">
        <v>-0.32489208383555762</v>
      </c>
      <c r="AV4" s="12" t="e">
        <v>#N/A</v>
      </c>
    </row>
    <row r="5" spans="1:49" x14ac:dyDescent="0.25">
      <c r="A5" t="str">
        <v>Cylinders</v>
      </c>
      <c r="B5" s="10" t="s">
        <v>1781</v>
      </c>
      <c r="C5" s="10" t="b">
        <v>0</v>
      </c>
      <c r="D5" s="10" t="s">
        <v>1779</v>
      </c>
      <c r="E5" s="10"/>
      <c r="F5" s="10"/>
      <c r="G5" s="10" t="s">
        <v>1780</v>
      </c>
      <c r="H5" s="10"/>
      <c r="I5" s="10"/>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5">
        <v>4</v>
      </c>
      <c r="N5">
        <v>5</v>
      </c>
      <c r="P5" t="str">
        <v>Model Year: 71</v>
      </c>
      <c r="Q5" s="11">
        <v>-8.1464390968000566E-2</v>
      </c>
      <c r="R5" s="11">
        <v>-7.885166012852686E-2</v>
      </c>
      <c r="S5" s="11">
        <v>3.4178672534749635</v>
      </c>
      <c r="T5" s="11">
        <v>9.7314413233527937</v>
      </c>
      <c r="U5" s="11">
        <v>1.7564955677455198</v>
      </c>
      <c r="V5" s="11">
        <v>0.5693154132370003</v>
      </c>
      <c r="X5" s="13" t="s">
        <v>1800</v>
      </c>
      <c r="Y5" s="16" cm="1">
        <f t="array" ref="Y5">R_Squared(X_s_Within(),y_s(),Allow_Intercept,Sample_Include())</f>
        <v>0.85188117603827529</v>
      </c>
      <c r="AA5" s="13" t="s">
        <v>1703</v>
      </c>
      <c r="AB5" s="16" cm="1">
        <f t="array" ref="AB5">1-PRESS(X_s_Within(),y_s(),Allow_Intercept,Sample_Include())/SS_Total(y_s(),Allow_Intercept,Sample_Include())</f>
        <v>0.83773355519438941</v>
      </c>
      <c r="AG5" s="13" t="s">
        <v>1826</v>
      </c>
      <c r="AH5" s="16">
        <v>3.0711741103347805</v>
      </c>
      <c r="AK5" t="str">
        <v>plymouth satellite</v>
      </c>
      <c r="AL5" s="12">
        <v>18</v>
      </c>
      <c r="AM5" s="12">
        <v>16.858150041188779</v>
      </c>
      <c r="AN5" s="12">
        <v>1.1418499588112212</v>
      </c>
      <c r="AO5" s="12">
        <v>3.544727708510207E-2</v>
      </c>
      <c r="AP5" s="12">
        <v>0.3790485664453247</v>
      </c>
      <c r="AQ5" s="12">
        <v>3.1059732014921516E-4</v>
      </c>
      <c r="AR5" s="12">
        <v>-2.6670046532742777</v>
      </c>
      <c r="AS5" s="12">
        <v>-2.6063331092365796</v>
      </c>
      <c r="AT5" s="12">
        <v>0.61566920212507359</v>
      </c>
      <c r="AU5" s="12">
        <v>1.1838129027934601</v>
      </c>
      <c r="AV5" s="12" t="e">
        <v>#N/A</v>
      </c>
    </row>
    <row r="6" spans="1:49" x14ac:dyDescent="0.25">
      <c r="A6" t="str">
        <v>Displacement</v>
      </c>
      <c r="B6" s="10" t="s">
        <v>1781</v>
      </c>
      <c r="C6" s="10" t="b">
        <v>0</v>
      </c>
      <c r="D6" s="10" t="s">
        <v>1779</v>
      </c>
      <c r="E6" s="10"/>
      <c r="F6" s="10"/>
      <c r="G6" s="10" t="s">
        <v>1780</v>
      </c>
      <c r="H6" s="10"/>
      <c r="I6" s="10"/>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6">
        <v>5</v>
      </c>
      <c r="N6">
        <v>3</v>
      </c>
      <c r="P6" t="str">
        <v>Model Year: 72</v>
      </c>
      <c r="Q6" s="11">
        <v>-0.16835292832299814</v>
      </c>
      <c r="R6" s="11">
        <v>-0.17118576357006526</v>
      </c>
      <c r="S6" s="11">
        <v>3.3409992263811197</v>
      </c>
      <c r="T6" s="11">
        <v>9.2092362452656538</v>
      </c>
      <c r="U6" s="11">
        <v>1.7564955677455198</v>
      </c>
      <c r="V6" s="11">
        <v>0.5693154132370003</v>
      </c>
      <c r="X6" s="13" t="s">
        <v>1801</v>
      </c>
      <c r="Y6" s="16" cm="1">
        <f t="array" ref="Y6">Adjusted_R_Squared(X_s_Within(),y_s(),Allow_Intercept,Sample_Include(),Absorbed_Degrees_Of_Freedom())</f>
        <v>0.84556143954924168</v>
      </c>
      <c r="AA6" s="13" t="s">
        <v>1804</v>
      </c>
      <c r="AB6" s="16" cm="1">
        <f t="array" ref="AB6">(Regression_Degrees_Of_Freedom(X_s_Within())+IF(Allow_Intercept,1,0))/Observations(y_s(),Sample_Include())</f>
        <v>4.336734693877551E-2</v>
      </c>
      <c r="AG6" s="13" t="s">
        <v>1827</v>
      </c>
      <c r="AH6" s="16">
        <v>1.9663101608024118</v>
      </c>
      <c r="AK6" t="str">
        <v>amc rebel sst</v>
      </c>
      <c r="AL6" s="12">
        <v>16</v>
      </c>
      <c r="AM6" s="12">
        <v>16.873339970034131</v>
      </c>
      <c r="AN6" s="12">
        <v>-0.87333997003413089</v>
      </c>
      <c r="AO6" s="12">
        <v>3.5454383105468036E-2</v>
      </c>
      <c r="AP6" s="12">
        <v>-0.28991504577291533</v>
      </c>
      <c r="AQ6" s="12">
        <v>1.8173549121273713E-4</v>
      </c>
      <c r="AR6" s="12">
        <v>-2.368567059267872</v>
      </c>
      <c r="AS6" s="12">
        <v>-2.5586120959927139</v>
      </c>
      <c r="AT6" s="12">
        <v>0.53843759691622139</v>
      </c>
      <c r="AU6" s="12">
        <v>-0.90544185234696473</v>
      </c>
      <c r="AV6" s="12" t="e">
        <v>#N/A</v>
      </c>
    </row>
    <row r="7" spans="1:49" x14ac:dyDescent="0.25">
      <c r="A7" t="str">
        <v>Horsepower</v>
      </c>
      <c r="B7" s="10" t="s">
        <v>1781</v>
      </c>
      <c r="C7" s="10" t="b">
        <v>1</v>
      </c>
      <c r="D7" s="10" t="s">
        <v>1779</v>
      </c>
      <c r="E7" s="10"/>
      <c r="F7" s="10"/>
      <c r="G7" s="10" t="s">
        <v>1780</v>
      </c>
      <c r="H7" s="10"/>
      <c r="I7" s="10"/>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7">
        <v>6</v>
      </c>
      <c r="N7">
        <v>2</v>
      </c>
      <c r="P7" t="str">
        <v>Model Year: 73</v>
      </c>
      <c r="Q7" s="11">
        <v>-0.27443182636273983</v>
      </c>
      <c r="R7" s="11">
        <v>-0.28890633665588533</v>
      </c>
      <c r="S7" s="11">
        <v>2.6394903089248882</v>
      </c>
      <c r="T7" s="11">
        <v>4.9923545220842778</v>
      </c>
      <c r="U7" s="11">
        <v>1.7564955677455198</v>
      </c>
      <c r="V7" s="11">
        <v>0.5693154132370003</v>
      </c>
      <c r="X7" s="13" t="s">
        <v>1802</v>
      </c>
      <c r="Y7" s="16" cm="1">
        <f t="array" ref="Y7">SE_Regression(X_s_Within(),y_s(),Allow_Intercept,Sample_Include(),Absorbed_Degrees_Of_Freedom())</f>
        <v>3.0672642753818766</v>
      </c>
      <c r="AA7" s="13" t="s">
        <v>84</v>
      </c>
      <c r="AB7" s="16" cm="1">
        <f t="array" ref="AB7">AIC(X_s_Within(),y_s(),Allow_Intercept,Sample_Include(),Absorbed_Degrees_Of_Freedom())</f>
        <v>895.31662324868398</v>
      </c>
      <c r="AG7" s="13" t="s">
        <v>1828</v>
      </c>
      <c r="AH7" s="16">
        <v>23.141297124083092</v>
      </c>
      <c r="AK7" t="str">
        <v>ford torino</v>
      </c>
      <c r="AL7" s="12">
        <v>17</v>
      </c>
      <c r="AM7" s="12">
        <v>16.954691335727667</v>
      </c>
      <c r="AN7" s="12">
        <v>4.5308664272333488E-2</v>
      </c>
      <c r="AO7" s="12">
        <v>3.6442373899522838E-2</v>
      </c>
      <c r="AP7" s="12">
        <v>1.5048430823993899E-2</v>
      </c>
      <c r="AQ7" s="12">
        <v>5.0380500510358217E-7</v>
      </c>
      <c r="AR7" s="12">
        <v>-2.368567059267872</v>
      </c>
      <c r="AS7" s="12">
        <v>-2.2382603266400913</v>
      </c>
      <c r="AT7" s="12">
        <v>0.12267204581319209</v>
      </c>
      <c r="AU7" s="12">
        <v>4.7022267319597577E-2</v>
      </c>
      <c r="AV7" s="12" t="e">
        <v>#N/A</v>
      </c>
    </row>
    <row r="8" spans="1:49" x14ac:dyDescent="0.25">
      <c r="A8" t="str">
        <v>Weight</v>
      </c>
      <c r="B8" s="10" t="s">
        <v>1781</v>
      </c>
      <c r="C8" s="10" t="b">
        <v>1</v>
      </c>
      <c r="D8" s="10" t="s">
        <v>1779</v>
      </c>
      <c r="E8" s="10"/>
      <c r="F8" s="10"/>
      <c r="G8" s="10" t="s">
        <v>1780</v>
      </c>
      <c r="H8" s="10"/>
      <c r="I8" s="10"/>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8">
        <v>7</v>
      </c>
      <c r="N8">
        <v>1</v>
      </c>
      <c r="P8" t="str">
        <v>Model Year: 74</v>
      </c>
      <c r="Q8" s="11">
        <v>-2.3137459907604747E-2</v>
      </c>
      <c r="R8" s="11">
        <v>-1.3094569363613499E-2</v>
      </c>
      <c r="S8" s="11">
        <v>3.4987950670435035</v>
      </c>
      <c r="T8" s="11">
        <v>10.294062234453385</v>
      </c>
      <c r="U8" s="11">
        <v>1.7564955677455198</v>
      </c>
      <c r="V8" s="11">
        <v>0.5693154132370003</v>
      </c>
      <c r="X8" s="14" t="s">
        <v>7</v>
      </c>
      <c r="Y8" s="17" cm="1">
        <f t="array" ref="Y8">Observations(y_s(),Sample_Include())</f>
        <v>392</v>
      </c>
      <c r="AA8" s="13" t="s">
        <v>90</v>
      </c>
      <c r="AB8" s="16" cm="1">
        <f t="array" ref="AB8">BIC(X_s_Within(),y_s(),Allow_Intercept,Sample_Include(),Absorbed_Degrees_Of_Freedom())</f>
        <v>962.82807452512179</v>
      </c>
      <c r="AG8" s="13" t="s">
        <v>1829</v>
      </c>
      <c r="AH8" s="16">
        <v>23.75053961061079</v>
      </c>
      <c r="AK8" t="str">
        <v>ford galaxie 500</v>
      </c>
      <c r="AL8" s="12">
        <v>15</v>
      </c>
      <c r="AM8" s="12">
        <v>11.49650610573814</v>
      </c>
      <c r="AN8" s="12">
        <v>3.5034938942618599</v>
      </c>
      <c r="AO8" s="12">
        <v>4.042419204907835E-2</v>
      </c>
      <c r="AP8" s="12">
        <v>1.1660321456416034</v>
      </c>
      <c r="AQ8" s="12">
        <v>3.3692573430558702E-3</v>
      </c>
      <c r="AR8" s="12">
        <v>-2.368567059267872</v>
      </c>
      <c r="AS8" s="12">
        <v>-2.2366030601609661</v>
      </c>
      <c r="AT8" s="12">
        <v>1.0798296836268224</v>
      </c>
      <c r="AU8" s="12">
        <v>3.6510860999541257</v>
      </c>
      <c r="AV8" s="12" t="e">
        <v>#N/A</v>
      </c>
    </row>
    <row r="9" spans="1:49" x14ac:dyDescent="0.25">
      <c r="A9" t="str">
        <v>Acceleration</v>
      </c>
      <c r="B9" s="10" t="s">
        <v>1781</v>
      </c>
      <c r="C9" s="10" t="b">
        <v>0</v>
      </c>
      <c r="D9" s="10" t="s">
        <v>1779</v>
      </c>
      <c r="E9" s="10"/>
      <c r="F9" s="10"/>
      <c r="G9" s="10" t="s">
        <v>1780</v>
      </c>
      <c r="H9" s="10"/>
      <c r="I9" s="10"/>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9">
        <v>8</v>
      </c>
      <c r="N9">
        <v>1</v>
      </c>
      <c r="P9" t="str">
        <v>Model Year: 75</v>
      </c>
      <c r="Q9" s="11">
        <v>-0.11741202684773239</v>
      </c>
      <c r="R9" s="11">
        <v>-0.11154790812345597</v>
      </c>
      <c r="S9" s="11">
        <v>3.1980848073673354</v>
      </c>
      <c r="T9" s="11">
        <v>8.2699143284054628</v>
      </c>
      <c r="U9" s="11">
        <v>1.7564955677455198</v>
      </c>
      <c r="V9" s="11">
        <v>0.5693154132370003</v>
      </c>
      <c r="AA9" s="13" t="s">
        <v>95</v>
      </c>
      <c r="AB9" s="16" cm="1">
        <f t="array" ref="AB9">AICc(X_s_Within(),y_s(),Allow_Intercept,Sample_Include(),Absorbed_Degrees_Of_Freedom())</f>
        <v>896.95298688504761</v>
      </c>
      <c r="AG9" s="13" t="s">
        <v>1830</v>
      </c>
      <c r="AH9" s="16">
        <v>17.407037508602354</v>
      </c>
      <c r="AK9" t="str">
        <v>chevrolet impala</v>
      </c>
      <c r="AL9" s="12">
        <v>14</v>
      </c>
      <c r="AM9" s="12">
        <v>11.073481577763721</v>
      </c>
      <c r="AN9" s="12">
        <v>2.9265184222362794</v>
      </c>
      <c r="AO9" s="12">
        <v>5.0603384396069082E-2</v>
      </c>
      <c r="AP9" s="12">
        <v>0.9792108710792421</v>
      </c>
      <c r="AQ9" s="12">
        <v>3.0063214519006724E-3</v>
      </c>
      <c r="AR9" s="12">
        <v>-2.368567059267872</v>
      </c>
      <c r="AS9" s="12">
        <v>-2.1379379429147773</v>
      </c>
      <c r="AT9" s="12">
        <v>0.98955084309965702</v>
      </c>
      <c r="AU9" s="12">
        <v>3.0825035334412481</v>
      </c>
      <c r="AV9" s="12" t="e">
        <v>#N/A</v>
      </c>
    </row>
    <row r="10" spans="1:49" x14ac:dyDescent="0.25">
      <c r="A10" t="str">
        <v>Model Year</v>
      </c>
      <c r="B10" s="10" t="s">
        <v>1781</v>
      </c>
      <c r="C10" s="10" t="b">
        <v>1</v>
      </c>
      <c r="D10" s="10" t="s">
        <v>1782</v>
      </c>
      <c r="E10" s="10"/>
      <c r="F10" s="10"/>
      <c r="G10" s="10" t="s">
        <v>1780</v>
      </c>
      <c r="H10" s="10" t="b">
        <v>1</v>
      </c>
      <c r="I10" s="10"/>
      <c r="J10">
        <f>IF(SpecTable[[#This Row],[Sequence]]&lt;&gt;TRUE,"",IF(N(SpecTable[[#This Row],[Sequence Period]])&lt;&gt;0,SpecTable[[#This Row],[Sequence Period]],IFERROR(Base_Period_Delta_Candidate(),"")))</f>
        <v>1</v>
      </c>
      <c r="K10">
        <f>IF(OR(SpecTable[[#This Row],[Role]]&lt;&gt;"Predictor (x)",SpecTable[[#This Row],[Type]]&lt;&gt;"Categorical"),"",_xlfn.LET(_xlpm.col,INDEX(Source_Data,0,ROW()-3),_xlpm.x,IF(_xlpm.col="","",_xlpm.col),IFERROR(ROWS(_xlfn.UNIQUE(_xlfn._xlws.FILTER(_xlpm.x,(_xlpm.x&lt;&gt;"")*Sample_Include()))),0)))</f>
        <v>13</v>
      </c>
      <c r="L10">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70</v>
      </c>
      <c r="M10">
        <v>9</v>
      </c>
      <c r="N10">
        <v>1</v>
      </c>
      <c r="P10" t="str">
        <v>Model Year: 76</v>
      </c>
      <c r="Q10" s="11">
        <v>-7.4024476846945034E-2</v>
      </c>
      <c r="R10" s="11">
        <v>-6.3539355536400999E-2</v>
      </c>
      <c r="S10" s="11">
        <v>2.9480228374220565</v>
      </c>
      <c r="T10" s="11">
        <v>6.7251248614949075</v>
      </c>
      <c r="U10" s="11">
        <v>1.7564955677455198</v>
      </c>
      <c r="V10" s="11">
        <v>0.5693154132370003</v>
      </c>
      <c r="AA10" s="13" t="s">
        <v>1707</v>
      </c>
      <c r="AB10" s="16" cm="1">
        <f t="array" ref="AB10">QQ_Correlation(X_s_Within(),y_s(),Allow_Intercept,Sample_Include(),Absorbed_Degrees_Of_Freedom())</f>
        <v>0.9911373443499184</v>
      </c>
      <c r="AG10" s="13" t="s">
        <v>1831</v>
      </c>
      <c r="AH10" s="16">
        <v>29.484799226091528</v>
      </c>
      <c r="AK10" t="str">
        <v>plymouth fury iii</v>
      </c>
      <c r="AL10" s="12">
        <v>14</v>
      </c>
      <c r="AM10" s="12">
        <v>11.367322741366332</v>
      </c>
      <c r="AN10" s="12">
        <v>2.6326772586336684</v>
      </c>
      <c r="AO10" s="12">
        <v>4.8040491817131645E-2</v>
      </c>
      <c r="AP10" s="12">
        <v>0.87970525767098529</v>
      </c>
      <c r="AQ10" s="12">
        <v>2.297282597575574E-3</v>
      </c>
      <c r="AR10" s="12">
        <v>-2.0720014483779297</v>
      </c>
      <c r="AS10" s="12">
        <v>-2.0636596826638138</v>
      </c>
      <c r="AT10" s="12">
        <v>0.93792604061886742</v>
      </c>
      <c r="AU10" s="12">
        <v>2.7655349161426095</v>
      </c>
      <c r="AV10" s="12" t="e">
        <v>#N/A</v>
      </c>
    </row>
    <row r="11" spans="1:49" x14ac:dyDescent="0.25">
      <c r="A11" t="str">
        <v>Origin</v>
      </c>
      <c r="B11" s="10" t="s">
        <v>1781</v>
      </c>
      <c r="C11" s="10" t="b">
        <v>1</v>
      </c>
      <c r="D11" s="10" t="s">
        <v>1782</v>
      </c>
      <c r="E11" s="10"/>
      <c r="F11" s="10"/>
      <c r="G11" s="10" t="s">
        <v>1780</v>
      </c>
      <c r="H11" s="10"/>
      <c r="I11" s="10"/>
      <c r="J11" t="str">
        <f>IF(SpecTable[[#This Row],[Sequence]]&lt;&gt;TRUE,"",IF(N(SpecTable[[#This Row],[Sequence Period]])&lt;&gt;0,SpecTable[[#This Row],[Sequence Period]],IFERROR(Base_Period_Delta_Candidate(),"")))</f>
        <v/>
      </c>
      <c r="K11">
        <f>IF(OR(SpecTable[[#This Row],[Role]]&lt;&gt;"Predictor (x)",SpecTable[[#This Row],[Type]]&lt;&gt;"Categorical"),"",_xlfn.LET(_xlpm.col,INDEX(Source_Data,0,ROW()-3),_xlpm.x,IF(_xlpm.col="","",_xlpm.col),IFERROR(ROWS(_xlfn.UNIQUE(_xlfn._xlws.FILTER(_xlpm.x,(_xlpm.x&lt;&gt;"")*Sample_Include()))),0)))</f>
        <v>3</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Asia</v>
      </c>
      <c r="P11" t="str">
        <v>Model Year: 77</v>
      </c>
      <c r="Q11" s="11">
        <v>-2.5232970710476672E-3</v>
      </c>
      <c r="R11" s="11">
        <v>7.0926070839771281E-3</v>
      </c>
      <c r="S11" s="11">
        <v>3.3409992263810411</v>
      </c>
      <c r="T11" s="11">
        <v>9.2092362452655827</v>
      </c>
      <c r="U11" s="11">
        <v>1.7564955677455198</v>
      </c>
      <c r="V11" s="11">
        <v>0.5693154132370003</v>
      </c>
      <c r="AA11" s="13" t="s">
        <v>1805</v>
      </c>
      <c r="AB11" s="18" cm="1">
        <f t="array" ref="AB1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1.5013230616756137</v>
      </c>
      <c r="AG11" s="13" t="s">
        <v>1832</v>
      </c>
      <c r="AH11" s="16">
        <v>0.95</v>
      </c>
      <c r="AK11" t="str">
        <v>pontiac catalina</v>
      </c>
      <c r="AL11" s="12">
        <v>14</v>
      </c>
      <c r="AM11" s="12">
        <v>10.632804435322724</v>
      </c>
      <c r="AN11" s="12">
        <v>3.3671955646772762</v>
      </c>
      <c r="AO11" s="12">
        <v>5.2897375567846273E-2</v>
      </c>
      <c r="AP11" s="12">
        <v>1.1280247387124049</v>
      </c>
      <c r="AQ11" s="12">
        <v>4.1804729026989323E-3</v>
      </c>
      <c r="AR11" s="12">
        <v>-2.0720014483779297</v>
      </c>
      <c r="AS11" s="12">
        <v>-2.0302994659393101</v>
      </c>
      <c r="AT11" s="12">
        <v>1.0620850901469265</v>
      </c>
      <c r="AU11" s="12">
        <v>3.5552594595502436</v>
      </c>
      <c r="AV11" s="12" t="e">
        <v>#N/A</v>
      </c>
    </row>
    <row r="12" spans="1:49" x14ac:dyDescent="0.25">
      <c r="A12" t="str">
        <v>Car Name</v>
      </c>
      <c r="B12" s="10" t="s">
        <v>1783</v>
      </c>
      <c r="C12" s="10" t="b">
        <v>0</v>
      </c>
      <c r="D12" s="10" t="s">
        <v>1779</v>
      </c>
      <c r="E12" s="10"/>
      <c r="F12" s="10"/>
      <c r="G12" s="10" t="s">
        <v>1780</v>
      </c>
      <c r="H12" s="10"/>
      <c r="I12" s="10"/>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2" t="str">
        <v>Model Year: 78</v>
      </c>
      <c r="Q12" s="11">
        <v>2.509682524150721E-2</v>
      </c>
      <c r="R12" s="11">
        <v>3.6232001135431187E-2</v>
      </c>
      <c r="S12" s="11">
        <v>2.837530472349679</v>
      </c>
      <c r="T12" s="11">
        <v>6.0825870963648994</v>
      </c>
      <c r="U12" s="11">
        <v>1.7564955677455198</v>
      </c>
      <c r="V12" s="11">
        <v>0.5693154132370003</v>
      </c>
      <c r="X12" s="8" t="s">
        <v>1807</v>
      </c>
      <c r="Y12" s="10">
        <v>0.05</v>
      </c>
      <c r="AA12" s="13" t="s">
        <v>1806</v>
      </c>
      <c r="AB12" s="18"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variables",BFN_Panel_Durbin_Watson(X_s_Within(),y_s(),Serial_Correlation_Group(),Sequence_Column(),Base_Period_Delta(),Allow_Intercept,Sample_Include()))))))</f>
        <v>n/a — no fixed effects</v>
      </c>
      <c r="AG12" s="13" t="s">
        <v>1833</v>
      </c>
      <c r="AH12" s="29" t="str">
        <f>INDEX(_xlfn._xlws.SORT(_xlfn.UNIQUE(_xlfn._xlws.FILTER(Prediction_Group_Column(),Sample_Include()))),1,1)</f>
        <v>(all)</v>
      </c>
      <c r="AK12" t="str">
        <v>amc ambassador dpl</v>
      </c>
      <c r="AL12" s="12">
        <v>15</v>
      </c>
      <c r="AM12" s="12">
        <v>14.112482582388791</v>
      </c>
      <c r="AN12" s="12">
        <v>0.88751741761120861</v>
      </c>
      <c r="AO12" s="12">
        <v>4.132014629964112E-2</v>
      </c>
      <c r="AP12" s="12">
        <v>0.29552136767781301</v>
      </c>
      <c r="AQ12" s="12">
        <v>2.214201314542533E-4</v>
      </c>
      <c r="AR12" s="12">
        <v>-2.0720014483779297</v>
      </c>
      <c r="AS12" s="12">
        <v>-2.0195065214468055</v>
      </c>
      <c r="AT12" s="12">
        <v>0.54361877053484187</v>
      </c>
      <c r="AU12" s="12">
        <v>0.92577038537476919</v>
      </c>
      <c r="AV12" s="12" t="e">
        <v>#N/A</v>
      </c>
    </row>
    <row r="13" spans="1:49" x14ac:dyDescent="0.25">
      <c r="A13" t="str">
        <v>Make</v>
      </c>
      <c r="B13" s="10" t="s">
        <v>1784</v>
      </c>
      <c r="C13" s="10" t="b">
        <v>0</v>
      </c>
      <c r="D13" s="10" t="s">
        <v>1779</v>
      </c>
      <c r="E13" s="10"/>
      <c r="F13" s="10"/>
      <c r="G13" s="10" t="s">
        <v>1780</v>
      </c>
      <c r="H13" s="10"/>
      <c r="I13" s="10"/>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3" t="str">
        <v>Model Year: 79</v>
      </c>
      <c r="Q13" s="11">
        <v>5.9726823421571588E-2</v>
      </c>
      <c r="R13" s="11">
        <v>7.2588561195066958E-2</v>
      </c>
      <c r="S13" s="11">
        <v>3.2678413248622649</v>
      </c>
      <c r="T13" s="11">
        <v>8.7232678762571751</v>
      </c>
      <c r="U13" s="11">
        <v>1.7564955677455198</v>
      </c>
      <c r="V13" s="11">
        <v>0.5693154132370003</v>
      </c>
      <c r="X13" s="40" t="s">
        <v>1808</v>
      </c>
      <c r="Y13" s="41"/>
      <c r="Z13" s="41"/>
      <c r="AA13" s="41"/>
      <c r="AB13" s="41"/>
      <c r="AC13" s="42"/>
      <c r="AG13" s="13" t="s">
        <v>1834</v>
      </c>
      <c r="AH13" s="16" cm="1">
        <f t="array" ref="AH13">Group_Mean_At(Response_Column(),Prediction_Group_Column(),$AH$12,Sample_Include())</f>
        <v>23.445918367346941</v>
      </c>
      <c r="AK13" t="str">
        <v>dodge challenger se</v>
      </c>
      <c r="AL13" s="12">
        <v>15</v>
      </c>
      <c r="AM13" s="12">
        <v>15.890381080998123</v>
      </c>
      <c r="AN13" s="12">
        <v>-0.89038108099812341</v>
      </c>
      <c r="AO13" s="12">
        <v>3.7522532485470127E-2</v>
      </c>
      <c r="AP13" s="12">
        <v>-0.29588942339118907</v>
      </c>
      <c r="AQ13" s="12">
        <v>2.0077587758420966E-4</v>
      </c>
      <c r="AR13" s="12">
        <v>-2.0720014483779297</v>
      </c>
      <c r="AS13" s="12">
        <v>-2.0157358299478263</v>
      </c>
      <c r="AT13" s="12">
        <v>0.54395718893235434</v>
      </c>
      <c r="AU13" s="12">
        <v>-0.92509290975654135</v>
      </c>
      <c r="AV13" s="12" t="e">
        <v>#N/A</v>
      </c>
    </row>
    <row r="14" spans="1:49" x14ac:dyDescent="0.25">
      <c r="A14" t="str">
        <v>Model?</v>
      </c>
      <c r="B14" s="10" t="s">
        <v>1784</v>
      </c>
      <c r="C14" s="10" t="b">
        <v>0</v>
      </c>
      <c r="D14" s="10" t="s">
        <v>1779</v>
      </c>
      <c r="E14" s="10"/>
      <c r="F14" s="10"/>
      <c r="G14" s="10" t="s">
        <v>1780</v>
      </c>
      <c r="H14" s="10"/>
      <c r="I14" s="10"/>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4" t="str">
        <v>Model Year: 80</v>
      </c>
      <c r="Q14" s="11">
        <v>0.36139628740230562</v>
      </c>
      <c r="R14" s="11">
        <v>0.31558473573743556</v>
      </c>
      <c r="S14" s="11">
        <v>3.4178672534749865</v>
      </c>
      <c r="T14" s="11">
        <v>9.7314413233530814</v>
      </c>
      <c r="U14" s="11">
        <v>1.7564955677455198</v>
      </c>
      <c r="V14" s="11">
        <v>0.5693154132370003</v>
      </c>
      <c r="X14" s="20"/>
      <c r="Y14" s="8" t="s">
        <v>1809</v>
      </c>
      <c r="Z14" s="8" t="s">
        <v>1810</v>
      </c>
      <c r="AA14" s="8" t="s">
        <v>1811</v>
      </c>
      <c r="AB14" s="8" t="s">
        <v>1812</v>
      </c>
      <c r="AC14" s="25" t="s">
        <v>1711</v>
      </c>
      <c r="AG14" s="14" t="s">
        <v>1835</v>
      </c>
      <c r="AH14" s="17" cm="1">
        <f t="array" ref="AH14">Group_Count_At(Prediction_Group_Column(),$AH$12,Sample_Include())</f>
        <v>392</v>
      </c>
      <c r="AK14" t="str">
        <v>plymouth 'cuda 340</v>
      </c>
      <c r="AL14" s="12">
        <v>14</v>
      </c>
      <c r="AM14" s="12">
        <v>15.819833158238167</v>
      </c>
      <c r="AN14" s="12">
        <v>-1.8198331582381666</v>
      </c>
      <c r="AO14" s="12">
        <v>3.5380032445534768E-2</v>
      </c>
      <c r="AP14" s="12">
        <v>-0.60409084446563865</v>
      </c>
      <c r="AQ14" s="12">
        <v>7.8733138753294416E-4</v>
      </c>
      <c r="AR14" s="12">
        <v>-2.0720014483779297</v>
      </c>
      <c r="AS14" s="12">
        <v>-1.9076726580567738</v>
      </c>
      <c r="AT14" s="12">
        <v>0.77723281226775198</v>
      </c>
      <c r="AU14" s="12">
        <v>-1.8865804352483648</v>
      </c>
      <c r="AV14" s="12" t="e">
        <v>#N/A</v>
      </c>
    </row>
    <row r="15" spans="1:49" x14ac:dyDescent="0.25">
      <c r="A15" t="str">
        <v>Full_Data</v>
      </c>
      <c r="B15" s="10" t="s">
        <v>1784</v>
      </c>
      <c r="C15" s="10" t="b">
        <v>0</v>
      </c>
      <c r="D15" s="10" t="s">
        <v>1779</v>
      </c>
      <c r="E15" s="10"/>
      <c r="F15" s="10"/>
      <c r="G15" s="10" t="s">
        <v>1780</v>
      </c>
      <c r="H15" s="10"/>
      <c r="I15" s="10"/>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5" t="str">
        <v>Model Year: 81</v>
      </c>
      <c r="Q15" s="11">
        <v>0.23980398783122645</v>
      </c>
      <c r="R15" s="11">
        <v>0.24784721421231187</v>
      </c>
      <c r="S15" s="11">
        <v>3.3409992263809842</v>
      </c>
      <c r="T15" s="11">
        <v>9.2092362452655472</v>
      </c>
      <c r="U15" s="11">
        <v>1.7564955677455198</v>
      </c>
      <c r="V15" s="11">
        <v>0.5693154132370003</v>
      </c>
      <c r="X15" s="13" t="s">
        <v>631</v>
      </c>
      <c r="Y15" s="38" cm="1">
        <f t="array" ref="Y15">Regression_Degrees_Of_Freedom(X_s_Within())</f>
        <v>16</v>
      </c>
      <c r="Z15" s="39" cm="1">
        <f t="array" ref="Z15">SS_Regression(X_s_Within(),y_s(),Allow_Intercept,Sample_Include())</f>
        <v>20290.952168750038</v>
      </c>
      <c r="AA15" s="39" cm="1">
        <f t="array" ref="AA15">MS_Regression(X_s_Within(),y_s(),Allow_Intercept,Sample_Include())</f>
        <v>1268.1845105468774</v>
      </c>
      <c r="AB15" s="39" cm="1">
        <f t="array" ref="AB15">F_Statistic(X_s_Within(),y_s(),Allow_Intercept,Sample_Include(),Absorbed_Degrees_Of_Freedom())</f>
        <v>134.79694565058435</v>
      </c>
      <c r="AC15" s="26" cm="1">
        <f t="array" ref="AC15">F_Statistic_P_Value(X_s_Within(),y_s(),Allow_Intercept,Sample_Include(),Absorbed_Degrees_Of_Freedom())</f>
        <v>1.8943998313042473E-144</v>
      </c>
      <c r="AK15" t="str">
        <v>chevrolet monte carlo</v>
      </c>
      <c r="AL15" s="12">
        <v>15</v>
      </c>
      <c r="AM15" s="12">
        <v>15.212574416275837</v>
      </c>
      <c r="AN15" s="12">
        <v>-0.21257441627583695</v>
      </c>
      <c r="AO15" s="12">
        <v>3.6838396596956549E-2</v>
      </c>
      <c r="AP15" s="12">
        <v>-7.0617155228780759E-2</v>
      </c>
      <c r="AQ15" s="12">
        <v>1.1219488900922424E-5</v>
      </c>
      <c r="AR15" s="12">
        <v>-2.0720014483779297</v>
      </c>
      <c r="AS15" s="12">
        <v>-1.8200175308828719</v>
      </c>
      <c r="AT15" s="12">
        <v>0.26573888542849872</v>
      </c>
      <c r="AU15" s="12">
        <v>-0.22070482827052992</v>
      </c>
      <c r="AV15" s="12" t="e">
        <v>#N/A</v>
      </c>
    </row>
    <row r="16" spans="1:49" x14ac:dyDescent="0.25">
      <c r="P16" t="str">
        <v>Model Year: 82</v>
      </c>
      <c r="Q16" s="11">
        <v>0.31590831958849236</v>
      </c>
      <c r="R16" s="11">
        <v>0.30945001432271285</v>
      </c>
      <c r="S16" s="11">
        <v>3.1980848073673731</v>
      </c>
      <c r="T16" s="11">
        <v>8.2699143284056937</v>
      </c>
      <c r="U16" s="11">
        <v>1.7564955677455198</v>
      </c>
      <c r="V16" s="11">
        <v>0.5693154132370003</v>
      </c>
      <c r="X16" s="13" t="s">
        <v>1813</v>
      </c>
      <c r="Y16" s="38" cm="1">
        <f t="array" ref="Y16">Residual_Degrees_Of_Freedom(X_s_Within(),y_s(),Allow_Intercept,Sample_Include(),Absorbed_Degrees_Of_Freedom())</f>
        <v>375</v>
      </c>
      <c r="Z16" s="39" cm="1">
        <f t="array" ref="Z16">SS_Residual(X_s_Within(),y_s(),Allow_Intercept,Sample_Include())</f>
        <v>3528.0413006377153</v>
      </c>
      <c r="AA16" s="39" cm="1">
        <f t="array" ref="AA16">MS_Residual(X_s_Within(),y_s(),Allow_Intercept,Sample_Include(),Absorbed_Degrees_Of_Freedom())</f>
        <v>9.4081101350339083</v>
      </c>
      <c r="AC16" s="27"/>
      <c r="AG16" s="4" t="s">
        <v>1836</v>
      </c>
      <c r="AK16" t="str">
        <v>buick estate wagon (sw)</v>
      </c>
      <c r="AL16" s="12">
        <v>14</v>
      </c>
      <c r="AM16" s="12">
        <v>17.412576009964045</v>
      </c>
      <c r="AN16" s="12">
        <v>-3.4125760099640452</v>
      </c>
      <c r="AO16" s="12">
        <v>0.11212017961465819</v>
      </c>
      <c r="AP16" s="12">
        <v>-1.1807393696594954</v>
      </c>
      <c r="AQ16" s="12">
        <v>1.0355921898592959E-2</v>
      </c>
      <c r="AR16" s="12">
        <v>-1.8192221095957348</v>
      </c>
      <c r="AS16" s="12">
        <v>-1.7231986194513169</v>
      </c>
      <c r="AT16" s="12">
        <v>1.0866183182974118</v>
      </c>
      <c r="AU16" s="12">
        <v>-3.8435111730357598</v>
      </c>
      <c r="AV16" s="12">
        <v>1.0355921898592959E-2</v>
      </c>
    </row>
    <row r="17" spans="16:48" x14ac:dyDescent="0.25">
      <c r="P17" t="str">
        <v>Origin: Europe</v>
      </c>
      <c r="Q17" s="11">
        <v>0.24431250098438828</v>
      </c>
      <c r="R17" s="11">
        <v>0.25335011992922324</v>
      </c>
      <c r="S17" s="11">
        <v>1.7313298190542106</v>
      </c>
      <c r="T17" s="11">
        <v>1.0025921775707793</v>
      </c>
      <c r="U17" s="11">
        <v>1.8119606956111629</v>
      </c>
      <c r="V17" s="11">
        <v>0.55188835079157517</v>
      </c>
      <c r="X17" s="14" t="s">
        <v>1814</v>
      </c>
      <c r="Y17" s="15" cm="1">
        <f t="array" ref="Y17">Total_Degrees_Of_Freedom(y_s(),Allow_Intercept,Sample_Include())</f>
        <v>391</v>
      </c>
      <c r="Z17" s="22" cm="1">
        <f t="array" ref="Z17">SS_Total(y_s(),Allow_Intercept,Sample_Include())</f>
        <v>23818.993469387755</v>
      </c>
      <c r="AA17" s="23"/>
      <c r="AB17" s="23"/>
      <c r="AC17" s="28"/>
      <c r="AG17" s="8" t="s">
        <v>1837</v>
      </c>
      <c r="AH17" s="8" t="s">
        <v>1838</v>
      </c>
      <c r="AI17" s="31" t="s">
        <v>1839</v>
      </c>
      <c r="AK17" t="str">
        <v>toyota corona mark ii</v>
      </c>
      <c r="AL17" s="12">
        <v>24</v>
      </c>
      <c r="AM17" s="12">
        <v>25.198456840216746</v>
      </c>
      <c r="AN17" s="12">
        <v>-1.1984568402167461</v>
      </c>
      <c r="AO17" s="12">
        <v>5.4985468923604633E-2</v>
      </c>
      <c r="AP17" s="12">
        <v>-0.40193142131393816</v>
      </c>
      <c r="AQ17" s="12">
        <v>5.5292272908023029E-4</v>
      </c>
      <c r="AR17" s="12">
        <v>-1.8192221095957348</v>
      </c>
      <c r="AS17" s="12">
        <v>-1.6897180627740656</v>
      </c>
      <c r="AT17" s="12">
        <v>0.63398061588185661</v>
      </c>
      <c r="AU17" s="12">
        <v>-1.2681887958396509</v>
      </c>
      <c r="AV17" s="12" t="e">
        <v>#N/A</v>
      </c>
    </row>
    <row r="18" spans="16:48" x14ac:dyDescent="0.25">
      <c r="P18" t="str">
        <v>Origin: US</v>
      </c>
      <c r="Q18" s="11">
        <v>-0.56516059345508451</v>
      </c>
      <c r="R18" s="11">
        <v>-0.57164212784882285</v>
      </c>
      <c r="S18" s="11">
        <v>-0.51838350203589245</v>
      </c>
      <c r="T18" s="11">
        <v>-1.7401832443477745</v>
      </c>
      <c r="U18" s="11">
        <v>1.8119606956111629</v>
      </c>
      <c r="V18" s="11">
        <v>0.55188835079157517</v>
      </c>
      <c r="AK18" t="str">
        <v>plymouth duster</v>
      </c>
      <c r="AL18" s="12">
        <v>22</v>
      </c>
      <c r="AM18" s="12">
        <v>20.804329496548942</v>
      </c>
      <c r="AN18" s="12">
        <v>1.1956705034510584</v>
      </c>
      <c r="AO18" s="12">
        <v>4.8771107501306768E-2</v>
      </c>
      <c r="AP18" s="12">
        <v>0.39968495672630688</v>
      </c>
      <c r="AQ18" s="12">
        <v>4.8179719659587972E-4</v>
      </c>
      <c r="AR18" s="12">
        <v>-1.8192221095957348</v>
      </c>
      <c r="AS18" s="12">
        <v>-1.68524344765387</v>
      </c>
      <c r="AT18" s="12">
        <v>0.63220641939662936</v>
      </c>
      <c r="AU18" s="12">
        <v>1.2569745440661129</v>
      </c>
      <c r="AV18" s="12" t="e">
        <v>#N/A</v>
      </c>
    </row>
    <row r="19" spans="16:48" x14ac:dyDescent="0.25">
      <c r="Q19" s="11"/>
      <c r="R19" s="11"/>
      <c r="S19" s="11"/>
      <c r="T19" s="11"/>
      <c r="U19" s="11"/>
      <c r="V19" s="11"/>
      <c r="X19" s="4" t="s">
        <v>1815</v>
      </c>
      <c r="AG19" t="str" cm="1">
        <f t="array" ref="AG19:AG34">TRANSPOSE(Constructed_Column_Names())</f>
        <v>Horsepower</v>
      </c>
      <c r="AH19" s="30" cm="1">
        <f t="array" ref="AH19">IF(ROW()-18&lt;=IFERROR(ROWS(_xlfn.ANCHORARRAY($AI$19)),0),INDEX(_xlfn.ANCHORARRAY($AI$19),ROW()-18),"")</f>
        <v>104.46938775510205</v>
      </c>
      <c r="AI19" s="12" cm="1">
        <f t="array" ref="AI19:AI34">IFERROR(TRANSPOSE(_xlfn.LET(_xlpm.m,_xlfn.BYCOL(_xlfn._xlws.FILTER(X_s(),Sample_Include()),_xlfn.LAMBDA(_xlpm.c,AVERAGE(_xlpm.c))),_xlpm.t,Constructed_Column_Transforms(),IF(_xlpm.t="Log",EXP(_xlpm.m),_xlpm.m))),"")</f>
        <v>104.46938775510205</v>
      </c>
      <c r="AK19" t="str">
        <v>amc hornet</v>
      </c>
      <c r="AL19" s="12">
        <v>18</v>
      </c>
      <c r="AM19" s="12">
        <v>21.070591899933742</v>
      </c>
      <c r="AN19" s="12">
        <v>-3.070591899933742</v>
      </c>
      <c r="AO19" s="12">
        <v>4.695010427724941E-2</v>
      </c>
      <c r="AP19" s="12">
        <v>-1.0254466826344892</v>
      </c>
      <c r="AQ19" s="12">
        <v>3.0471804305155937E-3</v>
      </c>
      <c r="AR19" s="12">
        <v>-1.8192221095957348</v>
      </c>
      <c r="AS19" s="12">
        <v>-1.6746439809266753</v>
      </c>
      <c r="AT19" s="12">
        <v>1.012643413366467</v>
      </c>
      <c r="AU19" s="12">
        <v>-3.2218584921045945</v>
      </c>
      <c r="AV19" s="12" t="e">
        <v>#N/A</v>
      </c>
    </row>
    <row r="20" spans="16:48" x14ac:dyDescent="0.25">
      <c r="Q20" s="11"/>
      <c r="R20" s="11"/>
      <c r="S20" s="11"/>
      <c r="T20" s="11"/>
      <c r="U20" s="11"/>
      <c r="V20" s="11"/>
      <c r="X20" s="8"/>
      <c r="Y20" s="8" t="s">
        <v>124</v>
      </c>
      <c r="Z20" s="8" t="s">
        <v>1816</v>
      </c>
      <c r="AA20" s="8" t="s">
        <v>1817</v>
      </c>
      <c r="AB20" s="8" t="s">
        <v>1818</v>
      </c>
      <c r="AC20" s="8" t="s">
        <v>1819</v>
      </c>
      <c r="AD20" s="8" t="s">
        <v>1820</v>
      </c>
      <c r="AE20" s="8" t="s">
        <v>1821</v>
      </c>
      <c r="AG20" t="str">
        <v>Weight</v>
      </c>
      <c r="AH20" s="30" cm="1">
        <f t="array" ref="AH20">IF(ROW()-18&lt;=IFERROR(ROWS(_xlfn.ANCHORARRAY($AI$19)),0),INDEX(_xlfn.ANCHORARRAY($AI$19),ROW()-18),"")</f>
        <v>2977.5841836734694</v>
      </c>
      <c r="AI20" s="12">
        <v>2977.5841836734694</v>
      </c>
      <c r="AK20" t="str">
        <v>ford maverick</v>
      </c>
      <c r="AL20" s="12">
        <v>21</v>
      </c>
      <c r="AM20" s="12">
        <v>22.212267981403066</v>
      </c>
      <c r="AN20" s="12">
        <v>-1.2122679814030661</v>
      </c>
      <c r="AO20" s="12">
        <v>5.1942024882097544E-2</v>
      </c>
      <c r="AP20" s="12">
        <v>-0.40591022394118104</v>
      </c>
      <c r="AQ20" s="12">
        <v>5.3100063365988423E-4</v>
      </c>
      <c r="AR20" s="12">
        <v>-1.8192221095957348</v>
      </c>
      <c r="AS20" s="12">
        <v>-1.6319415081566486</v>
      </c>
      <c r="AT20" s="12">
        <v>0.63711084117379535</v>
      </c>
      <c r="AU20" s="12">
        <v>-1.278685495211731</v>
      </c>
      <c r="AV20" s="12" t="e">
        <v>#N/A</v>
      </c>
    </row>
    <row r="21" spans="16:48" x14ac:dyDescent="0.25">
      <c r="Q21" s="11"/>
      <c r="R21" s="11"/>
      <c r="S21" s="11"/>
      <c r="T21" s="11"/>
      <c r="U21" s="11"/>
      <c r="V21" s="11"/>
      <c r="X21" t="str" cm="1">
        <f t="array" ref="X21:X37">IF(Zero_Predictors_Selected(),IF(AND(Allow_Intercept,Intercept_Only_N()&gt;=1),"Intercept",NA()),IF(Allow_Intercept,_xlfn.VSTACK("Intercept",TRANSPOSE(Constructed_Column_Names())),_xlfn.VSTACK("",TRANSPOSE(Constructed_Column_Names()))))</f>
        <v>Intercept</v>
      </c>
      <c r="Y21" s="12" cm="1">
        <f t="array" ref="Y21:Y37">IF(Zero_Predictors_Selected(),IF(AND(Allow_Intercept,Intercept_Only_N()&gt;=1),Intercept_Only_Point(),NA()),IF(Allow_Intercept,Coefficients(X_s_Within(),y_s(),Allow_Intercept,Sample_Include()),_xlfn.VSTACK("",Coefficients(X_s_Within(),y_s(),Allow_Intercept,Sample_Include()))))</f>
        <v>38.751088282860074</v>
      </c>
      <c r="Z21" s="12" cm="1">
        <f t="array" ref="Z21:Z37">IF(Zero_Predictors_Selected(),IF(AND(Allow_Intercept,Intercept_Only_N()&gt;=2),Intercept_Only_SE(),NA()),IF(Allow_Intercept,SE_Coefficients(X_s_Within(),y_s(),Allow_Intercept,Sample_Include(),Absorbed_Degrees_Of_Freedom()),_xlfn.VSTACK("",SE_Coefficients(X_s_Within(),y_s(),Allow_Intercept,Sample_Include(),Absorbed_Degrees_Of_Freedom()))))</f>
        <v>0.96262804339133234</v>
      </c>
      <c r="AA21" s="12" cm="1">
        <f t="array" ref="AA21:AA37">IF(Zero_Predictors_Selected(),IF(AND(Allow_Intercept,Intercept_Only_N()&gt;=2),Intercept_Only_Point()/Intercept_Only_SE(),NA()),IF(Allow_Intercept,T_Statistics(X_s_Within(),y_s(),Allow_Intercept,Sample_Include(),Absorbed_Degrees_Of_Freedom()),_xlfn.VSTACK("",T_Statistics(X_s_Within(),y_s(),Allow_Intercept,Sample_Include(),Absorbed_Degrees_Of_Freedom()))))</f>
        <v>40.255515667651068</v>
      </c>
      <c r="AB21" s="19" cm="1">
        <f t="array" ref="AB21:AB37">IF(Zero_Predictors_Selected(),IF(AND(Allow_Intercept,Intercept_Only_N()&gt;=2),_xlfn.T.DIST.2T(ABS(Intercept_Only_Point()/Intercept_Only_SE()),Intercept_Only_DF()),NA()),IF(Allow_Intercept,P_Values(X_s_Within(),y_s(),Allow_Intercept,Sample_Include(),Absorbed_Degrees_Of_Freedom()),_xlfn.VSTACK("",P_Values(X_s_Within(),y_s(),Allow_Intercept,Sample_Include(),Absorbed_Degrees_Of_Freedom()))))</f>
        <v>3.392078477050681E-138</v>
      </c>
      <c r="AC21" s="12" cm="1">
        <f t="array" ref="AC21:AC37">IF(Zero_Predictors_Selected(),IF(AND(Allow_Intercept,Intercept_Only_N()&gt;=2),Intercept_Only_Point()-_xlfn.T.INV.2T(alpha,Intercept_Only_DF())*Intercept_Only_SE(),NA()),IF(Allow_Intercept,Confidence_Interval_Lower(X_s_Within(),y_s(),Allow_Intercept,Sample_Include(),0.05,Absorbed_Degrees_Of_Freedom()),_xlfn.VSTACK("",Confidence_Interval_Lower(X_s_Within(),y_s(),Allow_Intercept,Sample_Include(),0.05,Absorbed_Degrees_Of_Freedom()))))</f>
        <v>36.85826298006635</v>
      </c>
      <c r="AD21" s="12" cm="1">
        <f t="array" ref="AD21:AD37">IF(Zero_Predictors_Selected(),IF(AND(Allow_Intercept,Intercept_Only_N()&gt;=2),Intercept_Only_Point()+_xlfn.T.INV.2T(alpha,Intercept_Only_DF())*Intercept_Only_SE(),NA()),IF(Allow_Intercept,Confidence_Interval_Upper(X_s_Within(),y_s(),Allow_Intercept,Sample_Include(),0.05,Absorbed_Degrees_Of_Freedom()),_xlfn.VSTACK("",Confidence_Interval_Upper(X_s_Within(),y_s(),Allow_Intercept,Sample_Include(),0.05,Absorbed_Degrees_Of_Freedom()))))</f>
        <v>40.643913585653799</v>
      </c>
      <c r="AE21" s="12" t="str" cm="1">
        <f t="array" ref="AE21:AE37">IF(Zero_Predictors_Selected(),IF(Allow_Intercept,"",NA()),_xlfn.VSTACK("",Beta_Weights(X_s_Within(),y_s(),Allow_Intercept,Sample_Include())))</f>
        <v/>
      </c>
      <c r="AG21" t="str">
        <v>Model Year: 71</v>
      </c>
      <c r="AH21" s="30" cm="1">
        <f t="array" ref="AH21">IF(ROW()-18&lt;=IFERROR(ROWS(_xlfn.ANCHORARRAY($AI$19)),0),INDEX(_xlfn.ANCHORARRAY($AI$19),ROW()-18),"")</f>
        <v>6.8877551020408156E-2</v>
      </c>
      <c r="AI21" s="12">
        <v>6.8877551020408156E-2</v>
      </c>
      <c r="AK21" t="str">
        <v>datsun pl510</v>
      </c>
      <c r="AL21" s="12">
        <v>27</v>
      </c>
      <c r="AM21" s="12">
        <v>26.537432790749786</v>
      </c>
      <c r="AN21" s="12">
        <v>0.46256720925021355</v>
      </c>
      <c r="AO21" s="12">
        <v>5.5009922789087756E-2</v>
      </c>
      <c r="AP21" s="12">
        <v>0.15513508303132956</v>
      </c>
      <c r="AQ21" s="12">
        <v>8.2410948129185235E-5</v>
      </c>
      <c r="AR21" s="12">
        <v>-1.8192221095957348</v>
      </c>
      <c r="AS21" s="12">
        <v>-1.6266867098316833</v>
      </c>
      <c r="AT21" s="12">
        <v>0.39387191196038535</v>
      </c>
      <c r="AU21" s="12">
        <v>0.48949425015705561</v>
      </c>
      <c r="AV21" s="12" t="e">
        <v>#N/A</v>
      </c>
    </row>
    <row r="22" spans="16:48" x14ac:dyDescent="0.25">
      <c r="Q22" s="11"/>
      <c r="R22" s="11"/>
      <c r="S22" s="11"/>
      <c r="T22" s="11"/>
      <c r="U22" s="11"/>
      <c r="V22" s="11"/>
      <c r="X22" t="str">
        <v>Horsepower</v>
      </c>
      <c r="Y22" s="12">
        <v>-1.6236431953541224E-2</v>
      </c>
      <c r="Z22" s="12">
        <v>9.497739162989639E-3</v>
      </c>
      <c r="AA22" s="12">
        <v>-1.709504933217225</v>
      </c>
      <c r="AB22" s="19">
        <v>8.818472714576539E-2</v>
      </c>
      <c r="AC22" s="12">
        <v>-3.4911932974378744E-2</v>
      </c>
      <c r="AD22" s="12">
        <v>2.4390690672962956E-3</v>
      </c>
      <c r="AE22" s="12">
        <v>-8.0071556643277975E-2</v>
      </c>
      <c r="AG22" t="str">
        <v>Model Year: 72</v>
      </c>
      <c r="AH22" s="30" cm="1">
        <f t="array" ref="AH22">IF(ROW()-18&lt;=IFERROR(ROWS(_xlfn.ANCHORARRAY($AI$19)),0),INDEX(_xlfn.ANCHORARRAY($AI$19),ROW()-18),"")</f>
        <v>7.1428571428571425E-2</v>
      </c>
      <c r="AI22" s="12">
        <v>7.1428571428571425E-2</v>
      </c>
      <c r="AK22" t="str">
        <v>volkswagen 1131 deluxe sedan</v>
      </c>
      <c r="AL22" s="12">
        <v>26</v>
      </c>
      <c r="AM22" s="12">
        <v>28.591062427308099</v>
      </c>
      <c r="AN22" s="12">
        <v>-2.5910624273080991</v>
      </c>
      <c r="AO22" s="12">
        <v>6.8142656866106793E-2</v>
      </c>
      <c r="AP22" s="12">
        <v>-0.87508847543411206</v>
      </c>
      <c r="AQ22" s="12">
        <v>3.2940079133687945E-3</v>
      </c>
      <c r="AR22" s="12">
        <v>-1.8192221095957348</v>
      </c>
      <c r="AS22" s="12">
        <v>-1.626368466519942</v>
      </c>
      <c r="AT22" s="12">
        <v>0.93546163760686207</v>
      </c>
      <c r="AU22" s="12">
        <v>-2.7805355040656736</v>
      </c>
      <c r="AV22" s="12" t="e">
        <v>#N/A</v>
      </c>
    </row>
    <row r="23" spans="16:48" x14ac:dyDescent="0.25">
      <c r="Q23" s="11"/>
      <c r="R23" s="11"/>
      <c r="S23" s="11"/>
      <c r="T23" s="11"/>
      <c r="U23" s="11"/>
      <c r="V23" s="11"/>
      <c r="X23" t="str">
        <v>Weight</v>
      </c>
      <c r="Y23" s="12">
        <v>-5.0633096151167433E-3</v>
      </c>
      <c r="Z23" s="12">
        <v>4.3671065291282139E-4</v>
      </c>
      <c r="AA23" s="12">
        <v>-11.594197625693159</v>
      </c>
      <c r="AB23" s="19">
        <v>8.9955160626704314E-27</v>
      </c>
      <c r="AC23" s="12">
        <v>-5.9220182092698795E-3</v>
      </c>
      <c r="AD23" s="12">
        <v>-4.2046010209636072E-3</v>
      </c>
      <c r="AE23" s="12">
        <v>-0.55102934324785413</v>
      </c>
      <c r="AG23" t="str">
        <v>Model Year: 73</v>
      </c>
      <c r="AH23" s="30" cm="1">
        <f t="array" ref="AH23">IF(ROW()-18&lt;=IFERROR(ROWS(_xlfn.ANCHORARRAY($AI$19)),0),INDEX(_xlfn.ANCHORARRAY($AI$19),ROW()-18),"")</f>
        <v>0.10204081632653061</v>
      </c>
      <c r="AI23" s="12">
        <v>0.10204081632653061</v>
      </c>
      <c r="AK23" t="str">
        <v>peugeot 504</v>
      </c>
      <c r="AL23" s="12">
        <v>25</v>
      </c>
      <c r="AM23" s="12">
        <v>23.687378569360192</v>
      </c>
      <c r="AN23" s="12">
        <v>1.3126214306398083</v>
      </c>
      <c r="AO23" s="12">
        <v>5.7444350257130856E-2</v>
      </c>
      <c r="AP23" s="12">
        <v>0.4407931061238981</v>
      </c>
      <c r="AQ23" s="12">
        <v>6.9656393771628427E-4</v>
      </c>
      <c r="AR23" s="12">
        <v>-1.8192221095957348</v>
      </c>
      <c r="AS23" s="12">
        <v>-1.5268692799723573</v>
      </c>
      <c r="AT23" s="12">
        <v>0.66392251515059952</v>
      </c>
      <c r="AU23" s="12">
        <v>1.3926195562011578</v>
      </c>
      <c r="AV23" s="12" t="e">
        <v>#N/A</v>
      </c>
    </row>
    <row r="24" spans="16:48" x14ac:dyDescent="0.25">
      <c r="Q24" s="11"/>
      <c r="R24" s="11"/>
      <c r="S24" s="11"/>
      <c r="T24" s="11"/>
      <c r="U24" s="11"/>
      <c r="V24" s="11"/>
      <c r="X24" t="str">
        <v>Model Year: 71</v>
      </c>
      <c r="Y24" s="12">
        <v>0.91041019458277417</v>
      </c>
      <c r="Z24" s="12">
        <v>0.86700620491109681</v>
      </c>
      <c r="AA24" s="12">
        <v>1.0500619135432001</v>
      </c>
      <c r="AB24" s="19">
        <v>0.29436587877078829</v>
      </c>
      <c r="AC24" s="12">
        <v>-0.79439291561265335</v>
      </c>
      <c r="AD24" s="12">
        <v>2.6152133047782016</v>
      </c>
      <c r="AE24" s="12">
        <v>2.9577447376240313E-2</v>
      </c>
      <c r="AG24" t="str">
        <v>Model Year: 74</v>
      </c>
      <c r="AH24" s="30" cm="1">
        <f t="array" ref="AH24">IF(ROW()-18&lt;=IFERROR(ROWS(_xlfn.ANCHORARRAY($AI$19)),0),INDEX(_xlfn.ANCHORARRAY($AI$19),ROW()-18),"")</f>
        <v>6.6326530612244902E-2</v>
      </c>
      <c r="AI24" s="12">
        <v>6.6326530612244902E-2</v>
      </c>
      <c r="AK24" t="str">
        <v>audi 100 ls</v>
      </c>
      <c r="AL24" s="12">
        <v>24</v>
      </c>
      <c r="AM24" s="12">
        <v>24.863990200357819</v>
      </c>
      <c r="AN24" s="12">
        <v>-0.86399020035781859</v>
      </c>
      <c r="AO24" s="12">
        <v>5.1568524658183831E-2</v>
      </c>
      <c r="AP24" s="12">
        <v>-0.28923752793397073</v>
      </c>
      <c r="AQ24" s="12">
        <v>2.6757104145415611E-4</v>
      </c>
      <c r="AR24" s="12">
        <v>-1.8192221095957348</v>
      </c>
      <c r="AS24" s="12">
        <v>-1.5175419689962188</v>
      </c>
      <c r="AT24" s="12">
        <v>0.53780807723013113</v>
      </c>
      <c r="AU24" s="12">
        <v>-0.91096744764447557</v>
      </c>
      <c r="AV24" s="12" t="e">
        <v>#N/A</v>
      </c>
    </row>
    <row r="25" spans="16:48" x14ac:dyDescent="0.25">
      <c r="Q25" s="11"/>
      <c r="R25" s="11"/>
      <c r="S25" s="11"/>
      <c r="T25" s="11"/>
      <c r="U25" s="11"/>
      <c r="V25" s="11"/>
      <c r="X25" t="str">
        <v>Model Year: 72</v>
      </c>
      <c r="Y25" s="12">
        <v>-0.34595173995933204</v>
      </c>
      <c r="Z25" s="12">
        <v>0.84392497453951754</v>
      </c>
      <c r="AA25" s="12">
        <v>-0.40993186645305585</v>
      </c>
      <c r="AB25" s="19">
        <v>0.68209000766572636</v>
      </c>
      <c r="AC25" s="12">
        <v>-2.005369992351302</v>
      </c>
      <c r="AD25" s="12">
        <v>1.3134665124326381</v>
      </c>
      <c r="AE25" s="12">
        <v>-1.1429848936238184E-2</v>
      </c>
      <c r="AG25" t="str">
        <v>Model Year: 75</v>
      </c>
      <c r="AH25" s="30" cm="1">
        <f t="array" ref="AH25">IF(ROW()-18&lt;=IFERROR(ROWS(_xlfn.ANCHORARRAY($AI$19)),0),INDEX(_xlfn.ANCHORARRAY($AI$19),ROW()-18),"")</f>
        <v>7.6530612244897961E-2</v>
      </c>
      <c r="AI25" s="12">
        <v>7.6530612244897961E-2</v>
      </c>
      <c r="AK25" t="str">
        <v>saab 99e</v>
      </c>
      <c r="AL25" s="12">
        <v>25</v>
      </c>
      <c r="AM25" s="12">
        <v>25.061290069421542</v>
      </c>
      <c r="AN25" s="12">
        <v>-6.1290069421541915E-2</v>
      </c>
      <c r="AO25" s="12">
        <v>4.9464537797579741E-2</v>
      </c>
      <c r="AP25" s="12">
        <v>-2.0495322425387076E-2</v>
      </c>
      <c r="AQ25" s="12">
        <v>1.285837892010095E-6</v>
      </c>
      <c r="AR25" s="12">
        <v>-1.8192221095957348</v>
      </c>
      <c r="AS25" s="12">
        <v>-1.4769363323181717</v>
      </c>
      <c r="AT25" s="12">
        <v>0.14316187490175963</v>
      </c>
      <c r="AU25" s="12">
        <v>-6.4479519027655127E-2</v>
      </c>
      <c r="AV25" s="12" t="e">
        <v>#N/A</v>
      </c>
    </row>
    <row r="26" spans="16:48" x14ac:dyDescent="0.25">
      <c r="Q26" s="11"/>
      <c r="R26" s="11"/>
      <c r="S26" s="11"/>
      <c r="T26" s="11"/>
      <c r="U26" s="11"/>
      <c r="V26" s="11"/>
      <c r="X26" t="str">
        <v>Model Year: 73</v>
      </c>
      <c r="Y26" s="12">
        <v>-0.70625405150926601</v>
      </c>
      <c r="Z26" s="12">
        <v>0.77077168235926674</v>
      </c>
      <c r="AA26" s="12">
        <v>-0.91629475715491038</v>
      </c>
      <c r="AB26" s="19">
        <v>0.36010118595542118</v>
      </c>
      <c r="AC26" s="12">
        <v>-2.2218302421910612</v>
      </c>
      <c r="AD26" s="12">
        <v>0.80932213917252926</v>
      </c>
      <c r="AE26" s="12">
        <v>-2.7425688780183487E-2</v>
      </c>
      <c r="AG26" t="str">
        <v>Model Year: 76</v>
      </c>
      <c r="AH26" s="30" cm="1">
        <f t="array" ref="AH26">IF(ROW()-18&lt;=IFERROR(ROWS(_xlfn.ANCHORARRAY($AI$19)),0),INDEX(_xlfn.ANCHORARRAY($AI$19),ROW()-18),"")</f>
        <v>8.673469387755102E-2</v>
      </c>
      <c r="AI26" s="12">
        <v>8.673469387755102E-2</v>
      </c>
      <c r="AK26" t="str">
        <v>bmw 2002</v>
      </c>
      <c r="AL26" s="12">
        <v>26</v>
      </c>
      <c r="AM26" s="12">
        <v>25.482960949989256</v>
      </c>
      <c r="AN26" s="12">
        <v>0.51703905001074446</v>
      </c>
      <c r="AO26" s="12">
        <v>4.9413009365655451E-2</v>
      </c>
      <c r="AP26" s="12">
        <v>0.17289252435540003</v>
      </c>
      <c r="AQ26" s="12">
        <v>9.1401420889604447E-5</v>
      </c>
      <c r="AR26" s="12">
        <v>-1.8192221095957348</v>
      </c>
      <c r="AS26" s="12">
        <v>-1.4375278289347933</v>
      </c>
      <c r="AT26" s="12">
        <v>0.41580346842637089</v>
      </c>
      <c r="AU26" s="12">
        <v>0.54391555439414818</v>
      </c>
      <c r="AV26" s="12" t="e">
        <v>#N/A</v>
      </c>
    </row>
    <row r="27" spans="16:48" x14ac:dyDescent="0.25">
      <c r="Q27" s="11"/>
      <c r="R27" s="11"/>
      <c r="S27" s="11"/>
      <c r="T27" s="11"/>
      <c r="U27" s="11"/>
      <c r="V27" s="11"/>
      <c r="X27" t="str">
        <v>Model Year: 74</v>
      </c>
      <c r="Y27" s="12">
        <v>1.2578616049411391</v>
      </c>
      <c r="Z27" s="12">
        <v>0.90223457377328486</v>
      </c>
      <c r="AA27" s="12">
        <v>1.3941624955476566</v>
      </c>
      <c r="AB27" s="19">
        <v>0.16409401980109084</v>
      </c>
      <c r="AC27" s="12">
        <v>-0.51621140489650408</v>
      </c>
      <c r="AD27" s="12">
        <v>3.0319346147787822</v>
      </c>
      <c r="AE27" s="12">
        <v>4.0156452683686186E-2</v>
      </c>
      <c r="AG27" t="str">
        <v>Model Year: 77</v>
      </c>
      <c r="AH27" s="30" cm="1">
        <f t="array" ref="AH27">IF(ROW()-18&lt;=IFERROR(ROWS(_xlfn.ANCHORARRAY($AI$19)),0),INDEX(_xlfn.ANCHORARRAY($AI$19),ROW()-18),"")</f>
        <v>7.1428571428571425E-2</v>
      </c>
      <c r="AI27" s="12">
        <v>7.1428571428571425E-2</v>
      </c>
      <c r="AK27" t="str">
        <v>amc gremlin</v>
      </c>
      <c r="AL27" s="12">
        <v>21</v>
      </c>
      <c r="AM27" s="12">
        <v>21.822223935113239</v>
      </c>
      <c r="AN27" s="12">
        <v>-0.82222393511323943</v>
      </c>
      <c r="AO27" s="12">
        <v>4.9584288806374846E-2</v>
      </c>
      <c r="AP27" s="12">
        <v>-0.27496797490025449</v>
      </c>
      <c r="AQ27" s="12">
        <v>2.3203088177442646E-4</v>
      </c>
      <c r="AR27" s="12">
        <v>-1.8192221095957348</v>
      </c>
      <c r="AS27" s="12">
        <v>-1.4339281629923626</v>
      </c>
      <c r="AT27" s="12">
        <v>0.52437388846151989</v>
      </c>
      <c r="AU27" s="12">
        <v>-0.86512031043827142</v>
      </c>
      <c r="AV27" s="12" t="e">
        <v>#N/A</v>
      </c>
    </row>
    <row r="28" spans="16:48" x14ac:dyDescent="0.25">
      <c r="Q28" s="11"/>
      <c r="R28" s="11"/>
      <c r="S28" s="11"/>
      <c r="T28" s="11"/>
      <c r="U28" s="11"/>
      <c r="V28" s="11"/>
      <c r="X28" t="str">
        <v>Model Year: 75</v>
      </c>
      <c r="Y28" s="12">
        <v>0.63935220100332424</v>
      </c>
      <c r="Z28" s="12">
        <v>0.88468943032156888</v>
      </c>
      <c r="AA28" s="12">
        <v>0.72268547480094913</v>
      </c>
      <c r="AB28" s="19">
        <v>0.47032360057386857</v>
      </c>
      <c r="AC28" s="12">
        <v>-1.1002216149924742</v>
      </c>
      <c r="AD28" s="12">
        <v>2.3789260169991224</v>
      </c>
      <c r="AE28" s="12">
        <v>2.1804711308239143E-2</v>
      </c>
      <c r="AG28" t="str">
        <v>Model Year: 78</v>
      </c>
      <c r="AH28" s="30" cm="1">
        <f t="array" ref="AH28">IF(ROW()-18&lt;=IFERROR(ROWS(_xlfn.ANCHORARRAY($AI$19)),0),INDEX(_xlfn.ANCHORARRAY($AI$19),ROW()-18),"")</f>
        <v>9.1836734693877556E-2</v>
      </c>
      <c r="AI28" s="12">
        <v>9.1836734693877556E-2</v>
      </c>
      <c r="AK28" t="str">
        <v>ford f250</v>
      </c>
      <c r="AL28" s="12">
        <v>10</v>
      </c>
      <c r="AM28" s="12">
        <v>9.8331399279859557</v>
      </c>
      <c r="AN28" s="12">
        <v>0.16686007201404429</v>
      </c>
      <c r="AO28" s="12">
        <v>4.5553437442162031E-2</v>
      </c>
      <c r="AP28" s="12">
        <v>5.5683358456535478E-2</v>
      </c>
      <c r="AQ28" s="12">
        <v>8.705053750157693E-6</v>
      </c>
      <c r="AR28" s="12">
        <v>-1.8192221095957348</v>
      </c>
      <c r="AS28" s="12">
        <v>-1.3818722583783176</v>
      </c>
      <c r="AT28" s="12">
        <v>0.23597321554900141</v>
      </c>
      <c r="AU28" s="12">
        <v>0.17482390168274384</v>
      </c>
      <c r="AV28" s="12" t="e">
        <v>#N/A</v>
      </c>
    </row>
    <row r="29" spans="16:48" x14ac:dyDescent="0.25">
      <c r="Q29" s="11"/>
      <c r="R29" s="11"/>
      <c r="S29" s="11"/>
      <c r="T29" s="11"/>
      <c r="U29" s="11"/>
      <c r="V29" s="11"/>
      <c r="X29" t="str">
        <v>Model Year: 76</v>
      </c>
      <c r="Y29" s="12">
        <v>1.4144247705995325</v>
      </c>
      <c r="Z29" s="12">
        <v>0.84878476923281831</v>
      </c>
      <c r="AA29" s="12">
        <v>1.6664115826182566</v>
      </c>
      <c r="AB29" s="19">
        <v>9.6466455919174049E-2</v>
      </c>
      <c r="AC29" s="12">
        <v>-0.25454934547728847</v>
      </c>
      <c r="AD29" s="12">
        <v>3.0833988866763535</v>
      </c>
      <c r="AE29" s="12">
        <v>5.1068851278666165E-2</v>
      </c>
      <c r="AG29" t="str">
        <v>Model Year: 79</v>
      </c>
      <c r="AH29" s="30" cm="1">
        <f t="array" ref="AH29">IF(ROW()-18&lt;=IFERROR(ROWS(_xlfn.ANCHORARRAY($AI$19)),0),INDEX(_xlfn.ANCHORARRAY($AI$19),ROW()-18),"")</f>
        <v>7.3979591836734693E-2</v>
      </c>
      <c r="AI29" s="12">
        <v>7.3979591836734693E-2</v>
      </c>
      <c r="AK29" t="str">
        <v>chevy c20</v>
      </c>
      <c r="AL29" s="12">
        <v>10</v>
      </c>
      <c r="AM29" s="12">
        <v>11.286817405301973</v>
      </c>
      <c r="AN29" s="12">
        <v>-1.2868174053019725</v>
      </c>
      <c r="AO29" s="12">
        <v>4.0933470674793776E-2</v>
      </c>
      <c r="AP29" s="12">
        <v>-0.4283920105670963</v>
      </c>
      <c r="AQ29" s="12">
        <v>4.6074819083103937E-4</v>
      </c>
      <c r="AR29" s="12">
        <v>-1.8192221095957348</v>
      </c>
      <c r="AS29" s="12">
        <v>-1.3375231715810592</v>
      </c>
      <c r="AT29" s="12">
        <v>0.65451662359874119</v>
      </c>
      <c r="AU29" s="12">
        <v>-1.3417394580617572</v>
      </c>
      <c r="AV29" s="12" t="e">
        <v>#N/A</v>
      </c>
    </row>
    <row r="30" spans="16:48" x14ac:dyDescent="0.25">
      <c r="Q30" s="11"/>
      <c r="R30" s="11"/>
      <c r="S30" s="11"/>
      <c r="T30" s="11"/>
      <c r="U30" s="11"/>
      <c r="V30" s="11"/>
      <c r="X30" t="str">
        <v>Model Year: 77</v>
      </c>
      <c r="Y30" s="12">
        <v>2.8481175004680441</v>
      </c>
      <c r="Z30" s="12">
        <v>0.86455882212615043</v>
      </c>
      <c r="AA30" s="12">
        <v>3.294301587790017</v>
      </c>
      <c r="AB30" s="19">
        <v>1.0805831577804146E-3</v>
      </c>
      <c r="AC30" s="12">
        <v>1.1481267039100296</v>
      </c>
      <c r="AD30" s="12">
        <v>4.5481082970260589</v>
      </c>
      <c r="AE30" s="12">
        <v>9.4098537520964129E-2</v>
      </c>
      <c r="AG30" t="str">
        <v>Model Year: 80</v>
      </c>
      <c r="AH30" s="30" cm="1">
        <f t="array" ref="AH30">IF(ROW()-18&lt;=IFERROR(ROWS(_xlfn.ANCHORARRAY($AI$19)),0),INDEX(_xlfn.ANCHORARRAY($AI$19),ROW()-18),"")</f>
        <v>6.8877551020408156E-2</v>
      </c>
      <c r="AI30" s="12">
        <v>6.8877551020408156E-2</v>
      </c>
      <c r="AK30" t="str">
        <v>dodge d200</v>
      </c>
      <c r="AL30" s="12">
        <v>11</v>
      </c>
      <c r="AM30" s="12">
        <v>11.094073228075858</v>
      </c>
      <c r="AN30" s="12">
        <v>-9.4073228075858495E-2</v>
      </c>
      <c r="AO30" s="12">
        <v>4.4587292508687454E-2</v>
      </c>
      <c r="AP30" s="12">
        <v>-3.1377572652116069E-2</v>
      </c>
      <c r="AQ30" s="12">
        <v>2.7027747579047299E-6</v>
      </c>
      <c r="AR30" s="12">
        <v>-1.8192221095957348</v>
      </c>
      <c r="AS30" s="12">
        <v>-1.307068093232151</v>
      </c>
      <c r="AT30" s="12">
        <v>0.17713715773974717</v>
      </c>
      <c r="AU30" s="12">
        <v>-9.8463446569464735E-2</v>
      </c>
      <c r="AV30" s="12" t="e">
        <v>#N/A</v>
      </c>
    </row>
    <row r="31" spans="16:48" x14ac:dyDescent="0.25">
      <c r="Q31" s="11"/>
      <c r="R31" s="11"/>
      <c r="S31" s="11"/>
      <c r="T31" s="11"/>
      <c r="U31" s="11"/>
      <c r="V31" s="11"/>
      <c r="X31" t="str">
        <v>Model Year: 78</v>
      </c>
      <c r="Y31" s="12">
        <v>2.6980951580993344</v>
      </c>
      <c r="Z31" s="12">
        <v>0.82369335401903576</v>
      </c>
      <c r="AA31" s="12">
        <v>3.2756063223462415</v>
      </c>
      <c r="AB31" s="19">
        <v>1.1525516881497513E-3</v>
      </c>
      <c r="AC31" s="12">
        <v>1.0784585467062864</v>
      </c>
      <c r="AD31" s="12">
        <v>4.3177317694923829</v>
      </c>
      <c r="AE31" s="12">
        <v>9.9960581933078274E-2</v>
      </c>
      <c r="AG31" t="str">
        <v>Model Year: 81</v>
      </c>
      <c r="AH31" s="30" cm="1">
        <f t="array" ref="AH31">IF(ROW()-18&lt;=IFERROR(ROWS(_xlfn.ANCHORARRAY($AI$19)),0),INDEX(_xlfn.ANCHORARRAY($AI$19),ROW()-18),"")</f>
        <v>7.1428571428571425E-2</v>
      </c>
      <c r="AI31" s="12">
        <v>7.1428571428571425E-2</v>
      </c>
      <c r="AK31" t="str">
        <v>hi 1200d</v>
      </c>
      <c r="AL31" s="12">
        <v>9</v>
      </c>
      <c r="AM31" s="12">
        <v>9.5979342059952</v>
      </c>
      <c r="AN31" s="12">
        <v>-0.59793420599519997</v>
      </c>
      <c r="AO31" s="12">
        <v>4.3597810529259505E-2</v>
      </c>
      <c r="AP31" s="12">
        <v>-0.19933424776620928</v>
      </c>
      <c r="AQ31" s="12">
        <v>1.0654646364981789E-4</v>
      </c>
      <c r="AR31" s="12">
        <v>-1.8192221095957348</v>
      </c>
      <c r="AS31" s="12">
        <v>-1.2992210520172569</v>
      </c>
      <c r="AT31" s="12">
        <v>0.44646864141416392</v>
      </c>
      <c r="AU31" s="12">
        <v>-0.62519117226831977</v>
      </c>
      <c r="AV31" s="12" t="e">
        <v>#N/A</v>
      </c>
    </row>
    <row r="32" spans="16:48" x14ac:dyDescent="0.25">
      <c r="Q32" s="11"/>
      <c r="R32" s="11"/>
      <c r="S32" s="11"/>
      <c r="T32" s="11"/>
      <c r="U32" s="11"/>
      <c r="V32" s="11"/>
      <c r="X32" t="str">
        <v>Model Year: 79</v>
      </c>
      <c r="Y32" s="12">
        <v>5.1059820845240225</v>
      </c>
      <c r="Z32" s="12">
        <v>0.87407693909722706</v>
      </c>
      <c r="AA32" s="12">
        <v>5.8415705255851211</v>
      </c>
      <c r="AB32" s="19">
        <v>1.1226645573082098E-8</v>
      </c>
      <c r="AC32" s="12">
        <v>3.3872757178540738</v>
      </c>
      <c r="AD32" s="12">
        <v>6.8246884511939712</v>
      </c>
      <c r="AE32" s="12">
        <v>0.17144580454032013</v>
      </c>
      <c r="AG32" t="str">
        <v>Model Year: 82</v>
      </c>
      <c r="AH32" s="30" cm="1">
        <f t="array" ref="AH32">IF(ROW()-18&lt;=IFERROR(ROWS(_xlfn.ANCHORARRAY($AI$19)),0),INDEX(_xlfn.ANCHORARRAY($AI$19),ROW()-18),"")</f>
        <v>7.6530612244897961E-2</v>
      </c>
      <c r="AI32" s="12">
        <v>7.6530612244897961E-2</v>
      </c>
      <c r="AK32" t="str">
        <v>datsun pl510</v>
      </c>
      <c r="AL32" s="12">
        <v>27</v>
      </c>
      <c r="AM32" s="12">
        <v>27.44784298533256</v>
      </c>
      <c r="AN32" s="12">
        <v>-0.44784298533256006</v>
      </c>
      <c r="AO32" s="12">
        <v>5.0482475252271251E-2</v>
      </c>
      <c r="AP32" s="12">
        <v>-0.14983838636843658</v>
      </c>
      <c r="AQ32" s="12">
        <v>7.0215809939308985E-5</v>
      </c>
      <c r="AR32" s="12">
        <v>-1.8192221095957348</v>
      </c>
      <c r="AS32" s="12">
        <v>-1.2647682754399088</v>
      </c>
      <c r="AT32" s="12">
        <v>0.38708963609019109</v>
      </c>
      <c r="AU32" s="12">
        <v>-0.47165320666571647</v>
      </c>
      <c r="AV32" s="12" t="e">
        <v>#N/A</v>
      </c>
    </row>
    <row r="33" spans="17:48" x14ac:dyDescent="0.25">
      <c r="Q33" s="11"/>
      <c r="R33" s="11"/>
      <c r="S33" s="11"/>
      <c r="T33" s="11"/>
      <c r="U33" s="11"/>
      <c r="V33" s="11"/>
      <c r="X33" t="str">
        <v>Model Year: 80</v>
      </c>
      <c r="Y33" s="12">
        <v>9.1670835618192577</v>
      </c>
      <c r="Z33" s="12">
        <v>0.92246059063757935</v>
      </c>
      <c r="AA33" s="12">
        <v>9.9376424910285017</v>
      </c>
      <c r="AB33" s="19">
        <v>8.2240275742115951E-21</v>
      </c>
      <c r="AC33" s="12">
        <v>7.3532399295087911</v>
      </c>
      <c r="AD33" s="12">
        <v>10.980927194129723</v>
      </c>
      <c r="AE33" s="12">
        <v>0.2978206233373355</v>
      </c>
      <c r="AG33" t="str">
        <v>Origin: Europe</v>
      </c>
      <c r="AH33" s="30" cm="1">
        <f t="array" ref="AH33">IF(ROW()-18&lt;=IFERROR(ROWS(_xlfn.ANCHORARRAY($AI$19)),0),INDEX(_xlfn.ANCHORARRAY($AI$19),ROW()-18),"")</f>
        <v>0.17346938775510204</v>
      </c>
      <c r="AI33" s="12">
        <v>0.17346938775510204</v>
      </c>
      <c r="AK33" t="str">
        <v>chevrolet vega 2300</v>
      </c>
      <c r="AL33" s="12">
        <v>28</v>
      </c>
      <c r="AM33" s="12">
        <v>24.676945021900842</v>
      </c>
      <c r="AN33" s="12">
        <v>3.3230549780991581</v>
      </c>
      <c r="AO33" s="12">
        <v>4.6906901296231408E-2</v>
      </c>
      <c r="AP33" s="12">
        <v>1.1097334264431693</v>
      </c>
      <c r="AQ33" s="12">
        <v>3.5652487247722739E-3</v>
      </c>
      <c r="AR33" s="12">
        <v>-1.8192221095957348</v>
      </c>
      <c r="AS33" s="12">
        <v>-1.2628813097867091</v>
      </c>
      <c r="AT33" s="12">
        <v>1.0534388574773428</v>
      </c>
      <c r="AU33" s="12">
        <v>3.4866006087113623</v>
      </c>
      <c r="AV33" s="12" t="e">
        <v>#N/A</v>
      </c>
    </row>
    <row r="34" spans="17:48" x14ac:dyDescent="0.25">
      <c r="Q34" s="11"/>
      <c r="R34" s="11"/>
      <c r="S34" s="11"/>
      <c r="T34" s="11"/>
      <c r="U34" s="11"/>
      <c r="V34" s="11"/>
      <c r="X34" t="str">
        <v>Model Year: 81</v>
      </c>
      <c r="Y34" s="12">
        <v>6.5309047619851768</v>
      </c>
      <c r="Z34" s="12">
        <v>0.90984395584765865</v>
      </c>
      <c r="AA34" s="12">
        <v>7.1780492907716704</v>
      </c>
      <c r="AB34" s="19">
        <v>3.8191920779243274E-12</v>
      </c>
      <c r="AC34" s="12">
        <v>4.7418693468572641</v>
      </c>
      <c r="AD34" s="12">
        <v>8.3199401771130894</v>
      </c>
      <c r="AE34" s="12">
        <v>0.2157736071951083</v>
      </c>
      <c r="AG34" t="str">
        <v>Origin: US</v>
      </c>
      <c r="AH34" s="30" cm="1">
        <f t="array" ref="AH34">IF(ROW()-18&lt;=IFERROR(ROWS(_xlfn.ANCHORARRAY($AI$19)),0),INDEX(_xlfn.ANCHORARRAY($AI$19),ROW()-18),"")</f>
        <v>0.625</v>
      </c>
      <c r="AI34" s="12">
        <v>0.625</v>
      </c>
      <c r="AK34" t="str">
        <v>toyota corona</v>
      </c>
      <c r="AL34" s="12">
        <v>25</v>
      </c>
      <c r="AM34" s="12">
        <v>26.837983619376331</v>
      </c>
      <c r="AN34" s="12">
        <v>-1.837983619376331</v>
      </c>
      <c r="AO34" s="12">
        <v>5.0935386039696162E-2</v>
      </c>
      <c r="AP34" s="12">
        <v>-0.61509549983121248</v>
      </c>
      <c r="AQ34" s="12">
        <v>1.1944280641904474E-3</v>
      </c>
      <c r="AR34" s="12">
        <v>-1.8192221095957348</v>
      </c>
      <c r="AS34" s="12">
        <v>-1.260569504380137</v>
      </c>
      <c r="AT34" s="12">
        <v>0.78428024317281664</v>
      </c>
      <c r="AU34" s="12">
        <v>-1.9366264344286339</v>
      </c>
      <c r="AV34" s="12" t="e">
        <v>#N/A</v>
      </c>
    </row>
    <row r="35" spans="17:48" x14ac:dyDescent="0.25">
      <c r="Q35" s="11"/>
      <c r="R35" s="11"/>
      <c r="S35" s="11"/>
      <c r="T35" s="11"/>
      <c r="U35" s="11"/>
      <c r="V35" s="11"/>
      <c r="X35" t="str">
        <v>Model Year: 82</v>
      </c>
      <c r="Y35" s="12">
        <v>8.2093406715777686</v>
      </c>
      <c r="Z35" s="12">
        <v>0.88405378716381344</v>
      </c>
      <c r="AA35" s="12">
        <v>9.2860194603256581</v>
      </c>
      <c r="AB35" s="19">
        <v>1.3188191200496983E-18</v>
      </c>
      <c r="AC35" s="12">
        <v>6.4710167271817092</v>
      </c>
      <c r="AD35" s="12">
        <v>9.947664615973828</v>
      </c>
      <c r="AE35" s="12">
        <v>0.27997448525841329</v>
      </c>
      <c r="AH35" s="30" t="str" cm="1">
        <f t="array" ref="AH35">IF(ROW()-18&lt;=IFERROR(ROWS(_xlfn.ANCHORARRAY($AI$19)),0),INDEX(_xlfn.ANCHORARRAY($AI$19),ROW()-18),"")</f>
        <v/>
      </c>
      <c r="AK35" t="str">
        <v>amc gremlin</v>
      </c>
      <c r="AL35" s="12">
        <v>19</v>
      </c>
      <c r="AM35" s="12">
        <v>22.641156144772239</v>
      </c>
      <c r="AN35" s="12">
        <v>-3.6411561447722391</v>
      </c>
      <c r="AO35" s="12">
        <v>4.1917364463458243E-2</v>
      </c>
      <c r="AP35" s="12">
        <v>-1.2127928346337891</v>
      </c>
      <c r="AQ35" s="12">
        <v>3.7854309026787501E-3</v>
      </c>
      <c r="AR35" s="12">
        <v>-1.8192221095957348</v>
      </c>
      <c r="AS35" s="12">
        <v>-1.2377760380844054</v>
      </c>
      <c r="AT35" s="12">
        <v>1.1012687386073343</v>
      </c>
      <c r="AU35" s="12">
        <v>-3.8004614734856697</v>
      </c>
      <c r="AV35" s="12" t="e">
        <v>#N/A</v>
      </c>
    </row>
    <row r="36" spans="17:48" x14ac:dyDescent="0.25">
      <c r="Q36" s="11"/>
      <c r="R36" s="11"/>
      <c r="S36" s="11"/>
      <c r="T36" s="11"/>
      <c r="U36" s="11"/>
      <c r="V36" s="11"/>
      <c r="X36" t="str">
        <v>Origin: Europe</v>
      </c>
      <c r="Y36" s="12">
        <v>-0.12197684194985613</v>
      </c>
      <c r="Z36" s="12">
        <v>0.52750851256250852</v>
      </c>
      <c r="AA36" s="12">
        <v>-0.23123198781631443</v>
      </c>
      <c r="AB36" s="19">
        <v>0.8172606926747048</v>
      </c>
      <c r="AC36" s="12">
        <v>-1.1592221901112834</v>
      </c>
      <c r="AD36" s="12">
        <v>0.91526850621157108</v>
      </c>
      <c r="AE36" s="12">
        <v>-5.925153560440934E-3</v>
      </c>
      <c r="AH36" s="30" t="str" cm="1">
        <f t="array" ref="AH36">IF(ROW()-18&lt;=IFERROR(ROWS(_xlfn.ANCHORARRAY($AI$19)),0),INDEX(_xlfn.ANCHORARRAY($AI$19),ROW()-18),"")</f>
        <v/>
      </c>
      <c r="AK36" t="str">
        <v>plymouth satellite custom</v>
      </c>
      <c r="AL36" s="12">
        <v>16</v>
      </c>
      <c r="AM36" s="12">
        <v>18.484009744835557</v>
      </c>
      <c r="AN36" s="12">
        <v>-2.4840097448355571</v>
      </c>
      <c r="AO36" s="12">
        <v>4.0762584893143786E-2</v>
      </c>
      <c r="AP36" s="12">
        <v>-0.8268734431087178</v>
      </c>
      <c r="AQ36" s="12">
        <v>1.7090893677473593E-3</v>
      </c>
      <c r="AR36" s="12">
        <v>-1.3692588778592949</v>
      </c>
      <c r="AS36" s="12">
        <v>-1.2151675973963221</v>
      </c>
      <c r="AT36" s="12">
        <v>0.90932581790506628</v>
      </c>
      <c r="AU36" s="12">
        <v>-2.5895671975627073</v>
      </c>
      <c r="AV36" s="12" t="e">
        <v>#N/A</v>
      </c>
    </row>
    <row r="37" spans="17:48" x14ac:dyDescent="0.25">
      <c r="Q37" s="11"/>
      <c r="R37" s="11"/>
      <c r="S37" s="11"/>
      <c r="T37" s="11"/>
      <c r="U37" s="11"/>
      <c r="V37" s="11"/>
      <c r="X37" t="str">
        <v>Origin: US</v>
      </c>
      <c r="Y37" s="12">
        <v>-2.0599416110989863</v>
      </c>
      <c r="Z37" s="12">
        <v>0.49646458927845077</v>
      </c>
      <c r="AA37" s="12">
        <v>-4.1492216274535387</v>
      </c>
      <c r="AB37" s="19">
        <v>4.1310663778078783E-5</v>
      </c>
      <c r="AC37" s="12">
        <v>-3.0361449774758</v>
      </c>
      <c r="AD37" s="12">
        <v>-1.0837382447221724</v>
      </c>
      <c r="AE37" s="12">
        <v>-0.12793573952028456</v>
      </c>
      <c r="AH37" s="30" t="str" cm="1">
        <f t="array" ref="AH37">IF(ROW()-18&lt;=IFERROR(ROWS(_xlfn.ANCHORARRAY($AI$19)),0),INDEX(_xlfn.ANCHORARRAY($AI$19),ROW()-18),"")</f>
        <v/>
      </c>
      <c r="AK37" t="str">
        <v>chevrolet chevelle malibu</v>
      </c>
      <c r="AL37" s="12">
        <v>17</v>
      </c>
      <c r="AM37" s="12">
        <v>19.122155962266103</v>
      </c>
      <c r="AN37" s="12">
        <v>-2.1221559622661026</v>
      </c>
      <c r="AO37" s="12">
        <v>4.0942536286414317E-2</v>
      </c>
      <c r="AP37" s="12">
        <v>-0.70648636894145489</v>
      </c>
      <c r="AQ37" s="12">
        <v>1.2533973309379685E-3</v>
      </c>
      <c r="AR37" s="12">
        <v>-1.3692588778592949</v>
      </c>
      <c r="AS37" s="12">
        <v>-1.2127928346337891</v>
      </c>
      <c r="AT37" s="12">
        <v>0.84052743497250282</v>
      </c>
      <c r="AU37" s="12">
        <v>-2.2127516260067042</v>
      </c>
      <c r="AV37" s="12" t="e">
        <v>#N/A</v>
      </c>
    </row>
    <row r="38" spans="17:48" x14ac:dyDescent="0.25">
      <c r="Q38" s="11"/>
      <c r="R38" s="11"/>
      <c r="S38" s="11"/>
      <c r="T38" s="11"/>
      <c r="U38" s="11"/>
      <c r="V38" s="11"/>
      <c r="Y38" s="12"/>
      <c r="Z38" s="12"/>
      <c r="AA38" s="12"/>
      <c r="AB38" s="19"/>
      <c r="AC38" s="12"/>
      <c r="AD38" s="12"/>
      <c r="AE38" s="12"/>
      <c r="AH38" s="30" t="str" cm="1">
        <f t="array" ref="AH38">IF(ROW()-18&lt;=IFERROR(ROWS(_xlfn.ANCHORARRAY($AI$19)),0),INDEX(_xlfn.ANCHORARRAY($AI$19),ROW()-18),"")</f>
        <v/>
      </c>
      <c r="AK38" t="str">
        <v>ford torino 500</v>
      </c>
      <c r="AL38" s="12">
        <v>19</v>
      </c>
      <c r="AM38" s="12">
        <v>19.453702505316752</v>
      </c>
      <c r="AN38" s="12">
        <v>-0.45370250531675183</v>
      </c>
      <c r="AO38" s="12">
        <v>4.5737615254886607E-2</v>
      </c>
      <c r="AP38" s="12">
        <v>-0.15142098901853462</v>
      </c>
      <c r="AQ38" s="12">
        <v>6.4644108034656565E-5</v>
      </c>
      <c r="AR38" s="12">
        <v>-1.3692588778592949</v>
      </c>
      <c r="AS38" s="12">
        <v>-1.2081383307454165</v>
      </c>
      <c r="AT38" s="12">
        <v>0.38912849936561394</v>
      </c>
      <c r="AU38" s="12">
        <v>-0.47544838041367127</v>
      </c>
      <c r="AV38" s="12" t="e">
        <v>#N/A</v>
      </c>
    </row>
    <row r="39" spans="17:48" x14ac:dyDescent="0.25">
      <c r="Q39" s="11"/>
      <c r="R39" s="11"/>
      <c r="S39" s="11"/>
      <c r="T39" s="11"/>
      <c r="U39" s="11"/>
      <c r="V39" s="11"/>
      <c r="Y39" s="12"/>
      <c r="Z39" s="12"/>
      <c r="AA39" s="12"/>
      <c r="AB39" s="19"/>
      <c r="AC39" s="12"/>
      <c r="AD39" s="12"/>
      <c r="AE39" s="12"/>
      <c r="AH39" s="30" t="str" cm="1">
        <f t="array" ref="AH39">IF(ROW()-18&lt;=IFERROR(ROWS(_xlfn.ANCHORARRAY($AI$19)),0),INDEX(_xlfn.ANCHORARRAY($AI$19),ROW()-18),"")</f>
        <v/>
      </c>
      <c r="AK39" t="str">
        <v>amc matador</v>
      </c>
      <c r="AL39" s="12">
        <v>18</v>
      </c>
      <c r="AM39" s="12">
        <v>19.32975165648589</v>
      </c>
      <c r="AN39" s="12">
        <v>-1.3297516564858896</v>
      </c>
      <c r="AO39" s="12">
        <v>4.045648501890594E-2</v>
      </c>
      <c r="AP39" s="12">
        <v>-0.44257513070662002</v>
      </c>
      <c r="AQ39" s="12">
        <v>4.8578999244009346E-4</v>
      </c>
      <c r="AR39" s="12">
        <v>-1.3692588778592949</v>
      </c>
      <c r="AS39" s="12">
        <v>-1.1982691301329909</v>
      </c>
      <c r="AT39" s="12">
        <v>0.66526320408288031</v>
      </c>
      <c r="AU39" s="12">
        <v>-1.3858169387055779</v>
      </c>
      <c r="AV39" s="12" t="e">
        <v>#N/A</v>
      </c>
    </row>
    <row r="40" spans="17:48" x14ac:dyDescent="0.25">
      <c r="Q40" s="11"/>
      <c r="R40" s="11"/>
      <c r="S40" s="11"/>
      <c r="T40" s="11"/>
      <c r="U40" s="11"/>
      <c r="V40" s="11"/>
      <c r="Y40" s="12"/>
      <c r="Z40" s="12"/>
      <c r="AA40" s="12"/>
      <c r="AB40" s="19"/>
      <c r="AC40" s="12"/>
      <c r="AD40" s="12"/>
      <c r="AE40" s="12"/>
      <c r="AH40" s="30" t="str" cm="1">
        <f t="array" ref="AH40">IF(ROW()-18&lt;=IFERROR(ROWS(_xlfn.ANCHORARRAY($AI$19)),0),INDEX(_xlfn.ANCHORARRAY($AI$19),ROW()-18),"")</f>
        <v/>
      </c>
      <c r="AK40" t="str">
        <v>chevrolet impala</v>
      </c>
      <c r="AL40" s="12">
        <v>14</v>
      </c>
      <c r="AM40" s="12">
        <v>13.611075423983189</v>
      </c>
      <c r="AN40" s="12">
        <v>0.38892457601681052</v>
      </c>
      <c r="AO40" s="12">
        <v>4.490969346053824E-2</v>
      </c>
      <c r="AP40" s="12">
        <v>0.12974540077511315</v>
      </c>
      <c r="AQ40" s="12">
        <v>4.6561898072069656E-5</v>
      </c>
      <c r="AR40" s="12">
        <v>-1.3692588778592949</v>
      </c>
      <c r="AS40" s="12">
        <v>-1.1807393696594954</v>
      </c>
      <c r="AT40" s="12">
        <v>0.36020188891108434</v>
      </c>
      <c r="AU40" s="12">
        <v>0.40721235819677037</v>
      </c>
      <c r="AV40" s="12" t="e">
        <v>#N/A</v>
      </c>
    </row>
    <row r="41" spans="17:48" x14ac:dyDescent="0.25">
      <c r="Q41" s="11"/>
      <c r="R41" s="11"/>
      <c r="S41" s="11"/>
      <c r="T41" s="11"/>
      <c r="U41" s="11"/>
      <c r="V41" s="11"/>
      <c r="Y41" s="12"/>
      <c r="Z41" s="12"/>
      <c r="AA41" s="12"/>
      <c r="AB41" s="19"/>
      <c r="AC41" s="12"/>
      <c r="AD41" s="12"/>
      <c r="AE41" s="12"/>
      <c r="AH41" s="30" t="str" cm="1">
        <f t="array" ref="AH41">IF(ROW()-18&lt;=IFERROR(ROWS(_xlfn.ANCHORARRAY($AI$19)),0),INDEX(_xlfn.ANCHORARRAY($AI$19),ROW()-18),"")</f>
        <v/>
      </c>
      <c r="AK41" t="str">
        <v>pontiac catalina brougham</v>
      </c>
      <c r="AL41" s="12">
        <v>14</v>
      </c>
      <c r="AM41" s="12">
        <v>12.157567152593005</v>
      </c>
      <c r="AN41" s="12">
        <v>1.8424328474069949</v>
      </c>
      <c r="AO41" s="12">
        <v>4.8236454390409113E-2</v>
      </c>
      <c r="AP41" s="12">
        <v>0.61570961852167438</v>
      </c>
      <c r="AQ41" s="12">
        <v>1.1301842896385282E-3</v>
      </c>
      <c r="AR41" s="12">
        <v>-1.3692588778592949</v>
      </c>
      <c r="AS41" s="12">
        <v>-1.1692507528849174</v>
      </c>
      <c r="AT41" s="12">
        <v>0.78467166287669288</v>
      </c>
      <c r="AU41" s="12">
        <v>1.9358094307204665</v>
      </c>
      <c r="AV41" s="12" t="e">
        <v>#N/A</v>
      </c>
    </row>
    <row r="42" spans="17:48" x14ac:dyDescent="0.25">
      <c r="Q42" s="11"/>
      <c r="R42" s="11"/>
      <c r="S42" s="11"/>
      <c r="T42" s="11"/>
      <c r="U42" s="11"/>
      <c r="V42" s="11"/>
      <c r="Y42" s="12"/>
      <c r="Z42" s="12"/>
      <c r="AA42" s="12"/>
      <c r="AB42" s="19"/>
      <c r="AC42" s="12"/>
      <c r="AD42" s="12"/>
      <c r="AE42" s="12"/>
      <c r="AH42" s="30" t="str" cm="1">
        <f t="array" ref="AH42">IF(ROW()-18&lt;=IFERROR(ROWS(_xlfn.ANCHORARRAY($AI$19)),0),INDEX(_xlfn.ANCHORARRAY($AI$19),ROW()-18),"")</f>
        <v/>
      </c>
      <c r="AK42" t="str">
        <v>ford galaxie 500</v>
      </c>
      <c r="AL42" s="12">
        <v>14</v>
      </c>
      <c r="AM42" s="12">
        <v>14.084394636257104</v>
      </c>
      <c r="AN42" s="12">
        <v>-8.4394636257103528E-2</v>
      </c>
      <c r="AO42" s="12">
        <v>4.2572422246359647E-2</v>
      </c>
      <c r="AP42" s="12">
        <v>-2.8119699994223715E-2</v>
      </c>
      <c r="AQ42" s="12">
        <v>2.0682111384461643E-6</v>
      </c>
      <c r="AR42" s="12">
        <v>-1.3692588778592949</v>
      </c>
      <c r="AS42" s="12">
        <v>-1.1670319415810073</v>
      </c>
      <c r="AT42" s="12">
        <v>0.16768929600372146</v>
      </c>
      <c r="AU42" s="12">
        <v>-8.8147279458059918E-2</v>
      </c>
      <c r="AV42" s="12" t="e">
        <v>#N/A</v>
      </c>
    </row>
    <row r="43" spans="17:48" x14ac:dyDescent="0.25">
      <c r="Q43" s="11"/>
      <c r="R43" s="11"/>
      <c r="S43" s="11"/>
      <c r="T43" s="11"/>
      <c r="U43" s="11"/>
      <c r="V43" s="11"/>
      <c r="Y43" s="12"/>
      <c r="Z43" s="12"/>
      <c r="AA43" s="12"/>
      <c r="AB43" s="19"/>
      <c r="AC43" s="12"/>
      <c r="AD43" s="12"/>
      <c r="AE43" s="12"/>
      <c r="AH43" s="30" t="str" cm="1">
        <f t="array" ref="AH43">IF(ROW()-18&lt;=IFERROR(ROWS(_xlfn.ANCHORARRAY($AI$19)),0),INDEX(_xlfn.ANCHORARRAY($AI$19),ROW()-18),"")</f>
        <v/>
      </c>
      <c r="AK43" t="str">
        <v>plymouth fury iii</v>
      </c>
      <c r="AL43" s="12">
        <v>14</v>
      </c>
      <c r="AM43" s="12">
        <v>14.4267758897945</v>
      </c>
      <c r="AN43" s="12">
        <v>-0.42677588979450043</v>
      </c>
      <c r="AO43" s="12">
        <v>4.1929569462095764E-2</v>
      </c>
      <c r="AP43" s="12">
        <v>-0.14215101395795629</v>
      </c>
      <c r="AQ43" s="12">
        <v>5.2020433725499967E-5</v>
      </c>
      <c r="AR43" s="12">
        <v>-1.3692588778592949</v>
      </c>
      <c r="AS43" s="12">
        <v>-1.1524014899843342</v>
      </c>
      <c r="AT43" s="12">
        <v>0.37702919510026844</v>
      </c>
      <c r="AU43" s="12">
        <v>-0.4454535660336465</v>
      </c>
      <c r="AV43" s="12" t="e">
        <v>#N/A</v>
      </c>
    </row>
    <row r="44" spans="17:48" x14ac:dyDescent="0.25">
      <c r="Q44" s="11"/>
      <c r="R44" s="11"/>
      <c r="S44" s="11"/>
      <c r="T44" s="11"/>
      <c r="U44" s="11"/>
      <c r="V44" s="11"/>
      <c r="Y44" s="12"/>
      <c r="Z44" s="12"/>
      <c r="AA44" s="12"/>
      <c r="AB44" s="19"/>
      <c r="AC44" s="12"/>
      <c r="AD44" s="12"/>
      <c r="AE44" s="12"/>
      <c r="AH44" s="30" t="str" cm="1">
        <f t="array" ref="AH44">IF(ROW()-18&lt;=IFERROR(ROWS(_xlfn.ANCHORARRAY($AI$19)),0),INDEX(_xlfn.ANCHORARRAY($AI$19),ROW()-18),"")</f>
        <v/>
      </c>
      <c r="AK44" t="str">
        <v>dodge monaco (sw)</v>
      </c>
      <c r="AL44" s="12">
        <v>12</v>
      </c>
      <c r="AM44" s="12">
        <v>9.5902999718029793</v>
      </c>
      <c r="AN44" s="12">
        <v>2.4097000281970207</v>
      </c>
      <c r="AO44" s="12">
        <v>5.4827297260499556E-2</v>
      </c>
      <c r="AP44" s="12">
        <v>0.80808342930667132</v>
      </c>
      <c r="AQ44" s="12">
        <v>2.2281742354487285E-3</v>
      </c>
      <c r="AR44" s="12">
        <v>-1.3692588778592949</v>
      </c>
      <c r="AS44" s="12">
        <v>-1.1408976899843095</v>
      </c>
      <c r="AT44" s="12">
        <v>0.89893460791465318</v>
      </c>
      <c r="AU44" s="12">
        <v>2.5494811913343622</v>
      </c>
      <c r="AV44" s="12" t="e">
        <v>#N/A</v>
      </c>
    </row>
    <row r="45" spans="17:48" x14ac:dyDescent="0.25">
      <c r="Q45" s="11"/>
      <c r="R45" s="11"/>
      <c r="S45" s="11"/>
      <c r="T45" s="11"/>
      <c r="U45" s="11"/>
      <c r="V45" s="11"/>
      <c r="Y45" s="12"/>
      <c r="Z45" s="12"/>
      <c r="AA45" s="12"/>
      <c r="AB45" s="19"/>
      <c r="AC45" s="12"/>
      <c r="AD45" s="12"/>
      <c r="AE45" s="12"/>
      <c r="AH45" s="30" t="str" cm="1">
        <f t="array" ref="AH45">IF(ROW()-18&lt;=IFERROR(ROWS(_xlfn.ANCHORARRAY($AI$19)),0),INDEX(_xlfn.ANCHORARRAY($AI$19),ROW()-18),"")</f>
        <v/>
      </c>
      <c r="AK45" t="str">
        <v>ford country squire (sw)</v>
      </c>
      <c r="AL45" s="12">
        <v>13</v>
      </c>
      <c r="AM45" s="12">
        <v>10.81089600089779</v>
      </c>
      <c r="AN45" s="12">
        <v>2.1891039991022101</v>
      </c>
      <c r="AO45" s="12">
        <v>5.0818250261889436E-2</v>
      </c>
      <c r="AP45" s="12">
        <v>0.73255545774192499</v>
      </c>
      <c r="AQ45" s="12">
        <v>1.690061169542192E-3</v>
      </c>
      <c r="AR45" s="12">
        <v>-1.3692588778592949</v>
      </c>
      <c r="AS45" s="12">
        <v>-1.1267405125615217</v>
      </c>
      <c r="AT45" s="12">
        <v>0.8558945365767473</v>
      </c>
      <c r="AU45" s="12">
        <v>2.306306457858263</v>
      </c>
      <c r="AV45" s="12" t="e">
        <v>#N/A</v>
      </c>
    </row>
    <row r="46" spans="17:48" x14ac:dyDescent="0.25">
      <c r="Q46" s="11"/>
      <c r="R46" s="11"/>
      <c r="S46" s="11"/>
      <c r="T46" s="11"/>
      <c r="U46" s="11"/>
      <c r="V46" s="11"/>
      <c r="Y46" s="12"/>
      <c r="Z46" s="12"/>
      <c r="AA46" s="12"/>
      <c r="AB46" s="19"/>
      <c r="AC46" s="12"/>
      <c r="AD46" s="12"/>
      <c r="AE46" s="12"/>
      <c r="AH46" s="30" t="str" cm="1">
        <f t="array" ref="AH46">IF(ROW()-18&lt;=IFERROR(ROWS(_xlfn.ANCHORARRAY($AI$19)),0),INDEX(_xlfn.ANCHORARRAY($AI$19),ROW()-18),"")</f>
        <v/>
      </c>
      <c r="AK46" t="str">
        <v>pontiac safari (sw)</v>
      </c>
      <c r="AL46" s="12">
        <v>13</v>
      </c>
      <c r="AM46" s="12">
        <v>8.7347698527740878</v>
      </c>
      <c r="AN46" s="12">
        <v>4.2652301472259122</v>
      </c>
      <c r="AO46" s="12">
        <v>6.0087439699154588E-2</v>
      </c>
      <c r="AP46" s="12">
        <v>1.4343249307838992</v>
      </c>
      <c r="AQ46" s="12">
        <v>7.7364623983457691E-3</v>
      </c>
      <c r="AR46" s="12">
        <v>-1.3692588778592949</v>
      </c>
      <c r="AS46" s="12">
        <v>-1.1208436092324714</v>
      </c>
      <c r="AT46" s="12">
        <v>1.1976330534783595</v>
      </c>
      <c r="AU46" s="12">
        <v>4.5379009999192963</v>
      </c>
      <c r="AV46" s="12" t="e">
        <v>#N/A</v>
      </c>
    </row>
    <row r="47" spans="17:48" x14ac:dyDescent="0.25">
      <c r="Q47" s="11"/>
      <c r="R47" s="11"/>
      <c r="S47" s="11"/>
      <c r="T47" s="11"/>
      <c r="U47" s="11"/>
      <c r="V47" s="11"/>
      <c r="Y47" s="12"/>
      <c r="Z47" s="12"/>
      <c r="AA47" s="12"/>
      <c r="AB47" s="19"/>
      <c r="AC47" s="12"/>
      <c r="AD47" s="12"/>
      <c r="AE47" s="12"/>
      <c r="AH47" s="30" t="str" cm="1">
        <f t="array" ref="AH47">IF(ROW()-18&lt;=IFERROR(ROWS(_xlfn.ANCHORARRAY($AI$19)),0),INDEX(_xlfn.ANCHORARRAY($AI$19),ROW()-18),"")</f>
        <v/>
      </c>
      <c r="AK47" t="str">
        <v>amc hornet sportabout (sw)</v>
      </c>
      <c r="AL47" s="12">
        <v>18</v>
      </c>
      <c r="AM47" s="12">
        <v>20.818026271478537</v>
      </c>
      <c r="AN47" s="12">
        <v>-2.8180262714785371</v>
      </c>
      <c r="AO47" s="12">
        <v>3.9345147076828242E-2</v>
      </c>
      <c r="AP47" s="12">
        <v>-0.93736805879047014</v>
      </c>
      <c r="AQ47" s="12">
        <v>2.1168747955341571E-3</v>
      </c>
      <c r="AR47" s="12">
        <v>-1.3692588778592949</v>
      </c>
      <c r="AS47" s="12">
        <v>-1.1079659887017894</v>
      </c>
      <c r="AT47" s="12">
        <v>0.9681777000068067</v>
      </c>
      <c r="AU47" s="12">
        <v>-2.9334430184822149</v>
      </c>
      <c r="AV47" s="12" t="e">
        <v>#N/A</v>
      </c>
    </row>
    <row r="48" spans="17:48" x14ac:dyDescent="0.25">
      <c r="Q48" s="11"/>
      <c r="R48" s="11"/>
      <c r="S48" s="11"/>
      <c r="T48" s="11"/>
      <c r="U48" s="11"/>
      <c r="V48" s="11"/>
      <c r="Y48" s="12"/>
      <c r="Z48" s="12"/>
      <c r="AA48" s="12"/>
      <c r="AB48" s="19"/>
      <c r="AC48" s="12"/>
      <c r="AD48" s="12"/>
      <c r="AE48" s="12"/>
      <c r="AH48" s="30" t="str" cm="1">
        <f t="array" ref="AH48">IF(ROW()-18&lt;=IFERROR(ROWS(_xlfn.ANCHORARRAY($AI$19)),0),INDEX(_xlfn.ANCHORARRAY($AI$19),ROW()-18),"")</f>
        <v/>
      </c>
      <c r="AK48" t="str">
        <v>chevrolet vega (sw)</v>
      </c>
      <c r="AL48" s="12">
        <v>22</v>
      </c>
      <c r="AM48" s="12">
        <v>24.240084212487776</v>
      </c>
      <c r="AN48" s="12">
        <v>-2.2400842124877762</v>
      </c>
      <c r="AO48" s="12">
        <v>4.4387571078158897E-2</v>
      </c>
      <c r="AP48" s="12">
        <v>-0.74708884873176218</v>
      </c>
      <c r="AQ48" s="12">
        <v>1.5250187306289781E-3</v>
      </c>
      <c r="AR48" s="12">
        <v>-1.3692588778592949</v>
      </c>
      <c r="AS48" s="12">
        <v>-1.0776013794312584</v>
      </c>
      <c r="AT48" s="12">
        <v>0.86434301566667515</v>
      </c>
      <c r="AU48" s="12">
        <v>-2.344134656154615</v>
      </c>
      <c r="AV48" s="12" t="e">
        <v>#N/A</v>
      </c>
    </row>
    <row r="49" spans="17:48" x14ac:dyDescent="0.25">
      <c r="Q49" s="11"/>
      <c r="R49" s="11"/>
      <c r="S49" s="11"/>
      <c r="T49" s="11"/>
      <c r="U49" s="11"/>
      <c r="V49" s="11"/>
      <c r="Y49" s="12"/>
      <c r="Z49" s="12"/>
      <c r="AA49" s="12"/>
      <c r="AB49" s="19"/>
      <c r="AC49" s="12"/>
      <c r="AD49" s="12"/>
      <c r="AE49" s="12"/>
      <c r="AH49" s="30" t="str" cm="1">
        <f t="array" ref="AH49">IF(ROW()-18&lt;=IFERROR(ROWS(_xlfn.ANCHORARRAY($AI$19)),0),INDEX(_xlfn.ANCHORARRAY($AI$19),ROW()-18),"")</f>
        <v/>
      </c>
      <c r="AK49" t="str">
        <v>pontiac firebird</v>
      </c>
      <c r="AL49" s="12">
        <v>19</v>
      </c>
      <c r="AM49" s="12">
        <v>19.36013151417659</v>
      </c>
      <c r="AN49" s="12">
        <v>-0.36013151417659017</v>
      </c>
      <c r="AO49" s="12">
        <v>4.0391072118825221E-2</v>
      </c>
      <c r="AP49" s="12">
        <v>-0.119856830968657</v>
      </c>
      <c r="AQ49" s="12">
        <v>3.5568681059557331E-5</v>
      </c>
      <c r="AR49" s="12">
        <v>-1.3692588778592949</v>
      </c>
      <c r="AS49" s="12">
        <v>-1.0767196379396311</v>
      </c>
      <c r="AT49" s="12">
        <v>0.34620345314375045</v>
      </c>
      <c r="AU49" s="12">
        <v>-0.37528987456563562</v>
      </c>
      <c r="AV49" s="12" t="e">
        <v>#N/A</v>
      </c>
    </row>
    <row r="50" spans="17:48" x14ac:dyDescent="0.25">
      <c r="Q50" s="11"/>
      <c r="R50" s="11"/>
      <c r="S50" s="11"/>
      <c r="T50" s="11"/>
      <c r="U50" s="11"/>
      <c r="V50" s="11"/>
      <c r="Y50" s="12"/>
      <c r="Z50" s="12"/>
      <c r="AA50" s="12"/>
      <c r="AB50" s="19"/>
      <c r="AC50" s="12"/>
      <c r="AD50" s="12"/>
      <c r="AE50" s="12"/>
      <c r="AH50" s="30" t="str" cm="1">
        <f t="array" ref="AH50">IF(ROW()-18&lt;=IFERROR(ROWS(_xlfn.ANCHORARRAY($AI$19)),0),INDEX(_xlfn.ANCHORARRAY($AI$19),ROW()-18),"")</f>
        <v/>
      </c>
      <c r="AK50" t="str">
        <v>ford mustang</v>
      </c>
      <c r="AL50" s="12">
        <v>18</v>
      </c>
      <c r="AM50" s="12">
        <v>20.279021972580779</v>
      </c>
      <c r="AN50" s="12">
        <v>-2.2790219725807788</v>
      </c>
      <c r="AO50" s="12">
        <v>4.2955679782943249E-2</v>
      </c>
      <c r="AP50" s="12">
        <v>-0.75950614299184738</v>
      </c>
      <c r="AQ50" s="12">
        <v>1.5230080763382213E-3</v>
      </c>
      <c r="AR50" s="12">
        <v>-1.3692588778592949</v>
      </c>
      <c r="AS50" s="12">
        <v>-1.0639613519924846</v>
      </c>
      <c r="AT50" s="12">
        <v>0.87149649625907699</v>
      </c>
      <c r="AU50" s="12">
        <v>-2.3813128863916133</v>
      </c>
      <c r="AV50" s="12" t="e">
        <v>#N/A</v>
      </c>
    </row>
    <row r="51" spans="17:48" x14ac:dyDescent="0.25">
      <c r="Q51" s="11"/>
      <c r="R51" s="11"/>
      <c r="S51" s="11"/>
      <c r="T51" s="11"/>
      <c r="U51" s="11"/>
      <c r="V51" s="11"/>
      <c r="Y51" s="12"/>
      <c r="Z51" s="12"/>
      <c r="AA51" s="12"/>
      <c r="AB51" s="19"/>
      <c r="AC51" s="12"/>
      <c r="AD51" s="12"/>
      <c r="AE51" s="12"/>
      <c r="AH51" s="30" t="str" cm="1">
        <f t="array" ref="AH51">IF(ROW()-18&lt;=IFERROR(ROWS(_xlfn.ANCHORARRAY($AI$19)),0),INDEX(_xlfn.ANCHORARRAY($AI$19),ROW()-18),"")</f>
        <v/>
      </c>
      <c r="AK51" t="str">
        <v>mercury capri 2000</v>
      </c>
      <c r="AL51" s="12">
        <v>23</v>
      </c>
      <c r="AM51" s="12">
        <v>24.964676372780147</v>
      </c>
      <c r="AN51" s="12">
        <v>-1.9646763727801471</v>
      </c>
      <c r="AO51" s="12">
        <v>4.6967075740257901E-2</v>
      </c>
      <c r="AP51" s="12">
        <v>-0.65612392430107436</v>
      </c>
      <c r="AQ51" s="12">
        <v>1.2479823486709657E-3</v>
      </c>
      <c r="AR51" s="12">
        <v>-1.3692588778592949</v>
      </c>
      <c r="AS51" s="12">
        <v>-1.0306011185079671</v>
      </c>
      <c r="AT51" s="12">
        <v>0.81001476795245797</v>
      </c>
      <c r="AU51" s="12">
        <v>-2.0614989501083483</v>
      </c>
      <c r="AV51" s="12" t="e">
        <v>#N/A</v>
      </c>
    </row>
    <row r="52" spans="17:48" x14ac:dyDescent="0.25">
      <c r="Q52" s="11"/>
      <c r="R52" s="11"/>
      <c r="S52" s="11"/>
      <c r="T52" s="11"/>
      <c r="U52" s="11"/>
      <c r="V52" s="11"/>
      <c r="Y52" s="12"/>
      <c r="Z52" s="12"/>
      <c r="AA52" s="12"/>
      <c r="AB52" s="19"/>
      <c r="AC52" s="12"/>
      <c r="AD52" s="12"/>
      <c r="AE52" s="12"/>
      <c r="AH52" s="30" t="str" cm="1">
        <f t="array" ref="AH52">IF(ROW()-18&lt;=IFERROR(ROWS(_xlfn.ANCHORARRAY($AI$19)),0),INDEX(_xlfn.ANCHORARRAY($AI$19),ROW()-18),"")</f>
        <v/>
      </c>
      <c r="AK52" t="str">
        <v>opel 1900</v>
      </c>
      <c r="AL52" s="12">
        <v>28</v>
      </c>
      <c r="AM52" s="12">
        <v>27.328836446781434</v>
      </c>
      <c r="AN52" s="12">
        <v>0.67116355321856602</v>
      </c>
      <c r="AO52" s="12">
        <v>5.4491719512995432E-2</v>
      </c>
      <c r="AP52" s="12">
        <v>0.22503211391071432</v>
      </c>
      <c r="AQ52" s="12">
        <v>1.7167428775597299E-4</v>
      </c>
      <c r="AR52" s="12">
        <v>-1.3692588778592949</v>
      </c>
      <c r="AS52" s="12">
        <v>-1.0254466826344892</v>
      </c>
      <c r="AT52" s="12">
        <v>0.47437549885161051</v>
      </c>
      <c r="AU52" s="12">
        <v>0.70984418335592858</v>
      </c>
      <c r="AV52" s="12" t="e">
        <v>#N/A</v>
      </c>
    </row>
    <row r="53" spans="17:48" x14ac:dyDescent="0.25">
      <c r="Q53" s="11"/>
      <c r="R53" s="11"/>
      <c r="S53" s="11"/>
      <c r="T53" s="11"/>
      <c r="U53" s="11"/>
      <c r="V53" s="11"/>
      <c r="Y53" s="12"/>
      <c r="Z53" s="12"/>
      <c r="AA53" s="12"/>
      <c r="AB53" s="19"/>
      <c r="AC53" s="12"/>
      <c r="AD53" s="12"/>
      <c r="AE53" s="12"/>
      <c r="AH53" s="30" t="str" cm="1">
        <f t="array" ref="AH53">IF(ROW()-18&lt;=IFERROR(ROWS(_xlfn.ANCHORARRAY($AI$19)),0),INDEX(_xlfn.ANCHORARRAY($AI$19),ROW()-18),"")</f>
        <v/>
      </c>
      <c r="AK53" t="str">
        <v>peugeot 304</v>
      </c>
      <c r="AL53" s="12">
        <v>30</v>
      </c>
      <c r="AM53" s="12">
        <v>27.90166725699298</v>
      </c>
      <c r="AN53" s="12">
        <v>2.0983327430070204</v>
      </c>
      <c r="AO53" s="12">
        <v>5.0904856771056842E-2</v>
      </c>
      <c r="AP53" s="12">
        <v>0.70221206283556825</v>
      </c>
      <c r="AQ53" s="12">
        <v>1.5557403605267906E-3</v>
      </c>
      <c r="AR53" s="12">
        <v>-1.3692588778592949</v>
      </c>
      <c r="AS53" s="12">
        <v>-1.0214074988536541</v>
      </c>
      <c r="AT53" s="12">
        <v>0.83798094419596936</v>
      </c>
      <c r="AU53" s="12">
        <v>2.2108771264682945</v>
      </c>
      <c r="AV53" s="12" t="e">
        <v>#N/A</v>
      </c>
    </row>
    <row r="54" spans="17:48" x14ac:dyDescent="0.25">
      <c r="Q54" s="11"/>
      <c r="R54" s="11"/>
      <c r="S54" s="11"/>
      <c r="T54" s="11"/>
      <c r="U54" s="11"/>
      <c r="V54" s="11"/>
      <c r="Y54" s="12"/>
      <c r="Z54" s="12"/>
      <c r="AA54" s="12"/>
      <c r="AB54" s="19"/>
      <c r="AC54" s="12"/>
      <c r="AD54" s="12"/>
      <c r="AE54" s="12"/>
      <c r="AH54" s="30" t="str" cm="1">
        <f t="array" ref="AH54">IF(ROW()-18&lt;=IFERROR(ROWS(_xlfn.ANCHORARRAY($AI$19)),0),INDEX(_xlfn.ANCHORARRAY($AI$19),ROW()-18),"")</f>
        <v/>
      </c>
      <c r="AK54" t="str">
        <v>fiat 124b</v>
      </c>
      <c r="AL54" s="12">
        <v>30</v>
      </c>
      <c r="AM54" s="12">
        <v>27.849818451807788</v>
      </c>
      <c r="AN54" s="12">
        <v>2.1501815481922115</v>
      </c>
      <c r="AO54" s="12">
        <v>5.1536941571397543E-2</v>
      </c>
      <c r="AP54" s="12">
        <v>0.71980311888979953</v>
      </c>
      <c r="AQ54" s="12">
        <v>1.6560625973104767E-3</v>
      </c>
      <c r="AR54" s="12">
        <v>-1.3692588778592949</v>
      </c>
      <c r="AS54" s="12">
        <v>-1.0101337973139408</v>
      </c>
      <c r="AT54" s="12">
        <v>0.84841211618517065</v>
      </c>
      <c r="AU54" s="12">
        <v>2.2670166529781306</v>
      </c>
      <c r="AV54" s="12" t="e">
        <v>#N/A</v>
      </c>
    </row>
    <row r="55" spans="17:48" x14ac:dyDescent="0.25">
      <c r="Q55" s="11"/>
      <c r="R55" s="11"/>
      <c r="S55" s="11"/>
      <c r="T55" s="11"/>
      <c r="U55" s="11"/>
      <c r="V55" s="11"/>
      <c r="Y55" s="12"/>
      <c r="Z55" s="12"/>
      <c r="AA55" s="12"/>
      <c r="AB55" s="19"/>
      <c r="AC55" s="12"/>
      <c r="AD55" s="12"/>
      <c r="AE55" s="12"/>
      <c r="AH55" s="30" t="str" cm="1">
        <f t="array" ref="AH55">IF(ROW()-18&lt;=IFERROR(ROWS(_xlfn.ANCHORARRAY($AI$19)),0),INDEX(_xlfn.ANCHORARRAY($AI$19),ROW()-18),"")</f>
        <v/>
      </c>
      <c r="AK55" t="str">
        <v>toyota corolla 1200</v>
      </c>
      <c r="AL55" s="12">
        <v>31</v>
      </c>
      <c r="AM55" s="12">
        <v>29.62888245286068</v>
      </c>
      <c r="AN55" s="12">
        <v>1.3711175471393204</v>
      </c>
      <c r="AO55" s="12">
        <v>5.1440861703403784E-2</v>
      </c>
      <c r="AP55" s="12">
        <v>0.45897738397457388</v>
      </c>
      <c r="AQ55" s="12">
        <v>6.7201268951934195E-4</v>
      </c>
      <c r="AR55" s="12">
        <v>-1.1080108204698569</v>
      </c>
      <c r="AS55" s="12">
        <v>-1.0076315540428575</v>
      </c>
      <c r="AT55" s="12">
        <v>0.67747869632526003</v>
      </c>
      <c r="AU55" s="12">
        <v>1.4454739739280213</v>
      </c>
      <c r="AV55" s="12" t="e">
        <v>#N/A</v>
      </c>
    </row>
    <row r="56" spans="17:48" x14ac:dyDescent="0.25">
      <c r="Q56" s="11"/>
      <c r="R56" s="11"/>
      <c r="S56" s="11"/>
      <c r="T56" s="11"/>
      <c r="U56" s="11"/>
      <c r="V56" s="11"/>
      <c r="Y56" s="12"/>
      <c r="Z56" s="12"/>
      <c r="AA56" s="12"/>
      <c r="AB56" s="19"/>
      <c r="AC56" s="12"/>
      <c r="AD56" s="12"/>
      <c r="AE56" s="12"/>
      <c r="AH56" s="30" t="str" cm="1">
        <f t="array" ref="AH56">IF(ROW()-18&lt;=IFERROR(ROWS(_xlfn.ANCHORARRAY($AI$19)),0),INDEX(_xlfn.ANCHORARRAY($AI$19),ROW()-18),"")</f>
        <v/>
      </c>
      <c r="AK56" t="str">
        <v>datsun 1200</v>
      </c>
      <c r="AL56" s="12">
        <v>35</v>
      </c>
      <c r="AM56" s="12">
        <v>30.374066263465199</v>
      </c>
      <c r="AN56" s="12">
        <v>4.625933736534801</v>
      </c>
      <c r="AO56" s="12">
        <v>5.3281992204502804E-2</v>
      </c>
      <c r="AP56" s="12">
        <v>1.5500221062846573</v>
      </c>
      <c r="AQ56" s="12">
        <v>7.9540200138242968E-3</v>
      </c>
      <c r="AR56" s="12">
        <v>-1.0962733150227</v>
      </c>
      <c r="AS56" s="12">
        <v>-1.0042751043337586</v>
      </c>
      <c r="AT56" s="12">
        <v>1.2449988378647818</v>
      </c>
      <c r="AU56" s="12">
        <v>4.8862847209451834</v>
      </c>
      <c r="AV56" s="12" t="e">
        <v>#N/A</v>
      </c>
    </row>
    <row r="57" spans="17:48" x14ac:dyDescent="0.25">
      <c r="Q57" s="11"/>
      <c r="R57" s="11"/>
      <c r="S57" s="11"/>
      <c r="T57" s="11"/>
      <c r="U57" s="11"/>
      <c r="V57" s="11"/>
      <c r="Y57" s="12"/>
      <c r="Z57" s="12"/>
      <c r="AA57" s="12"/>
      <c r="AB57" s="19"/>
      <c r="AC57" s="12"/>
      <c r="AD57" s="12"/>
      <c r="AE57" s="12"/>
      <c r="AH57" s="30" t="str" cm="1">
        <f t="array" ref="AH57">IF(ROW()-18&lt;=IFERROR(ROWS(_xlfn.ANCHORARRAY($AI$19)),0),INDEX(_xlfn.ANCHORARRAY($AI$19),ROW()-18),"")</f>
        <v/>
      </c>
      <c r="AK57" t="str">
        <v>volkswagen model 111</v>
      </c>
      <c r="AL57" s="12">
        <v>27</v>
      </c>
      <c r="AM57" s="12">
        <v>29.279225884156411</v>
      </c>
      <c r="AN57" s="12">
        <v>-2.2792258841564106</v>
      </c>
      <c r="AO57" s="12">
        <v>5.2154473018058457E-2</v>
      </c>
      <c r="AP57" s="12">
        <v>-0.76325101320992295</v>
      </c>
      <c r="AQ57" s="12">
        <v>1.8855578190512155E-3</v>
      </c>
      <c r="AR57" s="12">
        <v>-1.0962733150227</v>
      </c>
      <c r="AS57" s="12">
        <v>-0.97713360215342948</v>
      </c>
      <c r="AT57" s="12">
        <v>0.87364238290614249</v>
      </c>
      <c r="AU57" s="12">
        <v>-2.4046385400095205</v>
      </c>
      <c r="AV57" s="12" t="e">
        <v>#N/A</v>
      </c>
    </row>
    <row r="58" spans="17:48" x14ac:dyDescent="0.25">
      <c r="Q58" s="11"/>
      <c r="R58" s="11"/>
      <c r="S58" s="11"/>
      <c r="T58" s="11"/>
      <c r="U58" s="11"/>
      <c r="V58" s="11"/>
      <c r="Y58" s="12"/>
      <c r="Z58" s="12"/>
      <c r="AA58" s="12"/>
      <c r="AB58" s="19"/>
      <c r="AC58" s="12"/>
      <c r="AD58" s="12"/>
      <c r="AE58" s="12"/>
      <c r="AH58" s="30" t="str" cm="1">
        <f t="array" ref="AH58">IF(ROW()-18&lt;=IFERROR(ROWS(_xlfn.ANCHORARRAY($AI$19)),0),INDEX(_xlfn.ANCHORARRAY($AI$19),ROW()-18),"")</f>
        <v/>
      </c>
      <c r="AK58" t="str">
        <v>plymouth cricket</v>
      </c>
      <c r="AL58" s="12">
        <v>26</v>
      </c>
      <c r="AM58" s="12">
        <v>26.566236332042742</v>
      </c>
      <c r="AN58" s="12">
        <v>-0.56623633204274171</v>
      </c>
      <c r="AO58" s="12">
        <v>5.0200126232252701E-2</v>
      </c>
      <c r="AP58" s="12">
        <v>-0.18942202796255866</v>
      </c>
      <c r="AQ58" s="12">
        <v>1.1155389639298558E-4</v>
      </c>
      <c r="AR58" s="12">
        <v>-1.0962733150227</v>
      </c>
      <c r="AS58" s="12">
        <v>-0.97305252208919468</v>
      </c>
      <c r="AT58" s="12">
        <v>0.43522641000122991</v>
      </c>
      <c r="AU58" s="12">
        <v>-0.59616383164649944</v>
      </c>
      <c r="AV58" s="12" t="e">
        <v>#N/A</v>
      </c>
    </row>
    <row r="59" spans="17:48" x14ac:dyDescent="0.25">
      <c r="Q59" s="11"/>
      <c r="R59" s="11"/>
      <c r="S59" s="11"/>
      <c r="T59" s="11"/>
      <c r="U59" s="11"/>
      <c r="V59" s="11"/>
      <c r="Y59" s="12"/>
      <c r="Z59" s="12"/>
      <c r="AA59" s="12"/>
      <c r="AB59" s="19"/>
      <c r="AC59" s="12"/>
      <c r="AD59" s="12"/>
      <c r="AE59" s="12"/>
      <c r="AH59" s="30" t="str" cm="1">
        <f t="array" ref="AH59">IF(ROW()-18&lt;=IFERROR(ROWS(_xlfn.ANCHORARRAY($AI$19)),0),INDEX(_xlfn.ANCHORARRAY($AI$19),ROW()-18),"")</f>
        <v/>
      </c>
      <c r="AK59" t="str">
        <v>toyota corona hardtop</v>
      </c>
      <c r="AL59" s="12">
        <v>24</v>
      </c>
      <c r="AM59" s="12">
        <v>25.328456204078385</v>
      </c>
      <c r="AN59" s="12">
        <v>-1.3284562040783854</v>
      </c>
      <c r="AO59" s="12">
        <v>4.812672986947801E-2</v>
      </c>
      <c r="AP59" s="12">
        <v>-0.44392180663234571</v>
      </c>
      <c r="AQ59" s="12">
        <v>5.8609937575260836E-4</v>
      </c>
      <c r="AR59" s="12">
        <v>-1.0962733150227</v>
      </c>
      <c r="AS59" s="12">
        <v>-0.95975295748031186</v>
      </c>
      <c r="AT59" s="12">
        <v>0.66627457300451265</v>
      </c>
      <c r="AU59" s="12">
        <v>-1.3956229739450776</v>
      </c>
      <c r="AV59" s="12" t="e">
        <v>#N/A</v>
      </c>
    </row>
    <row r="60" spans="17:48" x14ac:dyDescent="0.25">
      <c r="Q60" s="11"/>
      <c r="R60" s="11"/>
      <c r="S60" s="11"/>
      <c r="T60" s="11"/>
      <c r="U60" s="11"/>
      <c r="V60" s="11"/>
      <c r="Y60" s="12"/>
      <c r="Z60" s="12"/>
      <c r="AA60" s="12"/>
      <c r="AB60" s="19"/>
      <c r="AC60" s="12"/>
      <c r="AD60" s="12"/>
      <c r="AE60" s="12"/>
      <c r="AH60" s="30" t="str" cm="1">
        <f t="array" ref="AH60">IF(ROW()-18&lt;=IFERROR(ROWS(_xlfn.ANCHORARRAY($AI$19)),0),INDEX(_xlfn.ANCHORARRAY($AI$19),ROW()-18),"")</f>
        <v/>
      </c>
      <c r="AK60" t="str">
        <v>dodge colt hardtop</v>
      </c>
      <c r="AL60" s="12">
        <v>25</v>
      </c>
      <c r="AM60" s="12">
        <v>24.28168413378026</v>
      </c>
      <c r="AN60" s="12">
        <v>0.71831586621973997</v>
      </c>
      <c r="AO60" s="12">
        <v>5.0955596766720554E-2</v>
      </c>
      <c r="AP60" s="12">
        <v>0.24039254577346184</v>
      </c>
      <c r="AQ60" s="12">
        <v>1.8251494497609693E-4</v>
      </c>
      <c r="AR60" s="12">
        <v>-1.0962733150227</v>
      </c>
      <c r="AS60" s="12">
        <v>-0.95733088971303293</v>
      </c>
      <c r="AT60" s="12">
        <v>0.49029842522025485</v>
      </c>
      <c r="AU60" s="12">
        <v>0.75688330680052984</v>
      </c>
      <c r="AV60" s="12" t="e">
        <v>#N/A</v>
      </c>
    </row>
    <row r="61" spans="17:48" x14ac:dyDescent="0.25">
      <c r="Q61" s="11"/>
      <c r="R61" s="11"/>
      <c r="S61" s="11"/>
      <c r="T61" s="11"/>
      <c r="U61" s="11"/>
      <c r="V61" s="11"/>
      <c r="Y61" s="12"/>
      <c r="Z61" s="12"/>
      <c r="AA61" s="12"/>
      <c r="AB61" s="19"/>
      <c r="AC61" s="12"/>
      <c r="AD61" s="12"/>
      <c r="AE61" s="12"/>
      <c r="AH61" s="30" t="str" cm="1">
        <f t="array" ref="AH61">IF(ROW()-18&lt;=IFERROR(ROWS(_xlfn.ANCHORARRAY($AI$19)),0),INDEX(_xlfn.ANCHORARRAY($AI$19),ROW()-18),"")</f>
        <v/>
      </c>
      <c r="AK61" t="str">
        <v>volkswagen type 3</v>
      </c>
      <c r="AL61" s="12">
        <v>23</v>
      </c>
      <c r="AM61" s="12">
        <v>25.993692502986516</v>
      </c>
      <c r="AN61" s="12">
        <v>-2.9936925029865158</v>
      </c>
      <c r="AO61" s="12">
        <v>5.5489928772256662E-2</v>
      </c>
      <c r="AP61" s="12">
        <v>-1.0042751043337586</v>
      </c>
      <c r="AQ61" s="12">
        <v>3.4854916482902278E-3</v>
      </c>
      <c r="AR61" s="12">
        <v>-1.0962733150227</v>
      </c>
      <c r="AS61" s="12">
        <v>-0.9474999235105962</v>
      </c>
      <c r="AT61" s="12">
        <v>1.0021352724726131</v>
      </c>
      <c r="AU61" s="12">
        <v>-3.1695718173709837</v>
      </c>
      <c r="AV61" s="12" t="e">
        <v>#N/A</v>
      </c>
    </row>
    <row r="62" spans="17:48" x14ac:dyDescent="0.25">
      <c r="Q62" s="11"/>
      <c r="R62" s="11"/>
      <c r="S62" s="11"/>
      <c r="T62" s="11"/>
      <c r="U62" s="11"/>
      <c r="V62" s="11"/>
      <c r="Y62" s="12"/>
      <c r="Z62" s="12"/>
      <c r="AA62" s="12"/>
      <c r="AB62" s="19"/>
      <c r="AC62" s="12"/>
      <c r="AD62" s="12"/>
      <c r="AE62" s="12"/>
      <c r="AH62" s="30" t="str" cm="1">
        <f t="array" ref="AH62">IF(ROW()-18&lt;=IFERROR(ROWS(_xlfn.ANCHORARRAY($AI$19)),0),INDEX(_xlfn.ANCHORARRAY($AI$19),ROW()-18),"")</f>
        <v/>
      </c>
      <c r="AK62" t="str">
        <v>chevrolet vega</v>
      </c>
      <c r="AL62" s="12">
        <v>20</v>
      </c>
      <c r="AM62" s="12">
        <v>22.691466502781925</v>
      </c>
      <c r="AN62" s="12">
        <v>-2.6914665027819247</v>
      </c>
      <c r="AO62" s="12">
        <v>4.618302958520222E-2</v>
      </c>
      <c r="AP62" s="12">
        <v>-0.8984734746582822</v>
      </c>
      <c r="AQ62" s="12">
        <v>2.2992117628888448E-3</v>
      </c>
      <c r="AR62" s="12">
        <v>-1.0962733150227</v>
      </c>
      <c r="AS62" s="12">
        <v>-0.93736805879047014</v>
      </c>
      <c r="AT62" s="12">
        <v>0.94787840710625015</v>
      </c>
      <c r="AU62" s="12">
        <v>-2.8217850869349226</v>
      </c>
      <c r="AV62" s="12" t="e">
        <v>#N/A</v>
      </c>
    </row>
    <row r="63" spans="17:48" x14ac:dyDescent="0.25">
      <c r="AK63" t="str">
        <v>ford pinto runabout</v>
      </c>
      <c r="AL63" s="12">
        <v>21</v>
      </c>
      <c r="AM63" s="12">
        <v>23.677934580547344</v>
      </c>
      <c r="AN63" s="12">
        <v>-2.677934580547344</v>
      </c>
      <c r="AO63" s="12">
        <v>4.93615349739061E-2</v>
      </c>
      <c r="AP63" s="12">
        <v>-0.89544945314468549</v>
      </c>
      <c r="AQ63" s="12">
        <v>2.4490999147277915E-3</v>
      </c>
      <c r="AR63" s="12">
        <v>-1.0962733150227</v>
      </c>
      <c r="AS63" s="12">
        <v>-0.9317689403765218</v>
      </c>
      <c r="AT63" s="12">
        <v>0.94628190997434025</v>
      </c>
      <c r="AU63" s="12">
        <v>-2.8169852988999744</v>
      </c>
      <c r="AV63" s="12" t="e">
        <v>#N/A</v>
      </c>
    </row>
    <row r="64" spans="17:48" x14ac:dyDescent="0.25">
      <c r="AK64" t="str">
        <v>chevrolet impala</v>
      </c>
      <c r="AL64" s="12">
        <v>13</v>
      </c>
      <c r="AM64" s="12">
        <v>12.025598364458494</v>
      </c>
      <c r="AN64" s="12">
        <v>0.97440163554150594</v>
      </c>
      <c r="AO64" s="12">
        <v>4.0564604334394488E-2</v>
      </c>
      <c r="AP64" s="12">
        <v>0.32432388942401408</v>
      </c>
      <c r="AQ64" s="12">
        <v>2.6160164199702187E-4</v>
      </c>
      <c r="AR64" s="12">
        <v>-1.0962733150227</v>
      </c>
      <c r="AS64" s="12">
        <v>-0.92704752263459622</v>
      </c>
      <c r="AT64" s="12">
        <v>0.56949441562144754</v>
      </c>
      <c r="AU64" s="12">
        <v>1.0155990074407435</v>
      </c>
      <c r="AV64" s="12" t="e">
        <v>#N/A</v>
      </c>
    </row>
    <row r="65" spans="37:48" x14ac:dyDescent="0.25">
      <c r="AK65" t="str">
        <v>pontiac catalina</v>
      </c>
      <c r="AL65" s="12">
        <v>14</v>
      </c>
      <c r="AM65" s="12">
        <v>11.301206677645121</v>
      </c>
      <c r="AN65" s="12">
        <v>2.698793322354879</v>
      </c>
      <c r="AO65" s="12">
        <v>4.2648578571305377E-2</v>
      </c>
      <c r="AP65" s="12">
        <v>0.89925474334883049</v>
      </c>
      <c r="AQ65" s="12">
        <v>2.1190915902930527E-3</v>
      </c>
      <c r="AR65" s="12">
        <v>-1.0962733150227</v>
      </c>
      <c r="AS65" s="12">
        <v>-0.91766871471414591</v>
      </c>
      <c r="AT65" s="12">
        <v>0.94829043196102658</v>
      </c>
      <c r="AU65" s="12">
        <v>2.819020541409297</v>
      </c>
      <c r="AV65" s="12" t="e">
        <v>#N/A</v>
      </c>
    </row>
    <row r="66" spans="37:48" x14ac:dyDescent="0.25">
      <c r="AK66" t="str">
        <v>plymouth fury iii</v>
      </c>
      <c r="AL66" s="12">
        <v>15</v>
      </c>
      <c r="AM66" s="12">
        <v>12.972944880262842</v>
      </c>
      <c r="AN66" s="12">
        <v>2.0270551197371578</v>
      </c>
      <c r="AO66" s="12">
        <v>3.9159162685000928E-2</v>
      </c>
      <c r="AP66" s="12">
        <v>0.6741998247581702</v>
      </c>
      <c r="AQ66" s="12">
        <v>1.0897083862935067E-3</v>
      </c>
      <c r="AR66" s="12">
        <v>-1.0962733150227</v>
      </c>
      <c r="AS66" s="12">
        <v>-0.9031170962155961</v>
      </c>
      <c r="AT66" s="12">
        <v>0.82109672070844986</v>
      </c>
      <c r="AU66" s="12">
        <v>2.1096679502107949</v>
      </c>
      <c r="AV66" s="12" t="e">
        <v>#N/A</v>
      </c>
    </row>
    <row r="67" spans="37:48" x14ac:dyDescent="0.25">
      <c r="AK67" t="str">
        <v>ford galaxie 500</v>
      </c>
      <c r="AL67" s="12">
        <v>14</v>
      </c>
      <c r="AM67" s="12">
        <v>12.954615442092917</v>
      </c>
      <c r="AN67" s="12">
        <v>1.0453845579070826</v>
      </c>
      <c r="AO67" s="12">
        <v>3.9029459660414413E-2</v>
      </c>
      <c r="AP67" s="12">
        <v>0.34767210505293855</v>
      </c>
      <c r="AQ67" s="12">
        <v>2.8878407312035926E-4</v>
      </c>
      <c r="AR67" s="12">
        <v>-1.0962733150227</v>
      </c>
      <c r="AS67" s="12">
        <v>-0.8984734746582822</v>
      </c>
      <c r="AT67" s="12">
        <v>0.5896372656582507</v>
      </c>
      <c r="AU67" s="12">
        <v>1.0878424613700093</v>
      </c>
      <c r="AV67" s="12" t="e">
        <v>#N/A</v>
      </c>
    </row>
    <row r="68" spans="37:48" x14ac:dyDescent="0.25">
      <c r="AK68" t="str">
        <v>amc ambassador sst</v>
      </c>
      <c r="AL68" s="12">
        <v>17</v>
      </c>
      <c r="AM68" s="12">
        <v>15.317257232061893</v>
      </c>
      <c r="AN68" s="12">
        <v>1.6827427679381071</v>
      </c>
      <c r="AO68" s="12">
        <v>3.9309167670658646E-2</v>
      </c>
      <c r="AP68" s="12">
        <v>0.55972501051096391</v>
      </c>
      <c r="AQ68" s="12">
        <v>7.540683395695733E-4</v>
      </c>
      <c r="AR68" s="12">
        <v>-1.0962733150227</v>
      </c>
      <c r="AS68" s="12">
        <v>-0.89544945314468549</v>
      </c>
      <c r="AT68" s="12">
        <v>0.74814771971246685</v>
      </c>
      <c r="AU68" s="12">
        <v>1.7515965712486719</v>
      </c>
      <c r="AV68" s="12" t="e">
        <v>#N/A</v>
      </c>
    </row>
    <row r="69" spans="37:48" x14ac:dyDescent="0.25">
      <c r="AK69" t="str">
        <v>mercury marquis</v>
      </c>
      <c r="AL69" s="12">
        <v>11</v>
      </c>
      <c r="AM69" s="12">
        <v>9.5097036386293095</v>
      </c>
      <c r="AN69" s="12">
        <v>1.4902963613706905</v>
      </c>
      <c r="AO69" s="12">
        <v>5.6427203997578376E-2</v>
      </c>
      <c r="AP69" s="12">
        <v>0.50018854209738339</v>
      </c>
      <c r="AQ69" s="12">
        <v>8.8009930219651864E-4</v>
      </c>
      <c r="AR69" s="12">
        <v>-1.0962733150227</v>
      </c>
      <c r="AS69" s="12">
        <v>-0.88698134092906389</v>
      </c>
      <c r="AT69" s="12">
        <v>0.70724008801635629</v>
      </c>
      <c r="AU69" s="12">
        <v>1.5794185331376021</v>
      </c>
      <c r="AV69" s="12" t="e">
        <v>#N/A</v>
      </c>
    </row>
    <row r="70" spans="37:48" x14ac:dyDescent="0.25">
      <c r="AK70" t="str">
        <v>buick lesabre custom</v>
      </c>
      <c r="AL70" s="12">
        <v>13</v>
      </c>
      <c r="AM70" s="12">
        <v>11.033528091747291</v>
      </c>
      <c r="AN70" s="12">
        <v>1.9664719082527089</v>
      </c>
      <c r="AO70" s="12">
        <v>4.3819711275624673E-2</v>
      </c>
      <c r="AP70" s="12">
        <v>0.6556418348632248</v>
      </c>
      <c r="AQ70" s="12">
        <v>1.158815025469532E-3</v>
      </c>
      <c r="AR70" s="12">
        <v>-1.0962733150227</v>
      </c>
      <c r="AS70" s="12">
        <v>-0.87909939485507615</v>
      </c>
      <c r="AT70" s="12">
        <v>0.80971713262300726</v>
      </c>
      <c r="AU70" s="12">
        <v>2.0565911381379207</v>
      </c>
      <c r="AV70" s="12" t="e">
        <v>#N/A</v>
      </c>
    </row>
    <row r="71" spans="37:48" x14ac:dyDescent="0.25">
      <c r="AK71" t="str">
        <v>oldsmobile delta 88 royale</v>
      </c>
      <c r="AL71" s="12">
        <v>12</v>
      </c>
      <c r="AM71" s="12">
        <v>11.185258174274955</v>
      </c>
      <c r="AN71" s="12">
        <v>0.81474182572504539</v>
      </c>
      <c r="AO71" s="12">
        <v>4.2181857106601633E-2</v>
      </c>
      <c r="AP71" s="12">
        <v>0.27141090048237276</v>
      </c>
      <c r="AQ71" s="12">
        <v>1.9083071939234706E-4</v>
      </c>
      <c r="AR71" s="12">
        <v>-1.0962733150227</v>
      </c>
      <c r="AS71" s="12">
        <v>-0.87855079557956517</v>
      </c>
      <c r="AT71" s="12">
        <v>0.52097111290586229</v>
      </c>
      <c r="AU71" s="12">
        <v>0.85062266962688249</v>
      </c>
      <c r="AV71" s="12" t="e">
        <v>#N/A</v>
      </c>
    </row>
    <row r="72" spans="37:48" x14ac:dyDescent="0.25">
      <c r="AK72" t="str">
        <v>chrysler newport royal</v>
      </c>
      <c r="AL72" s="12">
        <v>13</v>
      </c>
      <c r="AM72" s="12">
        <v>10.870317742582683</v>
      </c>
      <c r="AN72" s="12">
        <v>2.1296822574173166</v>
      </c>
      <c r="AO72" s="12">
        <v>4.8030921024309239E-2</v>
      </c>
      <c r="AP72" s="12">
        <v>0.71162663600437204</v>
      </c>
      <c r="AQ72" s="12">
        <v>1.5029811765241736E-3</v>
      </c>
      <c r="AR72" s="12">
        <v>-0.92571937406474636</v>
      </c>
      <c r="AS72" s="12">
        <v>-0.87508847543411206</v>
      </c>
      <c r="AT72" s="12">
        <v>0.84357965599246887</v>
      </c>
      <c r="AU72" s="12">
        <v>2.2371338570248875</v>
      </c>
      <c r="AV72" s="12" t="e">
        <v>#N/A</v>
      </c>
    </row>
    <row r="73" spans="37:48" x14ac:dyDescent="0.25">
      <c r="AK73" t="str">
        <v>mazda rx2 coupe</v>
      </c>
      <c r="AL73" s="12">
        <v>19</v>
      </c>
      <c r="AM73" s="12">
        <v>25.03269124018523</v>
      </c>
      <c r="AN73" s="12">
        <v>-6.0326912401852297</v>
      </c>
      <c r="AO73" s="12">
        <v>4.7965750122984138E-2</v>
      </c>
      <c r="AP73" s="12">
        <v>-2.0157358299478263</v>
      </c>
      <c r="AQ73" s="12">
        <v>1.2041954383457973E-2</v>
      </c>
      <c r="AR73" s="12">
        <v>-0.92571937406474636</v>
      </c>
      <c r="AS73" s="12">
        <v>-0.86006936817939161</v>
      </c>
      <c r="AT73" s="12">
        <v>1.4197661180447385</v>
      </c>
      <c r="AU73" s="12">
        <v>-6.336632574893744</v>
      </c>
      <c r="AV73" s="12">
        <v>1.2041954383457973E-2</v>
      </c>
    </row>
    <row r="74" spans="37:48" x14ac:dyDescent="0.25">
      <c r="AK74" t="str">
        <v>amc matador (sw)</v>
      </c>
      <c r="AL74" s="12">
        <v>15</v>
      </c>
      <c r="AM74" s="12">
        <v>14.203329116736208</v>
      </c>
      <c r="AN74" s="12">
        <v>0.79667088326379165</v>
      </c>
      <c r="AO74" s="12">
        <v>3.8154178376464405E-2</v>
      </c>
      <c r="AP74" s="12">
        <v>0.26483477874394723</v>
      </c>
      <c r="AQ74" s="12">
        <v>1.6365819459319866E-4</v>
      </c>
      <c r="AR74" s="12">
        <v>-0.92571937406474636</v>
      </c>
      <c r="AS74" s="12">
        <v>-0.85847137129504036</v>
      </c>
      <c r="AT74" s="12">
        <v>0.51462100495796637</v>
      </c>
      <c r="AU74" s="12">
        <v>0.82827295742581797</v>
      </c>
      <c r="AV74" s="12" t="e">
        <v>#N/A</v>
      </c>
    </row>
    <row r="75" spans="37:48" x14ac:dyDescent="0.25">
      <c r="AK75" t="str">
        <v>chevrolet chevelle concours (sw)</v>
      </c>
      <c r="AL75" s="12">
        <v>13</v>
      </c>
      <c r="AM75" s="12">
        <v>13.485015975092979</v>
      </c>
      <c r="AN75" s="12">
        <v>-0.48501597509297945</v>
      </c>
      <c r="AO75" s="12">
        <v>4.3315666055294896E-2</v>
      </c>
      <c r="AP75" s="12">
        <v>-0.16166667853581004</v>
      </c>
      <c r="AQ75" s="12">
        <v>6.9609488850078151E-5</v>
      </c>
      <c r="AR75" s="12">
        <v>-0.92571937406474636</v>
      </c>
      <c r="AS75" s="12">
        <v>-0.84358082508022647</v>
      </c>
      <c r="AT75" s="12">
        <v>0.40207795082024833</v>
      </c>
      <c r="AU75" s="12">
        <v>-0.50697597722031129</v>
      </c>
      <c r="AV75" s="12" t="e">
        <v>#N/A</v>
      </c>
    </row>
    <row r="76" spans="37:48" x14ac:dyDescent="0.25">
      <c r="AK76" t="str">
        <v>ford gran torino (sw)</v>
      </c>
      <c r="AL76" s="12">
        <v>13</v>
      </c>
      <c r="AM76" s="12">
        <v>12.330242970994684</v>
      </c>
      <c r="AN76" s="12">
        <v>0.66975702900531608</v>
      </c>
      <c r="AO76" s="12">
        <v>4.3819711639490791E-2</v>
      </c>
      <c r="AP76" s="12">
        <v>0.22330383955665867</v>
      </c>
      <c r="AQ76" s="12">
        <v>1.3442287771775845E-4</v>
      </c>
      <c r="AR76" s="12">
        <v>-0.92571937406474636</v>
      </c>
      <c r="AS76" s="12">
        <v>-0.82893417664067315</v>
      </c>
      <c r="AT76" s="12">
        <v>0.47255035663583905</v>
      </c>
      <c r="AU76" s="12">
        <v>0.70045057104628083</v>
      </c>
      <c r="AV76" s="12" t="e">
        <v>#N/A</v>
      </c>
    </row>
    <row r="77" spans="37:48" x14ac:dyDescent="0.25">
      <c r="AK77" t="str">
        <v>plymouth satellite custom (sw)</v>
      </c>
      <c r="AL77" s="12">
        <v>14</v>
      </c>
      <c r="AM77" s="12">
        <v>13.266616837939614</v>
      </c>
      <c r="AN77" s="12">
        <v>0.73338316206038634</v>
      </c>
      <c r="AO77" s="12">
        <v>3.8701777045903059E-2</v>
      </c>
      <c r="AP77" s="12">
        <v>0.24386567077228774</v>
      </c>
      <c r="AQ77" s="12">
        <v>1.4083972970042332E-4</v>
      </c>
      <c r="AR77" s="12">
        <v>-0.87770829679608253</v>
      </c>
      <c r="AS77" s="12">
        <v>-0.8268734431087178</v>
      </c>
      <c r="AT77" s="12">
        <v>0.49382757190368354</v>
      </c>
      <c r="AU77" s="12">
        <v>0.76290909995306022</v>
      </c>
      <c r="AV77" s="12" t="e">
        <v>#N/A</v>
      </c>
    </row>
    <row r="78" spans="37:48" x14ac:dyDescent="0.25">
      <c r="AK78" t="str">
        <v>volvo 145e (sw)</v>
      </c>
      <c r="AL78" s="12">
        <v>18</v>
      </c>
      <c r="AM78" s="12">
        <v>21.613992221016861</v>
      </c>
      <c r="AN78" s="12">
        <v>-3.6139922210168614</v>
      </c>
      <c r="AO78" s="12">
        <v>4.8872568958417593E-2</v>
      </c>
      <c r="AP78" s="12">
        <v>-1.2081383307454165</v>
      </c>
      <c r="AQ78" s="12">
        <v>4.4117497165024064E-3</v>
      </c>
      <c r="AR78" s="12">
        <v>-0.87770829679608253</v>
      </c>
      <c r="AS78" s="12">
        <v>-0.82281965858508455</v>
      </c>
      <c r="AT78" s="12">
        <v>1.0991534609623064</v>
      </c>
      <c r="AU78" s="12">
        <v>-3.7996929781103761</v>
      </c>
      <c r="AV78" s="12" t="e">
        <v>#N/A</v>
      </c>
    </row>
    <row r="79" spans="37:48" x14ac:dyDescent="0.25">
      <c r="AK79" t="str">
        <v>volkswagen 411 (sw)</v>
      </c>
      <c r="AL79" s="12">
        <v>22</v>
      </c>
      <c r="AM79" s="12">
        <v>24.335220428923613</v>
      </c>
      <c r="AN79" s="12">
        <v>-2.3352204289236127</v>
      </c>
      <c r="AO79" s="12">
        <v>4.996481696967215E-2</v>
      </c>
      <c r="AP79" s="12">
        <v>-0.78110036437009756</v>
      </c>
      <c r="AQ79" s="12">
        <v>1.8875104784440995E-3</v>
      </c>
      <c r="AR79" s="12">
        <v>-0.87770829679608253</v>
      </c>
      <c r="AS79" s="12">
        <v>-0.81252205315322645</v>
      </c>
      <c r="AT79" s="12">
        <v>0.88379882573473556</v>
      </c>
      <c r="AU79" s="12">
        <v>-2.4580357345029671</v>
      </c>
      <c r="AV79" s="12" t="e">
        <v>#N/A</v>
      </c>
    </row>
    <row r="80" spans="37:48" x14ac:dyDescent="0.25">
      <c r="AK80" t="str">
        <v>peugeot 504 (sw)</v>
      </c>
      <c r="AL80" s="12">
        <v>21</v>
      </c>
      <c r="AM80" s="12">
        <v>21.786990777560018</v>
      </c>
      <c r="AN80" s="12">
        <v>-0.78699077756001756</v>
      </c>
      <c r="AO80" s="12">
        <v>5.286145261151471E-2</v>
      </c>
      <c r="AP80" s="12">
        <v>-0.26364023528520003</v>
      </c>
      <c r="AQ80" s="12">
        <v>2.2819180345161848E-4</v>
      </c>
      <c r="AR80" s="12">
        <v>-0.87770829679608253</v>
      </c>
      <c r="AS80" s="12">
        <v>-0.80833512211099245</v>
      </c>
      <c r="AT80" s="12">
        <v>0.51345908822923758</v>
      </c>
      <c r="AU80" s="12">
        <v>-0.83091410409803512</v>
      </c>
      <c r="AV80" s="12" t="e">
        <v>#N/A</v>
      </c>
    </row>
    <row r="81" spans="37:48" x14ac:dyDescent="0.25">
      <c r="AK81" t="str">
        <v>renault 12 (sw)</v>
      </c>
      <c r="AL81" s="12">
        <v>26</v>
      </c>
      <c r="AM81" s="12">
        <v>26.079261148665992</v>
      </c>
      <c r="AN81" s="12">
        <v>-7.9261148665992209E-2</v>
      </c>
      <c r="AO81" s="12">
        <v>5.0003897923478341E-2</v>
      </c>
      <c r="AP81" s="12">
        <v>-2.6512351797492825E-2</v>
      </c>
      <c r="AQ81" s="12">
        <v>2.1763544257762724E-6</v>
      </c>
      <c r="AR81" s="12">
        <v>-0.87770829679608253</v>
      </c>
      <c r="AS81" s="12">
        <v>-0.7960497214769402</v>
      </c>
      <c r="AT81" s="12">
        <v>0.16282613978564014</v>
      </c>
      <c r="AU81" s="12">
        <v>-8.3433130402052719E-2</v>
      </c>
      <c r="AV81" s="12" t="e">
        <v>#N/A</v>
      </c>
    </row>
    <row r="82" spans="37:48" x14ac:dyDescent="0.25">
      <c r="AK82" t="str">
        <v>ford pinto (sw)</v>
      </c>
      <c r="AL82" s="12">
        <v>22</v>
      </c>
      <c r="AM82" s="12">
        <v>22.822235255592613</v>
      </c>
      <c r="AN82" s="12">
        <v>-0.8222352555926129</v>
      </c>
      <c r="AO82" s="12">
        <v>4.6305603284802668E-2</v>
      </c>
      <c r="AP82" s="12">
        <v>-0.2744986939956594</v>
      </c>
      <c r="AQ82" s="12">
        <v>2.1520678488999738E-4</v>
      </c>
      <c r="AR82" s="12">
        <v>-0.87770829679608253</v>
      </c>
      <c r="AS82" s="12">
        <v>-0.78933938116930435</v>
      </c>
      <c r="AT82" s="12">
        <v>0.52392622953585688</v>
      </c>
      <c r="AU82" s="12">
        <v>-0.86215800200214221</v>
      </c>
      <c r="AV82" s="12" t="e">
        <v>#N/A</v>
      </c>
    </row>
    <row r="83" spans="37:48" x14ac:dyDescent="0.25">
      <c r="AK83" t="str">
        <v>datsun 510 (sw)</v>
      </c>
      <c r="AL83" s="12">
        <v>28</v>
      </c>
      <c r="AM83" s="12">
        <v>25.326532403787837</v>
      </c>
      <c r="AN83" s="12">
        <v>2.6734675962121628</v>
      </c>
      <c r="AO83" s="12">
        <v>4.794178277891481E-2</v>
      </c>
      <c r="AP83" s="12">
        <v>0.89328897781380623</v>
      </c>
      <c r="AQ83" s="12">
        <v>2.3636637964117818E-3</v>
      </c>
      <c r="AR83" s="12">
        <v>-0.87770829679608253</v>
      </c>
      <c r="AS83" s="12">
        <v>-0.78110036437009756</v>
      </c>
      <c r="AT83" s="12">
        <v>0.94513966048082343</v>
      </c>
      <c r="AU83" s="12">
        <v>2.8080925597340181</v>
      </c>
      <c r="AV83" s="12" t="e">
        <v>#N/A</v>
      </c>
    </row>
    <row r="84" spans="37:48" x14ac:dyDescent="0.25">
      <c r="AK84" t="str">
        <v>toyouta corona mark ii (sw)</v>
      </c>
      <c r="AL84" s="12">
        <v>23</v>
      </c>
      <c r="AM84" s="12">
        <v>24.141548747924681</v>
      </c>
      <c r="AN84" s="12">
        <v>-1.1415487479246806</v>
      </c>
      <c r="AO84" s="12">
        <v>4.7582585184613516E-2</v>
      </c>
      <c r="AP84" s="12">
        <v>-0.38135513775663438</v>
      </c>
      <c r="AQ84" s="12">
        <v>4.2739652627326973E-4</v>
      </c>
      <c r="AR84" s="12">
        <v>-0.87770829679608253</v>
      </c>
      <c r="AS84" s="12">
        <v>-0.77256397256164122</v>
      </c>
      <c r="AT84" s="12">
        <v>0.6175395839593073</v>
      </c>
      <c r="AU84" s="12">
        <v>-1.1985802970076465</v>
      </c>
      <c r="AV84" s="12" t="e">
        <v>#N/A</v>
      </c>
    </row>
    <row r="85" spans="37:48" x14ac:dyDescent="0.25">
      <c r="AK85" t="str">
        <v>dodge colt (sw)</v>
      </c>
      <c r="AL85" s="12">
        <v>28</v>
      </c>
      <c r="AM85" s="12">
        <v>24.089278368405822</v>
      </c>
      <c r="AN85" s="12">
        <v>3.9107216315941784</v>
      </c>
      <c r="AO85" s="12">
        <v>5.0180308887671402E-2</v>
      </c>
      <c r="AP85" s="12">
        <v>1.3082330687569519</v>
      </c>
      <c r="AQ85" s="12">
        <v>5.3187978632043709E-3</v>
      </c>
      <c r="AR85" s="12">
        <v>-0.87770829679608253</v>
      </c>
      <c r="AS85" s="12">
        <v>-0.76844520954536311</v>
      </c>
      <c r="AT85" s="12">
        <v>1.1437801662718898</v>
      </c>
      <c r="AU85" s="12">
        <v>4.1173305504062085</v>
      </c>
      <c r="AV85" s="12" t="e">
        <v>#N/A</v>
      </c>
    </row>
    <row r="86" spans="37:48" x14ac:dyDescent="0.25">
      <c r="AK86" t="str">
        <v>toyota corolla 1600 (sw)</v>
      </c>
      <c r="AL86" s="12">
        <v>27</v>
      </c>
      <c r="AM86" s="12">
        <v>26.343380339243957</v>
      </c>
      <c r="AN86" s="12">
        <v>0.65661966075604283</v>
      </c>
      <c r="AO86" s="12">
        <v>4.8924810565100008E-2</v>
      </c>
      <c r="AP86" s="12">
        <v>0.21951048018534694</v>
      </c>
      <c r="AQ86" s="12">
        <v>1.4580616877093663E-4</v>
      </c>
      <c r="AR86" s="12">
        <v>-0.87770829679608253</v>
      </c>
      <c r="AS86" s="12">
        <v>-0.76325101320992295</v>
      </c>
      <c r="AT86" s="12">
        <v>0.46851945550355423</v>
      </c>
      <c r="AU86" s="12">
        <v>0.69039721364846696</v>
      </c>
      <c r="AV86" s="12" t="e">
        <v>#N/A</v>
      </c>
    </row>
    <row r="87" spans="37:48" x14ac:dyDescent="0.25">
      <c r="AK87" t="str">
        <v>buick century 350</v>
      </c>
      <c r="AL87" s="12">
        <v>13</v>
      </c>
      <c r="AM87" s="12">
        <v>12.383947606403462</v>
      </c>
      <c r="AN87" s="12">
        <v>0.61605239359653829</v>
      </c>
      <c r="AO87" s="12">
        <v>3.0545392578793636E-2</v>
      </c>
      <c r="AP87" s="12">
        <v>0.20398710450777527</v>
      </c>
      <c r="AQ87" s="12">
        <v>7.7121370315234676E-5</v>
      </c>
      <c r="AR87" s="12">
        <v>-0.87770829679608253</v>
      </c>
      <c r="AS87" s="12">
        <v>-0.75950614299184738</v>
      </c>
      <c r="AT87" s="12">
        <v>0.45164931585000245</v>
      </c>
      <c r="AU87" s="12">
        <v>0.63546285600237218</v>
      </c>
      <c r="AV87" s="12" t="e">
        <v>#N/A</v>
      </c>
    </row>
    <row r="88" spans="37:48" x14ac:dyDescent="0.25">
      <c r="AK88" t="str">
        <v>amc matador</v>
      </c>
      <c r="AL88" s="12">
        <v>14</v>
      </c>
      <c r="AM88" s="12">
        <v>14.95695492051196</v>
      </c>
      <c r="AN88" s="12">
        <v>-0.95695492051195963</v>
      </c>
      <c r="AO88" s="12">
        <v>2.7011897802173251E-2</v>
      </c>
      <c r="AP88" s="12">
        <v>-0.31629077006854084</v>
      </c>
      <c r="AQ88" s="12">
        <v>1.633697648983552E-4</v>
      </c>
      <c r="AR88" s="12">
        <v>-0.87770829679608253</v>
      </c>
      <c r="AS88" s="12">
        <v>-0.75751706682775866</v>
      </c>
      <c r="AT88" s="12">
        <v>0.56239734180429835</v>
      </c>
      <c r="AU88" s="12">
        <v>-0.98352170838507613</v>
      </c>
      <c r="AV88" s="12" t="e">
        <v>#N/A</v>
      </c>
    </row>
    <row r="89" spans="37:48" x14ac:dyDescent="0.25">
      <c r="AK89" t="str">
        <v>chevrolet malibu</v>
      </c>
      <c r="AL89" s="12">
        <v>13</v>
      </c>
      <c r="AM89" s="12">
        <v>13.438131241902768</v>
      </c>
      <c r="AN89" s="12">
        <v>-0.43813124190276831</v>
      </c>
      <c r="AO89" s="12">
        <v>2.6908924211681815E-2</v>
      </c>
      <c r="AP89" s="12">
        <v>-0.14480257381873163</v>
      </c>
      <c r="AQ89" s="12">
        <v>3.41072329342815E-5</v>
      </c>
      <c r="AR89" s="12">
        <v>-0.87770829679608253</v>
      </c>
      <c r="AS89" s="12">
        <v>-0.75457189916222744</v>
      </c>
      <c r="AT89" s="12">
        <v>0.38052933371651076</v>
      </c>
      <c r="AU89" s="12">
        <v>-0.45024690165597342</v>
      </c>
      <c r="AV89" s="12" t="e">
        <v>#N/A</v>
      </c>
    </row>
    <row r="90" spans="37:48" x14ac:dyDescent="0.25">
      <c r="AK90" t="str">
        <v>ford gran torino</v>
      </c>
      <c r="AL90" s="12">
        <v>14</v>
      </c>
      <c r="AM90" s="12">
        <v>13.294603978314798</v>
      </c>
      <c r="AN90" s="12">
        <v>0.70539602168520155</v>
      </c>
      <c r="AO90" s="12">
        <v>2.9356198266036856E-2</v>
      </c>
      <c r="AP90" s="12">
        <v>0.2334274183109103</v>
      </c>
      <c r="AQ90" s="12">
        <v>9.6938152578108052E-5</v>
      </c>
      <c r="AR90" s="12">
        <v>-0.76138260968642557</v>
      </c>
      <c r="AS90" s="12">
        <v>-0.75452115641439021</v>
      </c>
      <c r="AT90" s="12">
        <v>0.48314326892849319</v>
      </c>
      <c r="AU90" s="12">
        <v>0.72673005321321626</v>
      </c>
      <c r="AV90" s="12" t="e">
        <v>#N/A</v>
      </c>
    </row>
    <row r="91" spans="37:48" x14ac:dyDescent="0.25">
      <c r="AK91" t="str">
        <v>dodge coronet custom</v>
      </c>
      <c r="AL91" s="12">
        <v>15</v>
      </c>
      <c r="AM91" s="12">
        <v>14.425307410924701</v>
      </c>
      <c r="AN91" s="12">
        <v>0.57469258907529941</v>
      </c>
      <c r="AO91" s="12">
        <v>2.6400911104933582E-2</v>
      </c>
      <c r="AP91" s="12">
        <v>0.18988660114211794</v>
      </c>
      <c r="AQ91" s="12">
        <v>5.7514649367666781E-5</v>
      </c>
      <c r="AR91" s="12">
        <v>-0.75286571534072255</v>
      </c>
      <c r="AS91" s="12">
        <v>-0.74708884873176218</v>
      </c>
      <c r="AT91" s="12">
        <v>0.43575979752854432</v>
      </c>
      <c r="AU91" s="12">
        <v>0.59027642448547857</v>
      </c>
      <c r="AV91" s="12" t="e">
        <v>#N/A</v>
      </c>
    </row>
    <row r="92" spans="37:48" x14ac:dyDescent="0.25">
      <c r="AK92" t="str">
        <v>mercury marquis brougham</v>
      </c>
      <c r="AL92" s="12">
        <v>12</v>
      </c>
      <c r="AM92" s="12">
        <v>7.696569879392543</v>
      </c>
      <c r="AN92" s="12">
        <v>4.303430120607457</v>
      </c>
      <c r="AO92" s="12">
        <v>3.6900707411663757E-2</v>
      </c>
      <c r="AP92" s="12">
        <v>1.4296443982960441</v>
      </c>
      <c r="AQ92" s="12">
        <v>4.6064966597044949E-3</v>
      </c>
      <c r="AR92" s="12">
        <v>-0.75286571534072255</v>
      </c>
      <c r="AS92" s="12">
        <v>-0.74192401686980725</v>
      </c>
      <c r="AT92" s="12">
        <v>1.1956773805237113</v>
      </c>
      <c r="AU92" s="12">
        <v>4.468314070755838</v>
      </c>
      <c r="AV92" s="12" t="e">
        <v>#N/A</v>
      </c>
    </row>
    <row r="93" spans="37:48" x14ac:dyDescent="0.25">
      <c r="AK93" t="str">
        <v>chevrolet caprice classic</v>
      </c>
      <c r="AL93" s="12">
        <v>13</v>
      </c>
      <c r="AM93" s="12">
        <v>10.946813705339499</v>
      </c>
      <c r="AN93" s="12">
        <v>2.0531862946605006</v>
      </c>
      <c r="AO93" s="12">
        <v>3.3433098722742423E-2</v>
      </c>
      <c r="AP93" s="12">
        <v>0.68086529918536198</v>
      </c>
      <c r="AQ93" s="12">
        <v>9.4323127268055207E-4</v>
      </c>
      <c r="AR93" s="12">
        <v>-0.75286571534072255</v>
      </c>
      <c r="AS93" s="12">
        <v>-0.73626542374561854</v>
      </c>
      <c r="AT93" s="12">
        <v>0.82514562301775674</v>
      </c>
      <c r="AU93" s="12">
        <v>2.1242050518669156</v>
      </c>
      <c r="AV93" s="12" t="e">
        <v>#N/A</v>
      </c>
    </row>
    <row r="94" spans="37:48" x14ac:dyDescent="0.25">
      <c r="AK94" t="str">
        <v>ford ltd</v>
      </c>
      <c r="AL94" s="12">
        <v>13</v>
      </c>
      <c r="AM94" s="12">
        <v>11.328316520837957</v>
      </c>
      <c r="AN94" s="12">
        <v>1.6716834791620432</v>
      </c>
      <c r="AO94" s="12">
        <v>2.9386956950390161E-2</v>
      </c>
      <c r="AP94" s="12">
        <v>0.55319696979360178</v>
      </c>
      <c r="AQ94" s="12">
        <v>5.4502843087953954E-4</v>
      </c>
      <c r="AR94" s="12">
        <v>-0.72763551415159011</v>
      </c>
      <c r="AS94" s="12">
        <v>-0.72283127398567082</v>
      </c>
      <c r="AT94" s="12">
        <v>0.74377212222131706</v>
      </c>
      <c r="AU94" s="12">
        <v>1.7222965332401785</v>
      </c>
      <c r="AV94" s="12" t="e">
        <v>#N/A</v>
      </c>
    </row>
    <row r="95" spans="37:48" x14ac:dyDescent="0.25">
      <c r="AK95" t="str">
        <v>plymouth fury gran sedan</v>
      </c>
      <c r="AL95" s="12">
        <v>14</v>
      </c>
      <c r="AM95" s="12">
        <v>12.096184987971002</v>
      </c>
      <c r="AN95" s="12">
        <v>1.9038150120289981</v>
      </c>
      <c r="AO95" s="12">
        <v>2.8992761758663603E-2</v>
      </c>
      <c r="AP95" s="12">
        <v>0.62988652393519529</v>
      </c>
      <c r="AQ95" s="12">
        <v>6.9685566042903733E-4</v>
      </c>
      <c r="AR95" s="12">
        <v>-0.71932811724388146</v>
      </c>
      <c r="AS95" s="12">
        <v>-0.70648636894145489</v>
      </c>
      <c r="AT95" s="12">
        <v>0.79365390689846371</v>
      </c>
      <c r="AU95" s="12">
        <v>1.9606599591133218</v>
      </c>
      <c r="AV95" s="12" t="e">
        <v>#N/A</v>
      </c>
    </row>
    <row r="96" spans="37:48" x14ac:dyDescent="0.25">
      <c r="AK96" t="str">
        <v>chrysler new yorker brougham</v>
      </c>
      <c r="AL96" s="12">
        <v>13</v>
      </c>
      <c r="AM96" s="12">
        <v>8.5192887226626812</v>
      </c>
      <c r="AN96" s="12">
        <v>4.4807112773373188</v>
      </c>
      <c r="AO96" s="12">
        <v>4.457601353687983E-2</v>
      </c>
      <c r="AP96" s="12">
        <v>1.4945061059531675</v>
      </c>
      <c r="AQ96" s="12">
        <v>6.1298740672773898E-3</v>
      </c>
      <c r="AR96" s="12">
        <v>-0.71932811724388146</v>
      </c>
      <c r="AS96" s="12">
        <v>-0.69392179736044635</v>
      </c>
      <c r="AT96" s="12">
        <v>1.2224999410851387</v>
      </c>
      <c r="AU96" s="12">
        <v>4.6897621797464435</v>
      </c>
      <c r="AV96" s="12" t="e">
        <v>#N/A</v>
      </c>
    </row>
    <row r="97" spans="37:48" x14ac:dyDescent="0.25">
      <c r="AK97" t="str">
        <v>buick electra 225 custom</v>
      </c>
      <c r="AL97" s="12">
        <v>12</v>
      </c>
      <c r="AM97" s="12">
        <v>7.2632495262620527</v>
      </c>
      <c r="AN97" s="12">
        <v>4.7367504737379473</v>
      </c>
      <c r="AO97" s="12">
        <v>4.893022194556227E-2</v>
      </c>
      <c r="AP97" s="12">
        <v>1.5835184219573573</v>
      </c>
      <c r="AQ97" s="12">
        <v>7.5886080672865341E-3</v>
      </c>
      <c r="AR97" s="12">
        <v>-0.71932811724388146</v>
      </c>
      <c r="AS97" s="12">
        <v>-0.68678649689214288</v>
      </c>
      <c r="AT97" s="12">
        <v>1.2583792838239818</v>
      </c>
      <c r="AU97" s="12">
        <v>4.9804447402668108</v>
      </c>
      <c r="AV97" s="12" t="e">
        <v>#N/A</v>
      </c>
    </row>
    <row r="98" spans="37:48" x14ac:dyDescent="0.25">
      <c r="AK98" t="str">
        <v>amc ambassador brougham</v>
      </c>
      <c r="AL98" s="12">
        <v>13</v>
      </c>
      <c r="AM98" s="12">
        <v>13.796610989021032</v>
      </c>
      <c r="AN98" s="12">
        <v>-0.79661098902103156</v>
      </c>
      <c r="AO98" s="12">
        <v>3.4602713165386309E-2</v>
      </c>
      <c r="AP98" s="12">
        <v>-0.26432732427601652</v>
      </c>
      <c r="AQ98" s="12">
        <v>1.473123904386963E-4</v>
      </c>
      <c r="AR98" s="12">
        <v>-0.71932811724388146</v>
      </c>
      <c r="AS98" s="12">
        <v>-0.68324182750021734</v>
      </c>
      <c r="AT98" s="12">
        <v>0.51412773147926627</v>
      </c>
      <c r="AU98" s="12">
        <v>-0.82516389872297458</v>
      </c>
      <c r="AV98" s="12" t="e">
        <v>#N/A</v>
      </c>
    </row>
    <row r="99" spans="37:48" x14ac:dyDescent="0.25">
      <c r="AK99" t="str">
        <v>plymouth valiant</v>
      </c>
      <c r="AL99" s="12">
        <v>18</v>
      </c>
      <c r="AM99" s="12">
        <v>18.477477956350643</v>
      </c>
      <c r="AN99" s="12">
        <v>-0.4774779563506435</v>
      </c>
      <c r="AO99" s="12">
        <v>2.9715993614829274E-2</v>
      </c>
      <c r="AP99" s="12">
        <v>-0.1580347863334722</v>
      </c>
      <c r="AQ99" s="12">
        <v>4.4993300213987257E-5</v>
      </c>
      <c r="AR99" s="12">
        <v>-0.71932811724388146</v>
      </c>
      <c r="AS99" s="12">
        <v>-0.66878988326602917</v>
      </c>
      <c r="AT99" s="12">
        <v>0.39753589313855953</v>
      </c>
      <c r="AU99" s="12">
        <v>-0.49210123346205142</v>
      </c>
      <c r="AV99" s="12" t="e">
        <v>#N/A</v>
      </c>
    </row>
    <row r="100" spans="37:48" x14ac:dyDescent="0.25">
      <c r="AK100" t="str">
        <v>chevrolet nova custom</v>
      </c>
      <c r="AL100" s="12">
        <v>16</v>
      </c>
      <c r="AM100" s="12">
        <v>17.76372050654502</v>
      </c>
      <c r="AN100" s="12">
        <v>-1.7637205065450203</v>
      </c>
      <c r="AO100" s="12">
        <v>3.273135274350103E-2</v>
      </c>
      <c r="AP100" s="12">
        <v>-0.58466219481199677</v>
      </c>
      <c r="AQ100" s="12">
        <v>6.8042137360537316E-4</v>
      </c>
      <c r="AR100" s="12">
        <v>-0.71932811724388146</v>
      </c>
      <c r="AS100" s="12">
        <v>-0.66377208981313185</v>
      </c>
      <c r="AT100" s="12">
        <v>0.76463206499073577</v>
      </c>
      <c r="AU100" s="12">
        <v>-1.823402951752368</v>
      </c>
      <c r="AV100" s="12" t="e">
        <v>#N/A</v>
      </c>
    </row>
    <row r="101" spans="37:48" x14ac:dyDescent="0.25">
      <c r="AK101" t="str">
        <v>amc hornet</v>
      </c>
      <c r="AL101" s="12">
        <v>18</v>
      </c>
      <c r="AM101" s="12">
        <v>19.449802608378892</v>
      </c>
      <c r="AN101" s="12">
        <v>-1.4498026083788922</v>
      </c>
      <c r="AO101" s="12">
        <v>3.0762850246968242E-2</v>
      </c>
      <c r="AP101" s="12">
        <v>-0.48011210341267641</v>
      </c>
      <c r="AQ101" s="12">
        <v>4.3036099915624349E-4</v>
      </c>
      <c r="AR101" s="12">
        <v>-0.71932811724388146</v>
      </c>
      <c r="AS101" s="12">
        <v>-0.65612392430107436</v>
      </c>
      <c r="AT101" s="12">
        <v>0.6929012219737215</v>
      </c>
      <c r="AU101" s="12">
        <v>-1.4958182409210292</v>
      </c>
      <c r="AV101" s="12" t="e">
        <v>#N/A</v>
      </c>
    </row>
    <row r="102" spans="37:48" x14ac:dyDescent="0.25">
      <c r="AK102" t="str">
        <v>ford maverick</v>
      </c>
      <c r="AL102" s="12">
        <v>18</v>
      </c>
      <c r="AM102" s="12">
        <v>19.259828261072517</v>
      </c>
      <c r="AN102" s="12">
        <v>-1.2598282610725171</v>
      </c>
      <c r="AO102" s="12">
        <v>3.555927772974711E-2</v>
      </c>
      <c r="AP102" s="12">
        <v>-0.4182369320992394</v>
      </c>
      <c r="AQ102" s="12">
        <v>3.7937895031364449E-4</v>
      </c>
      <c r="AR102" s="12">
        <v>-0.66249652488531496</v>
      </c>
      <c r="AS102" s="12">
        <v>-0.63802821850481273</v>
      </c>
      <c r="AT102" s="12">
        <v>0.64671240292671006</v>
      </c>
      <c r="AU102" s="12">
        <v>-1.3062785840346252</v>
      </c>
      <c r="AV102" s="12" t="e">
        <v>#N/A</v>
      </c>
    </row>
    <row r="103" spans="37:48" x14ac:dyDescent="0.25">
      <c r="AK103" t="str">
        <v>plymouth duster</v>
      </c>
      <c r="AL103" s="12">
        <v>23</v>
      </c>
      <c r="AM103" s="12">
        <v>19.738580462366389</v>
      </c>
      <c r="AN103" s="12">
        <v>3.2614195376336106</v>
      </c>
      <c r="AO103" s="12">
        <v>3.2044006496218955E-2</v>
      </c>
      <c r="AP103" s="12">
        <v>1.0807560254323885</v>
      </c>
      <c r="AQ103" s="12">
        <v>2.2745610997066666E-3</v>
      </c>
      <c r="AR103" s="12">
        <v>-0.66249652488531496</v>
      </c>
      <c r="AS103" s="12">
        <v>-0.63228553332444015</v>
      </c>
      <c r="AT103" s="12">
        <v>1.0395941638122006</v>
      </c>
      <c r="AU103" s="12">
        <v>3.369388236161452</v>
      </c>
      <c r="AV103" s="12" t="e">
        <v>#N/A</v>
      </c>
    </row>
    <row r="104" spans="37:48" x14ac:dyDescent="0.25">
      <c r="AK104" t="str">
        <v>volkswagen super beetle</v>
      </c>
      <c r="AL104" s="12">
        <v>26</v>
      </c>
      <c r="AM104" s="12">
        <v>27.302527770060408</v>
      </c>
      <c r="AN104" s="12">
        <v>-1.3025277700604079</v>
      </c>
      <c r="AO104" s="12">
        <v>4.8284679576095293E-2</v>
      </c>
      <c r="AP104" s="12">
        <v>-0.43529358270499241</v>
      </c>
      <c r="AQ104" s="12">
        <v>5.6548084865628765E-4</v>
      </c>
      <c r="AR104" s="12">
        <v>-0.66249652488531496</v>
      </c>
      <c r="AS104" s="12">
        <v>-0.62096861122347391</v>
      </c>
      <c r="AT104" s="12">
        <v>0.65976782484825103</v>
      </c>
      <c r="AU104" s="12">
        <v>-1.3686106991324332</v>
      </c>
      <c r="AV104" s="12" t="e">
        <v>#N/A</v>
      </c>
    </row>
    <row r="105" spans="37:48" x14ac:dyDescent="0.25">
      <c r="AK105" t="str">
        <v>chevrolet impala</v>
      </c>
      <c r="AL105" s="12">
        <v>11</v>
      </c>
      <c r="AM105" s="12">
        <v>8.248069680482276</v>
      </c>
      <c r="AN105" s="12">
        <v>2.751930319517724</v>
      </c>
      <c r="AO105" s="12">
        <v>5.207065402060785E-2</v>
      </c>
      <c r="AP105" s="12">
        <v>0.92150618089199277</v>
      </c>
      <c r="AQ105" s="12">
        <v>2.7438770542934508E-3</v>
      </c>
      <c r="AR105" s="12">
        <v>-0.66249652488531496</v>
      </c>
      <c r="AS105" s="12">
        <v>-0.61593470926202398</v>
      </c>
      <c r="AT105" s="12">
        <v>0.95995113463758808</v>
      </c>
      <c r="AU105" s="12">
        <v>2.9030964503735817</v>
      </c>
      <c r="AV105" s="12" t="e">
        <v>#N/A</v>
      </c>
    </row>
    <row r="106" spans="37:48" x14ac:dyDescent="0.25">
      <c r="AK106" t="str">
        <v>ford country</v>
      </c>
      <c r="AL106" s="12">
        <v>12</v>
      </c>
      <c r="AM106" s="12">
        <v>8.4328115122476976</v>
      </c>
      <c r="AN106" s="12">
        <v>3.5671884877523024</v>
      </c>
      <c r="AO106" s="12">
        <v>3.8934703793749144E-2</v>
      </c>
      <c r="AP106" s="12">
        <v>1.1863106075738008</v>
      </c>
      <c r="AQ106" s="12">
        <v>3.35375926789739E-3</v>
      </c>
      <c r="AR106" s="12">
        <v>-0.66249652488531496</v>
      </c>
      <c r="AS106" s="12">
        <v>-0.61509549983121248</v>
      </c>
      <c r="AT106" s="12">
        <v>1.0891788684939683</v>
      </c>
      <c r="AU106" s="12">
        <v>3.7117025261796162</v>
      </c>
      <c r="AV106" s="12" t="e">
        <v>#N/A</v>
      </c>
    </row>
    <row r="107" spans="37:48" x14ac:dyDescent="0.25">
      <c r="AK107" t="str">
        <v>plymouth custom suburb</v>
      </c>
      <c r="AL107" s="12">
        <v>13</v>
      </c>
      <c r="AM107" s="12">
        <v>9.6600562393964911</v>
      </c>
      <c r="AN107" s="12">
        <v>3.3399437606035089</v>
      </c>
      <c r="AO107" s="12">
        <v>3.2267405941791109E-2</v>
      </c>
      <c r="AP107" s="12">
        <v>1.1069048065287981</v>
      </c>
      <c r="AQ107" s="12">
        <v>2.4031468448560667E-3</v>
      </c>
      <c r="AR107" s="12">
        <v>-0.62318453179067923</v>
      </c>
      <c r="AS107" s="12">
        <v>-0.61264897901117765</v>
      </c>
      <c r="AT107" s="12">
        <v>1.0520954360364834</v>
      </c>
      <c r="AU107" s="12">
        <v>3.4513085341038043</v>
      </c>
      <c r="AV107" s="12" t="e">
        <v>#N/A</v>
      </c>
    </row>
    <row r="108" spans="37:48" x14ac:dyDescent="0.25">
      <c r="AK108" t="str">
        <v>oldsmobile vista cruiser</v>
      </c>
      <c r="AL108" s="12">
        <v>12</v>
      </c>
      <c r="AM108" s="12">
        <v>10.282504910204173</v>
      </c>
      <c r="AN108" s="12">
        <v>1.7174950897958272</v>
      </c>
      <c r="AO108" s="12">
        <v>3.0849747810183924E-2</v>
      </c>
      <c r="AP108" s="12">
        <v>0.56878580743136242</v>
      </c>
      <c r="AQ108" s="12">
        <v>6.0577184723648383E-4</v>
      </c>
      <c r="AR108" s="12">
        <v>-0.62318453179067923</v>
      </c>
      <c r="AS108" s="12">
        <v>-0.60409084446563865</v>
      </c>
      <c r="AT108" s="12">
        <v>0.75417889617209688</v>
      </c>
      <c r="AU108" s="12">
        <v>1.7721659628268265</v>
      </c>
      <c r="AV108" s="12" t="e">
        <v>#N/A</v>
      </c>
    </row>
    <row r="109" spans="37:48" x14ac:dyDescent="0.25">
      <c r="AK109" t="str">
        <v>amc gremlin</v>
      </c>
      <c r="AL109" s="12">
        <v>18</v>
      </c>
      <c r="AM109" s="12">
        <v>20.239678908337108</v>
      </c>
      <c r="AN109" s="12">
        <v>-2.2396789083371083</v>
      </c>
      <c r="AO109" s="12">
        <v>3.1387057487757081E-2</v>
      </c>
      <c r="AP109" s="12">
        <v>-0.74192401686980725</v>
      </c>
      <c r="AQ109" s="12">
        <v>1.0492289704715078E-3</v>
      </c>
      <c r="AR109" s="12">
        <v>-0.60772881744947449</v>
      </c>
      <c r="AS109" s="12">
        <v>-0.59179023453714441</v>
      </c>
      <c r="AT109" s="12">
        <v>0.86135011282857987</v>
      </c>
      <c r="AU109" s="12">
        <v>-2.3122537497053934</v>
      </c>
      <c r="AV109" s="12" t="e">
        <v>#N/A</v>
      </c>
    </row>
    <row r="110" spans="37:48" x14ac:dyDescent="0.25">
      <c r="AK110" t="str">
        <v>toyota carina</v>
      </c>
      <c r="AL110" s="12">
        <v>20</v>
      </c>
      <c r="AM110" s="12">
        <v>25.076745606588123</v>
      </c>
      <c r="AN110" s="12">
        <v>-5.0767456065881227</v>
      </c>
      <c r="AO110" s="12">
        <v>4.0511183142984845E-2</v>
      </c>
      <c r="AP110" s="12">
        <v>-1.6897180627740656</v>
      </c>
      <c r="AQ110" s="12">
        <v>7.0911158671741765E-3</v>
      </c>
      <c r="AR110" s="12">
        <v>-0.60005529056970508</v>
      </c>
      <c r="AS110" s="12">
        <v>-0.59082143000943876</v>
      </c>
      <c r="AT110" s="12">
        <v>1.2998915580824677</v>
      </c>
      <c r="AU110" s="12">
        <v>-5.2910940882228843</v>
      </c>
      <c r="AV110" s="12" t="e">
        <v>#N/A</v>
      </c>
    </row>
    <row r="111" spans="37:48" x14ac:dyDescent="0.25">
      <c r="AK111" t="str">
        <v>chevrolet vega</v>
      </c>
      <c r="AL111" s="12">
        <v>21</v>
      </c>
      <c r="AM111" s="12">
        <v>22.658863133701555</v>
      </c>
      <c r="AN111" s="12">
        <v>-1.6588631337015549</v>
      </c>
      <c r="AO111" s="12">
        <v>3.987940076710407E-2</v>
      </c>
      <c r="AP111" s="12">
        <v>-0.55194584126169699</v>
      </c>
      <c r="AQ111" s="12">
        <v>7.443322664768201E-4</v>
      </c>
      <c r="AR111" s="12">
        <v>-0.60005529056970508</v>
      </c>
      <c r="AS111" s="12">
        <v>-0.58466219481199677</v>
      </c>
      <c r="AT111" s="12">
        <v>0.74293057634054682</v>
      </c>
      <c r="AU111" s="12">
        <v>-1.7277653817936316</v>
      </c>
      <c r="AV111" s="12" t="e">
        <v>#N/A</v>
      </c>
    </row>
    <row r="112" spans="37:48" x14ac:dyDescent="0.25">
      <c r="AK112" t="str">
        <v>datsun 610</v>
      </c>
      <c r="AL112" s="12">
        <v>22</v>
      </c>
      <c r="AM112" s="12">
        <v>24.4729960533552</v>
      </c>
      <c r="AN112" s="12">
        <v>-2.4729960533551996</v>
      </c>
      <c r="AO112" s="12">
        <v>3.9858734662671737E-2</v>
      </c>
      <c r="AP112" s="12">
        <v>-0.82281965858508455</v>
      </c>
      <c r="AQ112" s="12">
        <v>1.6532889736620513E-3</v>
      </c>
      <c r="AR112" s="12">
        <v>-0.60005529056970508</v>
      </c>
      <c r="AS112" s="12">
        <v>-0.58163018536706346</v>
      </c>
      <c r="AT112" s="12">
        <v>0.90709407372393547</v>
      </c>
      <c r="AU112" s="12">
        <v>-2.5756585438355857</v>
      </c>
      <c r="AV112" s="12" t="e">
        <v>#N/A</v>
      </c>
    </row>
    <row r="113" spans="37:48" x14ac:dyDescent="0.25">
      <c r="AK113" t="str">
        <v>maxda rx3</v>
      </c>
      <c r="AL113" s="12">
        <v>18</v>
      </c>
      <c r="AM113" s="12">
        <v>25.829085733024133</v>
      </c>
      <c r="AN113" s="12">
        <v>-7.829085733024133</v>
      </c>
      <c r="AO113" s="12">
        <v>4.0908895826768793E-2</v>
      </c>
      <c r="AP113" s="12">
        <v>-2.6063331092365796</v>
      </c>
      <c r="AQ113" s="12">
        <v>1.7043893646453555E-2</v>
      </c>
      <c r="AR113" s="12">
        <v>-0.60005529056970508</v>
      </c>
      <c r="AS113" s="12">
        <v>-0.58074238683041579</v>
      </c>
      <c r="AT113" s="12">
        <v>1.6144141690522229</v>
      </c>
      <c r="AU113" s="12">
        <v>-8.1630261181215609</v>
      </c>
      <c r="AV113" s="12">
        <v>1.7043893646453555E-2</v>
      </c>
    </row>
    <row r="114" spans="37:48" x14ac:dyDescent="0.25">
      <c r="AK114" t="str">
        <v>ford pinto</v>
      </c>
      <c r="AL114" s="12">
        <v>19</v>
      </c>
      <c r="AM114" s="12">
        <v>22.908550693281139</v>
      </c>
      <c r="AN114" s="12">
        <v>-3.9085506932811391</v>
      </c>
      <c r="AO114" s="12">
        <v>3.8026724320240957E-2</v>
      </c>
      <c r="AP114" s="12">
        <v>-1.2992210520172569</v>
      </c>
      <c r="AQ114" s="12">
        <v>3.9250309517006171E-3</v>
      </c>
      <c r="AR114" s="12">
        <v>-0.60005529056970508</v>
      </c>
      <c r="AS114" s="12">
        <v>-0.55753264896976451</v>
      </c>
      <c r="AT114" s="12">
        <v>1.1398337826267726</v>
      </c>
      <c r="AU114" s="12">
        <v>-4.0630553801187883</v>
      </c>
      <c r="AV114" s="12" t="e">
        <v>#N/A</v>
      </c>
    </row>
    <row r="115" spans="37:48" x14ac:dyDescent="0.25">
      <c r="AK115" t="str">
        <v>mercury capri v6</v>
      </c>
      <c r="AL115" s="12">
        <v>21</v>
      </c>
      <c r="AM115" s="12">
        <v>21.731093032654325</v>
      </c>
      <c r="AN115" s="12">
        <v>-0.73109303265432501</v>
      </c>
      <c r="AO115" s="12">
        <v>3.7015208274130552E-2</v>
      </c>
      <c r="AP115" s="12">
        <v>-0.24289117425341836</v>
      </c>
      <c r="AQ115" s="12">
        <v>1.3339369925580096E-4</v>
      </c>
      <c r="AR115" s="12">
        <v>-0.60005529056970508</v>
      </c>
      <c r="AS115" s="12">
        <v>-0.55221926921070352</v>
      </c>
      <c r="AT115" s="12">
        <v>0.49283990732632271</v>
      </c>
      <c r="AU115" s="12">
        <v>-0.75919478577024446</v>
      </c>
      <c r="AV115" s="12" t="e">
        <v>#N/A</v>
      </c>
    </row>
    <row r="116" spans="37:48" x14ac:dyDescent="0.25">
      <c r="AK116" t="str">
        <v>fiat 124 sport coupe</v>
      </c>
      <c r="AL116" s="12">
        <v>26</v>
      </c>
      <c r="AM116" s="12">
        <v>24.993182235342815</v>
      </c>
      <c r="AN116" s="12">
        <v>1.0068177646571854</v>
      </c>
      <c r="AO116" s="12">
        <v>3.9273864426025172E-2</v>
      </c>
      <c r="AP116" s="12">
        <v>0.33488821969058197</v>
      </c>
      <c r="AQ116" s="12">
        <v>2.6968379516022147E-4</v>
      </c>
      <c r="AR116" s="12">
        <v>-0.60005529056970508</v>
      </c>
      <c r="AS116" s="12">
        <v>-0.55194584126169699</v>
      </c>
      <c r="AT116" s="12">
        <v>0.57869527360311313</v>
      </c>
      <c r="AU116" s="12">
        <v>1.0479758251353011</v>
      </c>
      <c r="AV116" s="12" t="e">
        <v>#N/A</v>
      </c>
    </row>
    <row r="117" spans="37:48" x14ac:dyDescent="0.25">
      <c r="AK117" t="str">
        <v>chevrolet monte carlo s</v>
      </c>
      <c r="AL117" s="12">
        <v>15</v>
      </c>
      <c r="AM117" s="12">
        <v>12.962180138081797</v>
      </c>
      <c r="AN117" s="12">
        <v>2.0378198619182033</v>
      </c>
      <c r="AO117" s="12">
        <v>2.788915394975712E-2</v>
      </c>
      <c r="AP117" s="12">
        <v>0.67383986412758512</v>
      </c>
      <c r="AQ117" s="12">
        <v>7.6627389377137119E-4</v>
      </c>
      <c r="AR117" s="12">
        <v>-0.60005529056970508</v>
      </c>
      <c r="AS117" s="12">
        <v>-0.55072347548179312</v>
      </c>
      <c r="AT117" s="12">
        <v>0.82087749641928009</v>
      </c>
      <c r="AU117" s="12">
        <v>2.096283433312172</v>
      </c>
      <c r="AV117" s="12" t="e">
        <v>#N/A</v>
      </c>
    </row>
    <row r="118" spans="37:48" x14ac:dyDescent="0.25">
      <c r="AK118" t="str">
        <v>pontiac grand prix</v>
      </c>
      <c r="AL118" s="12">
        <v>16</v>
      </c>
      <c r="AM118" s="12">
        <v>10.589674737467915</v>
      </c>
      <c r="AN118" s="12">
        <v>5.4103252625320852</v>
      </c>
      <c r="AO118" s="12">
        <v>7.1718533906216742E-2</v>
      </c>
      <c r="AP118" s="12">
        <v>1.8307638951688041</v>
      </c>
      <c r="AQ118" s="12">
        <v>1.5232369994827872E-2</v>
      </c>
      <c r="AR118" s="12">
        <v>-0.60005529056970508</v>
      </c>
      <c r="AS118" s="12">
        <v>-0.53338642732774066</v>
      </c>
      <c r="AT118" s="12">
        <v>1.3530572401671719</v>
      </c>
      <c r="AU118" s="12">
        <v>5.8283241238228989</v>
      </c>
      <c r="AV118" s="12">
        <v>1.5232369994827872E-2</v>
      </c>
    </row>
    <row r="119" spans="37:48" x14ac:dyDescent="0.25">
      <c r="AK119" t="str">
        <v>fiat 128</v>
      </c>
      <c r="AL119" s="12">
        <v>29</v>
      </c>
      <c r="AM119" s="12">
        <v>27.67407317225447</v>
      </c>
      <c r="AN119" s="12">
        <v>1.3259268277455298</v>
      </c>
      <c r="AO119" s="12">
        <v>4.6372217608839757E-2</v>
      </c>
      <c r="AP119" s="12">
        <v>0.44266880067425035</v>
      </c>
      <c r="AQ119" s="12">
        <v>5.6051582264195177E-4</v>
      </c>
      <c r="AR119" s="12">
        <v>-0.60005529056970508</v>
      </c>
      <c r="AS119" s="12">
        <v>-0.52393736657058176</v>
      </c>
      <c r="AT119" s="12">
        <v>0.66533360104104944</v>
      </c>
      <c r="AU119" s="12">
        <v>1.3904028932765085</v>
      </c>
      <c r="AV119" s="12" t="e">
        <v>#N/A</v>
      </c>
    </row>
    <row r="120" spans="37:48" x14ac:dyDescent="0.25">
      <c r="AK120" t="str">
        <v>opel manta</v>
      </c>
      <c r="AL120" s="12">
        <v>24</v>
      </c>
      <c r="AM120" s="12">
        <v>25.778502843463428</v>
      </c>
      <c r="AN120" s="12">
        <v>-1.7785028434634285</v>
      </c>
      <c r="AO120" s="12">
        <v>4.0000191815181163E-2</v>
      </c>
      <c r="AP120" s="12">
        <v>-0.59179023453714441</v>
      </c>
      <c r="AQ120" s="12">
        <v>8.5837605658505305E-4</v>
      </c>
      <c r="AR120" s="12">
        <v>-0.60005529056970508</v>
      </c>
      <c r="AS120" s="12">
        <v>-0.49892317917099432</v>
      </c>
      <c r="AT120" s="12">
        <v>0.769279035550264</v>
      </c>
      <c r="AU120" s="12">
        <v>-1.8526074987725742</v>
      </c>
      <c r="AV120" s="12" t="e">
        <v>#N/A</v>
      </c>
    </row>
    <row r="121" spans="37:48" x14ac:dyDescent="0.25">
      <c r="AK121" t="str">
        <v>audi 100ls</v>
      </c>
      <c r="AL121" s="12">
        <v>20</v>
      </c>
      <c r="AM121" s="12">
        <v>23.371876655397273</v>
      </c>
      <c r="AN121" s="12">
        <v>-3.3718766553972728</v>
      </c>
      <c r="AO121" s="12">
        <v>3.805348292346615E-2</v>
      </c>
      <c r="AP121" s="12">
        <v>-1.1208436092324714</v>
      </c>
      <c r="AQ121" s="12">
        <v>2.9233755109492575E-3</v>
      </c>
      <c r="AR121" s="12">
        <v>-0.60005529056970508</v>
      </c>
      <c r="AS121" s="12">
        <v>-0.48011210341267641</v>
      </c>
      <c r="AT121" s="12">
        <v>1.0586990173002293</v>
      </c>
      <c r="AU121" s="12">
        <v>-3.5052641654598364</v>
      </c>
      <c r="AV121" s="12" t="e">
        <v>#N/A</v>
      </c>
    </row>
    <row r="122" spans="37:48" x14ac:dyDescent="0.25">
      <c r="AK122" t="str">
        <v>volvo 144ea</v>
      </c>
      <c r="AL122" s="12">
        <v>19</v>
      </c>
      <c r="AM122" s="12">
        <v>21.582805034449517</v>
      </c>
      <c r="AN122" s="12">
        <v>-2.5828050344495175</v>
      </c>
      <c r="AO122" s="12">
        <v>3.7880044790532488E-2</v>
      </c>
      <c r="AP122" s="12">
        <v>-0.85847137129504036</v>
      </c>
      <c r="AQ122" s="12">
        <v>1.7068052633930145E-3</v>
      </c>
      <c r="AR122" s="12">
        <v>-0.60005529056970508</v>
      </c>
      <c r="AS122" s="12">
        <v>-0.47899199098150291</v>
      </c>
      <c r="AT122" s="12">
        <v>0.92653730162095493</v>
      </c>
      <c r="AU122" s="12">
        <v>-2.6844937790394372</v>
      </c>
      <c r="AV122" s="12" t="e">
        <v>#N/A</v>
      </c>
    </row>
    <row r="123" spans="37:48" x14ac:dyDescent="0.25">
      <c r="AK123" t="str">
        <v>dodge dart custom</v>
      </c>
      <c r="AL123" s="12">
        <v>15</v>
      </c>
      <c r="AM123" s="12">
        <v>16.339238445438834</v>
      </c>
      <c r="AN123" s="12">
        <v>-1.3392384454388342</v>
      </c>
      <c r="AO123" s="12">
        <v>3.0692356983148181E-2</v>
      </c>
      <c r="AP123" s="12">
        <v>-0.44348189348087957</v>
      </c>
      <c r="AQ123" s="12">
        <v>3.663291417823262E-4</v>
      </c>
      <c r="AR123" s="12">
        <v>-0.60005529056970508</v>
      </c>
      <c r="AS123" s="12">
        <v>-0.46498176646527745</v>
      </c>
      <c r="AT123" s="12">
        <v>0.66594436215113317</v>
      </c>
      <c r="AU123" s="12">
        <v>-1.3816443675927468</v>
      </c>
      <c r="AV123" s="12" t="e">
        <v>#N/A</v>
      </c>
    </row>
    <row r="124" spans="37:48" x14ac:dyDescent="0.25">
      <c r="AK124" t="str">
        <v>saab 99le</v>
      </c>
      <c r="AL124" s="12">
        <v>24</v>
      </c>
      <c r="AM124" s="12">
        <v>22.668446298300882</v>
      </c>
      <c r="AN124" s="12">
        <v>1.3315537016991179</v>
      </c>
      <c r="AO124" s="12">
        <v>3.8645493093118238E-2</v>
      </c>
      <c r="AP124" s="12">
        <v>0.44275727569779938</v>
      </c>
      <c r="AQ124" s="12">
        <v>4.6355127300932699E-4</v>
      </c>
      <c r="AR124" s="12">
        <v>-0.60005529056970508</v>
      </c>
      <c r="AS124" s="12">
        <v>-0.4545453066083554</v>
      </c>
      <c r="AT124" s="12">
        <v>0.66540008693852704</v>
      </c>
      <c r="AU124" s="12">
        <v>1.3850808334828915</v>
      </c>
      <c r="AV124" s="12" t="e">
        <v>#N/A</v>
      </c>
    </row>
    <row r="125" spans="37:48" x14ac:dyDescent="0.25">
      <c r="AK125" t="str">
        <v>toyota mark ii</v>
      </c>
      <c r="AL125" s="12">
        <v>20</v>
      </c>
      <c r="AM125" s="12">
        <v>21.85127944338608</v>
      </c>
      <c r="AN125" s="12">
        <v>-1.8512794433860797</v>
      </c>
      <c r="AO125" s="12">
        <v>3.9776770121747546E-2</v>
      </c>
      <c r="AP125" s="12">
        <v>-0.61593470926202398</v>
      </c>
      <c r="AQ125" s="12">
        <v>9.2443789980417546E-4</v>
      </c>
      <c r="AR125" s="12">
        <v>-0.60005529056970508</v>
      </c>
      <c r="AS125" s="12">
        <v>-0.44392180663234571</v>
      </c>
      <c r="AT125" s="12">
        <v>0.78481507966018593</v>
      </c>
      <c r="AU125" s="12">
        <v>-1.9279677743484762</v>
      </c>
      <c r="AV125" s="12" t="e">
        <v>#N/A</v>
      </c>
    </row>
    <row r="126" spans="37:48" x14ac:dyDescent="0.25">
      <c r="AK126" t="str">
        <v>oldsmobile omega</v>
      </c>
      <c r="AL126" s="12">
        <v>11</v>
      </c>
      <c r="AM126" s="12">
        <v>14.510368438826655</v>
      </c>
      <c r="AN126" s="12">
        <v>-3.5103684388266547</v>
      </c>
      <c r="AO126" s="12">
        <v>4.1951063219862798E-2</v>
      </c>
      <c r="AP126" s="12">
        <v>-1.1692507528849174</v>
      </c>
      <c r="AQ126" s="12">
        <v>3.5214511972825654E-3</v>
      </c>
      <c r="AR126" s="12">
        <v>-0.60005529056970508</v>
      </c>
      <c r="AS126" s="12">
        <v>-0.44348189348087957</v>
      </c>
      <c r="AT126" s="12">
        <v>1.0813189875725466</v>
      </c>
      <c r="AU126" s="12">
        <v>-3.6640805120294702</v>
      </c>
      <c r="AV126" s="12" t="e">
        <v>#N/A</v>
      </c>
    </row>
    <row r="127" spans="37:48" x14ac:dyDescent="0.25">
      <c r="AK127" t="str">
        <v>plymouth duster</v>
      </c>
      <c r="AL127" s="12">
        <v>20</v>
      </c>
      <c r="AM127" s="12">
        <v>20.700160815023679</v>
      </c>
      <c r="AN127" s="12">
        <v>-0.70016081502367911</v>
      </c>
      <c r="AO127" s="12">
        <v>4.1681720845725925E-2</v>
      </c>
      <c r="AP127" s="12">
        <v>-0.23318022611887829</v>
      </c>
      <c r="AQ127" s="12">
        <v>1.3911385496748123E-4</v>
      </c>
      <c r="AR127" s="12">
        <v>-0.47441488350636313</v>
      </c>
      <c r="AS127" s="12">
        <v>-0.44257513070662002</v>
      </c>
      <c r="AT127" s="12">
        <v>0.4828873845099686</v>
      </c>
      <c r="AU127" s="12">
        <v>-0.73061406659338524</v>
      </c>
      <c r="AV127" s="12" t="e">
        <v>#N/A</v>
      </c>
    </row>
    <row r="128" spans="37:48" x14ac:dyDescent="0.25">
      <c r="AK128" t="str">
        <v>amc hornet</v>
      </c>
      <c r="AL128" s="12">
        <v>19</v>
      </c>
      <c r="AM128" s="12">
        <v>21.636703887894434</v>
      </c>
      <c r="AN128" s="12">
        <v>-2.6367038878944342</v>
      </c>
      <c r="AO128" s="12">
        <v>4.2615099595863973E-2</v>
      </c>
      <c r="AP128" s="12">
        <v>-0.87855079557956517</v>
      </c>
      <c r="AQ128" s="12">
        <v>2.0209788357389603E-3</v>
      </c>
      <c r="AR128" s="12">
        <v>-0.47441488350636313</v>
      </c>
      <c r="AS128" s="12">
        <v>-0.43529358270499241</v>
      </c>
      <c r="AT128" s="12">
        <v>0.93731040513778852</v>
      </c>
      <c r="AU128" s="12">
        <v>-2.7540688042828081</v>
      </c>
      <c r="AV128" s="12" t="e">
        <v>#N/A</v>
      </c>
    </row>
    <row r="129" spans="37:48" x14ac:dyDescent="0.25">
      <c r="AK129" t="str">
        <v>chevrolet nova</v>
      </c>
      <c r="AL129" s="12">
        <v>15</v>
      </c>
      <c r="AM129" s="12">
        <v>19.434164205318652</v>
      </c>
      <c r="AN129" s="12">
        <v>-4.4341642053186519</v>
      </c>
      <c r="AO129" s="12">
        <v>4.1929203309126278E-2</v>
      </c>
      <c r="AP129" s="12">
        <v>-1.4769363323181717</v>
      </c>
      <c r="AQ129" s="12">
        <v>5.6155672815874852E-3</v>
      </c>
      <c r="AR129" s="12">
        <v>-0.4601505487612142</v>
      </c>
      <c r="AS129" s="12">
        <v>-0.4338415062904411</v>
      </c>
      <c r="AT129" s="12">
        <v>1.2152926940939668</v>
      </c>
      <c r="AU129" s="12">
        <v>-4.6282218606746213</v>
      </c>
      <c r="AV129" s="12" t="e">
        <v>#N/A</v>
      </c>
    </row>
    <row r="130" spans="37:48" x14ac:dyDescent="0.25">
      <c r="AK130" t="str">
        <v>datsun b210</v>
      </c>
      <c r="AL130" s="12">
        <v>31</v>
      </c>
      <c r="AM130" s="12">
        <v>29.047655197436306</v>
      </c>
      <c r="AN130" s="12">
        <v>1.9523448025636938</v>
      </c>
      <c r="AO130" s="12">
        <v>4.9596337656819603E-2</v>
      </c>
      <c r="AP130" s="12">
        <v>0.65290692305069276</v>
      </c>
      <c r="AQ130" s="12">
        <v>1.3085644958385797E-3</v>
      </c>
      <c r="AR130" s="12">
        <v>-0.45305351907680225</v>
      </c>
      <c r="AS130" s="12">
        <v>-0.4283920105670963</v>
      </c>
      <c r="AT130" s="12">
        <v>0.8080265608571866</v>
      </c>
      <c r="AU130" s="12">
        <v>2.0542269352690301</v>
      </c>
      <c r="AV130" s="12" t="e">
        <v>#N/A</v>
      </c>
    </row>
    <row r="131" spans="37:48" x14ac:dyDescent="0.25">
      <c r="AK131" t="str">
        <v>ford pinto</v>
      </c>
      <c r="AL131" s="12">
        <v>26</v>
      </c>
      <c r="AM131" s="12">
        <v>24.23992185376779</v>
      </c>
      <c r="AN131" s="12">
        <v>1.7600781462322104</v>
      </c>
      <c r="AO131" s="12">
        <v>4.6095974662596628E-2</v>
      </c>
      <c r="AP131" s="12">
        <v>0.58752778997756971</v>
      </c>
      <c r="AQ131" s="12">
        <v>9.8121962635278667E-4</v>
      </c>
      <c r="AR131" s="12">
        <v>-0.45305351907680225</v>
      </c>
      <c r="AS131" s="12">
        <v>-0.4182369320992394</v>
      </c>
      <c r="AT131" s="12">
        <v>0.76650361380594267</v>
      </c>
      <c r="AU131" s="12">
        <v>1.8451312705276162</v>
      </c>
      <c r="AV131" s="12" t="e">
        <v>#N/A</v>
      </c>
    </row>
    <row r="132" spans="37:48" x14ac:dyDescent="0.25">
      <c r="AK132" t="str">
        <v>toyota corolla 1200</v>
      </c>
      <c r="AL132" s="12">
        <v>32</v>
      </c>
      <c r="AM132" s="12">
        <v>29.657345357466696</v>
      </c>
      <c r="AN132" s="12">
        <v>2.3426546425333044</v>
      </c>
      <c r="AO132" s="12">
        <v>5.0280943298176672E-2</v>
      </c>
      <c r="AP132" s="12">
        <v>0.78371741325869382</v>
      </c>
      <c r="AQ132" s="12">
        <v>1.9128386377732154E-3</v>
      </c>
      <c r="AR132" s="12">
        <v>-0.45305351907680225</v>
      </c>
      <c r="AS132" s="12">
        <v>-0.40591022394118104</v>
      </c>
      <c r="AT132" s="12">
        <v>0.88527815586893022</v>
      </c>
      <c r="AU132" s="12">
        <v>2.4666817265611751</v>
      </c>
      <c r="AV132" s="12" t="e">
        <v>#N/A</v>
      </c>
    </row>
    <row r="133" spans="37:48" x14ac:dyDescent="0.25">
      <c r="AK133" t="str">
        <v>chevrolet vega</v>
      </c>
      <c r="AL133" s="12">
        <v>25</v>
      </c>
      <c r="AM133" s="12">
        <v>23.860342838559873</v>
      </c>
      <c r="AN133" s="12">
        <v>1.1396571614401267</v>
      </c>
      <c r="AO133" s="12">
        <v>4.5195292486137739E-2</v>
      </c>
      <c r="AP133" s="12">
        <v>0.38024696094502353</v>
      </c>
      <c r="AQ133" s="12">
        <v>4.0258837650253195E-4</v>
      </c>
      <c r="AR133" s="12">
        <v>-0.43189692948271047</v>
      </c>
      <c r="AS133" s="12">
        <v>-0.40193142131393816</v>
      </c>
      <c r="AT133" s="12">
        <v>0.61664167953927951</v>
      </c>
      <c r="AU133" s="12">
        <v>1.1936023696485396</v>
      </c>
      <c r="AV133" s="12" t="e">
        <v>#N/A</v>
      </c>
    </row>
    <row r="134" spans="37:48" x14ac:dyDescent="0.25">
      <c r="AK134" t="str">
        <v>chevrolet chevelle malibu classic</v>
      </c>
      <c r="AL134" s="12">
        <v>16</v>
      </c>
      <c r="AM134" s="12">
        <v>17.180991426591703</v>
      </c>
      <c r="AN134" s="12">
        <v>-1.180991426591703</v>
      </c>
      <c r="AO134" s="12">
        <v>4.9165845778550502E-2</v>
      </c>
      <c r="AP134" s="12">
        <v>-0.39486001875875998</v>
      </c>
      <c r="AQ134" s="12">
        <v>4.7423777402829249E-4</v>
      </c>
      <c r="AR134" s="12">
        <v>-0.42488793897993393</v>
      </c>
      <c r="AS134" s="12">
        <v>-0.39486001875875998</v>
      </c>
      <c r="AT134" s="12">
        <v>0.6283788815346677</v>
      </c>
      <c r="AU134" s="12">
        <v>-1.2420582720429392</v>
      </c>
      <c r="AV134" s="12" t="e">
        <v>#N/A</v>
      </c>
    </row>
    <row r="135" spans="37:48" x14ac:dyDescent="0.25">
      <c r="AK135" t="str">
        <v>amc matador</v>
      </c>
      <c r="AL135" s="12">
        <v>16</v>
      </c>
      <c r="AM135" s="12">
        <v>17.773060239708684</v>
      </c>
      <c r="AN135" s="12">
        <v>-1.7730602397086841</v>
      </c>
      <c r="AO135" s="12">
        <v>4.2735154312296256E-2</v>
      </c>
      <c r="AP135" s="12">
        <v>-0.59082143000943876</v>
      </c>
      <c r="AQ135" s="12">
        <v>9.1667782099527856E-4</v>
      </c>
      <c r="AR135" s="12">
        <v>-0.42488793897993393</v>
      </c>
      <c r="AS135" s="12">
        <v>-0.38508480762603786</v>
      </c>
      <c r="AT135" s="12">
        <v>0.76864909419672045</v>
      </c>
      <c r="AU135" s="12">
        <v>-1.8522149305868523</v>
      </c>
      <c r="AV135" s="12" t="e">
        <v>#N/A</v>
      </c>
    </row>
    <row r="136" spans="37:48" x14ac:dyDescent="0.25">
      <c r="AK136" t="str">
        <v>plymouth satellite sebring</v>
      </c>
      <c r="AL136" s="12">
        <v>18</v>
      </c>
      <c r="AM136" s="12">
        <v>17.950445282163606</v>
      </c>
      <c r="AN136" s="12">
        <v>4.9554717836393536E-2</v>
      </c>
      <c r="AO136" s="12">
        <v>4.3763467871605954E-2</v>
      </c>
      <c r="AP136" s="12">
        <v>1.6521563559615881E-2</v>
      </c>
      <c r="AQ136" s="12">
        <v>7.3485180761357239E-7</v>
      </c>
      <c r="AR136" s="12">
        <v>-0.42488793897993393</v>
      </c>
      <c r="AS136" s="12">
        <v>-0.38135513775663438</v>
      </c>
      <c r="AT136" s="12">
        <v>0.12853623442288903</v>
      </c>
      <c r="AU136" s="12">
        <v>5.1822657021996954E-2</v>
      </c>
      <c r="AV136" s="12" t="e">
        <v>#N/A</v>
      </c>
    </row>
    <row r="137" spans="37:48" x14ac:dyDescent="0.25">
      <c r="AK137" t="str">
        <v>ford gran torino</v>
      </c>
      <c r="AL137" s="12">
        <v>16</v>
      </c>
      <c r="AM137" s="12">
        <v>14.708742687008018</v>
      </c>
      <c r="AN137" s="12">
        <v>1.2912573129919824</v>
      </c>
      <c r="AO137" s="12">
        <v>4.5049751282210906E-2</v>
      </c>
      <c r="AP137" s="12">
        <v>0.43079556603355523</v>
      </c>
      <c r="AQ137" s="12">
        <v>5.1499756946704319E-4</v>
      </c>
      <c r="AR137" s="12">
        <v>-0.42488793897993393</v>
      </c>
      <c r="AS137" s="12">
        <v>-0.36253627723479914</v>
      </c>
      <c r="AT137" s="12">
        <v>0.65635018552107927</v>
      </c>
      <c r="AU137" s="12">
        <v>1.3521723406279569</v>
      </c>
      <c r="AV137" s="12" t="e">
        <v>#N/A</v>
      </c>
    </row>
    <row r="138" spans="37:48" x14ac:dyDescent="0.25">
      <c r="AK138" t="str">
        <v>buick century luxus (sw)</v>
      </c>
      <c r="AL138" s="12">
        <v>13</v>
      </c>
      <c r="AM138" s="12">
        <v>11.72105160223747</v>
      </c>
      <c r="AN138" s="12">
        <v>1.2789483977625302</v>
      </c>
      <c r="AO138" s="12">
        <v>5.4033117323552399E-2</v>
      </c>
      <c r="AP138" s="12">
        <v>0.42871024250542339</v>
      </c>
      <c r="AQ138" s="12">
        <v>6.1753686570022647E-4</v>
      </c>
      <c r="AR138" s="12">
        <v>-0.42488793897993393</v>
      </c>
      <c r="AS138" s="12">
        <v>-0.34222462819834187</v>
      </c>
      <c r="AT138" s="12">
        <v>0.65475968301768805</v>
      </c>
      <c r="AU138" s="12">
        <v>1.3520012393499123</v>
      </c>
      <c r="AV138" s="12" t="e">
        <v>#N/A</v>
      </c>
    </row>
    <row r="139" spans="37:48" x14ac:dyDescent="0.25">
      <c r="AK139" t="str">
        <v>dodge coronet custom (sw)</v>
      </c>
      <c r="AL139" s="12">
        <v>14</v>
      </c>
      <c r="AM139" s="12">
        <v>12.946372529095722</v>
      </c>
      <c r="AN139" s="12">
        <v>1.0536274709042779</v>
      </c>
      <c r="AO139" s="12">
        <v>4.8948096978339982E-2</v>
      </c>
      <c r="AP139" s="12">
        <v>0.35223603151478755</v>
      </c>
      <c r="AQ139" s="12">
        <v>3.7562131648234085E-4</v>
      </c>
      <c r="AR139" s="12">
        <v>-0.42488793897993393</v>
      </c>
      <c r="AS139" s="12">
        <v>-0.32610721496463052</v>
      </c>
      <c r="AT139" s="12">
        <v>0.59349476115193089</v>
      </c>
      <c r="AU139" s="12">
        <v>1.107854857928066</v>
      </c>
      <c r="AV139" s="12" t="e">
        <v>#N/A</v>
      </c>
    </row>
    <row r="140" spans="37:48" x14ac:dyDescent="0.25">
      <c r="AK140" t="str">
        <v>ford gran torino (sw)</v>
      </c>
      <c r="AL140" s="12">
        <v>14</v>
      </c>
      <c r="AM140" s="12">
        <v>12.192277808294996</v>
      </c>
      <c r="AN140" s="12">
        <v>1.8077221917050039</v>
      </c>
      <c r="AO140" s="12">
        <v>5.5331075663274977E-2</v>
      </c>
      <c r="AP140" s="12">
        <v>0.60637414955155566</v>
      </c>
      <c r="AQ140" s="12">
        <v>1.2668404438458728E-3</v>
      </c>
      <c r="AR140" s="12">
        <v>-0.42488793897993393</v>
      </c>
      <c r="AS140" s="12">
        <v>-0.31654278630410199</v>
      </c>
      <c r="AT140" s="12">
        <v>0.77870029507606819</v>
      </c>
      <c r="AU140" s="12">
        <v>1.9136039570416161</v>
      </c>
      <c r="AV140" s="12" t="e">
        <v>#N/A</v>
      </c>
    </row>
    <row r="141" spans="37:48" x14ac:dyDescent="0.25">
      <c r="AK141" t="str">
        <v>amc matador (sw)</v>
      </c>
      <c r="AL141" s="12">
        <v>14</v>
      </c>
      <c r="AM141" s="12">
        <v>13.959034452119068</v>
      </c>
      <c r="AN141" s="12">
        <v>4.0965547880931652E-2</v>
      </c>
      <c r="AO141" s="12">
        <v>4.653759851025966E-2</v>
      </c>
      <c r="AP141" s="12">
        <v>1.3677785391091995E-2</v>
      </c>
      <c r="AQ141" s="12">
        <v>5.3713449731715359E-7</v>
      </c>
      <c r="AR141" s="12">
        <v>-0.42488793897993393</v>
      </c>
      <c r="AS141" s="12">
        <v>-0.31629077006854084</v>
      </c>
      <c r="AT141" s="12">
        <v>0.11695206450119637</v>
      </c>
      <c r="AU141" s="12">
        <v>4.2965037548334264E-2</v>
      </c>
      <c r="AV141" s="12" t="e">
        <v>#N/A</v>
      </c>
    </row>
    <row r="142" spans="37:48" x14ac:dyDescent="0.25">
      <c r="AK142" t="str">
        <v>audi fox</v>
      </c>
      <c r="AL142" s="12">
        <v>29</v>
      </c>
      <c r="AM142" s="12">
        <v>27.303865157763386</v>
      </c>
      <c r="AN142" s="12">
        <v>1.6961348422366136</v>
      </c>
      <c r="AO142" s="12">
        <v>5.2132625039320549E-2</v>
      </c>
      <c r="AP142" s="12">
        <v>0.56798307093810663</v>
      </c>
      <c r="AQ142" s="12">
        <v>1.0437196977374377E-3</v>
      </c>
      <c r="AR142" s="12">
        <v>-0.42488793897993393</v>
      </c>
      <c r="AS142" s="12">
        <v>-0.3131170267789195</v>
      </c>
      <c r="AT142" s="12">
        <v>0.75364651590656651</v>
      </c>
      <c r="AU142" s="12">
        <v>1.7894221143617004</v>
      </c>
      <c r="AV142" s="12" t="e">
        <v>#N/A</v>
      </c>
    </row>
    <row r="143" spans="37:48" x14ac:dyDescent="0.25">
      <c r="AK143" t="str">
        <v>volkswagen dasher</v>
      </c>
      <c r="AL143" s="12">
        <v>26</v>
      </c>
      <c r="AM143" s="12">
        <v>28.859855330489932</v>
      </c>
      <c r="AN143" s="12">
        <v>-2.8598553304899319</v>
      </c>
      <c r="AO143" s="12">
        <v>5.1447023247990456E-2</v>
      </c>
      <c r="AP143" s="12">
        <v>-0.95733088971303293</v>
      </c>
      <c r="AQ143" s="12">
        <v>2.9239765362483101E-3</v>
      </c>
      <c r="AR143" s="12">
        <v>-0.42488793897993393</v>
      </c>
      <c r="AS143" s="12">
        <v>-0.31053190188587199</v>
      </c>
      <c r="AT143" s="12">
        <v>0.97843287440326376</v>
      </c>
      <c r="AU143" s="12">
        <v>-3.014966375713156</v>
      </c>
      <c r="AV143" s="12" t="e">
        <v>#N/A</v>
      </c>
    </row>
    <row r="144" spans="37:48" x14ac:dyDescent="0.25">
      <c r="AK144" t="str">
        <v>opel manta</v>
      </c>
      <c r="AL144" s="12">
        <v>26</v>
      </c>
      <c r="AM144" s="12">
        <v>26.974919238706637</v>
      </c>
      <c r="AN144" s="12">
        <v>-0.97491923870663655</v>
      </c>
      <c r="AO144" s="12">
        <v>5.0020849802743295E-2</v>
      </c>
      <c r="AP144" s="12">
        <v>-0.32610721496463052</v>
      </c>
      <c r="AQ144" s="12">
        <v>3.2938884363680192E-4</v>
      </c>
      <c r="AR144" s="12">
        <v>-0.42488793897993393</v>
      </c>
      <c r="AS144" s="12">
        <v>-0.30358004022533047</v>
      </c>
      <c r="AT144" s="12">
        <v>0.57105797863669716</v>
      </c>
      <c r="AU144" s="12">
        <v>-1.0262533009321322</v>
      </c>
      <c r="AV144" s="12" t="e">
        <v>#N/A</v>
      </c>
    </row>
    <row r="145" spans="37:48" x14ac:dyDescent="0.25">
      <c r="AK145" t="str">
        <v>toyota corona</v>
      </c>
      <c r="AL145" s="12">
        <v>31</v>
      </c>
      <c r="AM145" s="12">
        <v>30.81525787088956</v>
      </c>
      <c r="AN145" s="12">
        <v>0.18474212911043963</v>
      </c>
      <c r="AO145" s="12">
        <v>5.1522121063569362E-2</v>
      </c>
      <c r="AP145" s="12">
        <v>6.1844508852538164E-2</v>
      </c>
      <c r="AQ145" s="12">
        <v>1.2221370089460612E-5</v>
      </c>
      <c r="AR145" s="12">
        <v>-0.42488793897993393</v>
      </c>
      <c r="AS145" s="12">
        <v>-0.29588942339118907</v>
      </c>
      <c r="AT145" s="12">
        <v>0.24868556221167759</v>
      </c>
      <c r="AU145" s="12">
        <v>0.19477747790765451</v>
      </c>
      <c r="AV145" s="12" t="e">
        <v>#N/A</v>
      </c>
    </row>
    <row r="146" spans="37:48" x14ac:dyDescent="0.25">
      <c r="AK146" t="str">
        <v>datsun 710</v>
      </c>
      <c r="AL146" s="12">
        <v>32</v>
      </c>
      <c r="AM146" s="12">
        <v>28.876718379556358</v>
      </c>
      <c r="AN146" s="12">
        <v>3.1232816204436418</v>
      </c>
      <c r="AO146" s="12">
        <v>4.9821646072405704E-2</v>
      </c>
      <c r="AP146" s="12">
        <v>1.04461770630526</v>
      </c>
      <c r="AQ146" s="12">
        <v>3.365726204821601E-3</v>
      </c>
      <c r="AR146" s="12">
        <v>-0.34227644932452284</v>
      </c>
      <c r="AS146" s="12">
        <v>-0.28991504577291533</v>
      </c>
      <c r="AT146" s="12">
        <v>1.0220654119503605</v>
      </c>
      <c r="AU146" s="12">
        <v>3.2870477500707649</v>
      </c>
      <c r="AV146" s="12" t="e">
        <v>#N/A</v>
      </c>
    </row>
    <row r="147" spans="37:48" x14ac:dyDescent="0.25">
      <c r="AK147" t="str">
        <v>dodge colt</v>
      </c>
      <c r="AL147" s="12">
        <v>28</v>
      </c>
      <c r="AM147" s="12">
        <v>25.971742948063557</v>
      </c>
      <c r="AN147" s="12">
        <v>2.0282570519364427</v>
      </c>
      <c r="AO147" s="12">
        <v>5.1496745076147758E-2</v>
      </c>
      <c r="AP147" s="12">
        <v>0.67897281388579944</v>
      </c>
      <c r="AQ147" s="12">
        <v>1.4723016665139849E-3</v>
      </c>
      <c r="AR147" s="12">
        <v>-0.3355040396155593</v>
      </c>
      <c r="AS147" s="12">
        <v>-0.28923752793397073</v>
      </c>
      <c r="AT147" s="12">
        <v>0.82399806667600828</v>
      </c>
      <c r="AU147" s="12">
        <v>2.1383764804257579</v>
      </c>
      <c r="AV147" s="12" t="e">
        <v>#N/A</v>
      </c>
    </row>
    <row r="148" spans="37:48" x14ac:dyDescent="0.25">
      <c r="AK148" t="str">
        <v>fiat 128</v>
      </c>
      <c r="AL148" s="12">
        <v>24</v>
      </c>
      <c r="AM148" s="12">
        <v>27.995783980669668</v>
      </c>
      <c r="AN148" s="12">
        <v>-3.9957839806696676</v>
      </c>
      <c r="AO148" s="12">
        <v>5.1365356097886748E-2</v>
      </c>
      <c r="AP148" s="12">
        <v>-1.3375231715810592</v>
      </c>
      <c r="AQ148" s="12">
        <v>5.6980339185633885E-3</v>
      </c>
      <c r="AR148" s="12">
        <v>-0.3355040396155593</v>
      </c>
      <c r="AS148" s="12">
        <v>-0.27897206548305931</v>
      </c>
      <c r="AT148" s="12">
        <v>1.1565133685267366</v>
      </c>
      <c r="AU148" s="12">
        <v>-4.2121421627966393</v>
      </c>
      <c r="AV148" s="12" t="e">
        <v>#N/A</v>
      </c>
    </row>
    <row r="149" spans="37:48" x14ac:dyDescent="0.25">
      <c r="AK149" t="str">
        <v>fiat 124 tc</v>
      </c>
      <c r="AL149" s="12">
        <v>26</v>
      </c>
      <c r="AM149" s="12">
        <v>27.297047253783557</v>
      </c>
      <c r="AN149" s="12">
        <v>-1.2970472537835569</v>
      </c>
      <c r="AO149" s="12">
        <v>4.9948811373861986E-2</v>
      </c>
      <c r="AP149" s="12">
        <v>-0.4338415062904411</v>
      </c>
      <c r="AQ149" s="12">
        <v>5.8209173033592408E-4</v>
      </c>
      <c r="AR149" s="12">
        <v>-0.3355040396155593</v>
      </c>
      <c r="AS149" s="12">
        <v>-0.27496797490025449</v>
      </c>
      <c r="AT149" s="12">
        <v>0.6586664605780691</v>
      </c>
      <c r="AU149" s="12">
        <v>-1.3652393358501107</v>
      </c>
      <c r="AV149" s="12" t="e">
        <v>#N/A</v>
      </c>
    </row>
    <row r="150" spans="37:48" x14ac:dyDescent="0.25">
      <c r="AK150" t="str">
        <v>honda civic</v>
      </c>
      <c r="AL150" s="12">
        <v>24</v>
      </c>
      <c r="AM150" s="12">
        <v>25.831438356282142</v>
      </c>
      <c r="AN150" s="12">
        <v>-1.8314383562821419</v>
      </c>
      <c r="AO150" s="12">
        <v>5.0141769981706191E-2</v>
      </c>
      <c r="AP150" s="12">
        <v>-0.61264897901117765</v>
      </c>
      <c r="AQ150" s="12">
        <v>1.1655083173075383E-3</v>
      </c>
      <c r="AR150" s="12">
        <v>-0.31527742954587812</v>
      </c>
      <c r="AS150" s="12">
        <v>-0.2744986939956594</v>
      </c>
      <c r="AT150" s="12">
        <v>0.78271896553691456</v>
      </c>
      <c r="AU150" s="12">
        <v>-1.9281175847124778</v>
      </c>
      <c r="AV150" s="12" t="e">
        <v>#N/A</v>
      </c>
    </row>
    <row r="151" spans="37:48" x14ac:dyDescent="0.25">
      <c r="AK151" t="str">
        <v>subaru</v>
      </c>
      <c r="AL151" s="12">
        <v>26</v>
      </c>
      <c r="AM151" s="12">
        <v>26.392588426377749</v>
      </c>
      <c r="AN151" s="12">
        <v>-0.39258842637774904</v>
      </c>
      <c r="AO151" s="12">
        <v>4.9910696077755404E-2</v>
      </c>
      <c r="AP151" s="12">
        <v>-0.13131189884057307</v>
      </c>
      <c r="AQ151" s="12">
        <v>5.3282971853456959E-5</v>
      </c>
      <c r="AR151" s="12">
        <v>-0.31527742954587812</v>
      </c>
      <c r="AS151" s="12">
        <v>-0.26432732427601652</v>
      </c>
      <c r="AT151" s="12">
        <v>0.36236983710095555</v>
      </c>
      <c r="AU151" s="12">
        <v>-0.41321213148809277</v>
      </c>
      <c r="AV151" s="12" t="e">
        <v>#N/A</v>
      </c>
    </row>
    <row r="152" spans="37:48" x14ac:dyDescent="0.25">
      <c r="AK152" t="str">
        <v>fiat x1.9</v>
      </c>
      <c r="AL152" s="12">
        <v>31</v>
      </c>
      <c r="AM152" s="12">
        <v>28.672512874730611</v>
      </c>
      <c r="AN152" s="12">
        <v>2.3274871252693892</v>
      </c>
      <c r="AO152" s="12">
        <v>5.0990530009204414E-2</v>
      </c>
      <c r="AP152" s="12">
        <v>0.77893428137700682</v>
      </c>
      <c r="AQ152" s="12">
        <v>1.9176603742006981E-3</v>
      </c>
      <c r="AR152" s="12">
        <v>-0.30186483701074074</v>
      </c>
      <c r="AS152" s="12">
        <v>-0.26364023528520003</v>
      </c>
      <c r="AT152" s="12">
        <v>0.88257253604279284</v>
      </c>
      <c r="AU152" s="12">
        <v>2.4525436245562053</v>
      </c>
      <c r="AV152" s="12" t="e">
        <v>#N/A</v>
      </c>
    </row>
    <row r="153" spans="37:48" x14ac:dyDescent="0.25">
      <c r="AK153" t="str">
        <v>plymouth valiant custom</v>
      </c>
      <c r="AL153" s="12">
        <v>19</v>
      </c>
      <c r="AM153" s="12">
        <v>19.261395253436948</v>
      </c>
      <c r="AN153" s="12">
        <v>-0.26139525343694814</v>
      </c>
      <c r="AO153" s="12">
        <v>3.574414313936964E-2</v>
      </c>
      <c r="AP153" s="12">
        <v>-8.6786137087073154E-2</v>
      </c>
      <c r="AQ153" s="12">
        <v>1.6423450272720468E-5</v>
      </c>
      <c r="AR153" s="12">
        <v>-0.29517900048864582</v>
      </c>
      <c r="AS153" s="12">
        <v>-0.25886999570707547</v>
      </c>
      <c r="AT153" s="12">
        <v>0.2945948694174309</v>
      </c>
      <c r="AU153" s="12">
        <v>-0.27108495279249223</v>
      </c>
      <c r="AV153" s="12" t="e">
        <v>#N/A</v>
      </c>
    </row>
    <row r="154" spans="37:48" x14ac:dyDescent="0.25">
      <c r="AK154" t="str">
        <v>chevrolet nova</v>
      </c>
      <c r="AL154" s="12">
        <v>18</v>
      </c>
      <c r="AM154" s="12">
        <v>18.11168555895377</v>
      </c>
      <c r="AN154" s="12">
        <v>-0.11168555895376997</v>
      </c>
      <c r="AO154" s="12">
        <v>3.503510364992779E-2</v>
      </c>
      <c r="AP154" s="12">
        <v>-3.7067224491663844E-2</v>
      </c>
      <c r="AQ154" s="12">
        <v>2.9344256287308819E-6</v>
      </c>
      <c r="AR154" s="12">
        <v>-0.28850633275119353</v>
      </c>
      <c r="AS154" s="12">
        <v>-0.2557150343200344</v>
      </c>
      <c r="AT154" s="12">
        <v>0.19252850306295907</v>
      </c>
      <c r="AU154" s="12">
        <v>-0.11574054079709488</v>
      </c>
      <c r="AV154" s="12" t="e">
        <v>#N/A</v>
      </c>
    </row>
    <row r="155" spans="37:48" x14ac:dyDescent="0.25">
      <c r="AK155" t="str">
        <v>mercury monarch</v>
      </c>
      <c r="AL155" s="12">
        <v>15</v>
      </c>
      <c r="AM155" s="12">
        <v>18.78419717302878</v>
      </c>
      <c r="AN155" s="12">
        <v>-3.7841971730287796</v>
      </c>
      <c r="AO155" s="12">
        <v>4.8468447253223503E-2</v>
      </c>
      <c r="AP155" s="12">
        <v>-1.2647682754399088</v>
      </c>
      <c r="AQ155" s="12">
        <v>4.7930164375910266E-3</v>
      </c>
      <c r="AR155" s="12">
        <v>-0.28850633275119353</v>
      </c>
      <c r="AS155" s="12">
        <v>-0.24814969353100894</v>
      </c>
      <c r="AT155" s="12">
        <v>1.124619169070094</v>
      </c>
      <c r="AU155" s="12">
        <v>-3.9769539560774163</v>
      </c>
      <c r="AV155" s="12" t="e">
        <v>#N/A</v>
      </c>
    </row>
    <row r="156" spans="37:48" x14ac:dyDescent="0.25">
      <c r="AK156" t="str">
        <v>ford maverick</v>
      </c>
      <c r="AL156" s="12">
        <v>15</v>
      </c>
      <c r="AM156" s="12">
        <v>20.17154400757077</v>
      </c>
      <c r="AN156" s="12">
        <v>-5.1715440075707697</v>
      </c>
      <c r="AO156" s="12">
        <v>4.265740901741475E-2</v>
      </c>
      <c r="AP156" s="12">
        <v>-1.7231986194513169</v>
      </c>
      <c r="AQ156" s="12">
        <v>7.7830325589615043E-3</v>
      </c>
      <c r="AR156" s="12">
        <v>-0.28850633275119353</v>
      </c>
      <c r="AS156" s="12">
        <v>-0.24289117425341836</v>
      </c>
      <c r="AT156" s="12">
        <v>1.3127066006733252</v>
      </c>
      <c r="AU156" s="12">
        <v>-5.4019784101142578</v>
      </c>
      <c r="AV156" s="12" t="e">
        <v>#N/A</v>
      </c>
    </row>
    <row r="157" spans="37:48" x14ac:dyDescent="0.25">
      <c r="AK157" t="str">
        <v>pontiac catalina</v>
      </c>
      <c r="AL157" s="12">
        <v>16</v>
      </c>
      <c r="AM157" s="12">
        <v>10.934776157297449</v>
      </c>
      <c r="AN157" s="12">
        <v>5.0652238427025509</v>
      </c>
      <c r="AO157" s="12">
        <v>4.4820942448239413E-2</v>
      </c>
      <c r="AP157" s="12">
        <v>1.6896822821993771</v>
      </c>
      <c r="AQ157" s="12">
        <v>7.8805652842904063E-3</v>
      </c>
      <c r="AR157" s="12">
        <v>-0.28850633275119353</v>
      </c>
      <c r="AS157" s="12">
        <v>-0.24068058859416844</v>
      </c>
      <c r="AT157" s="12">
        <v>1.2998777951020539</v>
      </c>
      <c r="AU157" s="12">
        <v>5.3029050445110597</v>
      </c>
      <c r="AV157" s="12" t="e">
        <v>#N/A</v>
      </c>
    </row>
    <row r="158" spans="37:48" x14ac:dyDescent="0.25">
      <c r="AK158" t="str">
        <v>chevrolet bel air</v>
      </c>
      <c r="AL158" s="12">
        <v>15</v>
      </c>
      <c r="AM158" s="12">
        <v>12.495121548382592</v>
      </c>
      <c r="AN158" s="12">
        <v>2.5048784516174081</v>
      </c>
      <c r="AO158" s="12">
        <v>4.0295891210602973E-2</v>
      </c>
      <c r="AP158" s="12">
        <v>0.83361742346055501</v>
      </c>
      <c r="AQ158" s="12">
        <v>1.7163587022957112E-3</v>
      </c>
      <c r="AR158" s="12">
        <v>-0.28850633275119353</v>
      </c>
      <c r="AS158" s="12">
        <v>-0.23318022611887829</v>
      </c>
      <c r="AT158" s="12">
        <v>0.91302651848703442</v>
      </c>
      <c r="AU158" s="12">
        <v>2.6100528576220703</v>
      </c>
      <c r="AV158" s="12" t="e">
        <v>#N/A</v>
      </c>
    </row>
    <row r="159" spans="37:48" x14ac:dyDescent="0.25">
      <c r="AK159" t="str">
        <v>plymouth grand fury</v>
      </c>
      <c r="AL159" s="12">
        <v>16</v>
      </c>
      <c r="AM159" s="12">
        <v>12.120267430938121</v>
      </c>
      <c r="AN159" s="12">
        <v>3.8797325690618791</v>
      </c>
      <c r="AO159" s="12">
        <v>4.0897736141287049E-2</v>
      </c>
      <c r="AP159" s="12">
        <v>1.2915705569901503</v>
      </c>
      <c r="AQ159" s="12">
        <v>4.1842892969318861E-3</v>
      </c>
      <c r="AR159" s="12">
        <v>-0.28850633275119353</v>
      </c>
      <c r="AS159" s="12">
        <v>-0.22773334599687459</v>
      </c>
      <c r="AT159" s="12">
        <v>1.1364728580085626</v>
      </c>
      <c r="AU159" s="12">
        <v>4.0451709012266592</v>
      </c>
      <c r="AV159" s="12" t="e">
        <v>#N/A</v>
      </c>
    </row>
    <row r="160" spans="37:48" x14ac:dyDescent="0.25">
      <c r="AK160" t="str">
        <v>ford ltd</v>
      </c>
      <c r="AL160" s="12">
        <v>14</v>
      </c>
      <c r="AM160" s="12">
        <v>11.347674066041641</v>
      </c>
      <c r="AN160" s="12">
        <v>2.6523259339583589</v>
      </c>
      <c r="AO160" s="12">
        <v>4.375470825654347E-2</v>
      </c>
      <c r="AP160" s="12">
        <v>0.88428252049290279</v>
      </c>
      <c r="AQ160" s="12">
        <v>2.1046924450569644E-3</v>
      </c>
      <c r="AR160" s="12">
        <v>-0.28850633275119353</v>
      </c>
      <c r="AS160" s="12">
        <v>-0.22349400460848995</v>
      </c>
      <c r="AT160" s="12">
        <v>0.94036297273600833</v>
      </c>
      <c r="AU160" s="12">
        <v>2.7736878360180524</v>
      </c>
      <c r="AV160" s="12" t="e">
        <v>#N/A</v>
      </c>
    </row>
    <row r="161" spans="37:48" x14ac:dyDescent="0.25">
      <c r="AK161" t="str">
        <v>buick century</v>
      </c>
      <c r="AL161" s="12">
        <v>17</v>
      </c>
      <c r="AM161" s="12">
        <v>15.762140691613761</v>
      </c>
      <c r="AN161" s="12">
        <v>1.2378593083862395</v>
      </c>
      <c r="AO161" s="12">
        <v>3.8802549304697426E-2</v>
      </c>
      <c r="AP161" s="12">
        <v>0.4116364131495851</v>
      </c>
      <c r="AQ161" s="12">
        <v>4.0237065341328126E-4</v>
      </c>
      <c r="AR161" s="12">
        <v>-0.28850633275119353</v>
      </c>
      <c r="AS161" s="12">
        <v>-0.22021492268660475</v>
      </c>
      <c r="AT161" s="12">
        <v>0.64158897524005598</v>
      </c>
      <c r="AU161" s="12">
        <v>1.2878304114215113</v>
      </c>
      <c r="AV161" s="12" t="e">
        <v>#N/A</v>
      </c>
    </row>
    <row r="162" spans="37:48" x14ac:dyDescent="0.25">
      <c r="AK162" t="str">
        <v>chevroelt chevelle malibu</v>
      </c>
      <c r="AL162" s="12">
        <v>16</v>
      </c>
      <c r="AM162" s="12">
        <v>15.893955947532634</v>
      </c>
      <c r="AN162" s="12">
        <v>0.10604405246736626</v>
      </c>
      <c r="AO162" s="12">
        <v>4.0550061485985271E-2</v>
      </c>
      <c r="AP162" s="12">
        <v>3.5295875579668894E-2</v>
      </c>
      <c r="AQ162" s="12">
        <v>3.0971924792745049E-6</v>
      </c>
      <c r="AR162" s="12">
        <v>-0.28850633275119353</v>
      </c>
      <c r="AS162" s="12">
        <v>-0.20291519301261843</v>
      </c>
      <c r="AT162" s="12">
        <v>0.18787196592272326</v>
      </c>
      <c r="AU162" s="12">
        <v>0.11052588385341511</v>
      </c>
      <c r="AV162" s="12" t="e">
        <v>#N/A</v>
      </c>
    </row>
    <row r="163" spans="37:48" x14ac:dyDescent="0.25">
      <c r="AK163" t="str">
        <v>amc matador</v>
      </c>
      <c r="AL163" s="12">
        <v>15</v>
      </c>
      <c r="AM163" s="12">
        <v>16.658346493489425</v>
      </c>
      <c r="AN163" s="12">
        <v>-1.6583464934894252</v>
      </c>
      <c r="AO163" s="12">
        <v>3.6213181908382158E-2</v>
      </c>
      <c r="AP163" s="12">
        <v>-0.55072347548179312</v>
      </c>
      <c r="AQ163" s="12">
        <v>6.7035362396424773E-4</v>
      </c>
      <c r="AR163" s="12">
        <v>-0.22898889026089997</v>
      </c>
      <c r="AS163" s="12">
        <v>-0.19933424776620928</v>
      </c>
      <c r="AT163" s="12">
        <v>0.74210745548188173</v>
      </c>
      <c r="AU163" s="12">
        <v>-1.7206569568704999</v>
      </c>
      <c r="AV163" s="12" t="e">
        <v>#N/A</v>
      </c>
    </row>
    <row r="164" spans="37:48" x14ac:dyDescent="0.25">
      <c r="AK164" t="str">
        <v>plymouth fury</v>
      </c>
      <c r="AL164" s="12">
        <v>18</v>
      </c>
      <c r="AM164" s="12">
        <v>16.623410943961126</v>
      </c>
      <c r="AN164" s="12">
        <v>1.376589056038874</v>
      </c>
      <c r="AO164" s="12">
        <v>4.2873777663927769E-2</v>
      </c>
      <c r="AP164" s="12">
        <v>0.45874200542910859</v>
      </c>
      <c r="AQ164" s="12">
        <v>5.5451159645289157E-4</v>
      </c>
      <c r="AR164" s="12">
        <v>-0.22898889026089997</v>
      </c>
      <c r="AS164" s="12">
        <v>-0.19789440550577833</v>
      </c>
      <c r="AT164" s="12">
        <v>0.67730495748156794</v>
      </c>
      <c r="AU164" s="12">
        <v>1.4382523683020747</v>
      </c>
      <c r="AV164" s="12" t="e">
        <v>#N/A</v>
      </c>
    </row>
    <row r="165" spans="37:48" x14ac:dyDescent="0.25">
      <c r="AK165" t="str">
        <v>buick skyhawk</v>
      </c>
      <c r="AL165" s="12">
        <v>21</v>
      </c>
      <c r="AM165" s="12">
        <v>20.157093437535096</v>
      </c>
      <c r="AN165" s="12">
        <v>0.84290656246490414</v>
      </c>
      <c r="AO165" s="12">
        <v>3.8262991290562078E-2</v>
      </c>
      <c r="AP165" s="12">
        <v>0.2802206101814847</v>
      </c>
      <c r="AQ165" s="12">
        <v>1.8376966255360998E-4</v>
      </c>
      <c r="AR165" s="12">
        <v>-0.22898889026089997</v>
      </c>
      <c r="AS165" s="12">
        <v>-0.19419634887019752</v>
      </c>
      <c r="AT165" s="12">
        <v>0.52935867819606464</v>
      </c>
      <c r="AU165" s="12">
        <v>0.87644184931180591</v>
      </c>
      <c r="AV165" s="12" t="e">
        <v>#N/A</v>
      </c>
    </row>
    <row r="166" spans="37:48" x14ac:dyDescent="0.25">
      <c r="AK166" t="str">
        <v>chevrolet monza 2+2</v>
      </c>
      <c r="AL166" s="12">
        <v>20</v>
      </c>
      <c r="AM166" s="12">
        <v>19.23557108758385</v>
      </c>
      <c r="AN166" s="12">
        <v>0.7644289124161503</v>
      </c>
      <c r="AO166" s="12">
        <v>3.5845191221584291E-2</v>
      </c>
      <c r="AP166" s="12">
        <v>0.25381221692103473</v>
      </c>
      <c r="AQ166" s="12">
        <v>1.4088353926934238E-4</v>
      </c>
      <c r="AR166" s="12">
        <v>-0.22898889026089997</v>
      </c>
      <c r="AS166" s="12">
        <v>-0.19410783505686549</v>
      </c>
      <c r="AT166" s="12">
        <v>0.50379779368416722</v>
      </c>
      <c r="AU166" s="12">
        <v>0.79284872663206629</v>
      </c>
      <c r="AV166" s="12" t="e">
        <v>#N/A</v>
      </c>
    </row>
    <row r="167" spans="37:48" x14ac:dyDescent="0.25">
      <c r="AK167" t="str">
        <v>ford mustang ii</v>
      </c>
      <c r="AL167" s="12">
        <v>13</v>
      </c>
      <c r="AM167" s="12">
        <v>19.190370980452638</v>
      </c>
      <c r="AN167" s="12">
        <v>-6.1903709804526379</v>
      </c>
      <c r="AO167" s="12">
        <v>4.3566451925430752E-2</v>
      </c>
      <c r="AP167" s="12">
        <v>-2.0636596826638138</v>
      </c>
      <c r="AQ167" s="12">
        <v>1.1411024261701269E-2</v>
      </c>
      <c r="AR167" s="12">
        <v>-0.20280722023220576</v>
      </c>
      <c r="AS167" s="12">
        <v>-0.18942202796255866</v>
      </c>
      <c r="AT167" s="12">
        <v>1.4365443545758738</v>
      </c>
      <c r="AU167" s="12">
        <v>-6.4723482283894116</v>
      </c>
      <c r="AV167" s="12">
        <v>1.1411024261701269E-2</v>
      </c>
    </row>
    <row r="168" spans="37:48" x14ac:dyDescent="0.25">
      <c r="AK168" t="str">
        <v>toyota corolla</v>
      </c>
      <c r="AL168" s="12">
        <v>29</v>
      </c>
      <c r="AM168" s="12">
        <v>27.180262912929354</v>
      </c>
      <c r="AN168" s="12">
        <v>1.8197370870706457</v>
      </c>
      <c r="AO168" s="12">
        <v>4.7178286413457775E-2</v>
      </c>
      <c r="AP168" s="12">
        <v>0.6077873084612555</v>
      </c>
      <c r="AQ168" s="12">
        <v>1.0759320631190616E-3</v>
      </c>
      <c r="AR168" s="12">
        <v>-0.1962841646325432</v>
      </c>
      <c r="AS168" s="12">
        <v>-0.18217601115513996</v>
      </c>
      <c r="AT168" s="12">
        <v>0.7796071500834606</v>
      </c>
      <c r="AU168" s="12">
        <v>1.90984006884239</v>
      </c>
      <c r="AV168" s="12" t="e">
        <v>#N/A</v>
      </c>
    </row>
    <row r="169" spans="37:48" x14ac:dyDescent="0.25">
      <c r="AK169" t="str">
        <v>ford pinto</v>
      </c>
      <c r="AL169" s="12">
        <v>23</v>
      </c>
      <c r="AM169" s="12">
        <v>22.62080094632741</v>
      </c>
      <c r="AN169" s="12">
        <v>0.37919905367258977</v>
      </c>
      <c r="AO169" s="12">
        <v>3.9549118220708876E-2</v>
      </c>
      <c r="AP169" s="12">
        <v>0.12614744788801885</v>
      </c>
      <c r="AQ169" s="12">
        <v>3.8545143009552257E-5</v>
      </c>
      <c r="AR169" s="12">
        <v>-0.1962841646325432</v>
      </c>
      <c r="AS169" s="12">
        <v>-0.17875083851948473</v>
      </c>
      <c r="AT169" s="12">
        <v>0.35517241994279181</v>
      </c>
      <c r="AU169" s="12">
        <v>0.39481358273116629</v>
      </c>
      <c r="AV169" s="12" t="e">
        <v>#N/A</v>
      </c>
    </row>
    <row r="170" spans="37:48" x14ac:dyDescent="0.25">
      <c r="AK170" t="str">
        <v>amc gremlin</v>
      </c>
      <c r="AL170" s="12">
        <v>20</v>
      </c>
      <c r="AM170" s="12">
        <v>20.952371458960101</v>
      </c>
      <c r="AN170" s="12">
        <v>-0.95237145896010134</v>
      </c>
      <c r="AO170" s="12">
        <v>3.7843962917676E-2</v>
      </c>
      <c r="AP170" s="12">
        <v>-0.31654278630410199</v>
      </c>
      <c r="AQ170" s="12">
        <v>2.3182860362914372E-4</v>
      </c>
      <c r="AR170" s="12">
        <v>-0.1962841646325432</v>
      </c>
      <c r="AS170" s="12">
        <v>-0.1637477879265988</v>
      </c>
      <c r="AT170" s="12">
        <v>0.562621352513484</v>
      </c>
      <c r="AU170" s="12">
        <v>-0.989830570359571</v>
      </c>
      <c r="AV170" s="12" t="e">
        <v>#N/A</v>
      </c>
    </row>
    <row r="171" spans="37:48" x14ac:dyDescent="0.25">
      <c r="AK171" t="str">
        <v>pontiac astro</v>
      </c>
      <c r="AL171" s="12">
        <v>23</v>
      </c>
      <c r="AM171" s="12">
        <v>22.939958658005601</v>
      </c>
      <c r="AN171" s="12">
        <v>6.0041341994399033E-2</v>
      </c>
      <c r="AO171" s="12">
        <v>3.9967778821523768E-2</v>
      </c>
      <c r="AP171" s="12">
        <v>1.9978196923054012E-2</v>
      </c>
      <c r="AQ171" s="12">
        <v>9.7743494523160525E-7</v>
      </c>
      <c r="AR171" s="12">
        <v>-0.17676385996282307</v>
      </c>
      <c r="AS171" s="12">
        <v>-0.16166667853581004</v>
      </c>
      <c r="AT171" s="12">
        <v>0.14134424969928566</v>
      </c>
      <c r="AU171" s="12">
        <v>6.2540965469571427E-2</v>
      </c>
      <c r="AV171" s="12" t="e">
        <v>#N/A</v>
      </c>
    </row>
    <row r="172" spans="37:48" x14ac:dyDescent="0.25">
      <c r="AK172" t="str">
        <v>toyota corona</v>
      </c>
      <c r="AL172" s="12">
        <v>24</v>
      </c>
      <c r="AM172" s="12">
        <v>24.150680436277998</v>
      </c>
      <c r="AN172" s="12">
        <v>-0.1506804362779981</v>
      </c>
      <c r="AO172" s="12">
        <v>4.7066803238434332E-2</v>
      </c>
      <c r="AP172" s="12">
        <v>-5.032391780723363E-2</v>
      </c>
      <c r="AQ172" s="12">
        <v>7.3578717392995239E-6</v>
      </c>
      <c r="AR172" s="12">
        <v>-0.17676385996282307</v>
      </c>
      <c r="AS172" s="12">
        <v>-0.1580347863334722</v>
      </c>
      <c r="AT172" s="12">
        <v>0.22432993069858875</v>
      </c>
      <c r="AU172" s="12">
        <v>-0.15812276956041443</v>
      </c>
      <c r="AV172" s="12" t="e">
        <v>#N/A</v>
      </c>
    </row>
    <row r="173" spans="37:48" x14ac:dyDescent="0.25">
      <c r="AK173" t="str">
        <v>volkswagen dasher</v>
      </c>
      <c r="AL173" s="12">
        <v>25</v>
      </c>
      <c r="AM173" s="12">
        <v>26.859939698807597</v>
      </c>
      <c r="AN173" s="12">
        <v>-1.8599396988075974</v>
      </c>
      <c r="AO173" s="12">
        <v>4.6422402489413581E-2</v>
      </c>
      <c r="AP173" s="12">
        <v>-0.62096861122347391</v>
      </c>
      <c r="AQ173" s="12">
        <v>1.1042361165811147E-3</v>
      </c>
      <c r="AR173" s="12">
        <v>-0.16378810102408645</v>
      </c>
      <c r="AS173" s="12">
        <v>-0.15390694742658717</v>
      </c>
      <c r="AT173" s="12">
        <v>0.78801561610381421</v>
      </c>
      <c r="AU173" s="12">
        <v>-1.9504859422695788</v>
      </c>
      <c r="AV173" s="12" t="e">
        <v>#N/A</v>
      </c>
    </row>
    <row r="174" spans="37:48" x14ac:dyDescent="0.25">
      <c r="AK174" t="str">
        <v>datsun 710</v>
      </c>
      <c r="AL174" s="12">
        <v>24</v>
      </c>
      <c r="AM174" s="12">
        <v>24.929383613897784</v>
      </c>
      <c r="AN174" s="12">
        <v>-0.92938361389778379</v>
      </c>
      <c r="AO174" s="12">
        <v>4.7916183652933104E-2</v>
      </c>
      <c r="AP174" s="12">
        <v>-0.31053190188587199</v>
      </c>
      <c r="AQ174" s="12">
        <v>2.8547663095470542E-4</v>
      </c>
      <c r="AR174" s="12">
        <v>-0.1573106846101707</v>
      </c>
      <c r="AS174" s="12">
        <v>-0.15234540833318785</v>
      </c>
      <c r="AT174" s="12">
        <v>0.55725389355828814</v>
      </c>
      <c r="AU174" s="12">
        <v>-0.97615734869186344</v>
      </c>
      <c r="AV174" s="12" t="e">
        <v>#N/A</v>
      </c>
    </row>
    <row r="175" spans="37:48" x14ac:dyDescent="0.25">
      <c r="AK175" t="str">
        <v>ford pinto</v>
      </c>
      <c r="AL175" s="12">
        <v>18</v>
      </c>
      <c r="AM175" s="12">
        <v>20.646649081762551</v>
      </c>
      <c r="AN175" s="12">
        <v>-2.6466490817625505</v>
      </c>
      <c r="AO175" s="12">
        <v>3.6582858116322593E-2</v>
      </c>
      <c r="AP175" s="12">
        <v>-0.87909939485507615</v>
      </c>
      <c r="AQ175" s="12">
        <v>1.7261967878924593E-3</v>
      </c>
      <c r="AR175" s="12">
        <v>-0.1573106846101707</v>
      </c>
      <c r="AS175" s="12">
        <v>-0.15142098901853462</v>
      </c>
      <c r="AT175" s="12">
        <v>0.93760300493069892</v>
      </c>
      <c r="AU175" s="12">
        <v>-2.7471475923583948</v>
      </c>
      <c r="AV175" s="12" t="e">
        <v>#N/A</v>
      </c>
    </row>
    <row r="176" spans="37:48" x14ac:dyDescent="0.25">
      <c r="AK176" t="str">
        <v>volkswagen rabbit</v>
      </c>
      <c r="AL176" s="12">
        <v>29</v>
      </c>
      <c r="AM176" s="12">
        <v>28.324282680684522</v>
      </c>
      <c r="AN176" s="12">
        <v>0.67571731931547774</v>
      </c>
      <c r="AO176" s="12">
        <v>5.0674058742774059E-2</v>
      </c>
      <c r="AP176" s="12">
        <v>0.22610292454868022</v>
      </c>
      <c r="AQ176" s="12">
        <v>1.6052171099173177E-4</v>
      </c>
      <c r="AR176" s="12">
        <v>-0.1573106846101707</v>
      </c>
      <c r="AS176" s="12">
        <v>-0.14983838636843658</v>
      </c>
      <c r="AT176" s="12">
        <v>0.47550281234571073</v>
      </c>
      <c r="AU176" s="12">
        <v>0.71178642650447477</v>
      </c>
      <c r="AV176" s="12" t="e">
        <v>#N/A</v>
      </c>
    </row>
    <row r="177" spans="37:48" x14ac:dyDescent="0.25">
      <c r="AK177" t="str">
        <v>amc pacer</v>
      </c>
      <c r="AL177" s="12">
        <v>19</v>
      </c>
      <c r="AM177" s="12">
        <v>19.610932822805836</v>
      </c>
      <c r="AN177" s="12">
        <v>-0.61093282280583594</v>
      </c>
      <c r="AO177" s="12">
        <v>3.649184830731441E-2</v>
      </c>
      <c r="AP177" s="12">
        <v>-0.20291519301261843</v>
      </c>
      <c r="AQ177" s="12">
        <v>9.1731960876766412E-5</v>
      </c>
      <c r="AR177" s="12">
        <v>-0.1573106846101707</v>
      </c>
      <c r="AS177" s="12">
        <v>-0.14480257381873163</v>
      </c>
      <c r="AT177" s="12">
        <v>0.45046108934359519</v>
      </c>
      <c r="AU177" s="12">
        <v>-0.63407125485399651</v>
      </c>
      <c r="AV177" s="12" t="e">
        <v>#N/A</v>
      </c>
    </row>
    <row r="178" spans="37:48" x14ac:dyDescent="0.25">
      <c r="AK178" t="str">
        <v>audi 100ls</v>
      </c>
      <c r="AL178" s="12">
        <v>23</v>
      </c>
      <c r="AM178" s="12">
        <v>24.085446503202622</v>
      </c>
      <c r="AN178" s="12">
        <v>-1.0854465032026219</v>
      </c>
      <c r="AO178" s="12">
        <v>4.7178576518786146E-2</v>
      </c>
      <c r="AP178" s="12">
        <v>-0.36253627723479914</v>
      </c>
      <c r="AQ178" s="12">
        <v>3.8281358385704688E-4</v>
      </c>
      <c r="AR178" s="12">
        <v>-0.1573106846101707</v>
      </c>
      <c r="AS178" s="12">
        <v>-0.14215101395795629</v>
      </c>
      <c r="AT178" s="12">
        <v>0.60210985478963819</v>
      </c>
      <c r="AU178" s="12">
        <v>-1.1391919581707672</v>
      </c>
      <c r="AV178" s="12" t="e">
        <v>#N/A</v>
      </c>
    </row>
    <row r="179" spans="37:48" x14ac:dyDescent="0.25">
      <c r="AK179" t="str">
        <v>peugeot 504</v>
      </c>
      <c r="AL179" s="12">
        <v>23</v>
      </c>
      <c r="AM179" s="12">
        <v>22.867451098101704</v>
      </c>
      <c r="AN179" s="12">
        <v>0.13254890189829638</v>
      </c>
      <c r="AO179" s="12">
        <v>4.6145599109593788E-2</v>
      </c>
      <c r="AP179" s="12">
        <v>4.4247006473740601E-2</v>
      </c>
      <c r="AQ179" s="12">
        <v>5.5714349909394559E-6</v>
      </c>
      <c r="AR179" s="12">
        <v>-0.1573106846101707</v>
      </c>
      <c r="AS179" s="12">
        <v>-0.13131189884057307</v>
      </c>
      <c r="AT179" s="12">
        <v>0.21034972420647621</v>
      </c>
      <c r="AU179" s="12">
        <v>0.13896135696869913</v>
      </c>
      <c r="AV179" s="12" t="e">
        <v>#N/A</v>
      </c>
    </row>
    <row r="180" spans="37:48" x14ac:dyDescent="0.25">
      <c r="AK180" t="str">
        <v>volvo 244dl</v>
      </c>
      <c r="AL180" s="12">
        <v>22</v>
      </c>
      <c r="AM180" s="12">
        <v>22.765846493947691</v>
      </c>
      <c r="AN180" s="12">
        <v>-0.76584649394769144</v>
      </c>
      <c r="AO180" s="12">
        <v>4.661450658576885E-2</v>
      </c>
      <c r="AP180" s="12">
        <v>-0.2557150343200344</v>
      </c>
      <c r="AQ180" s="12">
        <v>1.8806854102407716E-4</v>
      </c>
      <c r="AR180" s="12">
        <v>-0.1573106846101707</v>
      </c>
      <c r="AS180" s="12">
        <v>-0.119856830968657</v>
      </c>
      <c r="AT180" s="12">
        <v>0.50568274077729247</v>
      </c>
      <c r="AU180" s="12">
        <v>-0.80329153237382334</v>
      </c>
      <c r="AV180" s="12" t="e">
        <v>#N/A</v>
      </c>
    </row>
    <row r="181" spans="37:48" x14ac:dyDescent="0.25">
      <c r="AK181" t="str">
        <v>saab 99le</v>
      </c>
      <c r="AL181" s="12">
        <v>25</v>
      </c>
      <c r="AM181" s="12">
        <v>23.87717398527948</v>
      </c>
      <c r="AN181" s="12">
        <v>1.1228260147205198</v>
      </c>
      <c r="AO181" s="12">
        <v>5.710316922230399E-2</v>
      </c>
      <c r="AP181" s="12">
        <v>0.37698943709717592</v>
      </c>
      <c r="AQ181" s="12">
        <v>5.0629714512212727E-4</v>
      </c>
      <c r="AR181" s="12">
        <v>-0.11213762424542992</v>
      </c>
      <c r="AS181" s="12">
        <v>-0.10402109723738608</v>
      </c>
      <c r="AT181" s="12">
        <v>0.61399465559333322</v>
      </c>
      <c r="AU181" s="12">
        <v>1.1908259504853984</v>
      </c>
      <c r="AV181" s="12" t="e">
        <v>#N/A</v>
      </c>
    </row>
    <row r="182" spans="37:48" x14ac:dyDescent="0.25">
      <c r="AK182" t="str">
        <v>honda civic cvcc</v>
      </c>
      <c r="AL182" s="12">
        <v>33</v>
      </c>
      <c r="AM182" s="12">
        <v>29.441268831191156</v>
      </c>
      <c r="AN182" s="12">
        <v>3.5587311688088441</v>
      </c>
      <c r="AO182" s="12">
        <v>4.9364660077821906E-2</v>
      </c>
      <c r="AP182" s="12">
        <v>1.1899727275032896</v>
      </c>
      <c r="AQ182" s="12">
        <v>4.3254101044937513E-3</v>
      </c>
      <c r="AR182" s="12">
        <v>-0.1057051091748199</v>
      </c>
      <c r="AS182" s="12">
        <v>-0.10145734321849574</v>
      </c>
      <c r="AT182" s="12">
        <v>1.0908587110635775</v>
      </c>
      <c r="AU182" s="12">
        <v>3.7435292160505758</v>
      </c>
      <c r="AV182" s="12" t="e">
        <v>#N/A</v>
      </c>
    </row>
    <row r="183" spans="37:48" x14ac:dyDescent="0.25">
      <c r="AK183" t="str">
        <v>fiat 131</v>
      </c>
      <c r="AL183" s="12">
        <v>28</v>
      </c>
      <c r="AM183" s="12">
        <v>26.17120817185755</v>
      </c>
      <c r="AN183" s="12">
        <v>1.8287918281424496</v>
      </c>
      <c r="AO183" s="12">
        <v>4.1153887070672017E-2</v>
      </c>
      <c r="AP183" s="12">
        <v>0.60888968943784472</v>
      </c>
      <c r="AQ183" s="12">
        <v>9.3603107765154691E-4</v>
      </c>
      <c r="AR183" s="12">
        <v>-0.1057051091748199</v>
      </c>
      <c r="AS183" s="12">
        <v>-9.8723664725633833E-2</v>
      </c>
      <c r="AT183" s="12">
        <v>0.78031384034748785</v>
      </c>
      <c r="AU183" s="12">
        <v>1.9072839775669417</v>
      </c>
      <c r="AV183" s="12" t="e">
        <v>#N/A</v>
      </c>
    </row>
    <row r="184" spans="37:48" x14ac:dyDescent="0.25">
      <c r="AK184" t="str">
        <v>opel 1900</v>
      </c>
      <c r="AL184" s="12">
        <v>25</v>
      </c>
      <c r="AM184" s="12">
        <v>27.487837877713741</v>
      </c>
      <c r="AN184" s="12">
        <v>-2.4878378777137407</v>
      </c>
      <c r="AO184" s="12">
        <v>4.2581826113320717E-2</v>
      </c>
      <c r="AP184" s="12">
        <v>-0.82893417664067315</v>
      </c>
      <c r="AQ184" s="12">
        <v>1.797685789047434E-3</v>
      </c>
      <c r="AR184" s="12">
        <v>-0.1057051091748199</v>
      </c>
      <c r="AS184" s="12">
        <v>-8.6786137087073154E-2</v>
      </c>
      <c r="AT184" s="12">
        <v>0.91045822344612448</v>
      </c>
      <c r="AU184" s="12">
        <v>-2.5984861636940297</v>
      </c>
      <c r="AV184" s="12" t="e">
        <v>#N/A</v>
      </c>
    </row>
    <row r="185" spans="37:48" x14ac:dyDescent="0.25">
      <c r="AK185" t="str">
        <v>capri ii</v>
      </c>
      <c r="AL185" s="12">
        <v>25</v>
      </c>
      <c r="AM185" s="12">
        <v>23.588987372554563</v>
      </c>
      <c r="AN185" s="12">
        <v>1.4110126274454373</v>
      </c>
      <c r="AO185" s="12">
        <v>3.6756720464821639E-2</v>
      </c>
      <c r="AP185" s="12">
        <v>0.46871808445674978</v>
      </c>
      <c r="AQ185" s="12">
        <v>4.9314571829620513E-4</v>
      </c>
      <c r="AR185" s="12">
        <v>-8.6432705492186665E-2</v>
      </c>
      <c r="AS185" s="12">
        <v>-8.5231484219193049E-2</v>
      </c>
      <c r="AT185" s="12">
        <v>0.6846298886674097</v>
      </c>
      <c r="AU185" s="12">
        <v>1.464855927285923</v>
      </c>
      <c r="AV185" s="12" t="e">
        <v>#N/A</v>
      </c>
    </row>
    <row r="186" spans="37:48" x14ac:dyDescent="0.25">
      <c r="AK186" t="str">
        <v>dodge colt</v>
      </c>
      <c r="AL186" s="12">
        <v>26</v>
      </c>
      <c r="AM186" s="12">
        <v>25.405130135942606</v>
      </c>
      <c r="AN186" s="12">
        <v>0.59486986405739373</v>
      </c>
      <c r="AO186" s="12">
        <v>4.0625422118048454E-2</v>
      </c>
      <c r="AP186" s="12">
        <v>0.19800523327850184</v>
      </c>
      <c r="AQ186" s="12">
        <v>9.765941011693387E-5</v>
      </c>
      <c r="AR186" s="12">
        <v>-8.0016051321401133E-2</v>
      </c>
      <c r="AS186" s="12">
        <v>-7.199900072986111E-2</v>
      </c>
      <c r="AT186" s="12">
        <v>0.44497778964629442</v>
      </c>
      <c r="AU186" s="12">
        <v>0.62006006597622276</v>
      </c>
      <c r="AV186" s="12" t="e">
        <v>#N/A</v>
      </c>
    </row>
    <row r="187" spans="37:48" x14ac:dyDescent="0.25">
      <c r="AK187" t="str">
        <v>renault 12tl</v>
      </c>
      <c r="AL187" s="12">
        <v>27</v>
      </c>
      <c r="AM187" s="12">
        <v>27.546504586878765</v>
      </c>
      <c r="AN187" s="12">
        <v>-0.5465045868787648</v>
      </c>
      <c r="AO187" s="12">
        <v>4.3460623886076202E-2</v>
      </c>
      <c r="AP187" s="12">
        <v>-0.18217601115513996</v>
      </c>
      <c r="AQ187" s="12">
        <v>8.8700600488571737E-5</v>
      </c>
      <c r="AR187" s="12">
        <v>-8.0016051321401133E-2</v>
      </c>
      <c r="AS187" s="12">
        <v>-7.0617155228780759E-2</v>
      </c>
      <c r="AT187" s="12">
        <v>0.42682081855872489</v>
      </c>
      <c r="AU187" s="12">
        <v>-0.57133516980661769</v>
      </c>
      <c r="AV187" s="12" t="e">
        <v>#N/A</v>
      </c>
    </row>
    <row r="188" spans="37:48" x14ac:dyDescent="0.25">
      <c r="AK188" t="str">
        <v>chevrolet chevelle malibu classic</v>
      </c>
      <c r="AL188" s="12">
        <v>17.5</v>
      </c>
      <c r="AM188" s="12">
        <v>14.490620941147773</v>
      </c>
      <c r="AN188" s="12">
        <v>3.0093790588522271</v>
      </c>
      <c r="AO188" s="12">
        <v>3.5065516812038573E-2</v>
      </c>
      <c r="AP188" s="12">
        <v>0.99879597785625729</v>
      </c>
      <c r="AQ188" s="12">
        <v>2.132490305725493E-3</v>
      </c>
      <c r="AR188" s="12">
        <v>-8.0016051321401133E-2</v>
      </c>
      <c r="AS188" s="12">
        <v>-6.5682072482442247E-2</v>
      </c>
      <c r="AT188" s="12">
        <v>0.99939780761029151</v>
      </c>
      <c r="AU188" s="12">
        <v>3.1187392629080959</v>
      </c>
      <c r="AV188" s="12" t="e">
        <v>#N/A</v>
      </c>
    </row>
    <row r="189" spans="37:48" x14ac:dyDescent="0.25">
      <c r="AK189" t="str">
        <v>dodge coronet brougham</v>
      </c>
      <c r="AL189" s="12">
        <v>16</v>
      </c>
      <c r="AM189" s="12">
        <v>14.454839361990283</v>
      </c>
      <c r="AN189" s="12">
        <v>1.5451606380097171</v>
      </c>
      <c r="AO189" s="12">
        <v>3.519179467288841E-2</v>
      </c>
      <c r="AP189" s="12">
        <v>0.51286368166818253</v>
      </c>
      <c r="AQ189" s="12">
        <v>5.6435892396387193E-4</v>
      </c>
      <c r="AR189" s="12">
        <v>-8.0016051321401133E-2</v>
      </c>
      <c r="AS189" s="12">
        <v>-6.3550945766768785E-2</v>
      </c>
      <c r="AT189" s="12">
        <v>0.71614501441271139</v>
      </c>
      <c r="AU189" s="12">
        <v>1.6015210375266666</v>
      </c>
      <c r="AV189" s="12" t="e">
        <v>#N/A</v>
      </c>
    </row>
    <row r="190" spans="37:48" x14ac:dyDescent="0.25">
      <c r="AK190" t="str">
        <v>amc matador</v>
      </c>
      <c r="AL190" s="12">
        <v>15.5</v>
      </c>
      <c r="AM190" s="12">
        <v>16.096366912843138</v>
      </c>
      <c r="AN190" s="12">
        <v>-0.5963669128431377</v>
      </c>
      <c r="AO190" s="12">
        <v>3.4710340110544365E-2</v>
      </c>
      <c r="AP190" s="12">
        <v>-0.19789440550577833</v>
      </c>
      <c r="AQ190" s="12">
        <v>8.2836039655796013E-5</v>
      </c>
      <c r="AR190" s="12">
        <v>-8.0016051321401133E-2</v>
      </c>
      <c r="AS190" s="12">
        <v>-5.032391780723363E-2</v>
      </c>
      <c r="AT190" s="12">
        <v>0.4448532404128111</v>
      </c>
      <c r="AU190" s="12">
        <v>-0.61781135510291629</v>
      </c>
      <c r="AV190" s="12" t="e">
        <v>#N/A</v>
      </c>
    </row>
    <row r="191" spans="37:48" x14ac:dyDescent="0.25">
      <c r="AK191" t="str">
        <v>ford gran torino</v>
      </c>
      <c r="AL191" s="12">
        <v>14.5</v>
      </c>
      <c r="AM191" s="12">
        <v>14.295783757705278</v>
      </c>
      <c r="AN191" s="12">
        <v>0.20421624229472179</v>
      </c>
      <c r="AO191" s="12">
        <v>3.5592867582380963E-2</v>
      </c>
      <c r="AP191" s="12">
        <v>6.7796750316846358E-2</v>
      </c>
      <c r="AQ191" s="12">
        <v>9.9786410096223046E-6</v>
      </c>
      <c r="AR191" s="12">
        <v>-8.0016051321401133E-2</v>
      </c>
      <c r="AS191" s="12">
        <v>-5.0151452692643997E-2</v>
      </c>
      <c r="AT191" s="12">
        <v>0.26037809108457333</v>
      </c>
      <c r="AU191" s="12">
        <v>0.21175314390591801</v>
      </c>
      <c r="AV191" s="12" t="e">
        <v>#N/A</v>
      </c>
    </row>
    <row r="192" spans="37:48" x14ac:dyDescent="0.25">
      <c r="AK192" t="str">
        <v>plymouth valiant</v>
      </c>
      <c r="AL192" s="12">
        <v>22</v>
      </c>
      <c r="AM192" s="12">
        <v>20.11224826133407</v>
      </c>
      <c r="AN192" s="12">
        <v>1.8877517386659299</v>
      </c>
      <c r="AO192" s="12">
        <v>3.1607871987985987E-2</v>
      </c>
      <c r="AP192" s="12">
        <v>0.62541466034937299</v>
      </c>
      <c r="AQ192" s="12">
        <v>7.509848928351564E-4</v>
      </c>
      <c r="AR192" s="12">
        <v>-8.0016051321401133E-2</v>
      </c>
      <c r="AS192" s="12">
        <v>-3.7067224491663844E-2</v>
      </c>
      <c r="AT192" s="12">
        <v>0.79083162578982191</v>
      </c>
      <c r="AU192" s="12">
        <v>1.9493670839118078</v>
      </c>
      <c r="AV192" s="12" t="e">
        <v>#N/A</v>
      </c>
    </row>
    <row r="193" spans="37:48" x14ac:dyDescent="0.25">
      <c r="AK193" t="str">
        <v>chevrolet nova</v>
      </c>
      <c r="AL193" s="12">
        <v>22</v>
      </c>
      <c r="AM193" s="12">
        <v>19.423468947752355</v>
      </c>
      <c r="AN193" s="12">
        <v>2.5765310522476454</v>
      </c>
      <c r="AO193" s="12">
        <v>3.1358116348539258E-2</v>
      </c>
      <c r="AP193" s="12">
        <v>0.8534981078051288</v>
      </c>
      <c r="AQ193" s="12">
        <v>1.3872122881645962E-3</v>
      </c>
      <c r="AR193" s="12">
        <v>-8.0016051321401133E-2</v>
      </c>
      <c r="AS193" s="12">
        <v>-3.3128045912269553E-2</v>
      </c>
      <c r="AT193" s="12">
        <v>0.92384961319747749</v>
      </c>
      <c r="AU193" s="12">
        <v>2.6599418172327756</v>
      </c>
      <c r="AV193" s="12" t="e">
        <v>#N/A</v>
      </c>
    </row>
    <row r="194" spans="37:48" x14ac:dyDescent="0.25">
      <c r="AK194" t="str">
        <v>ford maverick</v>
      </c>
      <c r="AL194" s="12">
        <v>24</v>
      </c>
      <c r="AM194" s="12">
        <v>21.539731893392151</v>
      </c>
      <c r="AN194" s="12">
        <v>2.4602681066078489</v>
      </c>
      <c r="AO194" s="12">
        <v>3.4789421341587426E-2</v>
      </c>
      <c r="AP194" s="12">
        <v>0.81643234827063926</v>
      </c>
      <c r="AQ194" s="12">
        <v>1.4132422684014045E-3</v>
      </c>
      <c r="AR194" s="12">
        <v>-8.0016051321401133E-2</v>
      </c>
      <c r="AS194" s="12">
        <v>-3.1377572652116069E-2</v>
      </c>
      <c r="AT194" s="12">
        <v>0.90356646035067023</v>
      </c>
      <c r="AU194" s="12">
        <v>2.5489444075794121</v>
      </c>
      <c r="AV194" s="12" t="e">
        <v>#N/A</v>
      </c>
    </row>
    <row r="195" spans="37:48" x14ac:dyDescent="0.25">
      <c r="AK195" t="str">
        <v>amc hornet</v>
      </c>
      <c r="AL195" s="12">
        <v>22.5</v>
      </c>
      <c r="AM195" s="12">
        <v>21.023982403906754</v>
      </c>
      <c r="AN195" s="12">
        <v>1.4760175960932465</v>
      </c>
      <c r="AO195" s="12">
        <v>3.2808881221181266E-2</v>
      </c>
      <c r="AP195" s="12">
        <v>0.48931010929769164</v>
      </c>
      <c r="AQ195" s="12">
        <v>4.7774766919710722E-4</v>
      </c>
      <c r="AR195" s="12">
        <v>-8.0016051321401133E-2</v>
      </c>
      <c r="AS195" s="12">
        <v>-2.8119699994223715E-2</v>
      </c>
      <c r="AT195" s="12">
        <v>0.69950704735384306</v>
      </c>
      <c r="AU195" s="12">
        <v>1.5260867965339415</v>
      </c>
      <c r="AV195" s="12" t="e">
        <v>#N/A</v>
      </c>
    </row>
    <row r="196" spans="37:48" x14ac:dyDescent="0.25">
      <c r="AK196" t="str">
        <v>chevrolet chevette</v>
      </c>
      <c r="AL196" s="12">
        <v>29</v>
      </c>
      <c r="AM196" s="12">
        <v>26.957441914013906</v>
      </c>
      <c r="AN196" s="12">
        <v>2.0425580859860943</v>
      </c>
      <c r="AO196" s="12">
        <v>4.3907903822605801E-2</v>
      </c>
      <c r="AP196" s="12">
        <v>0.68104115262367493</v>
      </c>
      <c r="AQ196" s="12">
        <v>1.2529702681123756E-3</v>
      </c>
      <c r="AR196" s="12">
        <v>-1.5986830666930081E-2</v>
      </c>
      <c r="AS196" s="12">
        <v>-2.6512351797492825E-2</v>
      </c>
      <c r="AT196" s="12">
        <v>0.82525217517052019</v>
      </c>
      <c r="AU196" s="12">
        <v>2.1363612293758742</v>
      </c>
      <c r="AV196" s="12" t="e">
        <v>#N/A</v>
      </c>
    </row>
    <row r="197" spans="37:48" x14ac:dyDescent="0.25">
      <c r="AK197" t="str">
        <v>chevrolet woody</v>
      </c>
      <c r="AL197" s="12">
        <v>24.5</v>
      </c>
      <c r="AM197" s="12">
        <v>26.174383518035512</v>
      </c>
      <c r="AN197" s="12">
        <v>-1.674383518035512</v>
      </c>
      <c r="AO197" s="12">
        <v>4.1334985344032231E-2</v>
      </c>
      <c r="AP197" s="12">
        <v>-0.55753264896976451</v>
      </c>
      <c r="AQ197" s="12">
        <v>7.8839270533019774E-4</v>
      </c>
      <c r="AR197" s="12">
        <v>-9.5918369045287465E-3</v>
      </c>
      <c r="AS197" s="12">
        <v>-2.0495322425387076E-2</v>
      </c>
      <c r="AT197" s="12">
        <v>0.74668108920057996</v>
      </c>
      <c r="AU197" s="12">
        <v>-1.7465783067471083</v>
      </c>
      <c r="AV197" s="12" t="e">
        <v>#N/A</v>
      </c>
    </row>
    <row r="198" spans="37:48" x14ac:dyDescent="0.25">
      <c r="AK198" t="str">
        <v>vw rabbit</v>
      </c>
      <c r="AL198" s="12">
        <v>29</v>
      </c>
      <c r="AM198" s="12">
        <v>29.09935525028073</v>
      </c>
      <c r="AN198" s="12">
        <v>-9.9355250280730445E-2</v>
      </c>
      <c r="AO198" s="12">
        <v>4.393457692484759E-2</v>
      </c>
      <c r="AP198" s="12">
        <v>-3.3128045912269553E-2</v>
      </c>
      <c r="AQ198" s="12">
        <v>2.9666174993551399E-6</v>
      </c>
      <c r="AR198" s="12">
        <v>-3.1972353893137463E-3</v>
      </c>
      <c r="AS198" s="12">
        <v>-1.3087490477449268E-2</v>
      </c>
      <c r="AT198" s="12">
        <v>0.18201111480420518</v>
      </c>
      <c r="AU198" s="12">
        <v>-0.10392097432114804</v>
      </c>
      <c r="AV198" s="12" t="e">
        <v>#N/A</v>
      </c>
    </row>
    <row r="199" spans="37:48" x14ac:dyDescent="0.25">
      <c r="AK199" t="str">
        <v>honda civic</v>
      </c>
      <c r="AL199" s="12">
        <v>33</v>
      </c>
      <c r="AM199" s="12">
        <v>30.216341400787364</v>
      </c>
      <c r="AN199" s="12">
        <v>2.7836585992126359</v>
      </c>
      <c r="AO199" s="12">
        <v>4.5682451098333909E-2</v>
      </c>
      <c r="AP199" s="12">
        <v>0.92900557209987766</v>
      </c>
      <c r="AQ199" s="12">
        <v>2.430212241802746E-3</v>
      </c>
      <c r="AR199" s="12">
        <v>3.1972353893138855E-3</v>
      </c>
      <c r="AS199" s="12">
        <v>-1.2115968549611986E-2</v>
      </c>
      <c r="AT199" s="12">
        <v>0.96384935135106964</v>
      </c>
      <c r="AU199" s="12">
        <v>2.9169102071070339</v>
      </c>
      <c r="AV199" s="12" t="e">
        <v>#N/A</v>
      </c>
    </row>
    <row r="200" spans="37:48" x14ac:dyDescent="0.25">
      <c r="AK200" t="str">
        <v>dodge aspen se</v>
      </c>
      <c r="AL200" s="12">
        <v>20</v>
      </c>
      <c r="AM200" s="12">
        <v>17.995784842215272</v>
      </c>
      <c r="AN200" s="12">
        <v>2.0042151577847278</v>
      </c>
      <c r="AO200" s="12">
        <v>3.6041566214087523E-2</v>
      </c>
      <c r="AP200" s="12">
        <v>0.66552441488229708</v>
      </c>
      <c r="AQ200" s="12">
        <v>9.7414680643075503E-4</v>
      </c>
      <c r="AR200" s="12">
        <v>3.1972353893138855E-3</v>
      </c>
      <c r="AS200" s="12">
        <v>-1.1623375752352078E-2</v>
      </c>
      <c r="AT200" s="12">
        <v>0.81579679754354095</v>
      </c>
      <c r="AU200" s="12">
        <v>2.0791510168267773</v>
      </c>
      <c r="AV200" s="12" t="e">
        <v>#N/A</v>
      </c>
    </row>
    <row r="201" spans="37:48" x14ac:dyDescent="0.25">
      <c r="AK201" t="str">
        <v>ford granada ghia</v>
      </c>
      <c r="AL201" s="12">
        <v>18</v>
      </c>
      <c r="AM201" s="12">
        <v>18.742861185557167</v>
      </c>
      <c r="AN201" s="12">
        <v>-0.7428611855571674</v>
      </c>
      <c r="AO201" s="12">
        <v>4.7455102359536781E-2</v>
      </c>
      <c r="AP201" s="12">
        <v>-0.24814969353100894</v>
      </c>
      <c r="AQ201" s="12">
        <v>1.804579520529167E-4</v>
      </c>
      <c r="AR201" s="12">
        <v>3.1972353893138855E-3</v>
      </c>
      <c r="AS201" s="12">
        <v>-9.0731992161399936E-3</v>
      </c>
      <c r="AT201" s="12">
        <v>0.49814625716852368</v>
      </c>
      <c r="AU201" s="12">
        <v>-0.77986999604669482</v>
      </c>
      <c r="AV201" s="12" t="e">
        <v>#N/A</v>
      </c>
    </row>
    <row r="202" spans="37:48" x14ac:dyDescent="0.25">
      <c r="AK202" t="str">
        <v>pontiac ventura sj</v>
      </c>
      <c r="AL202" s="12">
        <v>18.5</v>
      </c>
      <c r="AM202" s="12">
        <v>17.863800380370556</v>
      </c>
      <c r="AN202" s="12">
        <v>0.63619961962944416</v>
      </c>
      <c r="AO202" s="12">
        <v>3.2675410542189164E-2</v>
      </c>
      <c r="AP202" s="12">
        <v>0.21089005247032522</v>
      </c>
      <c r="AQ202" s="12">
        <v>8.8371472904510444E-5</v>
      </c>
      <c r="AR202" s="12">
        <v>3.1972353893138855E-3</v>
      </c>
      <c r="AS202" s="12">
        <v>2.4603534850325339E-3</v>
      </c>
      <c r="AT202" s="12">
        <v>0.45922766953911348</v>
      </c>
      <c r="AU202" s="12">
        <v>0.65768990736195021</v>
      </c>
      <c r="AV202" s="12" t="e">
        <v>#N/A</v>
      </c>
    </row>
    <row r="203" spans="37:48" x14ac:dyDescent="0.25">
      <c r="AK203" t="str">
        <v>amc pacer d/l</v>
      </c>
      <c r="AL203" s="12">
        <v>17.5</v>
      </c>
      <c r="AM203" s="12">
        <v>20.395962805706446</v>
      </c>
      <c r="AN203" s="12">
        <v>-2.8959628057064464</v>
      </c>
      <c r="AO203" s="12">
        <v>3.2246727730245492E-2</v>
      </c>
      <c r="AP203" s="12">
        <v>-0.95975295748031186</v>
      </c>
      <c r="AQ203" s="12">
        <v>1.8054730036373983E-3</v>
      </c>
      <c r="AR203" s="12">
        <v>3.1972353893138855E-3</v>
      </c>
      <c r="AS203" s="12">
        <v>9.7946834914373372E-3</v>
      </c>
      <c r="AT203" s="12">
        <v>0.9796698206438289</v>
      </c>
      <c r="AU203" s="12">
        <v>-2.9924598435242666</v>
      </c>
      <c r="AV203" s="12" t="e">
        <v>#N/A</v>
      </c>
    </row>
    <row r="204" spans="37:48" x14ac:dyDescent="0.25">
      <c r="AK204" t="str">
        <v>volkswagen rabbit</v>
      </c>
      <c r="AL204" s="12">
        <v>29.5</v>
      </c>
      <c r="AM204" s="12">
        <v>29.65020949522027</v>
      </c>
      <c r="AN204" s="12">
        <v>-0.15020949522027038</v>
      </c>
      <c r="AO204" s="12">
        <v>4.6489794191789918E-2</v>
      </c>
      <c r="AP204" s="12">
        <v>-5.0151452692643997E-2</v>
      </c>
      <c r="AQ204" s="12">
        <v>7.2135723349850473E-6</v>
      </c>
      <c r="AR204" s="12">
        <v>3.1972353893138855E-3</v>
      </c>
      <c r="AS204" s="12">
        <v>1.3677785391091995E-2</v>
      </c>
      <c r="AT204" s="12">
        <v>0.22394520020005787</v>
      </c>
      <c r="AU204" s="12">
        <v>-0.15753318035327213</v>
      </c>
      <c r="AV204" s="12" t="e">
        <v>#N/A</v>
      </c>
    </row>
    <row r="205" spans="37:48" x14ac:dyDescent="0.25">
      <c r="AK205" t="str">
        <v>datsun b-210</v>
      </c>
      <c r="AL205" s="12">
        <v>32</v>
      </c>
      <c r="AM205" s="12">
        <v>28.952976682629398</v>
      </c>
      <c r="AN205" s="12">
        <v>3.0470233173706021</v>
      </c>
      <c r="AO205" s="12">
        <v>4.4040272230168237E-2</v>
      </c>
      <c r="AP205" s="12">
        <v>1.0160259092109321</v>
      </c>
      <c r="AQ205" s="12">
        <v>2.7975061003270257E-3</v>
      </c>
      <c r="AR205" s="12">
        <v>3.1972353893138855E-3</v>
      </c>
      <c r="AS205" s="12">
        <v>1.5048430823993899E-2</v>
      </c>
      <c r="AT205" s="12">
        <v>1.007981105582308</v>
      </c>
      <c r="AU205" s="12">
        <v>3.1873971558185135</v>
      </c>
      <c r="AV205" s="12" t="e">
        <v>#N/A</v>
      </c>
    </row>
    <row r="206" spans="37:48" x14ac:dyDescent="0.25">
      <c r="AK206" t="str">
        <v>toyota corolla</v>
      </c>
      <c r="AL206" s="12">
        <v>28</v>
      </c>
      <c r="AM206" s="12">
        <v>28.03634843636743</v>
      </c>
      <c r="AN206" s="12">
        <v>-3.6348436367429571E-2</v>
      </c>
      <c r="AO206" s="12">
        <v>4.3350610044236071E-2</v>
      </c>
      <c r="AP206" s="12">
        <v>-1.2115968549611986E-2</v>
      </c>
      <c r="AQ206" s="12">
        <v>3.9129992780615229E-7</v>
      </c>
      <c r="AR206" s="12">
        <v>3.1972353893138855E-3</v>
      </c>
      <c r="AS206" s="12">
        <v>1.6521563559615881E-2</v>
      </c>
      <c r="AT206" s="12">
        <v>0.11007256038455718</v>
      </c>
      <c r="AU206" s="12">
        <v>-3.7995567392888153E-2</v>
      </c>
      <c r="AV206" s="12" t="e">
        <v>#N/A</v>
      </c>
    </row>
    <row r="207" spans="37:48" x14ac:dyDescent="0.25">
      <c r="AK207" t="str">
        <v>ford pinto</v>
      </c>
      <c r="AL207" s="12">
        <v>26.5</v>
      </c>
      <c r="AM207" s="12">
        <v>23.949159178931204</v>
      </c>
      <c r="AN207" s="12">
        <v>2.5508408210687961</v>
      </c>
      <c r="AO207" s="12">
        <v>3.6411444622850564E-2</v>
      </c>
      <c r="AP207" s="12">
        <v>0.84720077695598384</v>
      </c>
      <c r="AQ207" s="12">
        <v>1.595401683831486E-3</v>
      </c>
      <c r="AR207" s="12">
        <v>3.1972353893138855E-3</v>
      </c>
      <c r="AS207" s="12">
        <v>1.9978196923054012E-2</v>
      </c>
      <c r="AT207" s="12">
        <v>0.92043510197948442</v>
      </c>
      <c r="AU207" s="12">
        <v>2.6472303005616276</v>
      </c>
      <c r="AV207" s="12" t="e">
        <v>#N/A</v>
      </c>
    </row>
    <row r="208" spans="37:48" x14ac:dyDescent="0.25">
      <c r="AK208" t="str">
        <v>volvo 245</v>
      </c>
      <c r="AL208" s="12">
        <v>20</v>
      </c>
      <c r="AM208" s="12">
        <v>22.437994864630799</v>
      </c>
      <c r="AN208" s="12">
        <v>-2.4379948646307987</v>
      </c>
      <c r="AO208" s="12">
        <v>4.3042025864849058E-2</v>
      </c>
      <c r="AP208" s="12">
        <v>-0.81252205315322645</v>
      </c>
      <c r="AQ208" s="12">
        <v>1.7467117093002043E-3</v>
      </c>
      <c r="AR208" s="12">
        <v>6.0784779324276172E-2</v>
      </c>
      <c r="AS208" s="12">
        <v>2.781136326470084E-2</v>
      </c>
      <c r="AT208" s="12">
        <v>0.90140005167141324</v>
      </c>
      <c r="AU208" s="12">
        <v>-2.547650921488096</v>
      </c>
      <c r="AV208" s="12" t="e">
        <v>#N/A</v>
      </c>
    </row>
    <row r="209" spans="37:48" x14ac:dyDescent="0.25">
      <c r="AK209" t="str">
        <v>plymouth volare premier v8</v>
      </c>
      <c r="AL209" s="12">
        <v>13</v>
      </c>
      <c r="AM209" s="12">
        <v>15.720666765769471</v>
      </c>
      <c r="AN209" s="12">
        <v>-2.7206667657694705</v>
      </c>
      <c r="AO209" s="12">
        <v>3.5371291299942126E-2</v>
      </c>
      <c r="AP209" s="12">
        <v>-0.9031170962155961</v>
      </c>
      <c r="AQ209" s="12">
        <v>1.7592596334059286E-3</v>
      </c>
      <c r="AR209" s="12">
        <v>6.7192354710227428E-2</v>
      </c>
      <c r="AS209" s="12">
        <v>3.0723966658172362E-2</v>
      </c>
      <c r="AT209" s="12">
        <v>0.95032473198144019</v>
      </c>
      <c r="AU209" s="12">
        <v>-2.8204289808416183</v>
      </c>
      <c r="AV209" s="12" t="e">
        <v>#N/A</v>
      </c>
    </row>
    <row r="210" spans="37:48" x14ac:dyDescent="0.25">
      <c r="AK210" t="str">
        <v>peugeot 504</v>
      </c>
      <c r="AL210" s="12">
        <v>19</v>
      </c>
      <c r="AM210" s="12">
        <v>22.057707758166373</v>
      </c>
      <c r="AN210" s="12">
        <v>-3.057707758166373</v>
      </c>
      <c r="AO210" s="12">
        <v>4.7441901732412563E-2</v>
      </c>
      <c r="AP210" s="12">
        <v>-1.0214074988536541</v>
      </c>
      <c r="AQ210" s="12">
        <v>3.0564674748133577E-3</v>
      </c>
      <c r="AR210" s="12">
        <v>7.3602690030832113E-2</v>
      </c>
      <c r="AS210" s="12">
        <v>3.3677120231556792E-2</v>
      </c>
      <c r="AT210" s="12">
        <v>1.0106470693835974</v>
      </c>
      <c r="AU210" s="12">
        <v>-3.2099960765935545</v>
      </c>
      <c r="AV210" s="12" t="e">
        <v>#N/A</v>
      </c>
    </row>
    <row r="211" spans="37:48" x14ac:dyDescent="0.25">
      <c r="AK211" t="str">
        <v>toyota mark ii</v>
      </c>
      <c r="AL211" s="12">
        <v>19</v>
      </c>
      <c r="AM211" s="12">
        <v>23.576481230185095</v>
      </c>
      <c r="AN211" s="12">
        <v>-4.5764812301850952</v>
      </c>
      <c r="AO211" s="12">
        <v>4.5101384794468423E-2</v>
      </c>
      <c r="AP211" s="12">
        <v>-1.5268692799723573</v>
      </c>
      <c r="AQ211" s="12">
        <v>6.4772014803550016E-3</v>
      </c>
      <c r="AR211" s="12">
        <v>8.0016051321400994E-2</v>
      </c>
      <c r="AS211" s="12">
        <v>3.5295875579668894E-2</v>
      </c>
      <c r="AT211" s="12">
        <v>1.2356655210745169</v>
      </c>
      <c r="AU211" s="12">
        <v>-4.7926357388214011</v>
      </c>
      <c r="AV211" s="12" t="e">
        <v>#N/A</v>
      </c>
    </row>
    <row r="212" spans="37:48" x14ac:dyDescent="0.25">
      <c r="AK212" t="str">
        <v>mercedes-benz 280s</v>
      </c>
      <c r="AL212" s="12">
        <v>16.5</v>
      </c>
      <c r="AM212" s="12">
        <v>18.753321647338844</v>
      </c>
      <c r="AN212" s="12">
        <v>-2.2533216473388435</v>
      </c>
      <c r="AO212" s="12">
        <v>5.2143200958480455E-2</v>
      </c>
      <c r="AP212" s="12">
        <v>-0.75457189916222744</v>
      </c>
      <c r="AQ212" s="12">
        <v>1.8424991340947824E-3</v>
      </c>
      <c r="AR212" s="12">
        <v>8.6432705492186818E-2</v>
      </c>
      <c r="AS212" s="12">
        <v>4.357517290963854E-2</v>
      </c>
      <c r="AT212" s="12">
        <v>0.86866098056849972</v>
      </c>
      <c r="AU212" s="12">
        <v>-2.377280671107092</v>
      </c>
      <c r="AV212" s="12" t="e">
        <v>#N/A</v>
      </c>
    </row>
    <row r="213" spans="37:48" x14ac:dyDescent="0.25">
      <c r="AK213" t="str">
        <v>cadillac seville</v>
      </c>
      <c r="AL213" s="12">
        <v>16.5</v>
      </c>
      <c r="AM213" s="12">
        <v>13.005717576511863</v>
      </c>
      <c r="AN213" s="12">
        <v>3.4942824234881371</v>
      </c>
      <c r="AO213" s="12">
        <v>4.5377289279871169E-2</v>
      </c>
      <c r="AP213" s="12">
        <v>1.1659795306247449</v>
      </c>
      <c r="AQ213" s="12">
        <v>3.8013662770483487E-3</v>
      </c>
      <c r="AR213" s="12">
        <v>8.6432705492186818E-2</v>
      </c>
      <c r="AS213" s="12">
        <v>4.4247006473740601E-2</v>
      </c>
      <c r="AT213" s="12">
        <v>1.0798053207058878</v>
      </c>
      <c r="AU213" s="12">
        <v>3.6603805715581514</v>
      </c>
      <c r="AV213" s="12" t="e">
        <v>#N/A</v>
      </c>
    </row>
    <row r="214" spans="37:48" x14ac:dyDescent="0.25">
      <c r="AK214" t="str">
        <v>chevy c10</v>
      </c>
      <c r="AL214" s="12">
        <v>13</v>
      </c>
      <c r="AM214" s="12">
        <v>15.219568319798745</v>
      </c>
      <c r="AN214" s="12">
        <v>-2.2195683197987446</v>
      </c>
      <c r="AO214" s="12">
        <v>3.4025124972775156E-2</v>
      </c>
      <c r="AP214" s="12">
        <v>-0.73626542374561854</v>
      </c>
      <c r="AQ214" s="12">
        <v>1.1231914493353005E-3</v>
      </c>
      <c r="AR214" s="12">
        <v>9.9276964964338646E-2</v>
      </c>
      <c r="AS214" s="12">
        <v>5.5683358456535478E-2</v>
      </c>
      <c r="AT214" s="12">
        <v>0.85805910271124008</v>
      </c>
      <c r="AU214" s="12">
        <v>-2.2977495348791437</v>
      </c>
      <c r="AV214" s="12" t="e">
        <v>#N/A</v>
      </c>
    </row>
    <row r="215" spans="37:48" x14ac:dyDescent="0.25">
      <c r="AK215" t="str">
        <v>ford f108</v>
      </c>
      <c r="AL215" s="12">
        <v>13</v>
      </c>
      <c r="AM215" s="12">
        <v>16.399827077898465</v>
      </c>
      <c r="AN215" s="12">
        <v>-3.3998270778984647</v>
      </c>
      <c r="AO215" s="12">
        <v>3.2249410702291689E-2</v>
      </c>
      <c r="AP215" s="12">
        <v>-1.1267405125615217</v>
      </c>
      <c r="AQ215" s="12">
        <v>2.4886122643385461E-3</v>
      </c>
      <c r="AR215" s="12">
        <v>9.9276964964338646E-2</v>
      </c>
      <c r="AS215" s="12">
        <v>6.1844508852538164E-2</v>
      </c>
      <c r="AT215" s="12">
        <v>1.0614803401672221</v>
      </c>
      <c r="AU215" s="12">
        <v>-3.5131232318501628</v>
      </c>
      <c r="AV215" s="12" t="e">
        <v>#N/A</v>
      </c>
    </row>
    <row r="216" spans="37:48" x14ac:dyDescent="0.25">
      <c r="AK216" t="str">
        <v>dodge d100</v>
      </c>
      <c r="AL216" s="12">
        <v>13</v>
      </c>
      <c r="AM216" s="12">
        <v>16.657379044566071</v>
      </c>
      <c r="AN216" s="12">
        <v>-3.6573790445660705</v>
      </c>
      <c r="AO216" s="12">
        <v>3.7135465112778508E-2</v>
      </c>
      <c r="AP216" s="12">
        <v>-1.2151675973963221</v>
      </c>
      <c r="AQ216" s="12">
        <v>3.3500178156531464E-3</v>
      </c>
      <c r="AR216" s="12">
        <v>9.9276964964338646E-2</v>
      </c>
      <c r="AS216" s="12">
        <v>6.7796750316846358E-2</v>
      </c>
      <c r="AT216" s="12">
        <v>1.1023464053537446</v>
      </c>
      <c r="AU216" s="12">
        <v>-3.7984357217959559</v>
      </c>
      <c r="AV216" s="12" t="e">
        <v>#N/A</v>
      </c>
    </row>
    <row r="217" spans="37:48" x14ac:dyDescent="0.25">
      <c r="AK217" t="str">
        <v>honda accord cvcc</v>
      </c>
      <c r="AL217" s="12">
        <v>31.5</v>
      </c>
      <c r="AM217" s="12">
        <v>30.140660247573571</v>
      </c>
      <c r="AN217" s="12">
        <v>1.359339752426429</v>
      </c>
      <c r="AO217" s="12">
        <v>4.7573961811810575E-2</v>
      </c>
      <c r="AP217" s="12">
        <v>0.45411013125419586</v>
      </c>
      <c r="AQ217" s="12">
        <v>6.0591474413001676E-4</v>
      </c>
      <c r="AR217" s="12">
        <v>9.9276964964338646E-2</v>
      </c>
      <c r="AS217" s="12">
        <v>7.2633416429777817E-2</v>
      </c>
      <c r="AT217" s="12">
        <v>0.67387694073487625</v>
      </c>
      <c r="AU217" s="12">
        <v>1.4272391744059372</v>
      </c>
      <c r="AV217" s="12" t="e">
        <v>#N/A</v>
      </c>
    </row>
    <row r="218" spans="37:48" x14ac:dyDescent="0.25">
      <c r="AK218" t="str">
        <v>buick opel isuzu deluxe</v>
      </c>
      <c r="AL218" s="12">
        <v>30</v>
      </c>
      <c r="AM218" s="12">
        <v>27.328917395369253</v>
      </c>
      <c r="AN218" s="12">
        <v>2.6710826046307474</v>
      </c>
      <c r="AO218" s="12">
        <v>4.7111530230497453E-2</v>
      </c>
      <c r="AP218" s="12">
        <v>0.89210317838710018</v>
      </c>
      <c r="AQ218" s="12">
        <v>2.3145490611005772E-3</v>
      </c>
      <c r="AR218" s="12">
        <v>9.9276964964338646E-2</v>
      </c>
      <c r="AS218" s="12">
        <v>7.8125519301108906E-2</v>
      </c>
      <c r="AT218" s="12">
        <v>0.9445121377658946</v>
      </c>
      <c r="AU218" s="12">
        <v>2.8031429588783507</v>
      </c>
      <c r="AV218" s="12" t="e">
        <v>#N/A</v>
      </c>
    </row>
    <row r="219" spans="37:48" x14ac:dyDescent="0.25">
      <c r="AK219" t="str">
        <v>renault 5 gtl</v>
      </c>
      <c r="AL219" s="12">
        <v>36</v>
      </c>
      <c r="AM219" s="12">
        <v>31.294975840484813</v>
      </c>
      <c r="AN219" s="12">
        <v>4.7050241595151867</v>
      </c>
      <c r="AO219" s="12">
        <v>5.1189340081255051E-2</v>
      </c>
      <c r="AP219" s="12">
        <v>1.5747836013923129</v>
      </c>
      <c r="AQ219" s="12">
        <v>7.8703278063428847E-3</v>
      </c>
      <c r="AR219" s="12">
        <v>9.9276964964338646E-2</v>
      </c>
      <c r="AS219" s="12">
        <v>8.1721707715661354E-2</v>
      </c>
      <c r="AT219" s="12">
        <v>1.2549038215705268</v>
      </c>
      <c r="AU219" s="12">
        <v>4.9588651964746262</v>
      </c>
      <c r="AV219" s="12" t="e">
        <v>#N/A</v>
      </c>
    </row>
    <row r="220" spans="37:48" x14ac:dyDescent="0.25">
      <c r="AK220" t="str">
        <v>plymouth arrow gs</v>
      </c>
      <c r="AL220" s="12">
        <v>25.5</v>
      </c>
      <c r="AM220" s="12">
        <v>26.334954589920663</v>
      </c>
      <c r="AN220" s="12">
        <v>-0.83495458992066318</v>
      </c>
      <c r="AO220" s="12">
        <v>4.7857645864700191E-2</v>
      </c>
      <c r="AP220" s="12">
        <v>-0.27897206548305931</v>
      </c>
      <c r="AQ220" s="12">
        <v>2.3010283096977808E-4</v>
      </c>
      <c r="AR220" s="12">
        <v>9.9276964964338646E-2</v>
      </c>
      <c r="AS220" s="12">
        <v>8.7513237424759235E-2</v>
      </c>
      <c r="AT220" s="12">
        <v>0.52817806228871278</v>
      </c>
      <c r="AU220" s="12">
        <v>-0.87692201307328443</v>
      </c>
      <c r="AV220" s="12" t="e">
        <v>#N/A</v>
      </c>
    </row>
    <row r="221" spans="37:48" x14ac:dyDescent="0.25">
      <c r="AK221" t="str">
        <v>datsun f-10 hatchback</v>
      </c>
      <c r="AL221" s="12">
        <v>33.5</v>
      </c>
      <c r="AM221" s="12">
        <v>30.614518345178162</v>
      </c>
      <c r="AN221" s="12">
        <v>2.885481654821838</v>
      </c>
      <c r="AO221" s="12">
        <v>4.7431289784227601E-2</v>
      </c>
      <c r="AP221" s="12">
        <v>0.96387111404314918</v>
      </c>
      <c r="AQ221" s="12">
        <v>2.7211822643756441E-3</v>
      </c>
      <c r="AR221" s="12">
        <v>9.9276964964338646E-2</v>
      </c>
      <c r="AS221" s="12">
        <v>0.12614744788801885</v>
      </c>
      <c r="AT221" s="12">
        <v>0.98176937925520436</v>
      </c>
      <c r="AU221" s="12">
        <v>3.0291585518993474</v>
      </c>
      <c r="AV221" s="12" t="e">
        <v>#N/A</v>
      </c>
    </row>
    <row r="222" spans="37:48" x14ac:dyDescent="0.25">
      <c r="AK222" t="str">
        <v>chevrolet caprice classic</v>
      </c>
      <c r="AL222" s="12">
        <v>17.5</v>
      </c>
      <c r="AM222" s="12">
        <v>17.539340232312689</v>
      </c>
      <c r="AN222" s="12">
        <v>-3.9340232312689238E-2</v>
      </c>
      <c r="AO222" s="12">
        <v>3.9585539885507684E-2</v>
      </c>
      <c r="AP222" s="12">
        <v>-1.3087490477449268E-2</v>
      </c>
      <c r="AQ222" s="12">
        <v>4.1528067158141236E-7</v>
      </c>
      <c r="AR222" s="12">
        <v>9.9276964964338646E-2</v>
      </c>
      <c r="AS222" s="12">
        <v>0.12974540077511315</v>
      </c>
      <c r="AT222" s="12">
        <v>0.11440057026715063</v>
      </c>
      <c r="AU222" s="12">
        <v>-4.0961724283076116E-2</v>
      </c>
      <c r="AV222" s="12" t="e">
        <v>#N/A</v>
      </c>
    </row>
    <row r="223" spans="37:48" x14ac:dyDescent="0.25">
      <c r="AK223" t="str">
        <v>oldsmobile cutlass supreme</v>
      </c>
      <c r="AL223" s="12">
        <v>17</v>
      </c>
      <c r="AM223" s="12">
        <v>17.196219619965625</v>
      </c>
      <c r="AN223" s="12">
        <v>-0.19621961996562476</v>
      </c>
      <c r="AO223" s="12">
        <v>5.1387654780163682E-2</v>
      </c>
      <c r="AP223" s="12">
        <v>-6.5682072482442247E-2</v>
      </c>
      <c r="AQ223" s="12">
        <v>1.374721736872366E-5</v>
      </c>
      <c r="AR223" s="12">
        <v>9.9276964964338646E-2</v>
      </c>
      <c r="AS223" s="12">
        <v>0.12999171896584169</v>
      </c>
      <c r="AT223" s="12">
        <v>0.25628513901988592</v>
      </c>
      <c r="AU223" s="12">
        <v>-0.20684911065557746</v>
      </c>
      <c r="AV223" s="12" t="e">
        <v>#N/A</v>
      </c>
    </row>
    <row r="224" spans="37:48" x14ac:dyDescent="0.25">
      <c r="AK224" t="str">
        <v>dodge monaco brougham</v>
      </c>
      <c r="AL224" s="12">
        <v>15.5</v>
      </c>
      <c r="AM224" s="12">
        <v>16.222879732382339</v>
      </c>
      <c r="AN224" s="12">
        <v>-0.7228797323823386</v>
      </c>
      <c r="AO224" s="12">
        <v>4.1156840419458537E-2</v>
      </c>
      <c r="AP224" s="12">
        <v>-0.24068058859416844</v>
      </c>
      <c r="AQ224" s="12">
        <v>1.4626070451054007E-4</v>
      </c>
      <c r="AR224" s="12">
        <v>9.9276964964338646E-2</v>
      </c>
      <c r="AS224" s="12">
        <v>0.13985011155836161</v>
      </c>
      <c r="AT224" s="12">
        <v>0.49059207962845103</v>
      </c>
      <c r="AU224" s="12">
        <v>-0.75390821236976013</v>
      </c>
      <c r="AV224" s="12" t="e">
        <v>#N/A</v>
      </c>
    </row>
    <row r="225" spans="37:48" x14ac:dyDescent="0.25">
      <c r="AK225" t="str">
        <v>mercury cougar brougham</v>
      </c>
      <c r="AL225" s="12">
        <v>15</v>
      </c>
      <c r="AM225" s="12">
        <v>15.681613221342358</v>
      </c>
      <c r="AN225" s="12">
        <v>-0.68161322134235824</v>
      </c>
      <c r="AO225" s="12">
        <v>4.7817128542920702E-2</v>
      </c>
      <c r="AP225" s="12">
        <v>-0.22773334599687459</v>
      </c>
      <c r="AQ225" s="12">
        <v>1.5320306744409423E-4</v>
      </c>
      <c r="AR225" s="12">
        <v>0.17027239685422862</v>
      </c>
      <c r="AS225" s="12">
        <v>0.15513508303132956</v>
      </c>
      <c r="AT225" s="12">
        <v>0.47721415108614978</v>
      </c>
      <c r="AU225" s="12">
        <v>-0.71584276694593196</v>
      </c>
      <c r="AV225" s="12" t="e">
        <v>#N/A</v>
      </c>
    </row>
    <row r="226" spans="37:48" x14ac:dyDescent="0.25">
      <c r="AK226" t="str">
        <v>chevrolet concours</v>
      </c>
      <c r="AL226" s="12">
        <v>17.5</v>
      </c>
      <c r="AM226" s="12">
        <v>19.930406812128666</v>
      </c>
      <c r="AN226" s="12">
        <v>-2.4304068121286662</v>
      </c>
      <c r="AO226" s="12">
        <v>3.9112251127676453E-2</v>
      </c>
      <c r="AP226" s="12">
        <v>-0.80833512211099245</v>
      </c>
      <c r="AQ226" s="12">
        <v>1.5644948348165081E-3</v>
      </c>
      <c r="AR226" s="12">
        <v>0.17676385996282321</v>
      </c>
      <c r="AS226" s="12">
        <v>0.17184976624815418</v>
      </c>
      <c r="AT226" s="12">
        <v>0.89907459207286711</v>
      </c>
      <c r="AU226" s="12">
        <v>-2.5293347896056928</v>
      </c>
      <c r="AV226" s="12" t="e">
        <v>#N/A</v>
      </c>
    </row>
    <row r="227" spans="37:48" x14ac:dyDescent="0.25">
      <c r="AK227" t="str">
        <v>buick skylark</v>
      </c>
      <c r="AL227" s="12">
        <v>20.5</v>
      </c>
      <c r="AM227" s="12">
        <v>20.492603385332458</v>
      </c>
      <c r="AN227" s="12">
        <v>7.3966146675417122E-3</v>
      </c>
      <c r="AO227" s="12">
        <v>3.9342493844486986E-2</v>
      </c>
      <c r="AP227" s="12">
        <v>2.4603534850325339E-3</v>
      </c>
      <c r="AQ227" s="12">
        <v>1.4582748947170539E-8</v>
      </c>
      <c r="AR227" s="12">
        <v>0.18326278037660315</v>
      </c>
      <c r="AS227" s="12">
        <v>0.17289252435540003</v>
      </c>
      <c r="AT227" s="12">
        <v>4.9601950415608997E-2</v>
      </c>
      <c r="AU227" s="12">
        <v>7.6995335175618082E-3</v>
      </c>
      <c r="AV227" s="12" t="e">
        <v>#N/A</v>
      </c>
    </row>
    <row r="228" spans="37:48" x14ac:dyDescent="0.25">
      <c r="AK228" t="str">
        <v>plymouth volare custom</v>
      </c>
      <c r="AL228" s="12">
        <v>19</v>
      </c>
      <c r="AM228" s="12">
        <v>19.535807074001234</v>
      </c>
      <c r="AN228" s="12">
        <v>-0.53580707400123373</v>
      </c>
      <c r="AO228" s="12">
        <v>4.4967132968366005E-2</v>
      </c>
      <c r="AP228" s="12">
        <v>-0.17875083851948473</v>
      </c>
      <c r="AQ228" s="12">
        <v>8.8496100589804255E-5</v>
      </c>
      <c r="AR228" s="12">
        <v>0.18326278037660315</v>
      </c>
      <c r="AS228" s="12">
        <v>0.18042945365691565</v>
      </c>
      <c r="AT228" s="12">
        <v>0.42278935478496232</v>
      </c>
      <c r="AU228" s="12">
        <v>-0.56103521930778322</v>
      </c>
      <c r="AV228" s="12" t="e">
        <v>#N/A</v>
      </c>
    </row>
    <row r="229" spans="37:48" x14ac:dyDescent="0.25">
      <c r="AK229" t="str">
        <v>ford granada</v>
      </c>
      <c r="AL229" s="12">
        <v>18.5</v>
      </c>
      <c r="AM229" s="12">
        <v>20.099927447495574</v>
      </c>
      <c r="AN229" s="12">
        <v>-1.599927447495574</v>
      </c>
      <c r="AO229" s="12">
        <v>4.3655720287064367E-2</v>
      </c>
      <c r="AP229" s="12">
        <v>-0.53338642732774066</v>
      </c>
      <c r="AQ229" s="12">
        <v>7.6394464843268105E-4</v>
      </c>
      <c r="AR229" s="12">
        <v>0.19628416463254303</v>
      </c>
      <c r="AS229" s="12">
        <v>0.18470642599231274</v>
      </c>
      <c r="AT229" s="12">
        <v>0.73033309340857655</v>
      </c>
      <c r="AU229" s="12">
        <v>-1.672961799882174</v>
      </c>
      <c r="AV229" s="12" t="e">
        <v>#N/A</v>
      </c>
    </row>
    <row r="230" spans="37:48" x14ac:dyDescent="0.25">
      <c r="AK230" t="str">
        <v>pontiac grand prix lj</v>
      </c>
      <c r="AL230" s="12">
        <v>16</v>
      </c>
      <c r="AM230" s="12">
        <v>15.249539844799058</v>
      </c>
      <c r="AN230" s="12">
        <v>0.75046015520094222</v>
      </c>
      <c r="AO230" s="12">
        <v>5.057933115994296E-2</v>
      </c>
      <c r="AP230" s="12">
        <v>0.25110022474118066</v>
      </c>
      <c r="AQ230" s="12">
        <v>1.9758759791664929E-4</v>
      </c>
      <c r="AR230" s="12">
        <v>0.19628416463254303</v>
      </c>
      <c r="AS230" s="12">
        <v>0.18658521528183183</v>
      </c>
      <c r="AT230" s="12">
        <v>0.50109901690302749</v>
      </c>
      <c r="AU230" s="12">
        <v>0.7904400860767099</v>
      </c>
      <c r="AV230" s="12" t="e">
        <v>#N/A</v>
      </c>
    </row>
    <row r="231" spans="37:48" x14ac:dyDescent="0.25">
      <c r="AK231" t="str">
        <v>chevrolet monte carlo landau</v>
      </c>
      <c r="AL231" s="12">
        <v>15.5</v>
      </c>
      <c r="AM231" s="12">
        <v>15.690386193165891</v>
      </c>
      <c r="AN231" s="12">
        <v>-0.19038619316589056</v>
      </c>
      <c r="AO231" s="12">
        <v>4.6052506658354996E-2</v>
      </c>
      <c r="AP231" s="12">
        <v>-6.3550945766768785E-2</v>
      </c>
      <c r="AQ231" s="12">
        <v>1.1468956821846464E-5</v>
      </c>
      <c r="AR231" s="12">
        <v>0.19628416463254303</v>
      </c>
      <c r="AS231" s="12">
        <v>0.18988660114211794</v>
      </c>
      <c r="AT231" s="12">
        <v>0.25209312915422505</v>
      </c>
      <c r="AU231" s="12">
        <v>-0.19957722463211716</v>
      </c>
      <c r="AV231" s="12" t="e">
        <v>#N/A</v>
      </c>
    </row>
    <row r="232" spans="37:48" x14ac:dyDescent="0.25">
      <c r="AK232" t="str">
        <v>chrysler cordoba</v>
      </c>
      <c r="AL232" s="12">
        <v>15.5</v>
      </c>
      <c r="AM232" s="12">
        <v>14.555528015676385</v>
      </c>
      <c r="AN232" s="12">
        <v>0.94447198432361468</v>
      </c>
      <c r="AO232" s="12">
        <v>5.5585416560546497E-2</v>
      </c>
      <c r="AP232" s="12">
        <v>0.31685206458484116</v>
      </c>
      <c r="AQ232" s="12">
        <v>3.4758605236243426E-4</v>
      </c>
      <c r="AR232" s="12">
        <v>0.19628416463254303</v>
      </c>
      <c r="AS232" s="12">
        <v>0.19800523327850184</v>
      </c>
      <c r="AT232" s="12">
        <v>0.56289614014029365</v>
      </c>
      <c r="AU232" s="12">
        <v>1.0000607793284515</v>
      </c>
      <c r="AV232" s="12" t="e">
        <v>#N/A</v>
      </c>
    </row>
    <row r="233" spans="37:48" x14ac:dyDescent="0.25">
      <c r="AK233" t="str">
        <v>ford thunderbird</v>
      </c>
      <c r="AL233" s="12">
        <v>16</v>
      </c>
      <c r="AM233" s="12">
        <v>15.17058862962041</v>
      </c>
      <c r="AN233" s="12">
        <v>0.82941137037959045</v>
      </c>
      <c r="AO233" s="12">
        <v>4.3566983395152824E-2</v>
      </c>
      <c r="AP233" s="12">
        <v>0.27649769074526315</v>
      </c>
      <c r="AQ233" s="12">
        <v>2.0485049891335791E-4</v>
      </c>
      <c r="AR233" s="12">
        <v>0.19628416463254303</v>
      </c>
      <c r="AS233" s="12">
        <v>0.19993267130990572</v>
      </c>
      <c r="AT233" s="12">
        <v>0.52583047719323306</v>
      </c>
      <c r="AU233" s="12">
        <v>0.86719232395786683</v>
      </c>
      <c r="AV233" s="12" t="e">
        <v>#N/A</v>
      </c>
    </row>
    <row r="234" spans="37:48" x14ac:dyDescent="0.25">
      <c r="AK234" t="str">
        <v>volkswagen rabbit custom</v>
      </c>
      <c r="AL234" s="12">
        <v>29</v>
      </c>
      <c r="AM234" s="12">
        <v>30.387966595675568</v>
      </c>
      <c r="AN234" s="12">
        <v>-1.387966595675568</v>
      </c>
      <c r="AO234" s="12">
        <v>5.2926272357712363E-2</v>
      </c>
      <c r="AP234" s="12">
        <v>-0.46498176646527745</v>
      </c>
      <c r="AQ234" s="12">
        <v>7.1073948431203671E-4</v>
      </c>
      <c r="AR234" s="12">
        <v>0.19628416463254303</v>
      </c>
      <c r="AS234" s="12">
        <v>0.20398710450777527</v>
      </c>
      <c r="AT234" s="12">
        <v>0.68189571524191106</v>
      </c>
      <c r="AU234" s="12">
        <v>-1.4655317270080654</v>
      </c>
      <c r="AV234" s="12" t="e">
        <v>#N/A</v>
      </c>
    </row>
    <row r="235" spans="37:48" x14ac:dyDescent="0.25">
      <c r="AK235" t="str">
        <v>pontiac sunbird coupe</v>
      </c>
      <c r="AL235" s="12">
        <v>24.5</v>
      </c>
      <c r="AM235" s="12">
        <v>24.236989814897633</v>
      </c>
      <c r="AN235" s="12">
        <v>0.26301018510236673</v>
      </c>
      <c r="AO235" s="12">
        <v>3.9946930254294279E-2</v>
      </c>
      <c r="AP235" s="12">
        <v>8.7513237424759235E-2</v>
      </c>
      <c r="AQ235" s="12">
        <v>1.8745056327978849E-5</v>
      </c>
      <c r="AR235" s="12">
        <v>0.19628416463254303</v>
      </c>
      <c r="AS235" s="12">
        <v>0.21089005247032522</v>
      </c>
      <c r="AT235" s="12">
        <v>0.29582636364049641</v>
      </c>
      <c r="AU235" s="12">
        <v>0.27395379837911632</v>
      </c>
      <c r="AV235" s="12" t="e">
        <v>#N/A</v>
      </c>
    </row>
    <row r="236" spans="37:48" x14ac:dyDescent="0.25">
      <c r="AK236" t="str">
        <v>toyota corolla liftback</v>
      </c>
      <c r="AL236" s="12">
        <v>26</v>
      </c>
      <c r="AM236" s="12">
        <v>28.913077108573098</v>
      </c>
      <c r="AN236" s="12">
        <v>-2.9130771085730984</v>
      </c>
      <c r="AO236" s="12">
        <v>4.7359583478988977E-2</v>
      </c>
      <c r="AP236" s="12">
        <v>-0.97305252208919468</v>
      </c>
      <c r="AQ236" s="12">
        <v>2.7688696773164527E-3</v>
      </c>
      <c r="AR236" s="12">
        <v>0.19628416463254303</v>
      </c>
      <c r="AS236" s="12">
        <v>0.21951048018534694</v>
      </c>
      <c r="AT236" s="12">
        <v>0.9864342462066058</v>
      </c>
      <c r="AU236" s="12">
        <v>-3.0578978784161723</v>
      </c>
      <c r="AV236" s="12" t="e">
        <v>#N/A</v>
      </c>
    </row>
    <row r="237" spans="37:48" x14ac:dyDescent="0.25">
      <c r="AK237" t="str">
        <v>ford mustang ii 2+2</v>
      </c>
      <c r="AL237" s="12">
        <v>25.5</v>
      </c>
      <c r="AM237" s="12">
        <v>24.144803738717336</v>
      </c>
      <c r="AN237" s="12">
        <v>1.3551962612826642</v>
      </c>
      <c r="AO237" s="12">
        <v>3.9787848643024322E-2</v>
      </c>
      <c r="AP237" s="12">
        <v>0.45088667377233937</v>
      </c>
      <c r="AQ237" s="12">
        <v>4.9552907027581336E-4</v>
      </c>
      <c r="AR237" s="12">
        <v>0.19628416463254303</v>
      </c>
      <c r="AS237" s="12">
        <v>0.22330383955665867</v>
      </c>
      <c r="AT237" s="12">
        <v>0.67148095562892873</v>
      </c>
      <c r="AU237" s="12">
        <v>1.4113508763323765</v>
      </c>
      <c r="AV237" s="12" t="e">
        <v>#N/A</v>
      </c>
    </row>
    <row r="238" spans="37:48" x14ac:dyDescent="0.25">
      <c r="AK238" t="str">
        <v>chevrolet chevette</v>
      </c>
      <c r="AL238" s="12">
        <v>30.5</v>
      </c>
      <c r="AM238" s="12">
        <v>28.131520938551596</v>
      </c>
      <c r="AN238" s="12">
        <v>2.3684790614484044</v>
      </c>
      <c r="AO238" s="12">
        <v>4.8191117508989904E-2</v>
      </c>
      <c r="AP238" s="12">
        <v>0.7914864360088929</v>
      </c>
      <c r="AQ238" s="12">
        <v>1.8657578421682358E-3</v>
      </c>
      <c r="AR238" s="12">
        <v>0.19628416463254303</v>
      </c>
      <c r="AS238" s="12">
        <v>0.22503211391071432</v>
      </c>
      <c r="AT238" s="12">
        <v>0.88965523435142724</v>
      </c>
      <c r="AU238" s="12">
        <v>2.4883977288064179</v>
      </c>
      <c r="AV238" s="12" t="e">
        <v>#N/A</v>
      </c>
    </row>
    <row r="239" spans="37:48" x14ac:dyDescent="0.25">
      <c r="AK239" t="str">
        <v>dodge colt m/m</v>
      </c>
      <c r="AL239" s="12">
        <v>33.5</v>
      </c>
      <c r="AM239" s="12">
        <v>27.685272868717973</v>
      </c>
      <c r="AN239" s="12">
        <v>5.8147271312820266</v>
      </c>
      <c r="AO239" s="12">
        <v>4.9737029725843013E-2</v>
      </c>
      <c r="AP239" s="12">
        <v>1.9447162353916565</v>
      </c>
      <c r="AQ239" s="12">
        <v>1.1643930329232586E-2</v>
      </c>
      <c r="AR239" s="12">
        <v>0.26194045846440461</v>
      </c>
      <c r="AS239" s="12">
        <v>0.22610292454868022</v>
      </c>
      <c r="AT239" s="12">
        <v>1.3945308298462449</v>
      </c>
      <c r="AU239" s="12">
        <v>6.1190715761600609</v>
      </c>
      <c r="AV239" s="12">
        <v>1.1643930329232586E-2</v>
      </c>
    </row>
    <row r="240" spans="37:48" x14ac:dyDescent="0.25">
      <c r="AK240" t="str">
        <v>subaru dl</v>
      </c>
      <c r="AL240" s="12">
        <v>30</v>
      </c>
      <c r="AM240" s="12">
        <v>30.460695256434121</v>
      </c>
      <c r="AN240" s="12">
        <v>-0.46069525643412135</v>
      </c>
      <c r="AO240" s="12">
        <v>4.7623568685319598E-2</v>
      </c>
      <c r="AP240" s="12">
        <v>-0.15390694742658717</v>
      </c>
      <c r="AQ240" s="12">
        <v>6.9675617228154668E-5</v>
      </c>
      <c r="AR240" s="12">
        <v>0.26856388625555183</v>
      </c>
      <c r="AS240" s="12">
        <v>0.2334274183109103</v>
      </c>
      <c r="AT240" s="12">
        <v>0.3923097595352264</v>
      </c>
      <c r="AU240" s="12">
        <v>-0.4837323155909769</v>
      </c>
      <c r="AV240" s="12" t="e">
        <v>#N/A</v>
      </c>
    </row>
    <row r="241" spans="37:48" x14ac:dyDescent="0.25">
      <c r="AK241" t="str">
        <v>volkswagen dasher</v>
      </c>
      <c r="AL241" s="12">
        <v>30.5</v>
      </c>
      <c r="AM241" s="12">
        <v>29.122139191896384</v>
      </c>
      <c r="AN241" s="12">
        <v>1.3778608081036161</v>
      </c>
      <c r="AO241" s="12">
        <v>4.9776381999582162E-2</v>
      </c>
      <c r="AP241" s="12">
        <v>0.46083052696320198</v>
      </c>
      <c r="AQ241" s="12">
        <v>6.5438157939957074E-4</v>
      </c>
      <c r="AR241" s="12">
        <v>0.26856388625555183</v>
      </c>
      <c r="AS241" s="12">
        <v>0.24039254577346184</v>
      </c>
      <c r="AT241" s="12">
        <v>0.67884499479866678</v>
      </c>
      <c r="AU241" s="12">
        <v>1.4500384772618966</v>
      </c>
      <c r="AV241" s="12" t="e">
        <v>#N/A</v>
      </c>
    </row>
    <row r="242" spans="37:48" x14ac:dyDescent="0.25">
      <c r="AK242" t="str">
        <v>datsun 810</v>
      </c>
      <c r="AL242" s="12">
        <v>22</v>
      </c>
      <c r="AM242" s="12">
        <v>25.771055317280982</v>
      </c>
      <c r="AN242" s="12">
        <v>-3.7710553172809824</v>
      </c>
      <c r="AO242" s="12">
        <v>4.876062171298863E-2</v>
      </c>
      <c r="AP242" s="12">
        <v>-1.260569504380137</v>
      </c>
      <c r="AQ242" s="12">
        <v>4.791418281541465E-3</v>
      </c>
      <c r="AR242" s="12">
        <v>0.2818464860769076</v>
      </c>
      <c r="AS242" s="12">
        <v>0.24386567077228774</v>
      </c>
      <c r="AT242" s="12">
        <v>1.1227508647870805</v>
      </c>
      <c r="AU242" s="12">
        <v>-3.9643599743230626</v>
      </c>
      <c r="AV242" s="12" t="e">
        <v>#N/A</v>
      </c>
    </row>
    <row r="243" spans="37:48" x14ac:dyDescent="0.25">
      <c r="AK243" t="str">
        <v>bmw 320i</v>
      </c>
      <c r="AL243" s="12">
        <v>21.5</v>
      </c>
      <c r="AM243" s="12">
        <v>26.526616427185193</v>
      </c>
      <c r="AN243" s="12">
        <v>-5.0266164271851927</v>
      </c>
      <c r="AO243" s="12">
        <v>5.4364418410564282E-2</v>
      </c>
      <c r="AP243" s="12">
        <v>-1.68524344765387</v>
      </c>
      <c r="AQ243" s="12">
        <v>9.6043353193524268E-3</v>
      </c>
      <c r="AR243" s="12">
        <v>0.2818464860769076</v>
      </c>
      <c r="AS243" s="12">
        <v>0.25110022474118066</v>
      </c>
      <c r="AT243" s="12">
        <v>1.2981692677204579</v>
      </c>
      <c r="AU243" s="12">
        <v>-5.3155956956869108</v>
      </c>
      <c r="AV243" s="12" t="e">
        <v>#N/A</v>
      </c>
    </row>
    <row r="244" spans="37:48" x14ac:dyDescent="0.25">
      <c r="AK244" t="str">
        <v>mazda rx-4</v>
      </c>
      <c r="AL244" s="12">
        <v>21.5</v>
      </c>
      <c r="AM244" s="12">
        <v>26.040996115321043</v>
      </c>
      <c r="AN244" s="12">
        <v>-4.5409961153210432</v>
      </c>
      <c r="AO244" s="12">
        <v>4.8259727863398397E-2</v>
      </c>
      <c r="AP244" s="12">
        <v>-1.5175419689962188</v>
      </c>
      <c r="AQ244" s="12">
        <v>6.8690855003637292E-3</v>
      </c>
      <c r="AR244" s="12">
        <v>0.29517900048864598</v>
      </c>
      <c r="AS244" s="12">
        <v>0.25381221692103473</v>
      </c>
      <c r="AT244" s="12">
        <v>1.2318855340477941</v>
      </c>
      <c r="AU244" s="12">
        <v>-4.7712556127595303</v>
      </c>
      <c r="AV244" s="12" t="e">
        <v>#N/A</v>
      </c>
    </row>
    <row r="245" spans="37:48" x14ac:dyDescent="0.25">
      <c r="AK245" t="str">
        <v>volkswagen rabbit custom diesel</v>
      </c>
      <c r="AL245" s="12">
        <v>43.1</v>
      </c>
      <c r="AM245" s="12">
        <v>30.497188279232841</v>
      </c>
      <c r="AN245" s="12">
        <v>12.602811720767161</v>
      </c>
      <c r="AO245" s="12">
        <v>4.3282429427152436E-2</v>
      </c>
      <c r="AP245" s="12">
        <v>4.2007262122566926</v>
      </c>
      <c r="AQ245" s="12">
        <v>4.6959959279888761E-2</v>
      </c>
      <c r="AR245" s="12">
        <v>0.30186483701074074</v>
      </c>
      <c r="AS245" s="12">
        <v>0.25939653083974346</v>
      </c>
      <c r="AT245" s="12">
        <v>2.0495673231823082</v>
      </c>
      <c r="AU245" s="12">
        <v>13.172969859036932</v>
      </c>
      <c r="AV245" s="12">
        <v>4.6959959279888761E-2</v>
      </c>
    </row>
    <row r="246" spans="37:48" x14ac:dyDescent="0.25">
      <c r="AK246" t="str">
        <v>ford fiesta</v>
      </c>
      <c r="AL246" s="12">
        <v>36.1</v>
      </c>
      <c r="AM246" s="12">
        <v>29.203680013716564</v>
      </c>
      <c r="AN246" s="12">
        <v>6.8963199862834372</v>
      </c>
      <c r="AO246" s="12">
        <v>4.3604262924426471E-2</v>
      </c>
      <c r="AP246" s="12">
        <v>2.2990445774735213</v>
      </c>
      <c r="AQ246" s="12">
        <v>1.4175460654412718E-2</v>
      </c>
      <c r="AR246" s="12">
        <v>0.30186483701074074</v>
      </c>
      <c r="AS246" s="12">
        <v>0.26483477874394723</v>
      </c>
      <c r="AT246" s="12">
        <v>1.5162600626124534</v>
      </c>
      <c r="AU246" s="12">
        <v>7.2107389430349329</v>
      </c>
      <c r="AV246" s="12">
        <v>1.4175460654412718E-2</v>
      </c>
    </row>
    <row r="247" spans="37:48" x14ac:dyDescent="0.25">
      <c r="AK247" t="str">
        <v>mazda glc deluxe</v>
      </c>
      <c r="AL247" s="12">
        <v>32.799999999999997</v>
      </c>
      <c r="AM247" s="12">
        <v>30.554219393368534</v>
      </c>
      <c r="AN247" s="12">
        <v>2.2457806066314632</v>
      </c>
      <c r="AO247" s="12">
        <v>4.2998995586674138E-2</v>
      </c>
      <c r="AP247" s="12">
        <v>0.74844507336636135</v>
      </c>
      <c r="AQ247" s="12">
        <v>1.4805288140072991E-3</v>
      </c>
      <c r="AR247" s="12">
        <v>0.30186483701074074</v>
      </c>
      <c r="AS247" s="12">
        <v>0.26714134253452815</v>
      </c>
      <c r="AT247" s="12">
        <v>0.86512720068574966</v>
      </c>
      <c r="AU247" s="12">
        <v>2.3466857362476885</v>
      </c>
      <c r="AV247" s="12" t="e">
        <v>#N/A</v>
      </c>
    </row>
    <row r="248" spans="37:48" x14ac:dyDescent="0.25">
      <c r="AK248" t="str">
        <v>datsun b210 gx</v>
      </c>
      <c r="AL248" s="12">
        <v>39.4</v>
      </c>
      <c r="AM248" s="12">
        <v>29.831582300919862</v>
      </c>
      <c r="AN248" s="12">
        <v>9.5684176990801362</v>
      </c>
      <c r="AO248" s="12">
        <v>3.8875196033690343E-2</v>
      </c>
      <c r="AP248" s="12">
        <v>3.1819916573400091</v>
      </c>
      <c r="AQ248" s="12">
        <v>2.409028614825447E-2</v>
      </c>
      <c r="AR248" s="12">
        <v>0.30186483701074074</v>
      </c>
      <c r="AS248" s="12">
        <v>0.27141090048237276</v>
      </c>
      <c r="AT248" s="12">
        <v>1.7838137955907867</v>
      </c>
      <c r="AU248" s="12">
        <v>9.9554372747366315</v>
      </c>
      <c r="AV248" s="12">
        <v>2.409028614825447E-2</v>
      </c>
    </row>
    <row r="249" spans="37:48" x14ac:dyDescent="0.25">
      <c r="AK249" t="str">
        <v>honda civic cvcc</v>
      </c>
      <c r="AL249" s="12">
        <v>36.1</v>
      </c>
      <c r="AM249" s="12">
        <v>31.3610402165368</v>
      </c>
      <c r="AN249" s="12">
        <v>4.7389597834632013</v>
      </c>
      <c r="AO249" s="12">
        <v>3.977370933084589E-2</v>
      </c>
      <c r="AP249" s="12">
        <v>1.5766853430851646</v>
      </c>
      <c r="AQ249" s="12">
        <v>6.0570846398093712E-3</v>
      </c>
      <c r="AR249" s="12">
        <v>0.30186483701074074</v>
      </c>
      <c r="AS249" s="12">
        <v>0.2749672873635931</v>
      </c>
      <c r="AT249" s="12">
        <v>1.2556613170298607</v>
      </c>
      <c r="AU249" s="12">
        <v>4.9352531059743807</v>
      </c>
      <c r="AV249" s="12" t="e">
        <v>#N/A</v>
      </c>
    </row>
    <row r="250" spans="37:48" x14ac:dyDescent="0.25">
      <c r="AK250" t="str">
        <v>oldsmobile cutlass salon brougham</v>
      </c>
      <c r="AL250" s="12">
        <v>19.899999999999999</v>
      </c>
      <c r="AM250" s="12">
        <v>20.56519746010305</v>
      </c>
      <c r="AN250" s="12">
        <v>-0.6651974601030517</v>
      </c>
      <c r="AO250" s="12">
        <v>3.0148411795750178E-2</v>
      </c>
      <c r="AP250" s="12">
        <v>-0.22021492268660475</v>
      </c>
      <c r="AQ250" s="12">
        <v>8.8675516438309517E-5</v>
      </c>
      <c r="AR250" s="12">
        <v>0.30186483701074074</v>
      </c>
      <c r="AS250" s="12">
        <v>0.27649769074526315</v>
      </c>
      <c r="AT250" s="12">
        <v>0.46927062840817635</v>
      </c>
      <c r="AU250" s="12">
        <v>-0.68587551764978061</v>
      </c>
      <c r="AV250" s="12" t="e">
        <v>#N/A</v>
      </c>
    </row>
    <row r="251" spans="37:48" x14ac:dyDescent="0.25">
      <c r="AK251" t="str">
        <v>dodge diplomat</v>
      </c>
      <c r="AL251" s="12">
        <v>19.399999999999999</v>
      </c>
      <c r="AM251" s="12">
        <v>18.204679943903614</v>
      </c>
      <c r="AN251" s="12">
        <v>1.195320056096385</v>
      </c>
      <c r="AO251" s="12">
        <v>3.1784700220696488E-2</v>
      </c>
      <c r="AP251" s="12">
        <v>0.39604728421942698</v>
      </c>
      <c r="AQ251" s="12">
        <v>3.0289446441747052E-4</v>
      </c>
      <c r="AR251" s="12">
        <v>0.30186483701074074</v>
      </c>
      <c r="AS251" s="12">
        <v>0.2802206101814847</v>
      </c>
      <c r="AT251" s="12">
        <v>0.62932287755922789</v>
      </c>
      <c r="AU251" s="12">
        <v>1.2345601813654961</v>
      </c>
      <c r="AV251" s="12" t="e">
        <v>#N/A</v>
      </c>
    </row>
    <row r="252" spans="37:48" x14ac:dyDescent="0.25">
      <c r="AK252" t="str">
        <v>mercury monarch ghia</v>
      </c>
      <c r="AL252" s="12">
        <v>20.2</v>
      </c>
      <c r="AM252" s="12">
        <v>19.056362462351419</v>
      </c>
      <c r="AN252" s="12">
        <v>1.1436375376485799</v>
      </c>
      <c r="AO252" s="12">
        <v>3.2108495315757317E-2</v>
      </c>
      <c r="AP252" s="12">
        <v>0.37898661019969393</v>
      </c>
      <c r="AQ252" s="12">
        <v>2.8027998610575947E-4</v>
      </c>
      <c r="AR252" s="12">
        <v>0.30186483701074074</v>
      </c>
      <c r="AS252" s="12">
        <v>0.28753308488155438</v>
      </c>
      <c r="AT252" s="12">
        <v>0.615618883888152</v>
      </c>
      <c r="AU252" s="12">
        <v>1.1815761705870858</v>
      </c>
      <c r="AV252" s="12" t="e">
        <v>#N/A</v>
      </c>
    </row>
    <row r="253" spans="37:48" x14ac:dyDescent="0.25">
      <c r="AK253" t="str">
        <v>pontiac phoenix lj</v>
      </c>
      <c r="AL253" s="12">
        <v>19.2</v>
      </c>
      <c r="AM253" s="12">
        <v>19.785616985300909</v>
      </c>
      <c r="AN253" s="12">
        <v>-0.58561698530090922</v>
      </c>
      <c r="AO253" s="12">
        <v>3.340884753772768E-2</v>
      </c>
      <c r="AP253" s="12">
        <v>-0.19419634887019752</v>
      </c>
      <c r="AQ253" s="12">
        <v>7.66746634500931E-5</v>
      </c>
      <c r="AR253" s="12">
        <v>0.30186483701074074</v>
      </c>
      <c r="AS253" s="12">
        <v>0.29319660015181503</v>
      </c>
      <c r="AT253" s="12">
        <v>0.44067714811435083</v>
      </c>
      <c r="AU253" s="12">
        <v>-0.60585800295101178</v>
      </c>
      <c r="AV253" s="12" t="e">
        <v>#N/A</v>
      </c>
    </row>
    <row r="254" spans="37:48" x14ac:dyDescent="0.25">
      <c r="AK254" t="str">
        <v>chevrolet malibu</v>
      </c>
      <c r="AL254" s="12">
        <v>20.5</v>
      </c>
      <c r="AM254" s="12">
        <v>21.872038958580685</v>
      </c>
      <c r="AN254" s="12">
        <v>-1.3720389585806849</v>
      </c>
      <c r="AO254" s="12">
        <v>3.1552376124896538E-2</v>
      </c>
      <c r="AP254" s="12">
        <v>-0.4545453066083554</v>
      </c>
      <c r="AQ254" s="12">
        <v>3.9596916404452566E-4</v>
      </c>
      <c r="AR254" s="12">
        <v>0.30186483701074074</v>
      </c>
      <c r="AS254" s="12">
        <v>0.29552136767781301</v>
      </c>
      <c r="AT254" s="12">
        <v>0.6741997527501441</v>
      </c>
      <c r="AU254" s="12">
        <v>-1.4167404873075831</v>
      </c>
      <c r="AV254" s="12" t="e">
        <v>#N/A</v>
      </c>
    </row>
    <row r="255" spans="37:48" x14ac:dyDescent="0.25">
      <c r="AK255" t="str">
        <v>ford fairmont (auto)</v>
      </c>
      <c r="AL255" s="12">
        <v>20.2</v>
      </c>
      <c r="AM255" s="12">
        <v>22.996432104988273</v>
      </c>
      <c r="AN255" s="12">
        <v>-2.7964321049882734</v>
      </c>
      <c r="AO255" s="12">
        <v>3.2831438900877988E-2</v>
      </c>
      <c r="AP255" s="12">
        <v>-0.92704752263459622</v>
      </c>
      <c r="AQ255" s="12">
        <v>1.7161009038441971E-3</v>
      </c>
      <c r="AR255" s="12">
        <v>0.30186483701074074</v>
      </c>
      <c r="AS255" s="12">
        <v>0.30206292858297307</v>
      </c>
      <c r="AT255" s="12">
        <v>0.96283307101210236</v>
      </c>
      <c r="AU255" s="12">
        <v>-2.8913596010713132</v>
      </c>
      <c r="AV255" s="12" t="e">
        <v>#N/A</v>
      </c>
    </row>
    <row r="256" spans="37:48" x14ac:dyDescent="0.25">
      <c r="AK256" t="str">
        <v>ford fairmont (man)</v>
      </c>
      <c r="AL256" s="12">
        <v>25.1</v>
      </c>
      <c r="AM256" s="12">
        <v>24.188233664831259</v>
      </c>
      <c r="AN256" s="12">
        <v>0.91176633516874261</v>
      </c>
      <c r="AO256" s="12">
        <v>3.1566385285221446E-2</v>
      </c>
      <c r="AP256" s="12">
        <v>0.30206292858297307</v>
      </c>
      <c r="AQ256" s="12">
        <v>1.7494475780529764E-4</v>
      </c>
      <c r="AR256" s="12">
        <v>0.30186483701074074</v>
      </c>
      <c r="AS256" s="12">
        <v>0.31685206458484116</v>
      </c>
      <c r="AT256" s="12">
        <v>0.54960251871964072</v>
      </c>
      <c r="AU256" s="12">
        <v>0.94148563341357638</v>
      </c>
      <c r="AV256" s="12" t="e">
        <v>#N/A</v>
      </c>
    </row>
    <row r="257" spans="37:48" x14ac:dyDescent="0.25">
      <c r="AK257" t="str">
        <v>plymouth volare</v>
      </c>
      <c r="AL257" s="12">
        <v>20.5</v>
      </c>
      <c r="AM257" s="12">
        <v>20.398446654655874</v>
      </c>
      <c r="AN257" s="12">
        <v>0.10155334534412574</v>
      </c>
      <c r="AO257" s="12">
        <v>3.346812475978498E-2</v>
      </c>
      <c r="AP257" s="12">
        <v>3.3677120231556792E-2</v>
      </c>
      <c r="AQ257" s="12">
        <v>2.31012867798152E-6</v>
      </c>
      <c r="AR257" s="12">
        <v>0.30186483701074074</v>
      </c>
      <c r="AS257" s="12">
        <v>0.32432388942401408</v>
      </c>
      <c r="AT257" s="12">
        <v>0.18351326990590297</v>
      </c>
      <c r="AU257" s="12">
        <v>0.10506983571430212</v>
      </c>
      <c r="AV257" s="12" t="e">
        <v>#N/A</v>
      </c>
    </row>
    <row r="258" spans="37:48" x14ac:dyDescent="0.25">
      <c r="AK258" t="str">
        <v>amc concord</v>
      </c>
      <c r="AL258" s="12">
        <v>19.399999999999999</v>
      </c>
      <c r="AM258" s="12">
        <v>21.674739089516965</v>
      </c>
      <c r="AN258" s="12">
        <v>-2.2747390895169666</v>
      </c>
      <c r="AO258" s="12">
        <v>3.3909202683638458E-2</v>
      </c>
      <c r="AP258" s="12">
        <v>-0.75452115641439021</v>
      </c>
      <c r="AQ258" s="12">
        <v>1.1754212964191057E-3</v>
      </c>
      <c r="AR258" s="12">
        <v>0.30186483701074074</v>
      </c>
      <c r="AS258" s="12">
        <v>0.33488821969058197</v>
      </c>
      <c r="AT258" s="12">
        <v>0.86863177262542624</v>
      </c>
      <c r="AU258" s="12">
        <v>-2.3545810557722016</v>
      </c>
      <c r="AV258" s="12" t="e">
        <v>#N/A</v>
      </c>
    </row>
    <row r="259" spans="37:48" x14ac:dyDescent="0.25">
      <c r="AK259" t="str">
        <v>buick century special</v>
      </c>
      <c r="AL259" s="12">
        <v>20.6</v>
      </c>
      <c r="AM259" s="12">
        <v>20.570429975644004</v>
      </c>
      <c r="AN259" s="12">
        <v>2.9570024355997759E-2</v>
      </c>
      <c r="AO259" s="12">
        <v>3.1231166756803205E-2</v>
      </c>
      <c r="AP259" s="12">
        <v>9.7946834914373372E-3</v>
      </c>
      <c r="AQ259" s="12">
        <v>1.8192816649843895E-7</v>
      </c>
      <c r="AR259" s="12">
        <v>0.39705550482904034</v>
      </c>
      <c r="AS259" s="12">
        <v>0.34571317856571621</v>
      </c>
      <c r="AT259" s="12">
        <v>9.8968093299999157E-2</v>
      </c>
      <c r="AU259" s="12">
        <v>3.052330271299571E-2</v>
      </c>
      <c r="AV259" s="12" t="e">
        <v>#N/A</v>
      </c>
    </row>
    <row r="260" spans="37:48" x14ac:dyDescent="0.25">
      <c r="AK260" t="str">
        <v>mercury zephyr</v>
      </c>
      <c r="AL260" s="12">
        <v>20.8</v>
      </c>
      <c r="AM260" s="12">
        <v>22.464784595401014</v>
      </c>
      <c r="AN260" s="12">
        <v>-1.664784595401013</v>
      </c>
      <c r="AO260" s="12">
        <v>3.397005111054123E-2</v>
      </c>
      <c r="AP260" s="12">
        <v>-0.55221926921070352</v>
      </c>
      <c r="AQ260" s="12">
        <v>6.3078274113854678E-4</v>
      </c>
      <c r="AR260" s="12">
        <v>0.40398399337523622</v>
      </c>
      <c r="AS260" s="12">
        <v>0.34767210505293855</v>
      </c>
      <c r="AT260" s="12">
        <v>0.74311457340756248</v>
      </c>
      <c r="AU260" s="12">
        <v>-1.7233260700818205</v>
      </c>
      <c r="AV260" s="12" t="e">
        <v>#N/A</v>
      </c>
    </row>
    <row r="261" spans="37:48" x14ac:dyDescent="0.25">
      <c r="AK261" t="str">
        <v>dodge aspen</v>
      </c>
      <c r="AL261" s="12">
        <v>18.600000000000001</v>
      </c>
      <c r="AM261" s="12">
        <v>19.274053508248279</v>
      </c>
      <c r="AN261" s="12">
        <v>-0.67405350824827792</v>
      </c>
      <c r="AO261" s="12">
        <v>3.3160023066221296E-2</v>
      </c>
      <c r="AP261" s="12">
        <v>-0.22349400460848995</v>
      </c>
      <c r="AQ261" s="12">
        <v>1.0077273787285113E-4</v>
      </c>
      <c r="AR261" s="12">
        <v>0.41093192943060336</v>
      </c>
      <c r="AS261" s="12">
        <v>0.35223603151478755</v>
      </c>
      <c r="AT261" s="12">
        <v>0.47275152523126773</v>
      </c>
      <c r="AU261" s="12">
        <v>-0.69717173920131104</v>
      </c>
      <c r="AV261" s="12" t="e">
        <v>#N/A</v>
      </c>
    </row>
    <row r="262" spans="37:48" x14ac:dyDescent="0.25">
      <c r="AK262" t="str">
        <v>amc concord d/l</v>
      </c>
      <c r="AL262" s="12">
        <v>18.100000000000001</v>
      </c>
      <c r="AM262" s="12">
        <v>20.174984207887384</v>
      </c>
      <c r="AN262" s="12">
        <v>-2.0749842078873826</v>
      </c>
      <c r="AO262" s="12">
        <v>2.9749884328060014E-2</v>
      </c>
      <c r="AP262" s="12">
        <v>-0.68678649689214288</v>
      </c>
      <c r="AQ262" s="12">
        <v>8.5073862793208152E-4</v>
      </c>
      <c r="AR262" s="12">
        <v>0.41093192943060336</v>
      </c>
      <c r="AS262" s="12">
        <v>0.3734161112853604</v>
      </c>
      <c r="AT262" s="12">
        <v>0.82872582733503775</v>
      </c>
      <c r="AU262" s="12">
        <v>-2.1386075346668387</v>
      </c>
      <c r="AV262" s="12" t="e">
        <v>#N/A</v>
      </c>
    </row>
    <row r="263" spans="37:48" x14ac:dyDescent="0.25">
      <c r="AK263" t="str">
        <v>chevrolet monte carlo landau</v>
      </c>
      <c r="AL263" s="12">
        <v>19.2</v>
      </c>
      <c r="AM263" s="12">
        <v>19.693123764822097</v>
      </c>
      <c r="AN263" s="12">
        <v>-0.49312376482209785</v>
      </c>
      <c r="AO263" s="12">
        <v>3.6040940985145986E-2</v>
      </c>
      <c r="AP263" s="12">
        <v>-0.1637477879265988</v>
      </c>
      <c r="AQ263" s="12">
        <v>5.8971136076672969E-5</v>
      </c>
      <c r="AR263" s="12">
        <v>0.42488793897993393</v>
      </c>
      <c r="AS263" s="12">
        <v>0.37698943709717592</v>
      </c>
      <c r="AT263" s="12">
        <v>0.40465761814971285</v>
      </c>
      <c r="AU263" s="12">
        <v>-0.51156090106779017</v>
      </c>
      <c r="AV263" s="12" t="e">
        <v>#N/A</v>
      </c>
    </row>
    <row r="264" spans="37:48" x14ac:dyDescent="0.25">
      <c r="AK264" t="str">
        <v>buick regal sport coupe (turbo)</v>
      </c>
      <c r="AL264" s="12">
        <v>17.7</v>
      </c>
      <c r="AM264" s="12">
        <v>19.267128933448944</v>
      </c>
      <c r="AN264" s="12">
        <v>-1.5671289334489451</v>
      </c>
      <c r="AO264" s="12">
        <v>4.9070502455294401E-2</v>
      </c>
      <c r="AP264" s="12">
        <v>-0.52393736657058176</v>
      </c>
      <c r="AQ264" s="12">
        <v>8.3326283140426507E-4</v>
      </c>
      <c r="AR264" s="12">
        <v>0.43189692948271047</v>
      </c>
      <c r="AS264" s="12">
        <v>0.37898661019969393</v>
      </c>
      <c r="AT264" s="12">
        <v>0.72383517914687023</v>
      </c>
      <c r="AU264" s="12">
        <v>-1.6479969729567365</v>
      </c>
      <c r="AV264" s="12" t="e">
        <v>#N/A</v>
      </c>
    </row>
    <row r="265" spans="37:48" x14ac:dyDescent="0.25">
      <c r="AK265" t="str">
        <v>ford futura</v>
      </c>
      <c r="AL265" s="12">
        <v>18.100000000000001</v>
      </c>
      <c r="AM265" s="12">
        <v>20.904470471869033</v>
      </c>
      <c r="AN265" s="12">
        <v>-2.8044704718690312</v>
      </c>
      <c r="AO265" s="12">
        <v>3.7096220197083127E-2</v>
      </c>
      <c r="AP265" s="12">
        <v>-0.9317689403765218</v>
      </c>
      <c r="AQ265" s="12">
        <v>1.9674980339091886E-3</v>
      </c>
      <c r="AR265" s="12">
        <v>0.43189692948271047</v>
      </c>
      <c r="AS265" s="12">
        <v>0.3790485664453247</v>
      </c>
      <c r="AT265" s="12">
        <v>0.9652817932482316</v>
      </c>
      <c r="AU265" s="12">
        <v>-2.9125137222361288</v>
      </c>
      <c r="AV265" s="12" t="e">
        <v>#N/A</v>
      </c>
    </row>
    <row r="266" spans="37:48" x14ac:dyDescent="0.25">
      <c r="AK266" t="str">
        <v>dodge magnum xe</v>
      </c>
      <c r="AL266" s="12">
        <v>17.5</v>
      </c>
      <c r="AM266" s="12">
        <v>16.457838126688337</v>
      </c>
      <c r="AN266" s="12">
        <v>1.0421618733116631</v>
      </c>
      <c r="AO266" s="12">
        <v>3.4091253908339864E-2</v>
      </c>
      <c r="AP266" s="12">
        <v>0.34571317856571621</v>
      </c>
      <c r="AQ266" s="12">
        <v>2.4813602777608177E-4</v>
      </c>
      <c r="AR266" s="12">
        <v>0.43189692948271047</v>
      </c>
      <c r="AS266" s="12">
        <v>0.38024696094502353</v>
      </c>
      <c r="AT266" s="12">
        <v>0.58797379071325639</v>
      </c>
      <c r="AU266" s="12">
        <v>1.0789444422452377</v>
      </c>
      <c r="AV266" s="12" t="e">
        <v>#N/A</v>
      </c>
    </row>
    <row r="267" spans="37:48" x14ac:dyDescent="0.25">
      <c r="AK267" t="str">
        <v>chevrolet chevette</v>
      </c>
      <c r="AL267" s="12">
        <v>30</v>
      </c>
      <c r="AM267" s="12">
        <v>27.373732236443036</v>
      </c>
      <c r="AN267" s="12">
        <v>2.6262677635569638</v>
      </c>
      <c r="AO267" s="12">
        <v>3.7268324735451754E-2</v>
      </c>
      <c r="AP267" s="12">
        <v>0.87264012009621761</v>
      </c>
      <c r="AQ267" s="12">
        <v>1.73402773982469E-3</v>
      </c>
      <c r="AR267" s="12">
        <v>0.43189692948271047</v>
      </c>
      <c r="AS267" s="12">
        <v>0.38649046111355201</v>
      </c>
      <c r="AT267" s="12">
        <v>0.93415208617024326</v>
      </c>
      <c r="AU267" s="12">
        <v>2.7279332663852509</v>
      </c>
      <c r="AV267" s="12" t="e">
        <v>#N/A</v>
      </c>
    </row>
    <row r="268" spans="37:48" x14ac:dyDescent="0.25">
      <c r="AK268" t="str">
        <v>toyota corona</v>
      </c>
      <c r="AL268" s="12">
        <v>27.5</v>
      </c>
      <c r="AM268" s="12">
        <v>26.944649790674134</v>
      </c>
      <c r="AN268" s="12">
        <v>0.55535020932586576</v>
      </c>
      <c r="AO268" s="12">
        <v>3.9123709977541374E-2</v>
      </c>
      <c r="AP268" s="12">
        <v>0.18470642599231274</v>
      </c>
      <c r="AQ268" s="12">
        <v>8.1712338986331064E-5</v>
      </c>
      <c r="AR268" s="12">
        <v>0.43189692948271047</v>
      </c>
      <c r="AS268" s="12">
        <v>0.39604728421942698</v>
      </c>
      <c r="AT268" s="12">
        <v>0.42977485500237533</v>
      </c>
      <c r="AU268" s="12">
        <v>0.57796223623426646</v>
      </c>
      <c r="AV268" s="12" t="e">
        <v>#N/A</v>
      </c>
    </row>
    <row r="269" spans="37:48" x14ac:dyDescent="0.25">
      <c r="AK269" t="str">
        <v>datsun 510</v>
      </c>
      <c r="AL269" s="12">
        <v>27.2</v>
      </c>
      <c r="AM269" s="12">
        <v>28.228637426697397</v>
      </c>
      <c r="AN269" s="12">
        <v>-1.0286374266973972</v>
      </c>
      <c r="AO269" s="12">
        <v>3.9715916765860677E-2</v>
      </c>
      <c r="AP269" s="12">
        <v>-0.34222462819834187</v>
      </c>
      <c r="AQ269" s="12">
        <v>2.8493018540551589E-4</v>
      </c>
      <c r="AR269" s="12">
        <v>0.43189692948271047</v>
      </c>
      <c r="AS269" s="12">
        <v>0.39947920216775701</v>
      </c>
      <c r="AT269" s="12">
        <v>0.58499968222071874</v>
      </c>
      <c r="AU269" s="12">
        <v>-1.0711803357534062</v>
      </c>
      <c r="AV269" s="12" t="e">
        <v>#N/A</v>
      </c>
    </row>
    <row r="270" spans="37:48" x14ac:dyDescent="0.25">
      <c r="AK270" t="str">
        <v>dodge omni</v>
      </c>
      <c r="AL270" s="12">
        <v>30.9</v>
      </c>
      <c r="AM270" s="12">
        <v>26.880328991634492</v>
      </c>
      <c r="AN270" s="12">
        <v>4.0196710083655063</v>
      </c>
      <c r="AO270" s="12">
        <v>3.6193310154119702E-2</v>
      </c>
      <c r="AP270" s="12">
        <v>1.3348865121336095</v>
      </c>
      <c r="AQ270" s="12">
        <v>3.9362088773436318E-3</v>
      </c>
      <c r="AR270" s="12">
        <v>0.43189692948271047</v>
      </c>
      <c r="AS270" s="12">
        <v>0.39968495672630688</v>
      </c>
      <c r="AT270" s="12">
        <v>1.1553728887824959</v>
      </c>
      <c r="AU270" s="12">
        <v>4.1706195347204753</v>
      </c>
      <c r="AV270" s="12" t="e">
        <v>#N/A</v>
      </c>
    </row>
    <row r="271" spans="37:48" x14ac:dyDescent="0.25">
      <c r="AK271" t="str">
        <v>toyota celica gt liftback</v>
      </c>
      <c r="AL271" s="12">
        <v>21.1</v>
      </c>
      <c r="AM271" s="12">
        <v>27.172498723354387</v>
      </c>
      <c r="AN271" s="12">
        <v>-6.0724987233543857</v>
      </c>
      <c r="AO271" s="12">
        <v>3.8958920979371689E-2</v>
      </c>
      <c r="AP271" s="12">
        <v>-2.0195065214468055</v>
      </c>
      <c r="AQ271" s="12">
        <v>9.7253797156011245E-3</v>
      </c>
      <c r="AR271" s="12">
        <v>0.43189692948271047</v>
      </c>
      <c r="AS271" s="12">
        <v>0.4116364131495851</v>
      </c>
      <c r="AT271" s="12">
        <v>1.4210934246019173</v>
      </c>
      <c r="AU271" s="12">
        <v>-6.3186671786628619</v>
      </c>
      <c r="AV271" s="12" t="e">
        <v>#N/A</v>
      </c>
    </row>
    <row r="272" spans="37:48" x14ac:dyDescent="0.25">
      <c r="AK272" t="str">
        <v>plymouth sapporo</v>
      </c>
      <c r="AL272" s="12">
        <v>23.2</v>
      </c>
      <c r="AM272" s="12">
        <v>23.785631581243138</v>
      </c>
      <c r="AN272" s="12">
        <v>-0.5856315812431383</v>
      </c>
      <c r="AO272" s="12">
        <v>3.2478881764690756E-2</v>
      </c>
      <c r="AP272" s="12">
        <v>-0.19410783505686549</v>
      </c>
      <c r="AQ272" s="12">
        <v>7.4400837671903121E-5</v>
      </c>
      <c r="AR272" s="12">
        <v>0.43189692948271047</v>
      </c>
      <c r="AS272" s="12">
        <v>0.42871024250542339</v>
      </c>
      <c r="AT272" s="12">
        <v>0.44057670734716048</v>
      </c>
      <c r="AU272" s="12">
        <v>-0.60529074787668646</v>
      </c>
      <c r="AV272" s="12" t="e">
        <v>#N/A</v>
      </c>
    </row>
    <row r="273" spans="37:48" x14ac:dyDescent="0.25">
      <c r="AK273" t="str">
        <v>oldsmobile starfire sx</v>
      </c>
      <c r="AL273" s="12">
        <v>23.8</v>
      </c>
      <c r="AM273" s="12">
        <v>23.553396162651115</v>
      </c>
      <c r="AN273" s="12">
        <v>0.24660383734888569</v>
      </c>
      <c r="AO273" s="12">
        <v>3.2118027257318493E-2</v>
      </c>
      <c r="AP273" s="12">
        <v>8.1721707715661354E-2</v>
      </c>
      <c r="AQ273" s="12">
        <v>1.3036241783376027E-5</v>
      </c>
      <c r="AR273" s="12">
        <v>0.49599497085825733</v>
      </c>
      <c r="AS273" s="12">
        <v>0.43079556603355523</v>
      </c>
      <c r="AT273" s="12">
        <v>0.28587008887895454</v>
      </c>
      <c r="AU273" s="12">
        <v>0.25478709625109125</v>
      </c>
      <c r="AV273" s="12" t="e">
        <v>#N/A</v>
      </c>
    </row>
    <row r="274" spans="37:48" x14ac:dyDescent="0.25">
      <c r="AK274" t="str">
        <v>datsun 200-sx</v>
      </c>
      <c r="AL274" s="12">
        <v>23.9</v>
      </c>
      <c r="AM274" s="12">
        <v>27.696989917110137</v>
      </c>
      <c r="AN274" s="12">
        <v>-3.7969899171101389</v>
      </c>
      <c r="AO274" s="12">
        <v>3.9159228669035963E-2</v>
      </c>
      <c r="AP274" s="12">
        <v>-1.2628813097867091</v>
      </c>
      <c r="AQ274" s="12">
        <v>3.8234802921392566E-3</v>
      </c>
      <c r="AR274" s="12">
        <v>0.49599497085825733</v>
      </c>
      <c r="AS274" s="12">
        <v>0.43174338069117302</v>
      </c>
      <c r="AT274" s="12">
        <v>1.1237799205301318</v>
      </c>
      <c r="AU274" s="12">
        <v>-3.951736885447231</v>
      </c>
      <c r="AV274" s="12" t="e">
        <v>#N/A</v>
      </c>
    </row>
    <row r="275" spans="37:48" x14ac:dyDescent="0.25">
      <c r="AK275" t="str">
        <v>audi 5000</v>
      </c>
      <c r="AL275" s="12">
        <v>20.3</v>
      </c>
      <c r="AM275" s="12">
        <v>25.325687897014422</v>
      </c>
      <c r="AN275" s="12">
        <v>-5.0256878970144214</v>
      </c>
      <c r="AO275" s="12">
        <v>4.2709716114289586E-2</v>
      </c>
      <c r="AP275" s="12">
        <v>-1.6746439809266753</v>
      </c>
      <c r="AQ275" s="12">
        <v>7.3600217544443651E-3</v>
      </c>
      <c r="AR275" s="12">
        <v>0.49599497085825733</v>
      </c>
      <c r="AS275" s="12">
        <v>0.43433707282313838</v>
      </c>
      <c r="AT275" s="12">
        <v>1.2940803610775782</v>
      </c>
      <c r="AU275" s="12">
        <v>-5.24991006553915</v>
      </c>
      <c r="AV275" s="12" t="e">
        <v>#N/A</v>
      </c>
    </row>
    <row r="276" spans="37:48" x14ac:dyDescent="0.25">
      <c r="AK276" t="str">
        <v>volvo 264gl</v>
      </c>
      <c r="AL276" s="12">
        <v>17</v>
      </c>
      <c r="AM276" s="12">
        <v>23.398860413350324</v>
      </c>
      <c r="AN276" s="12">
        <v>-6.3988604133503237</v>
      </c>
      <c r="AO276" s="12">
        <v>4.7833954880443882E-2</v>
      </c>
      <c r="AP276" s="12">
        <v>-2.1379379429147773</v>
      </c>
      <c r="AQ276" s="12">
        <v>1.3507185613380037E-2</v>
      </c>
      <c r="AR276" s="12">
        <v>0.51780857233137045</v>
      </c>
      <c r="AS276" s="12">
        <v>0.4407931061238981</v>
      </c>
      <c r="AT276" s="12">
        <v>1.4621689173672026</v>
      </c>
      <c r="AU276" s="12">
        <v>-6.7203198918386846</v>
      </c>
      <c r="AV276" s="12">
        <v>1.3507185613380037E-2</v>
      </c>
    </row>
    <row r="277" spans="37:48" x14ac:dyDescent="0.25">
      <c r="AK277" t="str">
        <v>saab 99gle</v>
      </c>
      <c r="AL277" s="12">
        <v>21.6</v>
      </c>
      <c r="AM277" s="12">
        <v>25.308066550101014</v>
      </c>
      <c r="AN277" s="12">
        <v>-3.7080665501010124</v>
      </c>
      <c r="AO277" s="12">
        <v>4.6087575958202398E-2</v>
      </c>
      <c r="AP277" s="12">
        <v>-1.2377760380844054</v>
      </c>
      <c r="AQ277" s="12">
        <v>4.3542221406322424E-3</v>
      </c>
      <c r="AR277" s="12">
        <v>0.5251343538696831</v>
      </c>
      <c r="AS277" s="12">
        <v>0.44266880067425035</v>
      </c>
      <c r="AT277" s="12">
        <v>1.1125538360386904</v>
      </c>
      <c r="AU277" s="12">
        <v>-3.8872190534951416</v>
      </c>
      <c r="AV277" s="12" t="e">
        <v>#N/A</v>
      </c>
    </row>
    <row r="278" spans="37:48" x14ac:dyDescent="0.25">
      <c r="AK278" t="str">
        <v>peugeot 604sl</v>
      </c>
      <c r="AL278" s="12">
        <v>16.2</v>
      </c>
      <c r="AM278" s="12">
        <v>21.901875361640474</v>
      </c>
      <c r="AN278" s="12">
        <v>-5.7018753616404751</v>
      </c>
      <c r="AO278" s="12">
        <v>5.0433605497255063E-2</v>
      </c>
      <c r="AP278" s="12">
        <v>-1.9076726580567738</v>
      </c>
      <c r="AQ278" s="12">
        <v>1.1369816866149523E-2</v>
      </c>
      <c r="AR278" s="12">
        <v>0.53248842708754573</v>
      </c>
      <c r="AS278" s="12">
        <v>0.44275727569779938</v>
      </c>
      <c r="AT278" s="12">
        <v>1.3811852366923032</v>
      </c>
      <c r="AU278" s="12">
        <v>-6.0047147778711674</v>
      </c>
      <c r="AV278" s="12">
        <v>1.1369816866149523E-2</v>
      </c>
    </row>
    <row r="279" spans="37:48" x14ac:dyDescent="0.25">
      <c r="AK279" t="str">
        <v>volkswagen scirocco</v>
      </c>
      <c r="AL279" s="12">
        <v>31.5</v>
      </c>
      <c r="AM279" s="12">
        <v>30.098433796225809</v>
      </c>
      <c r="AN279" s="12">
        <v>1.4015662037741912</v>
      </c>
      <c r="AO279" s="12">
        <v>4.1544941705203203E-2</v>
      </c>
      <c r="AP279" s="12">
        <v>0.46674163527249862</v>
      </c>
      <c r="AQ279" s="12">
        <v>5.5545715540963815E-4</v>
      </c>
      <c r="AR279" s="12">
        <v>0.5398714122010615</v>
      </c>
      <c r="AS279" s="12">
        <v>0.45088667377233937</v>
      </c>
      <c r="AT279" s="12">
        <v>0.68318492026134381</v>
      </c>
      <c r="AU279" s="12">
        <v>1.4623181250331556</v>
      </c>
      <c r="AV279" s="12" t="e">
        <v>#N/A</v>
      </c>
    </row>
    <row r="280" spans="37:48" x14ac:dyDescent="0.25">
      <c r="AK280" t="str">
        <v>honda accord lx</v>
      </c>
      <c r="AL280" s="12">
        <v>29.5</v>
      </c>
      <c r="AM280" s="12">
        <v>29.534940039844358</v>
      </c>
      <c r="AN280" s="12">
        <v>-3.4940039844357784E-2</v>
      </c>
      <c r="AO280" s="12">
        <v>3.9538758919076281E-2</v>
      </c>
      <c r="AP280" s="12">
        <v>-1.1623375752352078E-2</v>
      </c>
      <c r="AQ280" s="12">
        <v>3.2715896315122653E-7</v>
      </c>
      <c r="AR280" s="12">
        <v>0.5398714122010615</v>
      </c>
      <c r="AS280" s="12">
        <v>0.45411013125419586</v>
      </c>
      <c r="AT280" s="12">
        <v>0.10781176073301131</v>
      </c>
      <c r="AU280" s="12">
        <v>-3.6378396493163552E-2</v>
      </c>
      <c r="AV280" s="12" t="e">
        <v>#N/A</v>
      </c>
    </row>
    <row r="281" spans="37:48" x14ac:dyDescent="0.25">
      <c r="AK281" t="str">
        <v>pontiac lemans v6</v>
      </c>
      <c r="AL281" s="12">
        <v>21.5</v>
      </c>
      <c r="AM281" s="12">
        <v>23.49949938057404</v>
      </c>
      <c r="AN281" s="12">
        <v>-1.99949938057404</v>
      </c>
      <c r="AO281" s="12">
        <v>3.5500114423946343E-2</v>
      </c>
      <c r="AP281" s="12">
        <v>-0.66377208981313185</v>
      </c>
      <c r="AQ281" s="12">
        <v>9.5393026049185375E-4</v>
      </c>
      <c r="AR281" s="12">
        <v>0.5398714122010615</v>
      </c>
      <c r="AS281" s="12">
        <v>0.45874200542910859</v>
      </c>
      <c r="AT281" s="12">
        <v>0.81472209360807923</v>
      </c>
      <c r="AU281" s="12">
        <v>-2.0730944715248216</v>
      </c>
      <c r="AV281" s="12" t="e">
        <v>#N/A</v>
      </c>
    </row>
    <row r="282" spans="37:48" x14ac:dyDescent="0.25">
      <c r="AK282" t="str">
        <v>mercury zephyr 6</v>
      </c>
      <c r="AL282" s="12">
        <v>19.8</v>
      </c>
      <c r="AM282" s="12">
        <v>25.27773629103504</v>
      </c>
      <c r="AN282" s="12">
        <v>-5.4777362910350398</v>
      </c>
      <c r="AO282" s="12">
        <v>3.7172012207959099E-2</v>
      </c>
      <c r="AP282" s="12">
        <v>-1.8200175308828719</v>
      </c>
      <c r="AQ282" s="12">
        <v>7.5226280013666914E-3</v>
      </c>
      <c r="AR282" s="12">
        <v>0.5398714122010615</v>
      </c>
      <c r="AS282" s="12">
        <v>0.45897738397457388</v>
      </c>
      <c r="AT282" s="12">
        <v>1.3490802536850326</v>
      </c>
      <c r="AU282" s="12">
        <v>-5.689215893688961</v>
      </c>
      <c r="AV282" s="12" t="e">
        <v>#N/A</v>
      </c>
    </row>
    <row r="283" spans="37:48" x14ac:dyDescent="0.25">
      <c r="AK283" t="str">
        <v>ford fairmont 4</v>
      </c>
      <c r="AL283" s="12">
        <v>22.3</v>
      </c>
      <c r="AM283" s="12">
        <v>25.735357956686098</v>
      </c>
      <c r="AN283" s="12">
        <v>-3.4353579566860972</v>
      </c>
      <c r="AO283" s="12">
        <v>3.6285933243070362E-2</v>
      </c>
      <c r="AP283" s="12">
        <v>-1.1408976899843095</v>
      </c>
      <c r="AQ283" s="12">
        <v>2.8829331984404493E-3</v>
      </c>
      <c r="AR283" s="12">
        <v>0.5398714122010615</v>
      </c>
      <c r="AS283" s="12">
        <v>0.46083052696320198</v>
      </c>
      <c r="AT283" s="12">
        <v>1.068128124329806</v>
      </c>
      <c r="AU283" s="12">
        <v>-3.5647066647545076</v>
      </c>
      <c r="AV283" s="12" t="e">
        <v>#N/A</v>
      </c>
    </row>
    <row r="284" spans="37:48" x14ac:dyDescent="0.25">
      <c r="AK284" t="str">
        <v>amc concord dl 6</v>
      </c>
      <c r="AL284" s="12">
        <v>20.2</v>
      </c>
      <c r="AM284" s="12">
        <v>23.80414398711023</v>
      </c>
      <c r="AN284" s="12">
        <v>-3.6041439871102305</v>
      </c>
      <c r="AO284" s="12">
        <v>3.8402931379088068E-2</v>
      </c>
      <c r="AP284" s="12">
        <v>-1.1982691301329909</v>
      </c>
      <c r="AQ284" s="12">
        <v>3.3731143674384807E-3</v>
      </c>
      <c r="AR284" s="12">
        <v>0.5398714122010615</v>
      </c>
      <c r="AS284" s="12">
        <v>0.4654442793344194</v>
      </c>
      <c r="AT284" s="12">
        <v>1.0946547995295095</v>
      </c>
      <c r="AU284" s="12">
        <v>-3.7480812959207177</v>
      </c>
      <c r="AV284" s="12" t="e">
        <v>#N/A</v>
      </c>
    </row>
    <row r="285" spans="37:48" x14ac:dyDescent="0.25">
      <c r="AK285" t="str">
        <v>dodge aspen 6</v>
      </c>
      <c r="AL285" s="12">
        <v>20.6</v>
      </c>
      <c r="AM285" s="12">
        <v>22.998400934603321</v>
      </c>
      <c r="AN285" s="12">
        <v>-2.3984009346033197</v>
      </c>
      <c r="AO285" s="12">
        <v>3.5147809350873277E-2</v>
      </c>
      <c r="AP285" s="12">
        <v>-0.7960497214769402</v>
      </c>
      <c r="AQ285" s="12">
        <v>1.3579036099850713E-3</v>
      </c>
      <c r="AR285" s="12">
        <v>0.5398714122010615</v>
      </c>
      <c r="AS285" s="12">
        <v>0.46674163527249862</v>
      </c>
      <c r="AT285" s="12">
        <v>0.8922161853928342</v>
      </c>
      <c r="AU285" s="12">
        <v>-2.4857703157514104</v>
      </c>
      <c r="AV285" s="12" t="e">
        <v>#N/A</v>
      </c>
    </row>
    <row r="286" spans="37:48" x14ac:dyDescent="0.25">
      <c r="AK286" t="str">
        <v>chevrolet caprice classic</v>
      </c>
      <c r="AL286" s="12">
        <v>17</v>
      </c>
      <c r="AM286" s="12">
        <v>20.243283680276456</v>
      </c>
      <c r="AN286" s="12">
        <v>-3.2432836802764555</v>
      </c>
      <c r="AO286" s="12">
        <v>3.7166475367221063E-2</v>
      </c>
      <c r="AP286" s="12">
        <v>-1.0776013794312584</v>
      </c>
      <c r="AQ286" s="12">
        <v>2.6367413490506341E-3</v>
      </c>
      <c r="AR286" s="12">
        <v>0.5398714122010615</v>
      </c>
      <c r="AS286" s="12">
        <v>0.46857065274584953</v>
      </c>
      <c r="AT286" s="12">
        <v>1.0380758062064921</v>
      </c>
      <c r="AU286" s="12">
        <v>-3.3684781400953314</v>
      </c>
      <c r="AV286" s="12" t="e">
        <v>#N/A</v>
      </c>
    </row>
    <row r="287" spans="37:48" x14ac:dyDescent="0.25">
      <c r="AK287" t="str">
        <v>ford ltd landau</v>
      </c>
      <c r="AL287" s="12">
        <v>17.600000000000001</v>
      </c>
      <c r="AM287" s="12">
        <v>20.841800717968425</v>
      </c>
      <c r="AN287" s="12">
        <v>-3.2418007179684238</v>
      </c>
      <c r="AO287" s="12">
        <v>3.6470607710320291E-2</v>
      </c>
      <c r="AP287" s="12">
        <v>-1.0767196379396311</v>
      </c>
      <c r="AQ287" s="12">
        <v>2.5812756200590935E-3</v>
      </c>
      <c r="AR287" s="12">
        <v>0.5398714122010615</v>
      </c>
      <c r="AS287" s="12">
        <v>0.46871808445674978</v>
      </c>
      <c r="AT287" s="12">
        <v>1.0376510193411035</v>
      </c>
      <c r="AU287" s="12">
        <v>-3.3645063076537625</v>
      </c>
      <c r="AV287" s="12" t="e">
        <v>#N/A</v>
      </c>
    </row>
    <row r="288" spans="37:48" x14ac:dyDescent="0.25">
      <c r="AK288" t="str">
        <v>mercury grand marquis</v>
      </c>
      <c r="AL288" s="12">
        <v>16.5</v>
      </c>
      <c r="AM288" s="12">
        <v>19.531111618909698</v>
      </c>
      <c r="AN288" s="12">
        <v>-3.0311116189096978</v>
      </c>
      <c r="AO288" s="12">
        <v>3.8170821658972939E-2</v>
      </c>
      <c r="AP288" s="12">
        <v>-1.0076315540428575</v>
      </c>
      <c r="AQ288" s="12">
        <v>2.3702172657121263E-3</v>
      </c>
      <c r="AR288" s="12">
        <v>0.5398714122010615</v>
      </c>
      <c r="AS288" s="12">
        <v>0.47398446164132163</v>
      </c>
      <c r="AT288" s="12">
        <v>1.0038085245916462</v>
      </c>
      <c r="AU288" s="12">
        <v>-3.1514032711481996</v>
      </c>
      <c r="AV288" s="12" t="e">
        <v>#N/A</v>
      </c>
    </row>
    <row r="289" spans="37:48" x14ac:dyDescent="0.25">
      <c r="AK289" t="str">
        <v>dodge st. regis</v>
      </c>
      <c r="AL289" s="12">
        <v>18.2</v>
      </c>
      <c r="AM289" s="12">
        <v>20.212734616659919</v>
      </c>
      <c r="AN289" s="12">
        <v>-2.0127346166599196</v>
      </c>
      <c r="AO289" s="12">
        <v>3.7299384768416474E-2</v>
      </c>
      <c r="AP289" s="12">
        <v>-0.66878988326602917</v>
      </c>
      <c r="AQ289" s="12">
        <v>1.0193912173724509E-3</v>
      </c>
      <c r="AR289" s="12">
        <v>0.61543829749621981</v>
      </c>
      <c r="AS289" s="12">
        <v>0.48931010929769164</v>
      </c>
      <c r="AT289" s="12">
        <v>0.81779574666662891</v>
      </c>
      <c r="AU289" s="12">
        <v>-2.0907170773706674</v>
      </c>
      <c r="AV289" s="12" t="e">
        <v>#N/A</v>
      </c>
    </row>
    <row r="290" spans="37:48" x14ac:dyDescent="0.25">
      <c r="AK290" t="str">
        <v>buick estate wagon (sw)</v>
      </c>
      <c r="AL290" s="12">
        <v>16.899999999999999</v>
      </c>
      <c r="AM290" s="12">
        <v>17.204451881577224</v>
      </c>
      <c r="AN290" s="12">
        <v>-0.30445188157722569</v>
      </c>
      <c r="AO290" s="12">
        <v>4.2876541042037614E-2</v>
      </c>
      <c r="AP290" s="12">
        <v>-0.10145734321849574</v>
      </c>
      <c r="AQ290" s="12">
        <v>2.7125005284353174E-5</v>
      </c>
      <c r="AR290" s="12">
        <v>0.62318453179067923</v>
      </c>
      <c r="AS290" s="12">
        <v>0.50018854209738339</v>
      </c>
      <c r="AT290" s="12">
        <v>0.3185236933392801</v>
      </c>
      <c r="AU290" s="12">
        <v>-0.31809050204316169</v>
      </c>
      <c r="AV290" s="12" t="e">
        <v>#N/A</v>
      </c>
    </row>
    <row r="291" spans="37:48" x14ac:dyDescent="0.25">
      <c r="AK291" t="str">
        <v>ford country squire (sw)</v>
      </c>
      <c r="AL291" s="12">
        <v>15.5</v>
      </c>
      <c r="AM291" s="12">
        <v>18.96489823919898</v>
      </c>
      <c r="AN291" s="12">
        <v>-3.4648982391989804</v>
      </c>
      <c r="AO291" s="12">
        <v>3.9116018286594861E-2</v>
      </c>
      <c r="AP291" s="12">
        <v>-1.1524014899843342</v>
      </c>
      <c r="AQ291" s="12">
        <v>3.1801117960045147E-3</v>
      </c>
      <c r="AR291" s="12">
        <v>0.63096834177070094</v>
      </c>
      <c r="AS291" s="12">
        <v>0.51286368166818253</v>
      </c>
      <c r="AT291" s="12">
        <v>1.0734996460103441</v>
      </c>
      <c r="AU291" s="12">
        <v>-3.6059485901935107</v>
      </c>
      <c r="AV291" s="12" t="e">
        <v>#N/A</v>
      </c>
    </row>
    <row r="292" spans="37:48" x14ac:dyDescent="0.25">
      <c r="AK292" t="str">
        <v>chevrolet malibu classic (sw)</v>
      </c>
      <c r="AL292" s="12">
        <v>19.2</v>
      </c>
      <c r="AM292" s="12">
        <v>21.5143435995966</v>
      </c>
      <c r="AN292" s="12">
        <v>-2.3143435995966009</v>
      </c>
      <c r="AO292" s="12">
        <v>3.5888049414081885E-2</v>
      </c>
      <c r="AP292" s="12">
        <v>-0.76844520954536311</v>
      </c>
      <c r="AQ292" s="12">
        <v>1.2930022535661641E-3</v>
      </c>
      <c r="AR292" s="12">
        <v>0.63879057001741368</v>
      </c>
      <c r="AS292" s="12">
        <v>0.52607820754973145</v>
      </c>
      <c r="AT292" s="12">
        <v>0.87661006698837485</v>
      </c>
      <c r="AU292" s="12">
        <v>-2.4004925965185979</v>
      </c>
      <c r="AV292" s="12" t="e">
        <v>#N/A</v>
      </c>
    </row>
    <row r="293" spans="37:48" x14ac:dyDescent="0.25">
      <c r="AK293" t="str">
        <v>chrysler lebaron town @ country (sw)</v>
      </c>
      <c r="AL293" s="12">
        <v>18.5</v>
      </c>
      <c r="AM293" s="12">
        <v>19.412224079693964</v>
      </c>
      <c r="AN293" s="12">
        <v>-0.91222407969396357</v>
      </c>
      <c r="AO293" s="12">
        <v>4.0258569851032752E-2</v>
      </c>
      <c r="AP293" s="12">
        <v>-0.30358004022533047</v>
      </c>
      <c r="AQ293" s="12">
        <v>2.2740583656844949E-4</v>
      </c>
      <c r="AR293" s="12">
        <v>0.63879057001741368</v>
      </c>
      <c r="AS293" s="12">
        <v>0.55319696979360178</v>
      </c>
      <c r="AT293" s="12">
        <v>0.55098097991249251</v>
      </c>
      <c r="AU293" s="12">
        <v>-0.95048942458634067</v>
      </c>
      <c r="AV293" s="12" t="e">
        <v>#N/A</v>
      </c>
    </row>
    <row r="294" spans="37:48" x14ac:dyDescent="0.25">
      <c r="AK294" t="str">
        <v>vw rabbit custom</v>
      </c>
      <c r="AL294" s="12">
        <v>31.9</v>
      </c>
      <c r="AM294" s="12">
        <v>32.835435847633079</v>
      </c>
      <c r="AN294" s="12">
        <v>-0.93543584763308019</v>
      </c>
      <c r="AO294" s="12">
        <v>5.1336358751507799E-2</v>
      </c>
      <c r="AP294" s="12">
        <v>-0.3131170267789195</v>
      </c>
      <c r="AQ294" s="12">
        <v>3.12088131316136E-4</v>
      </c>
      <c r="AR294" s="12">
        <v>0.63879057001741368</v>
      </c>
      <c r="AS294" s="12">
        <v>0.55656803120621701</v>
      </c>
      <c r="AT294" s="12">
        <v>0.55956860774968387</v>
      </c>
      <c r="AU294" s="12">
        <v>-0.98605639233943487</v>
      </c>
      <c r="AV294" s="12" t="e">
        <v>#N/A</v>
      </c>
    </row>
    <row r="295" spans="37:48" x14ac:dyDescent="0.25">
      <c r="AK295" t="str">
        <v>maxda glc deluxe</v>
      </c>
      <c r="AL295" s="12">
        <v>34.1</v>
      </c>
      <c r="AM295" s="12">
        <v>32.801665800548349</v>
      </c>
      <c r="AN295" s="12">
        <v>1.2983341994516522</v>
      </c>
      <c r="AO295" s="12">
        <v>5.0233601015170104E-2</v>
      </c>
      <c r="AP295" s="12">
        <v>0.43433707282313838</v>
      </c>
      <c r="AQ295" s="12">
        <v>5.8692470421661575E-4</v>
      </c>
      <c r="AR295" s="12">
        <v>0.63879057001741368</v>
      </c>
      <c r="AS295" s="12">
        <v>0.55972501051096391</v>
      </c>
      <c r="AT295" s="12">
        <v>0.65904254249869054</v>
      </c>
      <c r="AU295" s="12">
        <v>1.3670037188506494</v>
      </c>
      <c r="AV295" s="12" t="e">
        <v>#N/A</v>
      </c>
    </row>
    <row r="296" spans="37:48" x14ac:dyDescent="0.25">
      <c r="AK296" t="str">
        <v>dodge colt hatchback custom</v>
      </c>
      <c r="AL296" s="12">
        <v>35.700000000000003</v>
      </c>
      <c r="AM296" s="12">
        <v>30.80197628705325</v>
      </c>
      <c r="AN296" s="12">
        <v>4.8980237129467525</v>
      </c>
      <c r="AO296" s="12">
        <v>5.1390096085500124E-2</v>
      </c>
      <c r="AP296" s="12">
        <v>1.6395545081768079</v>
      </c>
      <c r="AQ296" s="12">
        <v>8.5663255114177064E-3</v>
      </c>
      <c r="AR296" s="12">
        <v>0.63879057001741368</v>
      </c>
      <c r="AS296" s="12">
        <v>0.56798307093810663</v>
      </c>
      <c r="AT296" s="12">
        <v>1.2804509003381612</v>
      </c>
      <c r="AU296" s="12">
        <v>5.1633697821778402</v>
      </c>
      <c r="AV296" s="12" t="e">
        <v>#N/A</v>
      </c>
    </row>
    <row r="297" spans="37:48" x14ac:dyDescent="0.25">
      <c r="AK297" t="str">
        <v>amc spirit dl</v>
      </c>
      <c r="AL297" s="12">
        <v>27.4</v>
      </c>
      <c r="AM297" s="12">
        <v>26.979177527640108</v>
      </c>
      <c r="AN297" s="12">
        <v>0.42082247235989101</v>
      </c>
      <c r="AO297" s="12">
        <v>3.7568519575838552E-2</v>
      </c>
      <c r="AP297" s="12">
        <v>0.13985011155836161</v>
      </c>
      <c r="AQ297" s="12">
        <v>4.4908750776935722E-5</v>
      </c>
      <c r="AR297" s="12">
        <v>0.63879057001741368</v>
      </c>
      <c r="AS297" s="12">
        <v>0.56878580743136242</v>
      </c>
      <c r="AT297" s="12">
        <v>0.3739653881823311</v>
      </c>
      <c r="AU297" s="12">
        <v>0.43724928051441825</v>
      </c>
      <c r="AV297" s="12" t="e">
        <v>#N/A</v>
      </c>
    </row>
    <row r="298" spans="37:48" x14ac:dyDescent="0.25">
      <c r="AK298" t="str">
        <v>mercedes benz 300d</v>
      </c>
      <c r="AL298" s="12">
        <v>25.4</v>
      </c>
      <c r="AM298" s="12">
        <v>24.611405323649461</v>
      </c>
      <c r="AN298" s="12">
        <v>0.78859467635053804</v>
      </c>
      <c r="AO298" s="12">
        <v>7.376096318342551E-2</v>
      </c>
      <c r="AP298" s="12">
        <v>0.26714134253452815</v>
      </c>
      <c r="AQ298" s="12">
        <v>3.3430031485072394E-4</v>
      </c>
      <c r="AR298" s="12">
        <v>0.63879057001741368</v>
      </c>
      <c r="AS298" s="12">
        <v>0.58752778997756971</v>
      </c>
      <c r="AT298" s="12">
        <v>0.51685717808165166</v>
      </c>
      <c r="AU298" s="12">
        <v>0.851394343150218</v>
      </c>
      <c r="AV298" s="12" t="e">
        <v>#N/A</v>
      </c>
    </row>
    <row r="299" spans="37:48" x14ac:dyDescent="0.25">
      <c r="AK299" t="str">
        <v>cadillac eldorado</v>
      </c>
      <c r="AL299" s="12">
        <v>23</v>
      </c>
      <c r="AM299" s="12">
        <v>20.02066726313716</v>
      </c>
      <c r="AN299" s="12">
        <v>2.9793327368628404</v>
      </c>
      <c r="AO299" s="12">
        <v>3.823657901527007E-2</v>
      </c>
      <c r="AP299" s="12">
        <v>0.99045257304542067</v>
      </c>
      <c r="AQ299" s="12">
        <v>2.2941891516981274E-3</v>
      </c>
      <c r="AR299" s="12">
        <v>0.63879057001741368</v>
      </c>
      <c r="AS299" s="12">
        <v>0.60637414955155566</v>
      </c>
      <c r="AT299" s="12">
        <v>0.99521483763327234</v>
      </c>
      <c r="AU299" s="12">
        <v>3.0977812961657061</v>
      </c>
      <c r="AV299" s="12" t="e">
        <v>#N/A</v>
      </c>
    </row>
    <row r="300" spans="37:48" x14ac:dyDescent="0.25">
      <c r="AK300" t="str">
        <v>peugeot 504</v>
      </c>
      <c r="AL300" s="12">
        <v>27.2</v>
      </c>
      <c r="AM300" s="12">
        <v>26.430349184510405</v>
      </c>
      <c r="AN300" s="12">
        <v>0.76965081548959446</v>
      </c>
      <c r="AO300" s="12">
        <v>6.4256653349343162E-2</v>
      </c>
      <c r="AP300" s="12">
        <v>0.25939653083974346</v>
      </c>
      <c r="AQ300" s="12">
        <v>2.7179456028937041E-4</v>
      </c>
      <c r="AR300" s="12">
        <v>0.70286023091909866</v>
      </c>
      <c r="AS300" s="12">
        <v>0.6077873084612555</v>
      </c>
      <c r="AT300" s="12">
        <v>0.50930985739502765</v>
      </c>
      <c r="AU300" s="12">
        <v>0.82250204422445117</v>
      </c>
      <c r="AV300" s="12" t="e">
        <v>#N/A</v>
      </c>
    </row>
    <row r="301" spans="37:48" x14ac:dyDescent="0.25">
      <c r="AK301" t="str">
        <v>oldsmobile cutlass salon brougham</v>
      </c>
      <c r="AL301" s="12">
        <v>23.9</v>
      </c>
      <c r="AM301" s="12">
        <v>23.019330996767135</v>
      </c>
      <c r="AN301" s="12">
        <v>0.8806690032328639</v>
      </c>
      <c r="AO301" s="12">
        <v>4.1029673787680812E-2</v>
      </c>
      <c r="AP301" s="12">
        <v>0.29319660015181503</v>
      </c>
      <c r="AQ301" s="12">
        <v>2.1635245811846756E-4</v>
      </c>
      <c r="AR301" s="12">
        <v>0.70286023091909866</v>
      </c>
      <c r="AS301" s="12">
        <v>0.60888968943784472</v>
      </c>
      <c r="AT301" s="12">
        <v>0.54147631541168539</v>
      </c>
      <c r="AU301" s="12">
        <v>0.91834854443439884</v>
      </c>
      <c r="AV301" s="12" t="e">
        <v>#N/A</v>
      </c>
    </row>
    <row r="302" spans="37:48" x14ac:dyDescent="0.25">
      <c r="AK302" t="str">
        <v>plymouth horizon</v>
      </c>
      <c r="AL302" s="12">
        <v>34.200000000000003</v>
      </c>
      <c r="AM302" s="12">
        <v>29.52129736628039</v>
      </c>
      <c r="AN302" s="12">
        <v>4.6787026337196131</v>
      </c>
      <c r="AO302" s="12">
        <v>4.2138891843300122E-2</v>
      </c>
      <c r="AP302" s="12">
        <v>1.5585580298512536</v>
      </c>
      <c r="AQ302" s="12">
        <v>6.2860466992159317E-3</v>
      </c>
      <c r="AR302" s="12">
        <v>0.71932811724388146</v>
      </c>
      <c r="AS302" s="12">
        <v>0.61570961852167438</v>
      </c>
      <c r="AT302" s="12">
        <v>1.2484222161797882</v>
      </c>
      <c r="AU302" s="12">
        <v>4.8845313729495397</v>
      </c>
      <c r="AV302" s="12" t="e">
        <v>#N/A</v>
      </c>
    </row>
    <row r="303" spans="37:48" x14ac:dyDescent="0.25">
      <c r="AK303" t="str">
        <v>plymouth horizon tc3</v>
      </c>
      <c r="AL303" s="12">
        <v>34.5</v>
      </c>
      <c r="AM303" s="12">
        <v>29.774462847036226</v>
      </c>
      <c r="AN303" s="12">
        <v>4.7255371529637742</v>
      </c>
      <c r="AO303" s="12">
        <v>4.2926586189464336E-2</v>
      </c>
      <c r="AP303" s="12">
        <v>1.5748070831006031</v>
      </c>
      <c r="AQ303" s="12">
        <v>6.5431503106133538E-3</v>
      </c>
      <c r="AR303" s="12">
        <v>0.71932811724388146</v>
      </c>
      <c r="AS303" s="12">
        <v>0.62541466034937299</v>
      </c>
      <c r="AT303" s="12">
        <v>1.254913177514924</v>
      </c>
      <c r="AU303" s="12">
        <v>4.9374865969260453</v>
      </c>
      <c r="AV303" s="12" t="e">
        <v>#N/A</v>
      </c>
    </row>
    <row r="304" spans="37:48" x14ac:dyDescent="0.25">
      <c r="AK304" t="str">
        <v>datsun 210</v>
      </c>
      <c r="AL304" s="12">
        <v>31.8</v>
      </c>
      <c r="AM304" s="12">
        <v>32.573816867868096</v>
      </c>
      <c r="AN304" s="12">
        <v>-0.77381686786809567</v>
      </c>
      <c r="AO304" s="12">
        <v>5.0247251768750244E-2</v>
      </c>
      <c r="AP304" s="12">
        <v>-0.25886999570707547</v>
      </c>
      <c r="AQ304" s="12">
        <v>2.0855291577570649E-4</v>
      </c>
      <c r="AR304" s="12">
        <v>0.73599343368381387</v>
      </c>
      <c r="AS304" s="12">
        <v>0.62988652393519529</v>
      </c>
      <c r="AT304" s="12">
        <v>0.5087926844079772</v>
      </c>
      <c r="AU304" s="12">
        <v>-0.81475612395878372</v>
      </c>
      <c r="AV304" s="12" t="e">
        <v>#N/A</v>
      </c>
    </row>
    <row r="305" spans="37:48" x14ac:dyDescent="0.25">
      <c r="AK305" t="str">
        <v>fiat strada custom</v>
      </c>
      <c r="AL305" s="12">
        <v>37.299999999999997</v>
      </c>
      <c r="AM305" s="12">
        <v>31.829930240441236</v>
      </c>
      <c r="AN305" s="12">
        <v>5.4700697595587613</v>
      </c>
      <c r="AO305" s="12">
        <v>4.8806752355090292E-2</v>
      </c>
      <c r="AP305" s="12">
        <v>1.8285518903811393</v>
      </c>
      <c r="AQ305" s="12">
        <v>1.009198993344795E-2</v>
      </c>
      <c r="AR305" s="12">
        <v>0.74440308519999565</v>
      </c>
      <c r="AS305" s="12">
        <v>0.65290692305069276</v>
      </c>
      <c r="AT305" s="12">
        <v>1.3522395832030429</v>
      </c>
      <c r="AU305" s="12">
        <v>5.7507449438926157</v>
      </c>
      <c r="AV305" s="12" t="e">
        <v>#N/A</v>
      </c>
    </row>
    <row r="306" spans="37:48" x14ac:dyDescent="0.25">
      <c r="AK306" t="str">
        <v>buick skylark limited</v>
      </c>
      <c r="AL306" s="12">
        <v>28.4</v>
      </c>
      <c r="AM306" s="12">
        <v>26.816813208104694</v>
      </c>
      <c r="AN306" s="12">
        <v>1.5831867918953044</v>
      </c>
      <c r="AO306" s="12">
        <v>3.7365772034929169E-2</v>
      </c>
      <c r="AP306" s="12">
        <v>0.52607820754973145</v>
      </c>
      <c r="AQ306" s="12">
        <v>6.3192329082867879E-4</v>
      </c>
      <c r="AR306" s="12">
        <v>0.74440308519999565</v>
      </c>
      <c r="AS306" s="12">
        <v>0.6556418348632248</v>
      </c>
      <c r="AT306" s="12">
        <v>0.72531248958619998</v>
      </c>
      <c r="AU306" s="12">
        <v>1.6446400365817351</v>
      </c>
      <c r="AV306" s="12" t="e">
        <v>#N/A</v>
      </c>
    </row>
    <row r="307" spans="37:48" x14ac:dyDescent="0.25">
      <c r="AK307" t="str">
        <v>chevrolet citation</v>
      </c>
      <c r="AL307" s="12">
        <v>28.8</v>
      </c>
      <c r="AM307" s="12">
        <v>26.790650630399924</v>
      </c>
      <c r="AN307" s="12">
        <v>2.009349369600077</v>
      </c>
      <c r="AO307" s="12">
        <v>4.7508372778672189E-2</v>
      </c>
      <c r="AP307" s="12">
        <v>0.67123358040088366</v>
      </c>
      <c r="AQ307" s="12">
        <v>1.3219268319857665E-3</v>
      </c>
      <c r="AR307" s="12">
        <v>0.74440308519999565</v>
      </c>
      <c r="AS307" s="12">
        <v>0.66552441488229708</v>
      </c>
      <c r="AT307" s="12">
        <v>0.81928845982406195</v>
      </c>
      <c r="AU307" s="12">
        <v>2.109571687744789</v>
      </c>
      <c r="AV307" s="12" t="e">
        <v>#N/A</v>
      </c>
    </row>
    <row r="308" spans="37:48" x14ac:dyDescent="0.25">
      <c r="AK308" t="str">
        <v>oldsmobile omega brougham</v>
      </c>
      <c r="AL308" s="12">
        <v>26.8</v>
      </c>
      <c r="AM308" s="12">
        <v>26.259003120812665</v>
      </c>
      <c r="AN308" s="12">
        <v>0.54099687918733608</v>
      </c>
      <c r="AO308" s="12">
        <v>4.4408542497802156E-2</v>
      </c>
      <c r="AP308" s="12">
        <v>0.18042945365691565</v>
      </c>
      <c r="AQ308" s="12">
        <v>8.8993893524178441E-5</v>
      </c>
      <c r="AR308" s="12">
        <v>0.74440308519999565</v>
      </c>
      <c r="AS308" s="12">
        <v>0.67123358040088366</v>
      </c>
      <c r="AT308" s="12">
        <v>0.42476988318019399</v>
      </c>
      <c r="AU308" s="12">
        <v>0.56613825389506667</v>
      </c>
      <c r="AV308" s="12" t="e">
        <v>#N/A</v>
      </c>
    </row>
    <row r="309" spans="37:48" x14ac:dyDescent="0.25">
      <c r="AK309" t="str">
        <v>pontiac phoenix</v>
      </c>
      <c r="AL309" s="12">
        <v>33.5</v>
      </c>
      <c r="AM309" s="12">
        <v>27.394030504228002</v>
      </c>
      <c r="AN309" s="12">
        <v>6.1059694957719977</v>
      </c>
      <c r="AO309" s="12">
        <v>3.880551738458058E-2</v>
      </c>
      <c r="AP309" s="12">
        <v>2.0304757137130016</v>
      </c>
      <c r="AQ309" s="12">
        <v>9.7910413829515944E-3</v>
      </c>
      <c r="AR309" s="12">
        <v>0.74440308519999565</v>
      </c>
      <c r="AS309" s="12">
        <v>0.67383986412758512</v>
      </c>
      <c r="AT309" s="12">
        <v>1.4249476178839002</v>
      </c>
      <c r="AU309" s="12">
        <v>6.3524807998872364</v>
      </c>
      <c r="AV309" s="12" t="e">
        <v>#N/A</v>
      </c>
    </row>
    <row r="310" spans="37:48" x14ac:dyDescent="0.25">
      <c r="AK310" t="str">
        <v>vw rabbit</v>
      </c>
      <c r="AL310" s="12">
        <v>41.5</v>
      </c>
      <c r="AM310" s="12">
        <v>35.706490359450044</v>
      </c>
      <c r="AN310" s="12">
        <v>5.7935096405499564</v>
      </c>
      <c r="AO310" s="12">
        <v>4.9995549357879324E-2</v>
      </c>
      <c r="AP310" s="12">
        <v>1.937883735039764</v>
      </c>
      <c r="AQ310" s="12">
        <v>1.1625515480960857E-2</v>
      </c>
      <c r="AR310" s="12">
        <v>0.74440308519999565</v>
      </c>
      <c r="AS310" s="12">
        <v>0.6741998247581702</v>
      </c>
      <c r="AT310" s="12">
        <v>1.3920789255784902</v>
      </c>
      <c r="AU310" s="12">
        <v>6.0984026302550962</v>
      </c>
      <c r="AV310" s="12">
        <v>1.1625515480960857E-2</v>
      </c>
    </row>
    <row r="311" spans="37:48" x14ac:dyDescent="0.25">
      <c r="AK311" t="str">
        <v>toyota corolla tercel</v>
      </c>
      <c r="AL311" s="12">
        <v>38.1</v>
      </c>
      <c r="AM311" s="12">
        <v>36.979392604917109</v>
      </c>
      <c r="AN311" s="12">
        <v>1.1206073950828923</v>
      </c>
      <c r="AO311" s="12">
        <v>4.2765216076787169E-2</v>
      </c>
      <c r="AP311" s="12">
        <v>0.3734161112853604</v>
      </c>
      <c r="AQ311" s="12">
        <v>3.6644549050544065E-4</v>
      </c>
      <c r="AR311" s="12">
        <v>0.74440308519999565</v>
      </c>
      <c r="AS311" s="12">
        <v>0.67897281388579944</v>
      </c>
      <c r="AT311" s="12">
        <v>0.61107782751901607</v>
      </c>
      <c r="AU311" s="12">
        <v>1.1706714109260627</v>
      </c>
      <c r="AV311" s="12" t="e">
        <v>#N/A</v>
      </c>
    </row>
    <row r="312" spans="37:48" x14ac:dyDescent="0.25">
      <c r="AK312" t="str">
        <v>chevrolet chevette</v>
      </c>
      <c r="AL312" s="12">
        <v>32.1</v>
      </c>
      <c r="AM312" s="12">
        <v>33.987463612784964</v>
      </c>
      <c r="AN312" s="12">
        <v>-1.8874636127849627</v>
      </c>
      <c r="AO312" s="12">
        <v>5.2829218384543734E-2</v>
      </c>
      <c r="AP312" s="12">
        <v>-0.63228553332444015</v>
      </c>
      <c r="AQ312" s="12">
        <v>1.3116666064299904E-3</v>
      </c>
      <c r="AR312" s="12">
        <v>0.80482899480686976</v>
      </c>
      <c r="AS312" s="12">
        <v>0.68086529918536198</v>
      </c>
      <c r="AT312" s="12">
        <v>0.79516384055390754</v>
      </c>
      <c r="AU312" s="12">
        <v>-1.9927384262907486</v>
      </c>
      <c r="AV312" s="12" t="e">
        <v>#N/A</v>
      </c>
    </row>
    <row r="313" spans="37:48" x14ac:dyDescent="0.25">
      <c r="AK313" t="str">
        <v>datsun 310</v>
      </c>
      <c r="AL313" s="12">
        <v>37.200000000000003</v>
      </c>
      <c r="AM313" s="12">
        <v>36.639981654778452</v>
      </c>
      <c r="AN313" s="12">
        <v>0.56001834522155036</v>
      </c>
      <c r="AO313" s="12">
        <v>4.2480429377182466E-2</v>
      </c>
      <c r="AP313" s="12">
        <v>0.18658521528183183</v>
      </c>
      <c r="AQ313" s="12">
        <v>9.0854569129831202E-5</v>
      </c>
      <c r="AR313" s="12">
        <v>0.80482899480686976</v>
      </c>
      <c r="AS313" s="12">
        <v>0.68104115262367493</v>
      </c>
      <c r="AT313" s="12">
        <v>0.43195510794737901</v>
      </c>
      <c r="AU313" s="12">
        <v>0.5848636021687651</v>
      </c>
      <c r="AV313" s="12" t="e">
        <v>#N/A</v>
      </c>
    </row>
    <row r="314" spans="37:48" x14ac:dyDescent="0.25">
      <c r="AK314" t="str">
        <v>chevrolet citation</v>
      </c>
      <c r="AL314" s="12">
        <v>28</v>
      </c>
      <c r="AM314" s="12">
        <v>30.837408208478998</v>
      </c>
      <c r="AN314" s="12">
        <v>-2.8374082084789976</v>
      </c>
      <c r="AO314" s="12">
        <v>4.6802528507141401E-2</v>
      </c>
      <c r="AP314" s="12">
        <v>-0.9474999235105962</v>
      </c>
      <c r="AQ314" s="12">
        <v>2.5929603784530155E-3</v>
      </c>
      <c r="AR314" s="12">
        <v>0.82263729107406613</v>
      </c>
      <c r="AS314" s="12">
        <v>0.69192234930796725</v>
      </c>
      <c r="AT314" s="12">
        <v>0.97339607740662082</v>
      </c>
      <c r="AU314" s="12">
        <v>-2.976726537089073</v>
      </c>
      <c r="AV314" s="12" t="e">
        <v>#N/A</v>
      </c>
    </row>
    <row r="315" spans="37:48" x14ac:dyDescent="0.25">
      <c r="AK315" t="str">
        <v>ford fairmont</v>
      </c>
      <c r="AL315" s="12">
        <v>26.4</v>
      </c>
      <c r="AM315" s="12">
        <v>29.89772562628367</v>
      </c>
      <c r="AN315" s="12">
        <v>-3.4977256262836711</v>
      </c>
      <c r="AO315" s="12">
        <v>4.5219370689363984E-2</v>
      </c>
      <c r="AP315" s="12">
        <v>-1.1670319415810073</v>
      </c>
      <c r="AQ315" s="12">
        <v>3.7943507873432376E-3</v>
      </c>
      <c r="AR315" s="12">
        <v>0.83163987967842667</v>
      </c>
      <c r="AS315" s="12">
        <v>0.70221206283556825</v>
      </c>
      <c r="AT315" s="12">
        <v>1.0802925259303646</v>
      </c>
      <c r="AU315" s="12">
        <v>-3.6633814291028028</v>
      </c>
      <c r="AV315" s="12" t="e">
        <v>#N/A</v>
      </c>
    </row>
    <row r="316" spans="37:48" x14ac:dyDescent="0.25">
      <c r="AK316" t="str">
        <v>amc concord</v>
      </c>
      <c r="AL316" s="12">
        <v>24.3</v>
      </c>
      <c r="AM316" s="12">
        <v>29.19183258356605</v>
      </c>
      <c r="AN316" s="12">
        <v>-4.8918325835660497</v>
      </c>
      <c r="AO316" s="12">
        <v>4.4937923213259942E-2</v>
      </c>
      <c r="AP316" s="12">
        <v>-1.6319415081566486</v>
      </c>
      <c r="AQ316" s="12">
        <v>7.3712586997697633E-3</v>
      </c>
      <c r="AR316" s="12">
        <v>0.84071038002398013</v>
      </c>
      <c r="AS316" s="12">
        <v>0.71162663600437204</v>
      </c>
      <c r="AT316" s="12">
        <v>1.2774746604753648</v>
      </c>
      <c r="AU316" s="12">
        <v>-5.1220048439410162</v>
      </c>
      <c r="AV316" s="12" t="e">
        <v>#N/A</v>
      </c>
    </row>
    <row r="317" spans="37:48" x14ac:dyDescent="0.25">
      <c r="AK317" t="str">
        <v>dodge aspen</v>
      </c>
      <c r="AL317" s="12">
        <v>19.100000000000001</v>
      </c>
      <c r="AM317" s="12">
        <v>27.277901549051926</v>
      </c>
      <c r="AN317" s="12">
        <v>-8.1779015490519242</v>
      </c>
      <c r="AO317" s="12">
        <v>4.8156061843653876E-2</v>
      </c>
      <c r="AP317" s="12">
        <v>-2.7327997376671536</v>
      </c>
      <c r="AQ317" s="12">
        <v>2.2225518853665093E-2</v>
      </c>
      <c r="AR317" s="12">
        <v>0.84071038002398013</v>
      </c>
      <c r="AS317" s="12">
        <v>0.71980311888979953</v>
      </c>
      <c r="AT317" s="12">
        <v>1.6531181862368927</v>
      </c>
      <c r="AU317" s="12">
        <v>-8.591641151691249</v>
      </c>
      <c r="AV317" s="12">
        <v>2.2225518853665093E-2</v>
      </c>
    </row>
    <row r="318" spans="37:48" x14ac:dyDescent="0.25">
      <c r="AK318" t="str">
        <v>audi 4000</v>
      </c>
      <c r="AL318" s="12">
        <v>34.299999999999997</v>
      </c>
      <c r="AM318" s="12">
        <v>35.451231872477827</v>
      </c>
      <c r="AN318" s="12">
        <v>-1.1512318724778297</v>
      </c>
      <c r="AO318" s="12">
        <v>5.002878398459612E-2</v>
      </c>
      <c r="AP318" s="12">
        <v>-0.38508480762603786</v>
      </c>
      <c r="AQ318" s="12">
        <v>4.5938133914691137E-4</v>
      </c>
      <c r="AR318" s="12">
        <v>0.84071038002398013</v>
      </c>
      <c r="AS318" s="12">
        <v>0.73255545774192499</v>
      </c>
      <c r="AT318" s="12">
        <v>0.62055201846907071</v>
      </c>
      <c r="AU318" s="12">
        <v>-1.2118597417157555</v>
      </c>
      <c r="AV318" s="12" t="e">
        <v>#N/A</v>
      </c>
    </row>
    <row r="319" spans="37:48" x14ac:dyDescent="0.25">
      <c r="AK319" t="str">
        <v>toyota corona liftback</v>
      </c>
      <c r="AL319" s="12">
        <v>29.8</v>
      </c>
      <c r="AM319" s="12">
        <v>32.730260602279131</v>
      </c>
      <c r="AN319" s="12">
        <v>-2.9302606022791302</v>
      </c>
      <c r="AO319" s="12">
        <v>4.4122580147146255E-2</v>
      </c>
      <c r="AP319" s="12">
        <v>-0.97713360215342948</v>
      </c>
      <c r="AQ319" s="12">
        <v>2.592493482164753E-3</v>
      </c>
      <c r="AR319" s="12">
        <v>0.84071038002398013</v>
      </c>
      <c r="AS319" s="12">
        <v>0.74258970300151861</v>
      </c>
      <c r="AT319" s="12">
        <v>0.98850068394181168</v>
      </c>
      <c r="AU319" s="12">
        <v>-3.0655192197449437</v>
      </c>
      <c r="AV319" s="12" t="e">
        <v>#N/A</v>
      </c>
    </row>
    <row r="320" spans="37:48" x14ac:dyDescent="0.25">
      <c r="AK320" t="str">
        <v>mazda 626</v>
      </c>
      <c r="AL320" s="12">
        <v>31.3</v>
      </c>
      <c r="AM320" s="12">
        <v>33.829506406536979</v>
      </c>
      <c r="AN320" s="12">
        <v>-2.5295064065369779</v>
      </c>
      <c r="AO320" s="12">
        <v>4.4312786169455297E-2</v>
      </c>
      <c r="AP320" s="12">
        <v>-0.84358082508022647</v>
      </c>
      <c r="AQ320" s="12">
        <v>1.9409652460273955E-3</v>
      </c>
      <c r="AR320" s="12">
        <v>0.84071038002398013</v>
      </c>
      <c r="AS320" s="12">
        <v>0.74844507336636135</v>
      </c>
      <c r="AT320" s="12">
        <v>0.91846656176489438</v>
      </c>
      <c r="AU320" s="12">
        <v>-2.6467931870703998</v>
      </c>
      <c r="AV320" s="12" t="e">
        <v>#N/A</v>
      </c>
    </row>
    <row r="321" spans="37:48" x14ac:dyDescent="0.25">
      <c r="AK321" t="str">
        <v>datsun 510 hatchback</v>
      </c>
      <c r="AL321" s="12">
        <v>37</v>
      </c>
      <c r="AM321" s="12">
        <v>34.100324501759388</v>
      </c>
      <c r="AN321" s="12">
        <v>2.8996754982406117</v>
      </c>
      <c r="AO321" s="12">
        <v>4.3635560442854847E-2</v>
      </c>
      <c r="AP321" s="12">
        <v>0.96668836786536427</v>
      </c>
      <c r="AQ321" s="12">
        <v>2.5080789491045362E-3</v>
      </c>
      <c r="AR321" s="12">
        <v>0.84071038002398013</v>
      </c>
      <c r="AS321" s="12">
        <v>0.77893428137700682</v>
      </c>
      <c r="AT321" s="12">
        <v>0.98320311628135326</v>
      </c>
      <c r="AU321" s="12">
        <v>3.0319775373322515</v>
      </c>
      <c r="AV321" s="12" t="e">
        <v>#N/A</v>
      </c>
    </row>
    <row r="322" spans="37:48" x14ac:dyDescent="0.25">
      <c r="AK322" t="str">
        <v>toyota corolla</v>
      </c>
      <c r="AL322" s="12">
        <v>32.200000000000003</v>
      </c>
      <c r="AM322" s="12">
        <v>35.23204316992431</v>
      </c>
      <c r="AN322" s="12">
        <v>-3.0320431699243073</v>
      </c>
      <c r="AO322" s="12">
        <v>4.2341728892895142E-2</v>
      </c>
      <c r="AP322" s="12">
        <v>-1.0101337973139408</v>
      </c>
      <c r="AQ322" s="12">
        <v>2.6537921553327799E-3</v>
      </c>
      <c r="AR322" s="12">
        <v>0.84071038002398013</v>
      </c>
      <c r="AS322" s="12">
        <v>0.78371741325869382</v>
      </c>
      <c r="AT322" s="12">
        <v>1.0050541265593316</v>
      </c>
      <c r="AU322" s="12">
        <v>-3.1661013760358392</v>
      </c>
      <c r="AV322" s="12" t="e">
        <v>#N/A</v>
      </c>
    </row>
    <row r="323" spans="37:48" x14ac:dyDescent="0.25">
      <c r="AK323" t="str">
        <v>mazda glc</v>
      </c>
      <c r="AL323" s="12">
        <v>46.6</v>
      </c>
      <c r="AM323" s="12">
        <v>36.179220479802822</v>
      </c>
      <c r="AN323" s="12">
        <v>10.420779520197179</v>
      </c>
      <c r="AO323" s="12">
        <v>4.2543065339562161E-2</v>
      </c>
      <c r="AP323" s="12">
        <v>3.4720773077781244</v>
      </c>
      <c r="AQ323" s="12">
        <v>3.1509345424163913E-2</v>
      </c>
      <c r="AR323" s="12">
        <v>0.90626440989817525</v>
      </c>
      <c r="AS323" s="12">
        <v>0.7914864360088929</v>
      </c>
      <c r="AT323" s="12">
        <v>1.8633510962183495</v>
      </c>
      <c r="AU323" s="12">
        <v>10.883810167287482</v>
      </c>
      <c r="AV323" s="12">
        <v>3.1509345424163913E-2</v>
      </c>
    </row>
    <row r="324" spans="37:48" x14ac:dyDescent="0.25">
      <c r="AK324" t="str">
        <v>dodge colt</v>
      </c>
      <c r="AL324" s="12">
        <v>27.9</v>
      </c>
      <c r="AM324" s="12">
        <v>29.976137956131645</v>
      </c>
      <c r="AN324" s="12">
        <v>-2.076137956131646</v>
      </c>
      <c r="AO324" s="12">
        <v>4.8543440672513642E-2</v>
      </c>
      <c r="AP324" s="12">
        <v>-0.69392179736044635</v>
      </c>
      <c r="AQ324" s="12">
        <v>1.4451526667439193E-3</v>
      </c>
      <c r="AR324" s="12">
        <v>0.91594855621391613</v>
      </c>
      <c r="AS324" s="12">
        <v>0.80808342930667132</v>
      </c>
      <c r="AT324" s="12">
        <v>0.83301968605816656</v>
      </c>
      <c r="AU324" s="12">
        <v>-2.1820627918095523</v>
      </c>
      <c r="AV324" s="12" t="e">
        <v>#N/A</v>
      </c>
    </row>
    <row r="325" spans="37:48" x14ac:dyDescent="0.25">
      <c r="AK325" t="str">
        <v>datsun 210</v>
      </c>
      <c r="AL325" s="12">
        <v>40.799999999999997</v>
      </c>
      <c r="AM325" s="12">
        <v>36.179220479802822</v>
      </c>
      <c r="AN325" s="12">
        <v>4.6207795201971749</v>
      </c>
      <c r="AO325" s="12">
        <v>4.2543065339562161E-2</v>
      </c>
      <c r="AP325" s="12">
        <v>1.539587675300794</v>
      </c>
      <c r="AQ325" s="12">
        <v>6.1954015492519943E-3</v>
      </c>
      <c r="AR325" s="12">
        <v>0.91594855621391613</v>
      </c>
      <c r="AS325" s="12">
        <v>0.81643234827063926</v>
      </c>
      <c r="AT325" s="12">
        <v>1.2408012231218963</v>
      </c>
      <c r="AU325" s="12">
        <v>4.8260964571069032</v>
      </c>
      <c r="AV325" s="12" t="e">
        <v>#N/A</v>
      </c>
    </row>
    <row r="326" spans="37:48" x14ac:dyDescent="0.25">
      <c r="AK326" t="str">
        <v>vw rabbit c (diesel)</v>
      </c>
      <c r="AL326" s="12">
        <v>44.3</v>
      </c>
      <c r="AM326" s="12">
        <v>36.459845721441084</v>
      </c>
      <c r="AN326" s="12">
        <v>7.8401542785589129</v>
      </c>
      <c r="AO326" s="12">
        <v>4.9109161636258357E-2</v>
      </c>
      <c r="AP326" s="12">
        <v>2.6212478115325442</v>
      </c>
      <c r="AQ326" s="12">
        <v>2.0873683660506931E-2</v>
      </c>
      <c r="AR326" s="12">
        <v>0.93557937876868658</v>
      </c>
      <c r="AS326" s="12">
        <v>0.82794023224202973</v>
      </c>
      <c r="AT326" s="12">
        <v>1.6190268100104286</v>
      </c>
      <c r="AU326" s="12">
        <v>8.2450623796628069</v>
      </c>
      <c r="AV326" s="12">
        <v>2.0873683660506931E-2</v>
      </c>
    </row>
    <row r="327" spans="37:48" x14ac:dyDescent="0.25">
      <c r="AK327" t="str">
        <v>vw dasher (diesel)</v>
      </c>
      <c r="AL327" s="12">
        <v>43.4</v>
      </c>
      <c r="AM327" s="12">
        <v>35.1940183176619</v>
      </c>
      <c r="AN327" s="12">
        <v>8.2059816823380984</v>
      </c>
      <c r="AO327" s="12">
        <v>5.1764620516722759E-2</v>
      </c>
      <c r="AP327" s="12">
        <v>2.7473960479992194</v>
      </c>
      <c r="AQ327" s="12">
        <v>2.4238765461914558E-2</v>
      </c>
      <c r="AR327" s="12">
        <v>0.94553119002021024</v>
      </c>
      <c r="AS327" s="12">
        <v>0.83361742346055501</v>
      </c>
      <c r="AT327" s="12">
        <v>1.6575270881645403</v>
      </c>
      <c r="AU327" s="12">
        <v>8.6539501266128589</v>
      </c>
      <c r="AV327" s="12">
        <v>2.4238765461914558E-2</v>
      </c>
    </row>
    <row r="328" spans="37:48" x14ac:dyDescent="0.25">
      <c r="AK328" t="str">
        <v>audi 5000s (diesel)</v>
      </c>
      <c r="AL328" s="12">
        <v>36.4</v>
      </c>
      <c r="AM328" s="12">
        <v>31.771590697247824</v>
      </c>
      <c r="AN328" s="12">
        <v>4.6284093027521749</v>
      </c>
      <c r="AO328" s="12">
        <v>5.6567924201591298E-2</v>
      </c>
      <c r="AP328" s="12">
        <v>1.5535500258921526</v>
      </c>
      <c r="AQ328" s="12">
        <v>8.512579252521876E-3</v>
      </c>
      <c r="AR328" s="12">
        <v>0.95557753794043188</v>
      </c>
      <c r="AS328" s="12">
        <v>0.84720077695598384</v>
      </c>
      <c r="AT328" s="12">
        <v>1.2464148690914083</v>
      </c>
      <c r="AU328" s="12">
        <v>4.905927433975827</v>
      </c>
      <c r="AV328" s="12" t="e">
        <v>#N/A</v>
      </c>
    </row>
    <row r="329" spans="37:48" x14ac:dyDescent="0.25">
      <c r="AK329" t="str">
        <v>mercedes-benz 240d</v>
      </c>
      <c r="AL329" s="12">
        <v>30</v>
      </c>
      <c r="AM329" s="12">
        <v>30.2525978127128</v>
      </c>
      <c r="AN329" s="12">
        <v>-0.25259781271279991</v>
      </c>
      <c r="AO329" s="12">
        <v>6.6408958190973158E-2</v>
      </c>
      <c r="AP329" s="12">
        <v>-8.5231484219193049E-2</v>
      </c>
      <c r="AQ329" s="12">
        <v>3.0396331523534392E-5</v>
      </c>
      <c r="AR329" s="12">
        <v>0.96572126957388438</v>
      </c>
      <c r="AS329" s="12">
        <v>0.8534981078051288</v>
      </c>
      <c r="AT329" s="12">
        <v>0.29194431698389517</v>
      </c>
      <c r="AU329" s="12">
        <v>-0.27056580601216901</v>
      </c>
      <c r="AV329" s="12" t="e">
        <v>#N/A</v>
      </c>
    </row>
    <row r="330" spans="37:48" x14ac:dyDescent="0.25">
      <c r="AK330" t="str">
        <v>honda civic 1500 gl</v>
      </c>
      <c r="AL330" s="12">
        <v>44.6</v>
      </c>
      <c r="AM330" s="12">
        <v>37.463208115826092</v>
      </c>
      <c r="AN330" s="12">
        <v>7.1367918841739098</v>
      </c>
      <c r="AO330" s="12">
        <v>4.3492507562084851E-2</v>
      </c>
      <c r="AP330" s="12">
        <v>2.3790723412149868</v>
      </c>
      <c r="AQ330" s="12">
        <v>1.5138834664552051E-2</v>
      </c>
      <c r="AR330" s="12">
        <v>0.96572126957388438</v>
      </c>
      <c r="AS330" s="12">
        <v>0.86418422319002008</v>
      </c>
      <c r="AT330" s="12">
        <v>1.5424241768122628</v>
      </c>
      <c r="AU330" s="12">
        <v>7.461302645924798</v>
      </c>
      <c r="AV330" s="12">
        <v>1.5138834664552051E-2</v>
      </c>
    </row>
    <row r="331" spans="37:48" x14ac:dyDescent="0.25">
      <c r="AK331" t="str">
        <v>subaru dl</v>
      </c>
      <c r="AL331" s="12">
        <v>33.799999999999997</v>
      </c>
      <c r="AM331" s="12">
        <v>35.969531779366662</v>
      </c>
      <c r="AN331" s="12">
        <v>-2.1695317793666646</v>
      </c>
      <c r="AO331" s="12">
        <v>4.2462545848669514E-2</v>
      </c>
      <c r="AP331" s="12">
        <v>-0.72283127398567082</v>
      </c>
      <c r="AQ331" s="12">
        <v>1.362935193344648E-3</v>
      </c>
      <c r="AR331" s="12">
        <v>0.96572126957388438</v>
      </c>
      <c r="AS331" s="12">
        <v>0.87264012009621761</v>
      </c>
      <c r="AT331" s="12">
        <v>0.85019484471835682</v>
      </c>
      <c r="AU331" s="12">
        <v>-2.2657409064896892</v>
      </c>
      <c r="AV331" s="12" t="e">
        <v>#N/A</v>
      </c>
    </row>
    <row r="332" spans="37:48" x14ac:dyDescent="0.25">
      <c r="AK332" t="str">
        <v>vokswagen rabbit</v>
      </c>
      <c r="AL332" s="12">
        <v>29.8</v>
      </c>
      <c r="AM332" s="12">
        <v>37.447729981719526</v>
      </c>
      <c r="AN332" s="12">
        <v>-7.6477299817195252</v>
      </c>
      <c r="AO332" s="12">
        <v>5.037136542363066E-2</v>
      </c>
      <c r="AP332" s="12">
        <v>-2.5586120959927139</v>
      </c>
      <c r="AQ332" s="12">
        <v>2.0426309022841115E-2</v>
      </c>
      <c r="AR332" s="12">
        <v>0.96572126957388438</v>
      </c>
      <c r="AS332" s="12">
        <v>0.87970525767098529</v>
      </c>
      <c r="AT332" s="12">
        <v>1.5995662211964574</v>
      </c>
      <c r="AU332" s="12">
        <v>-8.0533902446309327</v>
      </c>
      <c r="AV332" s="12">
        <v>2.0426309022841115E-2</v>
      </c>
    </row>
    <row r="333" spans="37:48" x14ac:dyDescent="0.25">
      <c r="AK333" t="str">
        <v>datsun 280-zx</v>
      </c>
      <c r="AL333" s="12">
        <v>32.700000000000003</v>
      </c>
      <c r="AM333" s="12">
        <v>31.040731846822165</v>
      </c>
      <c r="AN333" s="12">
        <v>1.6592681531778375</v>
      </c>
      <c r="AO333" s="12">
        <v>5.5299275867682678E-2</v>
      </c>
      <c r="AP333" s="12">
        <v>0.55656803120621701</v>
      </c>
      <c r="AQ333" s="12">
        <v>1.0666275308936534E-3</v>
      </c>
      <c r="AR333" s="12">
        <v>0.96572126957388438</v>
      </c>
      <c r="AS333" s="12">
        <v>0.88224971223868354</v>
      </c>
      <c r="AT333" s="12">
        <v>0.74603487264753043</v>
      </c>
      <c r="AU333" s="12">
        <v>1.7563955555362059</v>
      </c>
      <c r="AV333" s="12" t="e">
        <v>#N/A</v>
      </c>
    </row>
    <row r="334" spans="37:48" x14ac:dyDescent="0.25">
      <c r="AK334" t="str">
        <v>mazda rx-7 gs</v>
      </c>
      <c r="AL334" s="12">
        <v>23.7</v>
      </c>
      <c r="AM334" s="12">
        <v>34.041319380742692</v>
      </c>
      <c r="AN334" s="12">
        <v>-10.341319380742693</v>
      </c>
      <c r="AO334" s="12">
        <v>4.5913395389664366E-2</v>
      </c>
      <c r="AP334" s="12">
        <v>-3.451682617569364</v>
      </c>
      <c r="AQ334" s="12">
        <v>3.3725966329777535E-2</v>
      </c>
      <c r="AR334" s="12">
        <v>0.96572126957388438</v>
      </c>
      <c r="AS334" s="12">
        <v>0.88428252049290279</v>
      </c>
      <c r="AT334" s="12">
        <v>1.8578704523107537</v>
      </c>
      <c r="AU334" s="12">
        <v>-10.838973454580943</v>
      </c>
      <c r="AV334" s="12">
        <v>3.3725966329777535E-2</v>
      </c>
    </row>
    <row r="335" spans="37:48" x14ac:dyDescent="0.25">
      <c r="AK335" t="str">
        <v>triumph tr7 coupe</v>
      </c>
      <c r="AL335" s="12">
        <v>35</v>
      </c>
      <c r="AM335" s="12">
        <v>33.709114953025988</v>
      </c>
      <c r="AN335" s="12">
        <v>1.2908850469740116</v>
      </c>
      <c r="AO335" s="12">
        <v>4.9786115999968433E-2</v>
      </c>
      <c r="AP335" s="12">
        <v>0.43174338069117302</v>
      </c>
      <c r="AQ335" s="12">
        <v>5.7449906899618758E-4</v>
      </c>
      <c r="AR335" s="12">
        <v>1.0288047620058449</v>
      </c>
      <c r="AS335" s="12">
        <v>0.89210317838710018</v>
      </c>
      <c r="AT335" s="12">
        <v>0.65707182308418388</v>
      </c>
      <c r="AU335" s="12">
        <v>1.3585205064989019</v>
      </c>
      <c r="AV335" s="12" t="e">
        <v>#N/A</v>
      </c>
    </row>
    <row r="336" spans="37:48" x14ac:dyDescent="0.25">
      <c r="AK336" t="str">
        <v>honda accord</v>
      </c>
      <c r="AL336" s="12">
        <v>32.4</v>
      </c>
      <c r="AM336" s="12">
        <v>35.154169725407016</v>
      </c>
      <c r="AN336" s="12">
        <v>-2.7541697254070172</v>
      </c>
      <c r="AO336" s="12">
        <v>4.2569726514608816E-2</v>
      </c>
      <c r="AP336" s="12">
        <v>-0.91766871471414591</v>
      </c>
      <c r="AQ336" s="12">
        <v>2.2025036410607212E-3</v>
      </c>
      <c r="AR336" s="12">
        <v>1.0397213301736039</v>
      </c>
      <c r="AS336" s="12">
        <v>0.89328897781380623</v>
      </c>
      <c r="AT336" s="12">
        <v>0.95795026734906541</v>
      </c>
      <c r="AU336" s="12">
        <v>-2.876626947862059</v>
      </c>
      <c r="AV336" s="12" t="e">
        <v>#N/A</v>
      </c>
    </row>
    <row r="337" spans="37:48" x14ac:dyDescent="0.25">
      <c r="AK337" t="str">
        <v>plymouth reliant</v>
      </c>
      <c r="AL337" s="12">
        <v>27.2</v>
      </c>
      <c r="AM337" s="12">
        <v>29.250550208008114</v>
      </c>
      <c r="AN337" s="12">
        <v>-2.050550208008115</v>
      </c>
      <c r="AO337" s="12">
        <v>4.2608580271655559E-2</v>
      </c>
      <c r="AP337" s="12">
        <v>-0.68324182750021734</v>
      </c>
      <c r="AQ337" s="12">
        <v>1.2221021344029587E-3</v>
      </c>
      <c r="AR337" s="12">
        <v>1.050763231139634</v>
      </c>
      <c r="AS337" s="12">
        <v>0.89925474334883049</v>
      </c>
      <c r="AT337" s="12">
        <v>0.82658443458621778</v>
      </c>
      <c r="AU337" s="12">
        <v>-2.1418096775819753</v>
      </c>
      <c r="AV337" s="12" t="e">
        <v>#N/A</v>
      </c>
    </row>
    <row r="338" spans="37:48" x14ac:dyDescent="0.25">
      <c r="AK338" t="str">
        <v>buick skylark</v>
      </c>
      <c r="AL338" s="12">
        <v>26.6</v>
      </c>
      <c r="AM338" s="12">
        <v>28.516370313816182</v>
      </c>
      <c r="AN338" s="12">
        <v>-1.9163703138161807</v>
      </c>
      <c r="AO338" s="12">
        <v>4.1092528424654287E-2</v>
      </c>
      <c r="AP338" s="12">
        <v>-0.63802821850481273</v>
      </c>
      <c r="AQ338" s="12">
        <v>1.0261645662393696E-3</v>
      </c>
      <c r="AR338" s="12">
        <v>1.0619347543176552</v>
      </c>
      <c r="AS338" s="12">
        <v>0.92150618089199277</v>
      </c>
      <c r="AT338" s="12">
        <v>0.79876668590071576</v>
      </c>
      <c r="AU338" s="12">
        <v>-1.9984934632617499</v>
      </c>
      <c r="AV338" s="12" t="e">
        <v>#N/A</v>
      </c>
    </row>
    <row r="339" spans="37:48" x14ac:dyDescent="0.25">
      <c r="AK339" t="str">
        <v>dodge aries wagon (sw)</v>
      </c>
      <c r="AL339" s="12">
        <v>25.8</v>
      </c>
      <c r="AM339" s="12">
        <v>28.462428502414603</v>
      </c>
      <c r="AN339" s="12">
        <v>-2.6624285024146026</v>
      </c>
      <c r="AO339" s="12">
        <v>4.2310893601892552E-2</v>
      </c>
      <c r="AP339" s="12">
        <v>-0.88698134092906389</v>
      </c>
      <c r="AQ339" s="12">
        <v>2.0445968935016087E-3</v>
      </c>
      <c r="AR339" s="12">
        <v>1.0619347543176552</v>
      </c>
      <c r="AS339" s="12">
        <v>0.9235433462638315</v>
      </c>
      <c r="AT339" s="12">
        <v>0.94179686818817987</v>
      </c>
      <c r="AU339" s="12">
        <v>-2.7800551187514939</v>
      </c>
      <c r="AV339" s="12" t="e">
        <v>#N/A</v>
      </c>
    </row>
    <row r="340" spans="37:48" x14ac:dyDescent="0.25">
      <c r="AK340" t="str">
        <v>chevrolet citation</v>
      </c>
      <c r="AL340" s="12">
        <v>23.5</v>
      </c>
      <c r="AM340" s="12">
        <v>27.638525217663606</v>
      </c>
      <c r="AN340" s="12">
        <v>-4.1385252176636058</v>
      </c>
      <c r="AO340" s="12">
        <v>4.6648569894361711E-2</v>
      </c>
      <c r="AP340" s="12">
        <v>-1.3818722583783176</v>
      </c>
      <c r="AQ340" s="12">
        <v>5.4963222423871387E-3</v>
      </c>
      <c r="AR340" s="12">
        <v>1.0846849303794233</v>
      </c>
      <c r="AS340" s="12">
        <v>0.92900557209987766</v>
      </c>
      <c r="AT340" s="12">
        <v>1.1755306284305473</v>
      </c>
      <c r="AU340" s="12">
        <v>-4.3410279640583607</v>
      </c>
      <c r="AV340" s="12" t="e">
        <v>#N/A</v>
      </c>
    </row>
    <row r="341" spans="37:48" x14ac:dyDescent="0.25">
      <c r="AK341" t="str">
        <v>plymouth reliant</v>
      </c>
      <c r="AL341" s="12">
        <v>30</v>
      </c>
      <c r="AM341" s="12">
        <v>29.78219771759537</v>
      </c>
      <c r="AN341" s="12">
        <v>0.21780228240463018</v>
      </c>
      <c r="AO341" s="12">
        <v>4.4238536928883715E-2</v>
      </c>
      <c r="AP341" s="12">
        <v>7.2633416429777817E-2</v>
      </c>
      <c r="AQ341" s="12">
        <v>1.4363995595847449E-5</v>
      </c>
      <c r="AR341" s="12">
        <v>1.0962733150227</v>
      </c>
      <c r="AS341" s="12">
        <v>0.93448737390407655</v>
      </c>
      <c r="AT341" s="12">
        <v>0.26950587457377961</v>
      </c>
      <c r="AU341" s="12">
        <v>0.22788351573076968</v>
      </c>
      <c r="AV341" s="12" t="e">
        <v>#N/A</v>
      </c>
    </row>
    <row r="342" spans="37:48" x14ac:dyDescent="0.25">
      <c r="AK342" t="str">
        <v>toyota starlet</v>
      </c>
      <c r="AL342" s="12">
        <v>39.1</v>
      </c>
      <c r="AM342" s="12">
        <v>35.454171617009976</v>
      </c>
      <c r="AN342" s="12">
        <v>3.6458283829900253</v>
      </c>
      <c r="AO342" s="12">
        <v>4.1951287323382581E-2</v>
      </c>
      <c r="AP342" s="12">
        <v>1.2143705581244542</v>
      </c>
      <c r="AQ342" s="12">
        <v>3.7984921914540185E-3</v>
      </c>
      <c r="AR342" s="12">
        <v>1.1080108204698569</v>
      </c>
      <c r="AS342" s="12">
        <v>0.96387111404314918</v>
      </c>
      <c r="AT342" s="12">
        <v>1.1019848266307728</v>
      </c>
      <c r="AU342" s="12">
        <v>3.8054728687064672</v>
      </c>
      <c r="AV342" s="12" t="e">
        <v>#N/A</v>
      </c>
    </row>
    <row r="343" spans="37:48" x14ac:dyDescent="0.25">
      <c r="AK343" t="str">
        <v>plymouth champ</v>
      </c>
      <c r="AL343" s="12">
        <v>39</v>
      </c>
      <c r="AM343" s="12">
        <v>32.689214260375735</v>
      </c>
      <c r="AN343" s="12">
        <v>6.310785739624265</v>
      </c>
      <c r="AO343" s="12">
        <v>5.022858407809927E-2</v>
      </c>
      <c r="AP343" s="12">
        <v>2.1111674999819705</v>
      </c>
      <c r="AQ343" s="12">
        <v>1.3865269089159291E-2</v>
      </c>
      <c r="AR343" s="12">
        <v>1.1199029946137795</v>
      </c>
      <c r="AS343" s="12">
        <v>0.96668836786536427</v>
      </c>
      <c r="AT343" s="12">
        <v>1.4529857191252675</v>
      </c>
      <c r="AU343" s="12">
        <v>6.6445311301547934</v>
      </c>
      <c r="AV343" s="12">
        <v>1.3865269089159291E-2</v>
      </c>
    </row>
    <row r="344" spans="37:48" x14ac:dyDescent="0.25">
      <c r="AK344" t="str">
        <v>honda civic 1300</v>
      </c>
      <c r="AL344" s="12">
        <v>35.1</v>
      </c>
      <c r="AM344" s="12">
        <v>35.396382205027308</v>
      </c>
      <c r="AN344" s="12">
        <v>-0.29638220502730661</v>
      </c>
      <c r="AO344" s="12">
        <v>4.2013652542506719E-2</v>
      </c>
      <c r="AP344" s="12">
        <v>-9.8723664725633833E-2</v>
      </c>
      <c r="AQ344" s="12">
        <v>2.5143442298404685E-5</v>
      </c>
      <c r="AR344" s="12">
        <v>1.1199029946137795</v>
      </c>
      <c r="AS344" s="12">
        <v>0.9792108710792421</v>
      </c>
      <c r="AT344" s="12">
        <v>0.31420322201663342</v>
      </c>
      <c r="AU344" s="12">
        <v>-0.30938040590443527</v>
      </c>
      <c r="AV344" s="12" t="e">
        <v>#N/A</v>
      </c>
    </row>
    <row r="345" spans="37:48" x14ac:dyDescent="0.25">
      <c r="AK345" t="str">
        <v>subaru</v>
      </c>
      <c r="AL345" s="12">
        <v>32.299999999999997</v>
      </c>
      <c r="AM345" s="12">
        <v>33.738417748741917</v>
      </c>
      <c r="AN345" s="12">
        <v>-1.4384177487419194</v>
      </c>
      <c r="AO345" s="12">
        <v>4.145794906136302E-2</v>
      </c>
      <c r="AP345" s="12">
        <v>-0.47899199098150291</v>
      </c>
      <c r="AQ345" s="12">
        <v>5.8371953236483322E-4</v>
      </c>
      <c r="AR345" s="12">
        <v>1.1199029946137795</v>
      </c>
      <c r="AS345" s="12">
        <v>0.99045257304542067</v>
      </c>
      <c r="AT345" s="12">
        <v>0.69209247285424436</v>
      </c>
      <c r="AU345" s="12">
        <v>-1.5006308250466132</v>
      </c>
      <c r="AV345" s="12" t="e">
        <v>#N/A</v>
      </c>
    </row>
    <row r="346" spans="37:48" x14ac:dyDescent="0.25">
      <c r="AK346" t="str">
        <v>datsun 210 mpg</v>
      </c>
      <c r="AL346" s="12">
        <v>37</v>
      </c>
      <c r="AM346" s="12">
        <v>34.226588478009504</v>
      </c>
      <c r="AN346" s="12">
        <v>2.7734115219904965</v>
      </c>
      <c r="AO346" s="12">
        <v>4.1456844028665445E-2</v>
      </c>
      <c r="AP346" s="12">
        <v>0.9235433462638315</v>
      </c>
      <c r="AQ346" s="12">
        <v>2.1699524290074955E-3</v>
      </c>
      <c r="AR346" s="12">
        <v>1.156567811385141</v>
      </c>
      <c r="AS346" s="12">
        <v>0.99590616832095791</v>
      </c>
      <c r="AT346" s="12">
        <v>0.96101162649773986</v>
      </c>
      <c r="AU346" s="12">
        <v>2.8933611436410236</v>
      </c>
      <c r="AV346" s="12" t="e">
        <v>#N/A</v>
      </c>
    </row>
    <row r="347" spans="37:48" x14ac:dyDescent="0.25">
      <c r="AK347" t="str">
        <v>toyota tercel</v>
      </c>
      <c r="AL347" s="12">
        <v>37.700000000000003</v>
      </c>
      <c r="AM347" s="12">
        <v>33.895549552736369</v>
      </c>
      <c r="AN347" s="12">
        <v>3.8044504472636334</v>
      </c>
      <c r="AO347" s="12">
        <v>4.1763111862033346E-2</v>
      </c>
      <c r="AP347" s="12">
        <v>1.26708074925088</v>
      </c>
      <c r="AQ347" s="12">
        <v>4.1160404126380449E-3</v>
      </c>
      <c r="AR347" s="12">
        <v>1.156567811385141</v>
      </c>
      <c r="AS347" s="12">
        <v>0.99879597785625729</v>
      </c>
      <c r="AT347" s="12">
        <v>1.1256468137257263</v>
      </c>
      <c r="AU347" s="12">
        <v>3.9702608972363729</v>
      </c>
      <c r="AV347" s="12" t="e">
        <v>#N/A</v>
      </c>
    </row>
    <row r="348" spans="37:48" x14ac:dyDescent="0.25">
      <c r="AK348" t="str">
        <v>mazda glc 4</v>
      </c>
      <c r="AL348" s="12">
        <v>34.1</v>
      </c>
      <c r="AM348" s="12">
        <v>34.127246085997712</v>
      </c>
      <c r="AN348" s="12">
        <v>-2.7246085997710168E-2</v>
      </c>
      <c r="AO348" s="12">
        <v>4.1515795674472153E-2</v>
      </c>
      <c r="AP348" s="12">
        <v>-9.0731992161399936E-3</v>
      </c>
      <c r="AQ348" s="12">
        <v>2.0974923110860871E-7</v>
      </c>
      <c r="AR348" s="12">
        <v>1.156567811385141</v>
      </c>
      <c r="AS348" s="12">
        <v>1.0160259092109321</v>
      </c>
      <c r="AT348" s="12">
        <v>9.5253342283302553E-2</v>
      </c>
      <c r="AU348" s="12">
        <v>-2.8426223274991645E-2</v>
      </c>
      <c r="AV348" s="12" t="e">
        <v>#N/A</v>
      </c>
    </row>
    <row r="349" spans="37:48" x14ac:dyDescent="0.25">
      <c r="AK349" t="str">
        <v>plymouth horizon 4</v>
      </c>
      <c r="AL349" s="12">
        <v>34.700000000000003</v>
      </c>
      <c r="AM349" s="12">
        <v>30.983925423189582</v>
      </c>
      <c r="AN349" s="12">
        <v>3.7160745768104206</v>
      </c>
      <c r="AO349" s="12">
        <v>4.4551350782135554E-2</v>
      </c>
      <c r="AP349" s="12">
        <v>1.2394515341278651</v>
      </c>
      <c r="AQ349" s="12">
        <v>4.2137008791074829E-3</v>
      </c>
      <c r="AR349" s="12">
        <v>1.1948571240757904</v>
      </c>
      <c r="AS349" s="12">
        <v>1.04461770630526</v>
      </c>
      <c r="AT349" s="12">
        <v>1.1133065768816175</v>
      </c>
      <c r="AU349" s="12">
        <v>3.8893503903662641</v>
      </c>
      <c r="AV349" s="12" t="e">
        <v>#N/A</v>
      </c>
    </row>
    <row r="350" spans="37:48" x14ac:dyDescent="0.25">
      <c r="AK350" t="str">
        <v>ford escort 4w</v>
      </c>
      <c r="AL350" s="12">
        <v>34.4</v>
      </c>
      <c r="AM350" s="12">
        <v>31.812215193852346</v>
      </c>
      <c r="AN350" s="12">
        <v>2.5877848061476527</v>
      </c>
      <c r="AO350" s="12">
        <v>4.6893881316315424E-2</v>
      </c>
      <c r="AP350" s="12">
        <v>0.86418422319002008</v>
      </c>
      <c r="AQ350" s="12">
        <v>2.1614175219013573E-3</v>
      </c>
      <c r="AR350" s="12">
        <v>1.2080167583463306</v>
      </c>
      <c r="AS350" s="12">
        <v>1.0807560254323885</v>
      </c>
      <c r="AT350" s="12">
        <v>0.92961509410616827</v>
      </c>
      <c r="AU350" s="12">
        <v>2.7151066973755134</v>
      </c>
      <c r="AV350" s="12" t="e">
        <v>#N/A</v>
      </c>
    </row>
    <row r="351" spans="37:48" x14ac:dyDescent="0.25">
      <c r="AK351" t="str">
        <v>ford escort 2h</v>
      </c>
      <c r="AL351" s="12">
        <v>29.9</v>
      </c>
      <c r="AM351" s="12">
        <v>30.116006472788236</v>
      </c>
      <c r="AN351" s="12">
        <v>-0.21600647278823715</v>
      </c>
      <c r="AO351" s="12">
        <v>4.3294655821143453E-2</v>
      </c>
      <c r="AP351" s="12">
        <v>-7.199900072986111E-2</v>
      </c>
      <c r="AQ351" s="12">
        <v>1.3799396962001494E-5</v>
      </c>
      <c r="AR351" s="12">
        <v>1.221388985601022</v>
      </c>
      <c r="AS351" s="12">
        <v>1.1069048065287981</v>
      </c>
      <c r="AT351" s="12">
        <v>0.26832629526354868</v>
      </c>
      <c r="AU351" s="12">
        <v>-0.22578160987867821</v>
      </c>
      <c r="AV351" s="12" t="e">
        <v>#N/A</v>
      </c>
    </row>
    <row r="352" spans="37:48" x14ac:dyDescent="0.25">
      <c r="AK352" t="str">
        <v>volkswagen jetta</v>
      </c>
      <c r="AL352" s="12">
        <v>33</v>
      </c>
      <c r="AM352" s="12">
        <v>32.869872181227677</v>
      </c>
      <c r="AN352" s="12">
        <v>0.13012781877232271</v>
      </c>
      <c r="AO352" s="12">
        <v>5.2106229203956106E-2</v>
      </c>
      <c r="AP352" s="12">
        <v>4.357517290963854E-2</v>
      </c>
      <c r="AQ352" s="12">
        <v>6.1398716568037402E-6</v>
      </c>
      <c r="AR352" s="12">
        <v>1.221388985601022</v>
      </c>
      <c r="AS352" s="12">
        <v>1.1097334264431693</v>
      </c>
      <c r="AT352" s="12">
        <v>0.20874667161331828</v>
      </c>
      <c r="AU352" s="12">
        <v>0.13728101479455973</v>
      </c>
      <c r="AV352" s="12" t="e">
        <v>#N/A</v>
      </c>
    </row>
    <row r="353" spans="37:48" x14ac:dyDescent="0.25">
      <c r="AK353" t="str">
        <v>honda prelude</v>
      </c>
      <c r="AL353" s="12">
        <v>33.700000000000003</v>
      </c>
      <c r="AM353" s="12">
        <v>32.874346398921652</v>
      </c>
      <c r="AN353" s="12">
        <v>0.82565360107835062</v>
      </c>
      <c r="AO353" s="12">
        <v>4.1634199205982172E-2</v>
      </c>
      <c r="AP353" s="12">
        <v>0.2749672873635931</v>
      </c>
      <c r="AQ353" s="12">
        <v>1.9321108768246162E-4</v>
      </c>
      <c r="AR353" s="12">
        <v>1.2488096764960821</v>
      </c>
      <c r="AS353" s="12">
        <v>1.1280247387124049</v>
      </c>
      <c r="AT353" s="12">
        <v>0.52437323288245097</v>
      </c>
      <c r="AU353" s="12">
        <v>0.86152239613964365</v>
      </c>
      <c r="AV353" s="12" t="e">
        <v>#N/A</v>
      </c>
    </row>
    <row r="354" spans="37:48" x14ac:dyDescent="0.25">
      <c r="AK354" t="str">
        <v>toyota corolla</v>
      </c>
      <c r="AL354" s="12">
        <v>32.4</v>
      </c>
      <c r="AM354" s="12">
        <v>32.165483052805314</v>
      </c>
      <c r="AN354" s="12">
        <v>0.23451694719468463</v>
      </c>
      <c r="AO354" s="12">
        <v>4.2232188432905597E-2</v>
      </c>
      <c r="AP354" s="12">
        <v>7.8125519301108906E-2</v>
      </c>
      <c r="AQ354" s="12">
        <v>1.5831434276901405E-5</v>
      </c>
      <c r="AR354" s="12">
        <v>1.2488096764960821</v>
      </c>
      <c r="AS354" s="12">
        <v>1.1659795306247449</v>
      </c>
      <c r="AT354" s="12">
        <v>0.27950942613999424</v>
      </c>
      <c r="AU354" s="12">
        <v>0.24485782917570523</v>
      </c>
      <c r="AV354" s="12" t="e">
        <v>#N/A</v>
      </c>
    </row>
    <row r="355" spans="37:48" x14ac:dyDescent="0.25">
      <c r="AK355" t="str">
        <v>datsun 200sx</v>
      </c>
      <c r="AL355" s="12">
        <v>32.9</v>
      </c>
      <c r="AM355" s="12">
        <v>30.417795205960847</v>
      </c>
      <c r="AN355" s="12">
        <v>2.4822047940391521</v>
      </c>
      <c r="AO355" s="12">
        <v>4.4622841874438268E-2</v>
      </c>
      <c r="AP355" s="12">
        <v>0.82794023224202973</v>
      </c>
      <c r="AQ355" s="12">
        <v>1.8833516818890722E-3</v>
      </c>
      <c r="AR355" s="12">
        <v>1.2772029316939737</v>
      </c>
      <c r="AS355" s="12">
        <v>1.1660321456416034</v>
      </c>
      <c r="AT355" s="12">
        <v>0.90991221128306099</v>
      </c>
      <c r="AU355" s="12">
        <v>2.5981412397478789</v>
      </c>
      <c r="AV355" s="12" t="e">
        <v>#N/A</v>
      </c>
    </row>
    <row r="356" spans="37:48" x14ac:dyDescent="0.25">
      <c r="AK356" t="str">
        <v>mazda 626</v>
      </c>
      <c r="AL356" s="12">
        <v>31.6</v>
      </c>
      <c r="AM356" s="12">
        <v>30.738676244450581</v>
      </c>
      <c r="AN356" s="12">
        <v>0.86132375554942087</v>
      </c>
      <c r="AO356" s="12">
        <v>4.6205507722798973E-2</v>
      </c>
      <c r="AP356" s="12">
        <v>0.28753308488155438</v>
      </c>
      <c r="AQ356" s="12">
        <v>2.3559477951898205E-4</v>
      </c>
      <c r="AR356" s="12">
        <v>1.2917937758243685</v>
      </c>
      <c r="AS356" s="12">
        <v>1.1863106075738008</v>
      </c>
      <c r="AT356" s="12">
        <v>0.536221115661771</v>
      </c>
      <c r="AU356" s="12">
        <v>0.90304962182471338</v>
      </c>
      <c r="AV356" s="12" t="e">
        <v>#N/A</v>
      </c>
    </row>
    <row r="357" spans="37:48" x14ac:dyDescent="0.25">
      <c r="AK357" t="str">
        <v>peugeot 505s turbo diesel</v>
      </c>
      <c r="AL357" s="12">
        <v>28.1</v>
      </c>
      <c r="AM357" s="12">
        <v>27.506611589785013</v>
      </c>
      <c r="AN357" s="12">
        <v>0.59338841021498823</v>
      </c>
      <c r="AO357" s="12">
        <v>6.371473386729605E-2</v>
      </c>
      <c r="AP357" s="12">
        <v>0.19993267130990572</v>
      </c>
      <c r="AQ357" s="12">
        <v>1.6001116978650996E-4</v>
      </c>
      <c r="AR357" s="12">
        <v>1.306664940712895</v>
      </c>
      <c r="AS357" s="12">
        <v>1.1899727275032896</v>
      </c>
      <c r="AT357" s="12">
        <v>0.44713831339967469</v>
      </c>
      <c r="AU357" s="12">
        <v>0.63376882204497342</v>
      </c>
      <c r="AV357" s="12" t="e">
        <v>#N/A</v>
      </c>
    </row>
    <row r="358" spans="37:48" x14ac:dyDescent="0.25">
      <c r="AK358" t="str">
        <v>volvo diesel</v>
      </c>
      <c r="AL358" s="12">
        <v>30.7</v>
      </c>
      <c r="AM358" s="12">
        <v>27.925988990657356</v>
      </c>
      <c r="AN358" s="12">
        <v>2.7740110093426438</v>
      </c>
      <c r="AO358" s="12">
        <v>6.3372096018761231E-2</v>
      </c>
      <c r="AP358" s="12">
        <v>0.93448737390407655</v>
      </c>
      <c r="AQ358" s="12">
        <v>3.4755931599012753E-3</v>
      </c>
      <c r="AR358" s="12">
        <v>1.3218308296149113</v>
      </c>
      <c r="AS358" s="12">
        <v>1.2143705581244542</v>
      </c>
      <c r="AT358" s="12">
        <v>0.96668887130455605</v>
      </c>
      <c r="AU358" s="12">
        <v>2.9617001560079603</v>
      </c>
      <c r="AV358" s="12" t="e">
        <v>#N/A</v>
      </c>
    </row>
    <row r="359" spans="37:48" x14ac:dyDescent="0.25">
      <c r="AK359" t="str">
        <v>toyota cressida</v>
      </c>
      <c r="AL359" s="12">
        <v>25.4</v>
      </c>
      <c r="AM359" s="12">
        <v>28.714969054395912</v>
      </c>
      <c r="AN359" s="12">
        <v>-3.3149690543959132</v>
      </c>
      <c r="AO359" s="12">
        <v>4.8511143620971447E-2</v>
      </c>
      <c r="AP359" s="12">
        <v>-1.1079659887017894</v>
      </c>
      <c r="AQ359" s="12">
        <v>3.6816435904011803E-3</v>
      </c>
      <c r="AR359" s="12">
        <v>1.3373069939616973</v>
      </c>
      <c r="AS359" s="12">
        <v>1.2394515341278651</v>
      </c>
      <c r="AT359" s="12">
        <v>1.0525996336222949</v>
      </c>
      <c r="AU359" s="12">
        <v>-3.4839809548703582</v>
      </c>
      <c r="AV359" s="12" t="e">
        <v>#N/A</v>
      </c>
    </row>
    <row r="360" spans="37:48" x14ac:dyDescent="0.25">
      <c r="AK360" t="str">
        <v>datsun 810 maxima</v>
      </c>
      <c r="AL360" s="12">
        <v>24.2</v>
      </c>
      <c r="AM360" s="12">
        <v>28.498124038128246</v>
      </c>
      <c r="AN360" s="12">
        <v>-4.2981240381282468</v>
      </c>
      <c r="AO360" s="12">
        <v>4.9782609569163784E-2</v>
      </c>
      <c r="AP360" s="12">
        <v>-1.4375278289347933</v>
      </c>
      <c r="AQ360" s="12">
        <v>6.3685165871422179E-3</v>
      </c>
      <c r="AR360" s="12">
        <v>1.3531102606891987</v>
      </c>
      <c r="AS360" s="12">
        <v>1.26708074925088</v>
      </c>
      <c r="AT360" s="12">
        <v>1.1989694862400766</v>
      </c>
      <c r="AU360" s="12">
        <v>-4.5233060154576235</v>
      </c>
      <c r="AV360" s="12" t="e">
        <v>#N/A</v>
      </c>
    </row>
    <row r="361" spans="37:48" x14ac:dyDescent="0.25">
      <c r="AK361" t="str">
        <v>buick century</v>
      </c>
      <c r="AL361" s="12">
        <v>22.4</v>
      </c>
      <c r="AM361" s="12">
        <v>24.144841583233053</v>
      </c>
      <c r="AN361" s="12">
        <v>-1.7448415832330539</v>
      </c>
      <c r="AO361" s="12">
        <v>4.0505338903003972E-2</v>
      </c>
      <c r="AP361" s="12">
        <v>-0.58074238683041579</v>
      </c>
      <c r="AQ361" s="12">
        <v>8.3750582565428268E-4</v>
      </c>
      <c r="AR361" s="12">
        <v>1.3531102606891987</v>
      </c>
      <c r="AS361" s="12">
        <v>1.2915705569901503</v>
      </c>
      <c r="AT361" s="12">
        <v>0.76206455555314723</v>
      </c>
      <c r="AU361" s="12">
        <v>-1.8185005649100394</v>
      </c>
      <c r="AV361" s="12" t="e">
        <v>#N/A</v>
      </c>
    </row>
    <row r="362" spans="37:48" x14ac:dyDescent="0.25">
      <c r="AK362" t="str">
        <v>oldsmobile cutlass ls</v>
      </c>
      <c r="AL362" s="12">
        <v>26.6</v>
      </c>
      <c r="AM362" s="12">
        <v>22.656397762314569</v>
      </c>
      <c r="AN362" s="12">
        <v>3.9436022376854325</v>
      </c>
      <c r="AO362" s="12">
        <v>4.5514063559417423E-2</v>
      </c>
      <c r="AP362" s="12">
        <v>1.3160037932020494</v>
      </c>
      <c r="AQ362" s="12">
        <v>4.8578202243035511E-3</v>
      </c>
      <c r="AR362" s="12">
        <v>1.3857726818373162</v>
      </c>
      <c r="AS362" s="12">
        <v>1.3082330687569519</v>
      </c>
      <c r="AT362" s="12">
        <v>1.1471720852609906</v>
      </c>
      <c r="AU362" s="12">
        <v>4.1316504383413974</v>
      </c>
      <c r="AV362" s="12" t="e">
        <v>#N/A</v>
      </c>
    </row>
    <row r="363" spans="37:48" x14ac:dyDescent="0.25">
      <c r="AK363" t="str">
        <v>ford granada gl</v>
      </c>
      <c r="AL363" s="12">
        <v>20.2</v>
      </c>
      <c r="AM363" s="12">
        <v>26.299517999577404</v>
      </c>
      <c r="AN363" s="12">
        <v>-6.0995179995774045</v>
      </c>
      <c r="AO363" s="12">
        <v>4.0669083135311486E-2</v>
      </c>
      <c r="AP363" s="12">
        <v>-2.0302994659393101</v>
      </c>
      <c r="AQ363" s="12">
        <v>1.0279387077060626E-2</v>
      </c>
      <c r="AR363" s="12">
        <v>1.402673289992322</v>
      </c>
      <c r="AS363" s="12">
        <v>1.3160037932020494</v>
      </c>
      <c r="AT363" s="12">
        <v>1.4248857729443825</v>
      </c>
      <c r="AU363" s="12">
        <v>-6.358095931602012</v>
      </c>
      <c r="AV363" s="12">
        <v>1.0279387077060626E-2</v>
      </c>
    </row>
    <row r="364" spans="37:48" x14ac:dyDescent="0.25">
      <c r="AK364" t="str">
        <v>chrysler lebaron salon</v>
      </c>
      <c r="AL364" s="12">
        <v>17.600000000000001</v>
      </c>
      <c r="AM364" s="12">
        <v>24.297586901315743</v>
      </c>
      <c r="AN364" s="12">
        <v>-6.6975869013157414</v>
      </c>
      <c r="AO364" s="12">
        <v>4.8271382998579748E-2</v>
      </c>
      <c r="AP364" s="12">
        <v>-2.2382603266400913</v>
      </c>
      <c r="AQ364" s="12">
        <v>1.4946822807055393E-2</v>
      </c>
      <c r="AR364" s="12">
        <v>1.4199843237682621</v>
      </c>
      <c r="AS364" s="12">
        <v>1.3348865121336095</v>
      </c>
      <c r="AT364" s="12">
        <v>1.4960816577446872</v>
      </c>
      <c r="AU364" s="12">
        <v>-7.0372864508557127</v>
      </c>
      <c r="AV364" s="12">
        <v>1.4946822807055393E-2</v>
      </c>
    </row>
    <row r="365" spans="37:48" x14ac:dyDescent="0.25">
      <c r="AK365" t="str">
        <v>chevrolet cavalier</v>
      </c>
      <c r="AL365" s="12">
        <v>28</v>
      </c>
      <c r="AM365" s="12">
        <v>30.28175978404812</v>
      </c>
      <c r="AN365" s="12">
        <v>-2.2817597840481199</v>
      </c>
      <c r="AO365" s="12">
        <v>3.5610204688537747E-2</v>
      </c>
      <c r="AP365" s="12">
        <v>-0.75751706682775866</v>
      </c>
      <c r="AQ365" s="12">
        <v>1.2464009927449339E-3</v>
      </c>
      <c r="AR365" s="12">
        <v>1.4199843237682621</v>
      </c>
      <c r="AS365" s="12">
        <v>1.4296443982960441</v>
      </c>
      <c r="AT365" s="12">
        <v>0.87035456385760324</v>
      </c>
      <c r="AU365" s="12">
        <v>-2.366014027876763</v>
      </c>
      <c r="AV365" s="12" t="e">
        <v>#N/A</v>
      </c>
    </row>
    <row r="366" spans="37:48" x14ac:dyDescent="0.25">
      <c r="AK366" t="str">
        <v>chevrolet cavalier wagon</v>
      </c>
      <c r="AL366" s="12">
        <v>27</v>
      </c>
      <c r="AM366" s="12">
        <v>30.104543947519034</v>
      </c>
      <c r="AN366" s="12">
        <v>-3.1045439475190335</v>
      </c>
      <c r="AO366" s="12">
        <v>3.5478279036810861E-2</v>
      </c>
      <c r="AP366" s="12">
        <v>-1.0306011185079671</v>
      </c>
      <c r="AQ366" s="12">
        <v>2.2981735940034403E-3</v>
      </c>
      <c r="AR366" s="12">
        <v>1.4199843237682621</v>
      </c>
      <c r="AS366" s="12">
        <v>1.4343249307838992</v>
      </c>
      <c r="AT366" s="12">
        <v>1.0151852631455833</v>
      </c>
      <c r="AU366" s="12">
        <v>-3.218739277762225</v>
      </c>
      <c r="AV366" s="12" t="e">
        <v>#N/A</v>
      </c>
    </row>
    <row r="367" spans="37:48" x14ac:dyDescent="0.25">
      <c r="AK367" t="str">
        <v>chevrolet cavalier 2-door</v>
      </c>
      <c r="AL367" s="12">
        <v>34</v>
      </c>
      <c r="AM367" s="12">
        <v>31.345054803222631</v>
      </c>
      <c r="AN367" s="12">
        <v>2.6549451967773692</v>
      </c>
      <c r="AO367" s="12">
        <v>3.7444725577322431E-2</v>
      </c>
      <c r="AP367" s="12">
        <v>0.88224971223868354</v>
      </c>
      <c r="AQ367" s="12">
        <v>1.7811442916589161E-3</v>
      </c>
      <c r="AR367" s="12">
        <v>1.4199843237682621</v>
      </c>
      <c r="AS367" s="12">
        <v>1.482908951694333</v>
      </c>
      <c r="AT367" s="12">
        <v>0.9392814872223787</v>
      </c>
      <c r="AU367" s="12">
        <v>2.7582262206913315</v>
      </c>
      <c r="AV367" s="12" t="e">
        <v>#N/A</v>
      </c>
    </row>
    <row r="368" spans="37:48" x14ac:dyDescent="0.25">
      <c r="AK368" t="str">
        <v>pontiac j2000 se hatchback</v>
      </c>
      <c r="AL368" s="12">
        <v>31</v>
      </c>
      <c r="AM368" s="12">
        <v>30.482368368362238</v>
      </c>
      <c r="AN368" s="12">
        <v>0.51763163163776227</v>
      </c>
      <c r="AO368" s="12">
        <v>3.563524260105199E-2</v>
      </c>
      <c r="AP368" s="12">
        <v>0.17184976624815418</v>
      </c>
      <c r="AQ368" s="12">
        <v>6.4192953679571388E-5</v>
      </c>
      <c r="AR368" s="12">
        <v>1.4199843237682621</v>
      </c>
      <c r="AS368" s="12">
        <v>1.4945061059531675</v>
      </c>
      <c r="AT368" s="12">
        <v>0.41454766462754822</v>
      </c>
      <c r="AU368" s="12">
        <v>0.53675917505934245</v>
      </c>
      <c r="AV368" s="12" t="e">
        <v>#N/A</v>
      </c>
    </row>
    <row r="369" spans="37:48" x14ac:dyDescent="0.25">
      <c r="AK369" t="str">
        <v>dodge aries se</v>
      </c>
      <c r="AL369" s="12">
        <v>29</v>
      </c>
      <c r="AM369" s="12">
        <v>30.751770281071622</v>
      </c>
      <c r="AN369" s="12">
        <v>-1.7517702810716216</v>
      </c>
      <c r="AO369" s="12">
        <v>3.5820172682296966E-2</v>
      </c>
      <c r="AP369" s="12">
        <v>-0.58163018536706346</v>
      </c>
      <c r="AQ369" s="12">
        <v>7.3928958454274989E-4</v>
      </c>
      <c r="AR369" s="12">
        <v>1.4199843237682621</v>
      </c>
      <c r="AS369" s="12">
        <v>1.539587675300794</v>
      </c>
      <c r="AT369" s="12">
        <v>0.76264682872681211</v>
      </c>
      <c r="AU369" s="12">
        <v>-1.8168501678208238</v>
      </c>
      <c r="AV369" s="12" t="e">
        <v>#N/A</v>
      </c>
    </row>
    <row r="370" spans="37:48" x14ac:dyDescent="0.25">
      <c r="AK370" t="str">
        <v>pontiac phoenix</v>
      </c>
      <c r="AL370" s="12">
        <v>27</v>
      </c>
      <c r="AM370" s="12">
        <v>29.591056670175853</v>
      </c>
      <c r="AN370" s="12">
        <v>-2.5910566701758526</v>
      </c>
      <c r="AO370" s="12">
        <v>3.5317344801761894E-2</v>
      </c>
      <c r="AP370" s="12">
        <v>-0.86006936817939161</v>
      </c>
      <c r="AQ370" s="12">
        <v>1.593021416841849E-3</v>
      </c>
      <c r="AR370" s="12">
        <v>1.5341205443525465</v>
      </c>
      <c r="AS370" s="12">
        <v>1.5500221062846573</v>
      </c>
      <c r="AT370" s="12">
        <v>0.92739924961118636</v>
      </c>
      <c r="AU370" s="12">
        <v>-2.6859160950119931</v>
      </c>
      <c r="AV370" s="12" t="e">
        <v>#N/A</v>
      </c>
    </row>
    <row r="371" spans="37:48" x14ac:dyDescent="0.25">
      <c r="AK371" t="str">
        <v>ford fairmont futura</v>
      </c>
      <c r="AL371" s="12">
        <v>24</v>
      </c>
      <c r="AM371" s="12">
        <v>28.900353556303592</v>
      </c>
      <c r="AN371" s="12">
        <v>-4.9003535563035925</v>
      </c>
      <c r="AO371" s="12">
        <v>3.5405901429528638E-2</v>
      </c>
      <c r="AP371" s="12">
        <v>-1.6266867098316833</v>
      </c>
      <c r="AQ371" s="12">
        <v>5.7133387015121419E-3</v>
      </c>
      <c r="AR371" s="12">
        <v>1.5341205443525465</v>
      </c>
      <c r="AS371" s="12">
        <v>1.5535500258921526</v>
      </c>
      <c r="AT371" s="12">
        <v>1.2754162888373675</v>
      </c>
      <c r="AU371" s="12">
        <v>-5.0802234469046796</v>
      </c>
      <c r="AV371" s="12" t="e">
        <v>#N/A</v>
      </c>
    </row>
    <row r="372" spans="37:48" x14ac:dyDescent="0.25">
      <c r="AK372" t="str">
        <v>volkswagen rabbit l</v>
      </c>
      <c r="AL372" s="12">
        <v>36</v>
      </c>
      <c r="AM372" s="12">
        <v>35.611603109994782</v>
      </c>
      <c r="AN372" s="12">
        <v>0.38839689000521815</v>
      </c>
      <c r="AO372" s="12">
        <v>5.1105954864069499E-2</v>
      </c>
      <c r="AP372" s="12">
        <v>0.12999171896584169</v>
      </c>
      <c r="AQ372" s="12">
        <v>5.3534806589597148E-5</v>
      </c>
      <c r="AR372" s="12">
        <v>1.5769982907616837</v>
      </c>
      <c r="AS372" s="12">
        <v>1.5585580298512536</v>
      </c>
      <c r="AT372" s="12">
        <v>0.36054364363533259</v>
      </c>
      <c r="AU372" s="12">
        <v>0.40931534136625308</v>
      </c>
      <c r="AV372" s="12" t="e">
        <v>#N/A</v>
      </c>
    </row>
    <row r="373" spans="37:48" x14ac:dyDescent="0.25">
      <c r="AK373" t="str">
        <v>mazda glc custom l</v>
      </c>
      <c r="AL373" s="12">
        <v>37</v>
      </c>
      <c r="AM373" s="12">
        <v>35.603149610985632</v>
      </c>
      <c r="AN373" s="12">
        <v>1.396850389014368</v>
      </c>
      <c r="AO373" s="12">
        <v>4.2669270414959395E-2</v>
      </c>
      <c r="AP373" s="12">
        <v>0.4654442793344194</v>
      </c>
      <c r="AQ373" s="12">
        <v>5.6798869237322999E-4</v>
      </c>
      <c r="AR373" s="12">
        <v>1.5995705882374911</v>
      </c>
      <c r="AS373" s="12">
        <v>1.5747836013923129</v>
      </c>
      <c r="AT373" s="12">
        <v>0.68223476848839903</v>
      </c>
      <c r="AU373" s="12">
        <v>1.4591095280309649</v>
      </c>
      <c r="AV373" s="12" t="e">
        <v>#N/A</v>
      </c>
    </row>
    <row r="374" spans="37:48" x14ac:dyDescent="0.25">
      <c r="AK374" t="str">
        <v>mazda glc custom</v>
      </c>
      <c r="AL374" s="12">
        <v>31</v>
      </c>
      <c r="AM374" s="12">
        <v>35.881631639817051</v>
      </c>
      <c r="AN374" s="12">
        <v>-4.8816316398170514</v>
      </c>
      <c r="AO374" s="12">
        <v>4.2387674968809748E-2</v>
      </c>
      <c r="AP374" s="12">
        <v>-1.626368466519942</v>
      </c>
      <c r="AQ374" s="12">
        <v>6.8871388294999445E-3</v>
      </c>
      <c r="AR374" s="12">
        <v>1.5995705882374911</v>
      </c>
      <c r="AS374" s="12">
        <v>1.5748070831006031</v>
      </c>
      <c r="AT374" s="12">
        <v>1.2752915221704966</v>
      </c>
      <c r="AU374" s="12">
        <v>-5.0977117902675833</v>
      </c>
      <c r="AV374" s="12" t="e">
        <v>#N/A</v>
      </c>
    </row>
    <row r="375" spans="37:48" x14ac:dyDescent="0.25">
      <c r="AK375" t="str">
        <v>plymouth horizon miser</v>
      </c>
      <c r="AL375" s="12">
        <v>38</v>
      </c>
      <c r="AM375" s="12">
        <v>33.118059198142682</v>
      </c>
      <c r="AN375" s="12">
        <v>4.8819408018573185</v>
      </c>
      <c r="AO375" s="12">
        <v>3.8409800761363619E-2</v>
      </c>
      <c r="AP375" s="12">
        <v>1.6231038143843988</v>
      </c>
      <c r="AQ375" s="12">
        <v>6.1900720136637581E-3</v>
      </c>
      <c r="AR375" s="12">
        <v>1.5995705882374911</v>
      </c>
      <c r="AS375" s="12">
        <v>1.5766853430851646</v>
      </c>
      <c r="AT375" s="12">
        <v>1.2740109161166551</v>
      </c>
      <c r="AU375" s="12">
        <v>5.0769452576812029</v>
      </c>
      <c r="AV375" s="12" t="e">
        <v>#N/A</v>
      </c>
    </row>
    <row r="376" spans="37:48" x14ac:dyDescent="0.25">
      <c r="AK376" t="str">
        <v>mercury lynx l</v>
      </c>
      <c r="AL376" s="12">
        <v>36</v>
      </c>
      <c r="AM376" s="12">
        <v>33.004404174467894</v>
      </c>
      <c r="AN376" s="12">
        <v>2.9955958255321065</v>
      </c>
      <c r="AO376" s="12">
        <v>3.8327502244710633E-2</v>
      </c>
      <c r="AP376" s="12">
        <v>0.99590616832095791</v>
      </c>
      <c r="AQ376" s="12">
        <v>2.3252585222383769E-3</v>
      </c>
      <c r="AR376" s="12">
        <v>1.6726929638404258</v>
      </c>
      <c r="AS376" s="12">
        <v>1.5835184219573573</v>
      </c>
      <c r="AT376" s="12">
        <v>0.99795098492909862</v>
      </c>
      <c r="AU376" s="12">
        <v>3.1149854368554237</v>
      </c>
      <c r="AV376" s="12" t="e">
        <v>#N/A</v>
      </c>
    </row>
    <row r="377" spans="37:48" x14ac:dyDescent="0.25">
      <c r="AK377" t="str">
        <v>nissan stanza xe</v>
      </c>
      <c r="AL377" s="12">
        <v>36</v>
      </c>
      <c r="AM377" s="12">
        <v>34.594874173874054</v>
      </c>
      <c r="AN377" s="12">
        <v>1.4051258261259463</v>
      </c>
      <c r="AO377" s="12">
        <v>4.4176133885526568E-2</v>
      </c>
      <c r="AP377" s="12">
        <v>0.46857065274584953</v>
      </c>
      <c r="AQ377" s="12">
        <v>5.9691306285993831E-4</v>
      </c>
      <c r="AR377" s="12">
        <v>1.6991776601112989</v>
      </c>
      <c r="AS377" s="12">
        <v>1.6231038143843988</v>
      </c>
      <c r="AT377" s="12">
        <v>0.68452220763525962</v>
      </c>
      <c r="AU377" s="12">
        <v>1.4700677352177169</v>
      </c>
      <c r="AV377" s="12" t="e">
        <v>#N/A</v>
      </c>
    </row>
    <row r="378" spans="37:48" x14ac:dyDescent="0.25">
      <c r="AK378" t="str">
        <v>honda accord</v>
      </c>
      <c r="AL378" s="12">
        <v>36</v>
      </c>
      <c r="AM378" s="12">
        <v>34.578098856589833</v>
      </c>
      <c r="AN378" s="12">
        <v>1.4219011434101674</v>
      </c>
      <c r="AO378" s="12">
        <v>4.3448835492164536E-2</v>
      </c>
      <c r="AP378" s="12">
        <v>0.47398446164132163</v>
      </c>
      <c r="AQ378" s="12">
        <v>6.0027357340988079E-4</v>
      </c>
      <c r="AR378" s="12">
        <v>1.7269108614600868</v>
      </c>
      <c r="AS378" s="12">
        <v>1.6395545081768079</v>
      </c>
      <c r="AT378" s="12">
        <v>0.68846529443489135</v>
      </c>
      <c r="AU378" s="12">
        <v>1.4864872849135713</v>
      </c>
      <c r="AV378" s="12" t="e">
        <v>#N/A</v>
      </c>
    </row>
    <row r="379" spans="37:48" x14ac:dyDescent="0.25">
      <c r="AK379" t="str">
        <v>toyota corolla</v>
      </c>
      <c r="AL379" s="12">
        <v>34</v>
      </c>
      <c r="AM379" s="12">
        <v>34.456748631752866</v>
      </c>
      <c r="AN379" s="12">
        <v>-0.45674863175286617</v>
      </c>
      <c r="AO379" s="12">
        <v>4.4582088373450866E-2</v>
      </c>
      <c r="AP379" s="12">
        <v>-0.15234540833318785</v>
      </c>
      <c r="AQ379" s="12">
        <v>6.3705487945309389E-5</v>
      </c>
      <c r="AR379" s="12">
        <v>1.7560396847773088</v>
      </c>
      <c r="AS379" s="12">
        <v>1.6896822821993771</v>
      </c>
      <c r="AT379" s="12">
        <v>0.39031449926077283</v>
      </c>
      <c r="AU379" s="12">
        <v>-0.47806161701037769</v>
      </c>
      <c r="AV379" s="12" t="e">
        <v>#N/A</v>
      </c>
    </row>
    <row r="380" spans="37:48" x14ac:dyDescent="0.25">
      <c r="AK380" t="str">
        <v>honda civic</v>
      </c>
      <c r="AL380" s="12">
        <v>38</v>
      </c>
      <c r="AM380" s="12">
        <v>35.923184619846182</v>
      </c>
      <c r="AN380" s="12">
        <v>2.0768153801538176</v>
      </c>
      <c r="AO380" s="12">
        <v>4.2412049592578729E-2</v>
      </c>
      <c r="AP380" s="12">
        <v>0.69192234930796725</v>
      </c>
      <c r="AQ380" s="12">
        <v>1.2473156859063596E-3</v>
      </c>
      <c r="AR380" s="12">
        <v>1.7560396847773088</v>
      </c>
      <c r="AS380" s="12">
        <v>1.8285518903811393</v>
      </c>
      <c r="AT380" s="12">
        <v>0.83181869978257117</v>
      </c>
      <c r="AU380" s="12">
        <v>2.1687985727788273</v>
      </c>
      <c r="AV380" s="12" t="e">
        <v>#N/A</v>
      </c>
    </row>
    <row r="381" spans="37:48" x14ac:dyDescent="0.25">
      <c r="AK381" t="str">
        <v>honda civic (auto)</v>
      </c>
      <c r="AL381" s="12">
        <v>32</v>
      </c>
      <c r="AM381" s="12">
        <v>35.923184619846182</v>
      </c>
      <c r="AN381" s="12">
        <v>-3.9231846198461824</v>
      </c>
      <c r="AO381" s="12">
        <v>4.2412049592578729E-2</v>
      </c>
      <c r="AP381" s="12">
        <v>-1.307068093232151</v>
      </c>
      <c r="AQ381" s="12">
        <v>4.4510051121384358E-3</v>
      </c>
      <c r="AR381" s="12">
        <v>1.7560396847773088</v>
      </c>
      <c r="AS381" s="12">
        <v>1.8307638951688041</v>
      </c>
      <c r="AT381" s="12">
        <v>1.1432707873606107</v>
      </c>
      <c r="AU381" s="12">
        <v>-4.0969444301977695</v>
      </c>
      <c r="AV381" s="12" t="e">
        <v>#N/A</v>
      </c>
    </row>
    <row r="382" spans="37:48" x14ac:dyDescent="0.25">
      <c r="AK382" t="str">
        <v>datsun 310 gx</v>
      </c>
      <c r="AL382" s="12">
        <v>38</v>
      </c>
      <c r="AM382" s="12">
        <v>35.771285331392683</v>
      </c>
      <c r="AN382" s="12">
        <v>2.2287146686073172</v>
      </c>
      <c r="AO382" s="12">
        <v>4.2566311963328538E-2</v>
      </c>
      <c r="AP382" s="12">
        <v>0.74258970300151861</v>
      </c>
      <c r="AQ382" s="12">
        <v>1.442136083935238E-3</v>
      </c>
      <c r="AR382" s="12">
        <v>1.7560396847773088</v>
      </c>
      <c r="AS382" s="12">
        <v>1.937883735039764</v>
      </c>
      <c r="AT382" s="12">
        <v>0.86173644636949098</v>
      </c>
      <c r="AU382" s="12">
        <v>2.3278005531407135</v>
      </c>
      <c r="AV382" s="12" t="e">
        <v>#N/A</v>
      </c>
    </row>
    <row r="383" spans="37:48" x14ac:dyDescent="0.25">
      <c r="AK383" t="str">
        <v>buick century limited</v>
      </c>
      <c r="AL383" s="12">
        <v>25</v>
      </c>
      <c r="AM383" s="12">
        <v>28.203033011930515</v>
      </c>
      <c r="AN383" s="12">
        <v>-3.2030330119305148</v>
      </c>
      <c r="AO383" s="12">
        <v>3.6684093867170968E-2</v>
      </c>
      <c r="AP383" s="12">
        <v>-1.0639613519924846</v>
      </c>
      <c r="AQ383" s="12">
        <v>2.5357816141103389E-3</v>
      </c>
      <c r="AR383" s="12">
        <v>1.8906321205380332</v>
      </c>
      <c r="AS383" s="12">
        <v>1.9447162353916565</v>
      </c>
      <c r="AT383" s="12">
        <v>1.0314850226699779</v>
      </c>
      <c r="AU383" s="12">
        <v>-3.3250079143703637</v>
      </c>
      <c r="AV383" s="12" t="e">
        <v>#N/A</v>
      </c>
    </row>
    <row r="384" spans="37:48" x14ac:dyDescent="0.25">
      <c r="AK384" t="str">
        <v>oldsmobile cutlass ciera (diesel)</v>
      </c>
      <c r="AL384" s="12">
        <v>38</v>
      </c>
      <c r="AM384" s="12">
        <v>28.254512137710869</v>
      </c>
      <c r="AN384" s="12">
        <v>9.7454878622891314</v>
      </c>
      <c r="AO384" s="12">
        <v>3.8019752769928257E-2</v>
      </c>
      <c r="AP384" s="12">
        <v>3.2394353065249786</v>
      </c>
      <c r="AQ384" s="12">
        <v>2.4396798261845723E-2</v>
      </c>
      <c r="AR384" s="12">
        <v>1.9302858560575813</v>
      </c>
      <c r="AS384" s="12">
        <v>2.0304757137130016</v>
      </c>
      <c r="AT384" s="12">
        <v>1.7998431338661096</v>
      </c>
      <c r="AU384" s="12">
        <v>10.130652776239755</v>
      </c>
      <c r="AV384" s="12">
        <v>2.4396798261845723E-2</v>
      </c>
    </row>
    <row r="385" spans="37:48" x14ac:dyDescent="0.25">
      <c r="AK385" t="str">
        <v>chrysler lebaron medallion</v>
      </c>
      <c r="AL385" s="12">
        <v>26</v>
      </c>
      <c r="AM385" s="12">
        <v>30.318080248536283</v>
      </c>
      <c r="AN385" s="12">
        <v>-4.3180802485362832</v>
      </c>
      <c r="AO385" s="12">
        <v>3.6117187184438668E-2</v>
      </c>
      <c r="AP385" s="12">
        <v>-1.4339281629923626</v>
      </c>
      <c r="AQ385" s="12">
        <v>4.5320589621589431E-3</v>
      </c>
      <c r="AR385" s="12">
        <v>1.9732297912673347</v>
      </c>
      <c r="AS385" s="12">
        <v>2.1111674999819705</v>
      </c>
      <c r="AT385" s="12">
        <v>1.1974673953775787</v>
      </c>
      <c r="AU385" s="12">
        <v>-4.4798809472729406</v>
      </c>
      <c r="AV385" s="12" t="e">
        <v>#N/A</v>
      </c>
    </row>
    <row r="386" spans="37:48" x14ac:dyDescent="0.25">
      <c r="AK386" t="str">
        <v>ford granada l</v>
      </c>
      <c r="AL386" s="12">
        <v>22</v>
      </c>
      <c r="AM386" s="12">
        <v>28.727524205686279</v>
      </c>
      <c r="AN386" s="12">
        <v>-6.7275242056862794</v>
      </c>
      <c r="AO386" s="12">
        <v>3.8320594343835251E-2</v>
      </c>
      <c r="AP386" s="12">
        <v>-2.2366030601609661</v>
      </c>
      <c r="AQ386" s="12">
        <v>1.1725485358042654E-2</v>
      </c>
      <c r="AR386" s="12">
        <v>2.0201546663717482</v>
      </c>
      <c r="AS386" s="12">
        <v>2.2990445774735213</v>
      </c>
      <c r="AT386" s="12">
        <v>1.4955276861900504</v>
      </c>
      <c r="AU386" s="12">
        <v>-6.9955997457344044</v>
      </c>
      <c r="AV386" s="12">
        <v>1.1725485358042654E-2</v>
      </c>
    </row>
    <row r="387" spans="37:48" x14ac:dyDescent="0.25">
      <c r="AK387" t="str">
        <v>toyota celica gt</v>
      </c>
      <c r="AL387" s="12">
        <v>32</v>
      </c>
      <c r="AM387" s="12">
        <v>31.908011362611767</v>
      </c>
      <c r="AN387" s="12">
        <v>9.1988637388233485E-2</v>
      </c>
      <c r="AO387" s="12">
        <v>4.7178806629519218E-2</v>
      </c>
      <c r="AP387" s="12">
        <v>3.0723966658172362E-2</v>
      </c>
      <c r="AQ387" s="12">
        <v>2.7494206600981862E-6</v>
      </c>
      <c r="AR387" s="12">
        <v>2.0720014483779305</v>
      </c>
      <c r="AS387" s="12">
        <v>2.3790723412149868</v>
      </c>
      <c r="AT387" s="12">
        <v>0.1752825338080562</v>
      </c>
      <c r="AU387" s="12">
        <v>9.6543441758296406E-2</v>
      </c>
      <c r="AV387" s="12" t="e">
        <v>#N/A</v>
      </c>
    </row>
    <row r="388" spans="37:48" x14ac:dyDescent="0.25">
      <c r="AK388" t="str">
        <v>dodge charger 2.2</v>
      </c>
      <c r="AL388" s="12">
        <v>36</v>
      </c>
      <c r="AM388" s="12">
        <v>31.536583271414713</v>
      </c>
      <c r="AN388" s="12">
        <v>4.4634167285852868</v>
      </c>
      <c r="AO388" s="12">
        <v>3.7050510776076906E-2</v>
      </c>
      <c r="AP388" s="12">
        <v>1.482908951694333</v>
      </c>
      <c r="AQ388" s="12">
        <v>4.9770355711066501E-3</v>
      </c>
      <c r="AR388" s="12">
        <v>2.1301011271220536</v>
      </c>
      <c r="AS388" s="12">
        <v>2.6212478115325442</v>
      </c>
      <c r="AT388" s="12">
        <v>1.2177474909415058</v>
      </c>
      <c r="AU388" s="12">
        <v>4.6351514576143771</v>
      </c>
      <c r="AV388" s="12" t="e">
        <v>#N/A</v>
      </c>
    </row>
    <row r="389" spans="37:48" x14ac:dyDescent="0.25">
      <c r="AK389" t="str">
        <v>chevrolet camaro</v>
      </c>
      <c r="AL389" s="12">
        <v>27</v>
      </c>
      <c r="AM389" s="12">
        <v>28.502445102925755</v>
      </c>
      <c r="AN389" s="12">
        <v>-1.5024451029257548</v>
      </c>
      <c r="AO389" s="12">
        <v>3.611000998796679E-2</v>
      </c>
      <c r="AP389" s="12">
        <v>-0.49892317917099432</v>
      </c>
      <c r="AQ389" s="12">
        <v>5.4855298049970834E-4</v>
      </c>
      <c r="AR389" s="12">
        <v>2.1964293827614645</v>
      </c>
      <c r="AS389" s="12">
        <v>2.7473960479992194</v>
      </c>
      <c r="AT389" s="12">
        <v>0.70634494347379195</v>
      </c>
      <c r="AU389" s="12">
        <v>-1.5587308909671302</v>
      </c>
      <c r="AV389" s="12" t="e">
        <v>#N/A</v>
      </c>
    </row>
    <row r="390" spans="37:48" x14ac:dyDescent="0.25">
      <c r="AK390" t="str">
        <v>ford mustang gl</v>
      </c>
      <c r="AL390" s="12">
        <v>27</v>
      </c>
      <c r="AM390" s="12">
        <v>29.377520369158603</v>
      </c>
      <c r="AN390" s="12">
        <v>-2.3775203691586029</v>
      </c>
      <c r="AO390" s="12">
        <v>3.5685808262497551E-2</v>
      </c>
      <c r="AP390" s="12">
        <v>-0.78933938116930435</v>
      </c>
      <c r="AQ390" s="12">
        <v>1.356299494152636E-3</v>
      </c>
      <c r="AR390" s="12">
        <v>2.2741131596554611</v>
      </c>
      <c r="AS390" s="12">
        <v>2.9429591190884881</v>
      </c>
      <c r="AT390" s="12">
        <v>0.88844773688118783</v>
      </c>
      <c r="AU390" s="12">
        <v>-2.4655038674426057</v>
      </c>
      <c r="AV390" s="12" t="e">
        <v>#N/A</v>
      </c>
    </row>
    <row r="391" spans="37:48" x14ac:dyDescent="0.25">
      <c r="AK391" t="str">
        <v>vw pickup</v>
      </c>
      <c r="AL391" s="12">
        <v>44</v>
      </c>
      <c r="AM391" s="12">
        <v>35.209308170705178</v>
      </c>
      <c r="AN391" s="12">
        <v>8.790691829294822</v>
      </c>
      <c r="AO391" s="12">
        <v>5.1635563700410413E-2</v>
      </c>
      <c r="AP391" s="12">
        <v>2.9429591190884881</v>
      </c>
      <c r="AQ391" s="12">
        <v>2.7739153271081101E-2</v>
      </c>
      <c r="AR391" s="12">
        <v>2.3685670592678738</v>
      </c>
      <c r="AS391" s="12">
        <v>3.1819916573400091</v>
      </c>
      <c r="AT391" s="12">
        <v>1.7155054995797852</v>
      </c>
      <c r="AU391" s="12">
        <v>9.2693183050970411</v>
      </c>
      <c r="AV391" s="12">
        <v>2.7739153271081101E-2</v>
      </c>
    </row>
    <row r="392" spans="37:48" x14ac:dyDescent="0.25">
      <c r="AK392" t="str">
        <v>dodge rampage</v>
      </c>
      <c r="AL392" s="12">
        <v>32</v>
      </c>
      <c r="AM392" s="12">
        <v>31.916331492548473</v>
      </c>
      <c r="AN392" s="12">
        <v>8.3668507451527319E-2</v>
      </c>
      <c r="AO392" s="12">
        <v>3.7995518466340882E-2</v>
      </c>
      <c r="AP392" s="12">
        <v>2.781136326470084E-2</v>
      </c>
      <c r="AQ392" s="12">
        <v>1.7970117380838996E-6</v>
      </c>
      <c r="AR392" s="12">
        <v>2.4905347542813567</v>
      </c>
      <c r="AS392" s="12">
        <v>3.2394353065249786</v>
      </c>
      <c r="AT392" s="12">
        <v>0.16676739269024038</v>
      </c>
      <c r="AU392" s="12">
        <v>8.6973095300076186E-2</v>
      </c>
      <c r="AV392" s="12" t="e">
        <v>#N/A</v>
      </c>
    </row>
    <row r="393" spans="37:48" x14ac:dyDescent="0.25">
      <c r="AK393" t="str">
        <v>ford ranger</v>
      </c>
      <c r="AL393" s="12">
        <v>28</v>
      </c>
      <c r="AM393" s="12">
        <v>30.326621479327649</v>
      </c>
      <c r="AN393" s="12">
        <v>-2.326621479327649</v>
      </c>
      <c r="AO393" s="12">
        <v>3.599303784431826E-2</v>
      </c>
      <c r="AP393" s="12">
        <v>-0.77256397256164122</v>
      </c>
      <c r="AQ393" s="12">
        <v>1.3108660454863893E-3</v>
      </c>
      <c r="AR393" s="12">
        <v>2.6670046532742755</v>
      </c>
      <c r="AS393" s="12">
        <v>3.4720773077781244</v>
      </c>
      <c r="AT393" s="12">
        <v>0.87895618352773497</v>
      </c>
      <c r="AU393" s="12">
        <v>-2.4134903280417519</v>
      </c>
      <c r="AV393" s="12" t="e">
        <v>#N/A</v>
      </c>
    </row>
    <row r="394" spans="37:48" x14ac:dyDescent="0.25">
      <c r="AK394" t="str">
        <v>chevy s-10</v>
      </c>
      <c r="AL394" s="12">
        <v>31</v>
      </c>
      <c r="AM394" s="12">
        <v>29.796897770030938</v>
      </c>
      <c r="AN394" s="12">
        <v>1.2031022299690619</v>
      </c>
      <c r="AO394" s="12">
        <v>3.5917225983654891E-2</v>
      </c>
      <c r="AP394" s="12">
        <v>0.39947920216775701</v>
      </c>
      <c r="AQ394" s="12">
        <v>3.4972597563339862E-4</v>
      </c>
      <c r="AR394" s="12">
        <v>3.0172230343004469</v>
      </c>
      <c r="AS394" s="12">
        <v>4.2007262122566926</v>
      </c>
      <c r="AT394" s="12">
        <v>0.63204367109224102</v>
      </c>
      <c r="AU394" s="12">
        <v>1.247924205674755</v>
      </c>
      <c r="AV394" s="12" t="e">
        <v>#N/A</v>
      </c>
    </row>
  </sheetData>
  <conditionalFormatting sqref="B1">
    <cfRule type="expression" dxfId="37" priority="11">
      <formula>$B$1&lt;&gt;""</formula>
    </cfRule>
  </conditionalFormatting>
  <conditionalFormatting sqref="C2">
    <cfRule type="expression" dxfId="36" priority="14" stopIfTrue="1">
      <formula>AND($C$2=FALSE,SUMPRODUCT(N(_xlfn.TAKE(Spec_Role,COLUMNS(Source_Data))="Predictor (x)"),N(_xlfn.TAKE(Spec_Include,COLUMNS(Source_Data))=TRUE),N(_xlfn.TAKE(Spec_Type,COLUMNS(Source_Data))="Categorical"))&gt;0)</formula>
    </cfRule>
    <cfRule type="expression" dxfId="35" priority="15">
      <formula>SUMPRODUCT(N(_xlfn.TAKE(Spec_Role,COLUMNS(Source_Data))="Predictor (x)"),N(_xlfn.TAKE(Spec_Include,COLUMNS(Source_Data))=TRUE),N(_xlfn.TAKE(Spec_Type,COLUMNS(Source_Data))="Categorical"))&gt;0</formula>
    </cfRule>
    <cfRule type="expression" dxfId="34" priority="16">
      <formula>AND($C$2=TRUE,SUMPRODUCT(N(_xlfn.TAKE(Spec_Role,COLUMNS(Source_Data))="Fixed Effects"))&gt;0)</formula>
    </cfRule>
  </conditionalFormatting>
  <conditionalFormatting sqref="C4:F16000">
    <cfRule type="expression" dxfId="33" priority="1">
      <formula>$B4&lt;&gt;"Predictor (x)"</formula>
    </cfRule>
  </conditionalFormatting>
  <conditionalFormatting sqref="E1">
    <cfRule type="expression" dxfId="32" priority="10">
      <formula>$E$1&lt;&gt;""</formula>
    </cfRule>
  </conditionalFormatting>
  <conditionalFormatting sqref="E4:E16000">
    <cfRule type="expression" dxfId="31" priority="9">
      <formula>AND($E4&lt;&gt;"",ISNA(Dummy_Levels(INDEX(Source_Data,0,ROW()-3),$E4,Sample_Include())))</formula>
    </cfRule>
  </conditionalFormatting>
  <conditionalFormatting sqref="G4:G16000">
    <cfRule type="expression" dxfId="30" priority="2">
      <formula>AND($B4&lt;&gt;"Predictor (x)",$B4&lt;&gt;"Response (y)")</formula>
    </cfRule>
    <cfRule type="expression" dxfId="29" priority="8">
      <formula>AND($B4="Predictor (x)",$D4="Categorical",$G4="Log")</formula>
    </cfRule>
  </conditionalFormatting>
  <conditionalFormatting sqref="H4:H16000">
    <cfRule type="expression" dxfId="28" priority="6">
      <formula>AND($H4=TRUE,SUMPRODUCT(N(_xlfn.TAKE(Spec_Sequence,COLUMNS(Source_Data))=TRUE))&gt;1)</formula>
    </cfRule>
  </conditionalFormatting>
  <conditionalFormatting sqref="H4:I16000">
    <cfRule type="expression" dxfId="27" priority="4">
      <formula>$H4&lt;&gt;TRUE</formula>
    </cfRule>
  </conditionalFormatting>
  <conditionalFormatting sqref="I2">
    <cfRule type="expression" dxfId="26" priority="12" stopIfTrue="1">
      <formula>OR(ISNUMBER(SEARCH("off-grid",$I$2)),ISNUMBER(SEARCH("calendar",$I$2)))</formula>
    </cfRule>
    <cfRule type="expression" dxfId="25" priority="13">
      <formula>OR(ISNUMBER(SEARCH("evenly spaced",$I$2)),ISNUMBER(SEARCH("no natural",$I$2)))</formula>
    </cfRule>
  </conditionalFormatting>
  <conditionalFormatting sqref="J4:J16000">
    <cfRule type="expression" dxfId="24" priority="5">
      <formula>$H4&lt;&gt;TRUE</formula>
    </cfRule>
  </conditionalFormatting>
  <conditionalFormatting sqref="K4:K16000">
    <cfRule type="expression" dxfId="23" priority="7">
      <formula>AND($B4="Predictor (x)",$C4=TRUE,$D4="Categorical",N($K4)&lt;=1)</formula>
    </cfRule>
  </conditionalFormatting>
  <conditionalFormatting sqref="K4:L16000">
    <cfRule type="expression" dxfId="22" priority="3">
      <formula>$B4&lt;&gt;"Predictor (x)"</formula>
    </cfRule>
  </conditionalFormatting>
  <conditionalFormatting sqref="U3:U1048576">
    <cfRule type="expression" dxfId="21" priority="17">
      <formula>AND(ISNUMBER(U3),U3&gt;5,U3&lt;=10)</formula>
    </cfRule>
    <cfRule type="expression" dxfId="20" priority="18">
      <formula>AND(ISNUMBER(U3),U3&gt;10)</formula>
    </cfRule>
  </conditionalFormatting>
  <conditionalFormatting sqref="AB5">
    <cfRule type="expression" dxfId="19" priority="19">
      <formula>AND(ISNUMBER(AB5),AB5&lt;0)</formula>
    </cfRule>
  </conditionalFormatting>
  <conditionalFormatting sqref="AB10">
    <cfRule type="expression" dxfId="18" priority="20">
      <formula>AND(ISNUMBER(AB10),AB10&lt;0.98,AB10&gt;=0.95)</formula>
    </cfRule>
    <cfRule type="expression" dxfId="17" priority="21">
      <formula>AND(ISNUMBER(AB10),AB10&lt;0.95)</formula>
    </cfRule>
  </conditionalFormatting>
  <conditionalFormatting sqref="AB21:AB1048576">
    <cfRule type="expression" dxfId="16" priority="22">
      <formula>AND(ISNUMBER(AB21),AB21&gt;$Y$12)</formula>
    </cfRule>
  </conditionalFormatting>
  <conditionalFormatting sqref="AC15">
    <cfRule type="expression" dxfId="15" priority="23">
      <formula>AND(ISNUMBER(AC15),AC15&gt;$Y$12)</formula>
    </cfRule>
  </conditionalFormatting>
  <conditionalFormatting sqref="AH12">
    <cfRule type="expression" dxfId="14" priority="24">
      <formula>ISNA(MATCH($AH$12,Prediction_Group_Column(),0))</formula>
    </cfRule>
  </conditionalFormatting>
  <conditionalFormatting sqref="AO3:AO1048576">
    <cfRule type="expression" dxfId="13" priority="25">
      <formula>AND(ISNUMBER(AO3),AO3&gt;2*$AB$6)</formula>
    </cfRule>
    <cfRule type="expression" dxfId="12" priority="26">
      <formula>AND(ISNUMBER(AO3),AO3&gt;3*$AB$6)</formula>
    </cfRule>
  </conditionalFormatting>
  <conditionalFormatting sqref="AP3:AP1048576">
    <cfRule type="expression" dxfId="11" priority="27">
      <formula>AND(ISNUMBER(AP3),ABS(AP3)&gt;2,ABS(AP3)&lt;3)</formula>
    </cfRule>
    <cfRule type="expression" dxfId="10" priority="28">
      <formula>AND(ISNUMBER(AP3),ABS(AP3)&gt;=3)</formula>
    </cfRule>
  </conditionalFormatting>
  <conditionalFormatting sqref="AQ3:AQ1048576">
    <cfRule type="expression" dxfId="9" priority="31">
      <formula>AND(ISNUMBER(AQ3),AQ3&gt;4/$Y$8,AQ3&lt;=0.9)</formula>
    </cfRule>
    <cfRule type="expression" dxfId="8" priority="32">
      <formula>AND(ISNUMBER(AQ3),AQ3&gt;0.9)</formula>
    </cfRule>
  </conditionalFormatting>
  <conditionalFormatting sqref="AS3:AS1048576">
    <cfRule type="expression" dxfId="7" priority="29">
      <formula>AND(ISNUMBER(AS3),ABS(AS3)&gt;2,ABS(AS3)&lt;3)</formula>
    </cfRule>
    <cfRule type="expression" dxfId="6" priority="30">
      <formula>AND(ISNUMBER(AS3),ABS(AS3)&gt;=3)</formula>
    </cfRule>
  </conditionalFormatting>
  <conditionalFormatting sqref="AT3:AT1048576">
    <cfRule type="expression" dxfId="5" priority="35">
      <formula>AND(ISNUMBER(AT3),AT3&gt;1.414,AT3&lt;=1.732)</formula>
    </cfRule>
    <cfRule type="expression" dxfId="4" priority="36">
      <formula>AND(ISNUMBER(AT3),AT3&gt;1.732)</formula>
    </cfRule>
  </conditionalFormatting>
  <conditionalFormatting sqref="AU3:AU1048576">
    <cfRule type="expression" dxfId="3" priority="37">
      <formula>AND(ISNUMBER(AU3),ABS(AU3)&gt;2*$Y$7,ABS(AU3)&lt;=3*$Y$7)</formula>
    </cfRule>
    <cfRule type="expression" dxfId="2" priority="38">
      <formula>AND(ISNUMBER(AU3),ABS(AU3)&gt;3*$Y$7)</formula>
    </cfRule>
  </conditionalFormatting>
  <conditionalFormatting sqref="AV3:AV1048576">
    <cfRule type="expression" dxfId="1" priority="33">
      <formula>AND(ISNUMBER(AV3),AV3&gt;4/$Y$8,AV3&lt;=0.9)</formula>
    </cfRule>
    <cfRule type="expression" dxfId="0" priority="34">
      <formula>AND(ISNUMBER(AV3),AV3&gt;0.9)</formula>
    </cfRule>
  </conditionalFormatting>
  <dataValidations count="5">
    <dataValidation type="list" allowBlank="1" showInputMessage="1" showErrorMessage="1" sqref="B4:B16000" xr:uid="{83B92B81-2D77-4F27-B806-7935657B16BB}">
      <formula1>"Response (y),Predictor (x),Identifier (Row Label),Filter,Omit,Fixed Effects"</formula1>
    </dataValidation>
    <dataValidation type="list" allowBlank="1" showInputMessage="1" showErrorMessage="1" sqref="C4:C16000 C2" xr:uid="{F275FF9B-66BC-4E73-A772-F6FFD12FC504}">
      <formula1>"TRUE,FALSE"</formula1>
    </dataValidation>
    <dataValidation type="list" allowBlank="1" showInputMessage="1" showErrorMessage="1" sqref="D4:D16000" xr:uid="{8B40EDEB-3458-461A-862D-1755C6B57F59}">
      <formula1>"Continuous,Categorical"</formula1>
    </dataValidation>
    <dataValidation type="list" allowBlank="1" showInputMessage="1" showErrorMessage="1" sqref="G4:G16000" xr:uid="{2CFE2436-8A4F-4275-AE7F-3C6A338C3FE4}">
      <formula1>"None,Log"</formula1>
    </dataValidation>
    <dataValidation type="list" allowBlank="1" showInputMessage="1" showErrorMessage="1" sqref="H4:H16000" xr:uid="{5C173797-0797-4ACC-A1CC-B54A01320721}">
      <formula1>"TRUE"</formula1>
    </dataValidation>
  </dataValidations>
  <pageMargins left="0.7" right="0.7" top="0.75" bottom="0.75" header="0.3" footer="0.3"/>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B4B-4455-43DA-AA0C-BFBCB830C23A}">
  <sheetPr>
    <tabColor rgb="FFDCE6F1"/>
  </sheetPr>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4" t="s">
        <v>1660</v>
      </c>
      <c r="B1" s="5"/>
      <c r="C1" s="5"/>
      <c r="D1" s="5"/>
    </row>
    <row r="2" spans="1:4" ht="105" x14ac:dyDescent="0.25">
      <c r="A2" s="2" t="s">
        <v>1661</v>
      </c>
    </row>
    <row r="4" spans="1:4" x14ac:dyDescent="0.25">
      <c r="A4" s="6" t="s">
        <v>1662</v>
      </c>
      <c r="B4" s="7"/>
      <c r="C4" s="7"/>
      <c r="D4" s="7"/>
    </row>
    <row r="5" spans="1:4" x14ac:dyDescent="0.25">
      <c r="A5" s="6" t="s">
        <v>1663</v>
      </c>
      <c r="B5" s="6" t="s">
        <v>1664</v>
      </c>
      <c r="C5" s="6" t="s">
        <v>1665</v>
      </c>
      <c r="D5" s="6" t="s">
        <v>1666</v>
      </c>
    </row>
    <row r="6" spans="1:4" ht="45" x14ac:dyDescent="0.25">
      <c r="A6" s="2" t="s">
        <v>1667</v>
      </c>
      <c r="B6" s="2" t="s">
        <v>1668</v>
      </c>
      <c r="C6" s="2" t="s">
        <v>251</v>
      </c>
      <c r="D6" s="2" t="s">
        <v>1669</v>
      </c>
    </row>
    <row r="7" spans="1:4" ht="60" x14ac:dyDescent="0.25">
      <c r="A7" s="2" t="s">
        <v>1670</v>
      </c>
      <c r="B7" s="2" t="s">
        <v>1671</v>
      </c>
      <c r="C7" s="2" t="s">
        <v>1672</v>
      </c>
      <c r="D7" s="2" t="s">
        <v>1673</v>
      </c>
    </row>
    <row r="8" spans="1:4" ht="45" x14ac:dyDescent="0.25">
      <c r="A8" s="2" t="s">
        <v>1674</v>
      </c>
      <c r="B8" s="2" t="s">
        <v>1668</v>
      </c>
      <c r="C8" s="2" t="s">
        <v>1675</v>
      </c>
      <c r="D8" s="2" t="s">
        <v>1676</v>
      </c>
    </row>
    <row r="10" spans="1:4" x14ac:dyDescent="0.25">
      <c r="A10" s="6" t="s">
        <v>1677</v>
      </c>
      <c r="B10" s="7"/>
      <c r="C10" s="7"/>
      <c r="D10" s="7"/>
    </row>
    <row r="11" spans="1:4" x14ac:dyDescent="0.25">
      <c r="A11" s="6" t="s">
        <v>1663</v>
      </c>
      <c r="B11" s="6" t="s">
        <v>1664</v>
      </c>
      <c r="C11" s="6" t="s">
        <v>1665</v>
      </c>
      <c r="D11" s="6" t="s">
        <v>1666</v>
      </c>
    </row>
    <row r="12" spans="1:4" ht="60" x14ac:dyDescent="0.25">
      <c r="A12" s="2" t="s">
        <v>1678</v>
      </c>
      <c r="B12" s="2" t="s">
        <v>1668</v>
      </c>
      <c r="C12" s="2" t="s">
        <v>1679</v>
      </c>
      <c r="D12" s="2" t="s">
        <v>1680</v>
      </c>
    </row>
    <row r="13" spans="1:4" ht="180" x14ac:dyDescent="0.25">
      <c r="A13" s="2" t="s">
        <v>1681</v>
      </c>
      <c r="B13" s="2" t="s">
        <v>1682</v>
      </c>
      <c r="C13" s="2" t="s">
        <v>1681</v>
      </c>
      <c r="D13" s="2" t="s">
        <v>1683</v>
      </c>
    </row>
    <row r="14" spans="1:4" ht="60" x14ac:dyDescent="0.25">
      <c r="A14" s="2" t="s">
        <v>1684</v>
      </c>
      <c r="B14" s="2" t="s">
        <v>1685</v>
      </c>
      <c r="C14" s="2" t="s">
        <v>1686</v>
      </c>
      <c r="D14" s="2" t="s">
        <v>1687</v>
      </c>
    </row>
    <row r="15" spans="1:4" ht="75" x14ac:dyDescent="0.25">
      <c r="A15" s="2" t="s">
        <v>1688</v>
      </c>
      <c r="B15" s="2" t="s">
        <v>1682</v>
      </c>
      <c r="C15" s="2" t="s">
        <v>1689</v>
      </c>
      <c r="D15" s="2" t="s">
        <v>1690</v>
      </c>
    </row>
    <row r="17" spans="1:4" x14ac:dyDescent="0.25">
      <c r="A17" s="6" t="s">
        <v>1691</v>
      </c>
      <c r="B17" s="7"/>
      <c r="C17" s="7"/>
      <c r="D17" s="7"/>
    </row>
    <row r="18" spans="1:4" x14ac:dyDescent="0.25">
      <c r="A18" s="6" t="s">
        <v>1692</v>
      </c>
      <c r="B18" s="6" t="s">
        <v>1693</v>
      </c>
      <c r="C18" s="6" t="s">
        <v>1694</v>
      </c>
      <c r="D18" s="6" t="s">
        <v>1695</v>
      </c>
    </row>
    <row r="19" spans="1:4" ht="30" x14ac:dyDescent="0.25">
      <c r="A19" s="2" t="s">
        <v>1696</v>
      </c>
      <c r="B19" s="2" t="s">
        <v>1697</v>
      </c>
      <c r="C19" s="2" t="s">
        <v>1698</v>
      </c>
      <c r="D19" s="2" t="s">
        <v>1699</v>
      </c>
    </row>
    <row r="20" spans="1:4" ht="30" x14ac:dyDescent="0.25">
      <c r="A20" s="2" t="s">
        <v>179</v>
      </c>
      <c r="B20" s="2" t="s">
        <v>1700</v>
      </c>
      <c r="C20" s="2" t="s">
        <v>1701</v>
      </c>
      <c r="D20" s="2" t="s">
        <v>1702</v>
      </c>
    </row>
    <row r="21" spans="1:4" x14ac:dyDescent="0.25">
      <c r="A21" s="2" t="s">
        <v>1703</v>
      </c>
      <c r="B21" s="2" t="s">
        <v>1704</v>
      </c>
      <c r="C21" s="2" t="s">
        <v>1705</v>
      </c>
      <c r="D21" s="2" t="s">
        <v>1706</v>
      </c>
    </row>
    <row r="22" spans="1:4" ht="30" x14ac:dyDescent="0.25">
      <c r="A22" s="2" t="s">
        <v>1707</v>
      </c>
      <c r="B22" s="2" t="s">
        <v>1708</v>
      </c>
      <c r="C22" s="2" t="s">
        <v>1709</v>
      </c>
      <c r="D22" s="2" t="s">
        <v>1710</v>
      </c>
    </row>
    <row r="23" spans="1:4" x14ac:dyDescent="0.25">
      <c r="A23" s="2" t="s">
        <v>1711</v>
      </c>
      <c r="B23" s="2" t="s">
        <v>1712</v>
      </c>
      <c r="C23" s="2" t="s">
        <v>1705</v>
      </c>
      <c r="D23" s="2" t="s">
        <v>1713</v>
      </c>
    </row>
    <row r="24" spans="1:4" x14ac:dyDescent="0.25">
      <c r="A24" s="2" t="s">
        <v>1714</v>
      </c>
      <c r="B24" s="2" t="s">
        <v>1715</v>
      </c>
      <c r="C24" s="2" t="s">
        <v>1705</v>
      </c>
      <c r="D24" s="2" t="s">
        <v>1716</v>
      </c>
    </row>
    <row r="25" spans="1:4" x14ac:dyDescent="0.25">
      <c r="A25" s="2" t="s">
        <v>1685</v>
      </c>
      <c r="B25" s="2" t="s">
        <v>1717</v>
      </c>
      <c r="C25" s="2" t="s">
        <v>1705</v>
      </c>
      <c r="D25" s="2" t="s">
        <v>1718</v>
      </c>
    </row>
    <row r="26" spans="1:4" ht="30" x14ac:dyDescent="0.25">
      <c r="A26" s="2" t="s">
        <v>1686</v>
      </c>
      <c r="B26" s="2" t="s">
        <v>1719</v>
      </c>
      <c r="C26" s="2" t="s">
        <v>1720</v>
      </c>
      <c r="D26" s="2" t="s">
        <v>1721</v>
      </c>
    </row>
    <row r="27" spans="1:4" x14ac:dyDescent="0.25">
      <c r="A27" s="2" t="s">
        <v>1681</v>
      </c>
      <c r="B27" s="2" t="s">
        <v>1722</v>
      </c>
      <c r="C27" s="2" t="s">
        <v>1723</v>
      </c>
      <c r="D27" s="2" t="s">
        <v>1724</v>
      </c>
    </row>
    <row r="28" spans="1:4" ht="30" x14ac:dyDescent="0.25">
      <c r="A28" s="2" t="s">
        <v>1678</v>
      </c>
      <c r="B28" s="2" t="s">
        <v>1725</v>
      </c>
      <c r="C28" s="2" t="s">
        <v>1726</v>
      </c>
      <c r="D28" s="2" t="s">
        <v>1727</v>
      </c>
    </row>
    <row r="29" spans="1:4" x14ac:dyDescent="0.25">
      <c r="A29" s="2" t="s">
        <v>1728</v>
      </c>
      <c r="B29" s="2" t="s">
        <v>1729</v>
      </c>
      <c r="C29" s="2" t="s">
        <v>1730</v>
      </c>
      <c r="D29" s="2" t="s">
        <v>1731</v>
      </c>
    </row>
    <row r="31" spans="1:4" x14ac:dyDescent="0.25">
      <c r="A31" s="6" t="s">
        <v>1732</v>
      </c>
      <c r="B31" s="7"/>
      <c r="C31" s="7"/>
    </row>
    <row r="32" spans="1:4" x14ac:dyDescent="0.25">
      <c r="A32" s="6" t="s">
        <v>1733</v>
      </c>
      <c r="B32" s="6" t="s">
        <v>1734</v>
      </c>
      <c r="C32" s="6" t="s">
        <v>1735</v>
      </c>
    </row>
    <row r="33" spans="1:3" ht="120" x14ac:dyDescent="0.25">
      <c r="A33" s="2" t="s">
        <v>1736</v>
      </c>
      <c r="B33" s="2" t="s">
        <v>1737</v>
      </c>
      <c r="C33" s="2" t="s">
        <v>1738</v>
      </c>
    </row>
    <row r="34" spans="1:3" ht="105" x14ac:dyDescent="0.25">
      <c r="A34" s="2" t="s">
        <v>1739</v>
      </c>
      <c r="B34" s="2" t="s">
        <v>1740</v>
      </c>
      <c r="C34" s="2" t="s">
        <v>1741</v>
      </c>
    </row>
    <row r="35" spans="1:3" ht="120" x14ac:dyDescent="0.25">
      <c r="A35" s="2" t="s">
        <v>1742</v>
      </c>
      <c r="B35" s="2" t="s">
        <v>1743</v>
      </c>
      <c r="C35" s="2" t="s">
        <v>1744</v>
      </c>
    </row>
    <row r="36" spans="1:3" ht="240" x14ac:dyDescent="0.25">
      <c r="A36" s="2" t="s">
        <v>1745</v>
      </c>
      <c r="B36" s="2" t="s">
        <v>1746</v>
      </c>
      <c r="C36" s="2" t="s">
        <v>1747</v>
      </c>
    </row>
    <row r="37" spans="1:3" ht="150" x14ac:dyDescent="0.25">
      <c r="A37" s="2" t="s">
        <v>1748</v>
      </c>
      <c r="B37" s="2" t="s">
        <v>1749</v>
      </c>
      <c r="C37" s="2" t="s">
        <v>1750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8D4EA-07F8-4866-87B5-040F520D2812}">
  <dimension ref="A1:G127"/>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13</v>
      </c>
    </row>
    <row r="3" spans="1:7" ht="105" x14ac:dyDescent="0.25">
      <c r="A3" s="2" t="s">
        <v>14</v>
      </c>
      <c r="B3" s="2" t="s">
        <v>8</v>
      </c>
      <c r="C3" s="1" t="s">
        <v>15</v>
      </c>
      <c r="D3" s="2" t="s">
        <v>16</v>
      </c>
      <c r="E3" s="2" t="s">
        <v>17</v>
      </c>
      <c r="F3" s="2" t="s">
        <v>18</v>
      </c>
      <c r="G3" s="2" t="s">
        <v>19</v>
      </c>
    </row>
    <row r="4" spans="1:7" ht="105" x14ac:dyDescent="0.25">
      <c r="A4" s="2" t="s">
        <v>20</v>
      </c>
      <c r="B4" s="2" t="s">
        <v>8</v>
      </c>
      <c r="C4" s="1" t="s">
        <v>21</v>
      </c>
      <c r="D4" s="2" t="s">
        <v>22</v>
      </c>
      <c r="E4" s="2" t="s">
        <v>23</v>
      </c>
      <c r="F4" s="2" t="s">
        <v>24</v>
      </c>
      <c r="G4" s="2" t="s">
        <v>25</v>
      </c>
    </row>
    <row r="5" spans="1:7" ht="120" x14ac:dyDescent="0.25">
      <c r="A5" s="2" t="s">
        <v>26</v>
      </c>
      <c r="B5" s="2" t="s">
        <v>8</v>
      </c>
      <c r="C5" s="1" t="s">
        <v>27</v>
      </c>
      <c r="D5" s="2" t="s">
        <v>28</v>
      </c>
      <c r="E5" s="2" t="s">
        <v>29</v>
      </c>
      <c r="F5" s="2" t="s">
        <v>30</v>
      </c>
      <c r="G5" s="2" t="s">
        <v>31</v>
      </c>
    </row>
    <row r="6" spans="1:7" ht="240" x14ac:dyDescent="0.25">
      <c r="A6" s="2" t="s">
        <v>32</v>
      </c>
      <c r="B6" s="2" t="s">
        <v>8</v>
      </c>
      <c r="C6" s="1" t="s">
        <v>33</v>
      </c>
      <c r="D6" s="2" t="s">
        <v>34</v>
      </c>
      <c r="E6" s="2" t="s">
        <v>35</v>
      </c>
      <c r="F6" s="2" t="s">
        <v>36</v>
      </c>
      <c r="G6" s="2" t="s">
        <v>37</v>
      </c>
    </row>
    <row r="7" spans="1:7" ht="120" x14ac:dyDescent="0.25">
      <c r="A7" s="2" t="s">
        <v>38</v>
      </c>
      <c r="B7" s="2" t="s">
        <v>8</v>
      </c>
      <c r="C7" s="1" t="s">
        <v>39</v>
      </c>
      <c r="D7" s="2" t="s">
        <v>28</v>
      </c>
      <c r="E7" s="2" t="s">
        <v>40</v>
      </c>
      <c r="F7" s="2" t="s">
        <v>41</v>
      </c>
      <c r="G7" s="2" t="s">
        <v>42</v>
      </c>
    </row>
    <row r="8" spans="1:7" ht="210" x14ac:dyDescent="0.25">
      <c r="A8" s="2" t="s">
        <v>43</v>
      </c>
      <c r="B8" s="2" t="s">
        <v>8</v>
      </c>
      <c r="C8" s="1" t="s">
        <v>44</v>
      </c>
      <c r="D8" s="2" t="s">
        <v>45</v>
      </c>
      <c r="E8" s="2" t="s">
        <v>46</v>
      </c>
      <c r="F8" s="2" t="s">
        <v>47</v>
      </c>
      <c r="G8" s="2" t="s">
        <v>48</v>
      </c>
    </row>
    <row r="9" spans="1:7" ht="120" x14ac:dyDescent="0.25">
      <c r="A9" s="2" t="s">
        <v>49</v>
      </c>
      <c r="B9" s="2" t="s">
        <v>8</v>
      </c>
      <c r="C9" s="1" t="s">
        <v>50</v>
      </c>
      <c r="D9" s="2" t="s">
        <v>22</v>
      </c>
      <c r="E9" s="2" t="s">
        <v>51</v>
      </c>
      <c r="F9" s="2" t="s">
        <v>52</v>
      </c>
      <c r="G9" s="2" t="s">
        <v>53</v>
      </c>
    </row>
    <row r="10" spans="1:7" ht="120" x14ac:dyDescent="0.25">
      <c r="A10" s="2" t="s">
        <v>54</v>
      </c>
      <c r="B10" s="2" t="s">
        <v>8</v>
      </c>
      <c r="C10" s="1" t="s">
        <v>55</v>
      </c>
      <c r="D10" s="2" t="s">
        <v>28</v>
      </c>
      <c r="E10" s="2" t="s">
        <v>56</v>
      </c>
      <c r="F10" s="2" t="s">
        <v>57</v>
      </c>
      <c r="G10" s="2" t="s">
        <v>58</v>
      </c>
    </row>
    <row r="11" spans="1:7" ht="120" x14ac:dyDescent="0.25">
      <c r="A11" s="2" t="s">
        <v>59</v>
      </c>
      <c r="B11" s="2" t="s">
        <v>8</v>
      </c>
      <c r="C11" s="1" t="s">
        <v>60</v>
      </c>
      <c r="D11" s="2" t="s">
        <v>28</v>
      </c>
      <c r="E11" s="2" t="s">
        <v>61</v>
      </c>
      <c r="F11" s="2" t="s">
        <v>62</v>
      </c>
      <c r="G11" s="2" t="s">
        <v>63</v>
      </c>
    </row>
    <row r="12" spans="1:7" ht="120" x14ac:dyDescent="0.25">
      <c r="A12" s="2" t="s">
        <v>64</v>
      </c>
      <c r="B12" s="2" t="s">
        <v>8</v>
      </c>
      <c r="C12" s="1" t="s">
        <v>65</v>
      </c>
      <c r="D12" s="2" t="s">
        <v>28</v>
      </c>
      <c r="E12" s="2" t="s">
        <v>66</v>
      </c>
      <c r="F12" s="2" t="s">
        <v>67</v>
      </c>
      <c r="G12" s="2" t="s">
        <v>68</v>
      </c>
    </row>
    <row r="13" spans="1:7" ht="210" x14ac:dyDescent="0.25">
      <c r="A13" s="2" t="s">
        <v>69</v>
      </c>
      <c r="B13" s="2" t="s">
        <v>8</v>
      </c>
      <c r="C13" s="1" t="s">
        <v>70</v>
      </c>
      <c r="D13" s="2" t="s">
        <v>45</v>
      </c>
      <c r="E13" s="2" t="s">
        <v>71</v>
      </c>
      <c r="F13" s="2" t="s">
        <v>72</v>
      </c>
      <c r="G13" s="2" t="s">
        <v>73</v>
      </c>
    </row>
    <row r="14" spans="1:7" ht="210" x14ac:dyDescent="0.25">
      <c r="A14" s="2" t="s">
        <v>74</v>
      </c>
      <c r="B14" s="2" t="s">
        <v>8</v>
      </c>
      <c r="C14" s="1" t="s">
        <v>75</v>
      </c>
      <c r="D14" s="2" t="s">
        <v>45</v>
      </c>
      <c r="E14" s="2" t="s">
        <v>76</v>
      </c>
      <c r="F14" s="2" t="s">
        <v>77</v>
      </c>
      <c r="G14" s="2" t="s">
        <v>78</v>
      </c>
    </row>
    <row r="15" spans="1:7" ht="120" x14ac:dyDescent="0.25">
      <c r="A15" s="2" t="s">
        <v>79</v>
      </c>
      <c r="B15" s="2" t="s">
        <v>8</v>
      </c>
      <c r="C15" s="1" t="s">
        <v>80</v>
      </c>
      <c r="D15" s="2" t="s">
        <v>28</v>
      </c>
      <c r="E15" s="2" t="s">
        <v>81</v>
      </c>
      <c r="F15" s="2" t="s">
        <v>82</v>
      </c>
      <c r="G15" s="2" t="s">
        <v>83</v>
      </c>
    </row>
    <row r="16" spans="1:7" ht="240" x14ac:dyDescent="0.25">
      <c r="A16" s="2" t="s">
        <v>84</v>
      </c>
      <c r="B16" s="2" t="s">
        <v>8</v>
      </c>
      <c r="C16" s="1" t="s">
        <v>85</v>
      </c>
      <c r="D16" s="2" t="s">
        <v>86</v>
      </c>
      <c r="E16" s="2" t="s">
        <v>87</v>
      </c>
      <c r="F16" s="2" t="s">
        <v>88</v>
      </c>
      <c r="G16" s="2" t="s">
        <v>89</v>
      </c>
    </row>
    <row r="17" spans="1:7" ht="240" x14ac:dyDescent="0.25">
      <c r="A17" s="2" t="s">
        <v>90</v>
      </c>
      <c r="B17" s="2" t="s">
        <v>8</v>
      </c>
      <c r="C17" s="1" t="s">
        <v>91</v>
      </c>
      <c r="D17" s="2" t="s">
        <v>86</v>
      </c>
      <c r="E17" s="2" t="s">
        <v>92</v>
      </c>
      <c r="F17" s="2" t="s">
        <v>93</v>
      </c>
      <c r="G17" s="2" t="s">
        <v>94</v>
      </c>
    </row>
    <row r="18" spans="1:7" ht="240" x14ac:dyDescent="0.25">
      <c r="A18" s="2" t="s">
        <v>95</v>
      </c>
      <c r="B18" s="2" t="s">
        <v>8</v>
      </c>
      <c r="C18" s="1" t="s">
        <v>96</v>
      </c>
      <c r="D18" s="2" t="s">
        <v>97</v>
      </c>
      <c r="E18" s="2" t="s">
        <v>98</v>
      </c>
      <c r="F18" s="2" t="s">
        <v>99</v>
      </c>
      <c r="G18" s="2" t="s">
        <v>100</v>
      </c>
    </row>
    <row r="19" spans="1:7" ht="135" x14ac:dyDescent="0.25">
      <c r="A19" s="2" t="s">
        <v>101</v>
      </c>
      <c r="B19" s="2" t="s">
        <v>8</v>
      </c>
      <c r="C19" s="1" t="s">
        <v>102</v>
      </c>
      <c r="D19" s="2" t="s">
        <v>28</v>
      </c>
      <c r="E19" s="2" t="s">
        <v>103</v>
      </c>
      <c r="F19" s="2" t="s">
        <v>104</v>
      </c>
      <c r="G19" s="2" t="s">
        <v>105</v>
      </c>
    </row>
    <row r="20" spans="1:7" ht="375" x14ac:dyDescent="0.25">
      <c r="A20" s="2" t="s">
        <v>106</v>
      </c>
      <c r="B20" s="2" t="s">
        <v>8</v>
      </c>
      <c r="C20" s="1" t="s">
        <v>107</v>
      </c>
      <c r="D20" s="2" t="s">
        <v>108</v>
      </c>
      <c r="E20" s="2" t="s">
        <v>109</v>
      </c>
      <c r="F20" s="2" t="s">
        <v>110</v>
      </c>
      <c r="G20" s="2" t="s">
        <v>111</v>
      </c>
    </row>
    <row r="21" spans="1:7" ht="409.5" x14ac:dyDescent="0.25">
      <c r="A21" s="2" t="s">
        <v>112</v>
      </c>
      <c r="B21" s="2" t="s">
        <v>8</v>
      </c>
      <c r="C21" s="1" t="s">
        <v>113</v>
      </c>
      <c r="D21" s="2" t="s">
        <v>114</v>
      </c>
      <c r="E21" s="2" t="s">
        <v>115</v>
      </c>
      <c r="F21" s="2" t="s">
        <v>116</v>
      </c>
      <c r="G21" s="2" t="s">
        <v>117</v>
      </c>
    </row>
    <row r="22" spans="1:7" ht="210" x14ac:dyDescent="0.25">
      <c r="A22" s="2" t="s">
        <v>118</v>
      </c>
      <c r="B22" s="2" t="s">
        <v>8</v>
      </c>
      <c r="C22" s="1" t="s">
        <v>119</v>
      </c>
      <c r="D22" s="2" t="s">
        <v>120</v>
      </c>
      <c r="E22" s="2" t="s">
        <v>121</v>
      </c>
      <c r="F22" s="2" t="s">
        <v>122</v>
      </c>
      <c r="G22" s="2" t="s">
        <v>123</v>
      </c>
    </row>
    <row r="23" spans="1:7" ht="165" x14ac:dyDescent="0.25">
      <c r="A23" s="2" t="s">
        <v>124</v>
      </c>
      <c r="B23" s="2" t="s">
        <v>8</v>
      </c>
      <c r="C23" s="1" t="s">
        <v>125</v>
      </c>
      <c r="D23" s="2" t="s">
        <v>28</v>
      </c>
      <c r="E23" s="2" t="s">
        <v>126</v>
      </c>
      <c r="F23" s="2" t="s">
        <v>127</v>
      </c>
      <c r="G23" s="2" t="s">
        <v>128</v>
      </c>
    </row>
    <row r="24" spans="1:7" ht="300" x14ac:dyDescent="0.25">
      <c r="A24" s="2" t="s">
        <v>129</v>
      </c>
      <c r="B24" s="2" t="s">
        <v>8</v>
      </c>
      <c r="C24" s="1" t="s">
        <v>130</v>
      </c>
      <c r="D24" s="2" t="s">
        <v>131</v>
      </c>
      <c r="E24" s="2" t="s">
        <v>132</v>
      </c>
      <c r="F24" s="2" t="s">
        <v>133</v>
      </c>
      <c r="G24" s="2" t="s">
        <v>134</v>
      </c>
    </row>
    <row r="25" spans="1:7" ht="225" x14ac:dyDescent="0.25">
      <c r="A25" s="2" t="s">
        <v>135</v>
      </c>
      <c r="B25" s="2" t="s">
        <v>8</v>
      </c>
      <c r="C25" s="1" t="s">
        <v>136</v>
      </c>
      <c r="D25" s="2" t="s">
        <v>137</v>
      </c>
      <c r="E25" s="2" t="s">
        <v>138</v>
      </c>
      <c r="F25" s="2" t="s">
        <v>139</v>
      </c>
      <c r="G25" s="2" t="s">
        <v>140</v>
      </c>
    </row>
    <row r="26" spans="1:7" ht="225" x14ac:dyDescent="0.25">
      <c r="A26" s="2" t="s">
        <v>141</v>
      </c>
      <c r="B26" s="2" t="s">
        <v>8</v>
      </c>
      <c r="C26" s="1" t="s">
        <v>142</v>
      </c>
      <c r="D26" s="2" t="s">
        <v>143</v>
      </c>
      <c r="E26" s="2" t="s">
        <v>144</v>
      </c>
      <c r="F26" s="2" t="s">
        <v>145</v>
      </c>
      <c r="G26" s="2" t="s">
        <v>146</v>
      </c>
    </row>
    <row r="27" spans="1:7" ht="270" x14ac:dyDescent="0.25">
      <c r="A27" s="2" t="s">
        <v>147</v>
      </c>
      <c r="B27" s="2" t="s">
        <v>8</v>
      </c>
      <c r="C27" s="1" t="s">
        <v>148</v>
      </c>
      <c r="D27" s="2" t="s">
        <v>149</v>
      </c>
      <c r="E27" s="2" t="s">
        <v>150</v>
      </c>
      <c r="F27" s="2" t="s">
        <v>151</v>
      </c>
      <c r="G27" s="2" t="s">
        <v>152</v>
      </c>
    </row>
    <row r="28" spans="1:7" ht="270" x14ac:dyDescent="0.25">
      <c r="A28" s="2" t="s">
        <v>153</v>
      </c>
      <c r="B28" s="2" t="s">
        <v>8</v>
      </c>
      <c r="C28" s="1" t="s">
        <v>154</v>
      </c>
      <c r="D28" s="2" t="s">
        <v>149</v>
      </c>
      <c r="E28" s="2" t="s">
        <v>155</v>
      </c>
      <c r="F28" s="2" t="s">
        <v>156</v>
      </c>
      <c r="G28" s="2" t="s">
        <v>157</v>
      </c>
    </row>
    <row r="29" spans="1:7" ht="225" x14ac:dyDescent="0.25">
      <c r="A29" s="2" t="s">
        <v>158</v>
      </c>
      <c r="B29" s="2" t="s">
        <v>8</v>
      </c>
      <c r="C29" s="1" t="s">
        <v>159</v>
      </c>
      <c r="D29" s="2" t="s">
        <v>143</v>
      </c>
      <c r="E29" s="2" t="s">
        <v>160</v>
      </c>
      <c r="F29" s="2" t="s">
        <v>161</v>
      </c>
      <c r="G29" s="2" t="s">
        <v>162</v>
      </c>
    </row>
    <row r="30" spans="1:7" ht="225" x14ac:dyDescent="0.25">
      <c r="A30" s="2" t="s">
        <v>163</v>
      </c>
      <c r="B30" s="2" t="s">
        <v>8</v>
      </c>
      <c r="C30" s="1" t="s">
        <v>164</v>
      </c>
      <c r="D30" s="2" t="s">
        <v>143</v>
      </c>
      <c r="E30" s="2" t="s">
        <v>165</v>
      </c>
      <c r="F30" s="2" t="s">
        <v>166</v>
      </c>
      <c r="G30" s="2" t="s">
        <v>167</v>
      </c>
    </row>
    <row r="31" spans="1:7" ht="180" x14ac:dyDescent="0.25">
      <c r="A31" s="2" t="s">
        <v>168</v>
      </c>
      <c r="B31" s="2" t="s">
        <v>8</v>
      </c>
      <c r="C31" s="1" t="s">
        <v>169</v>
      </c>
      <c r="D31" s="2" t="s">
        <v>28</v>
      </c>
      <c r="E31" s="2" t="s">
        <v>170</v>
      </c>
      <c r="F31" s="2" t="s">
        <v>171</v>
      </c>
      <c r="G31" s="2" t="s">
        <v>172</v>
      </c>
    </row>
    <row r="32" spans="1:7" ht="300" x14ac:dyDescent="0.25">
      <c r="A32" s="2" t="s">
        <v>173</v>
      </c>
      <c r="B32" s="2" t="s">
        <v>8</v>
      </c>
      <c r="C32" s="1" t="s">
        <v>174</v>
      </c>
      <c r="D32" s="2" t="s">
        <v>175</v>
      </c>
      <c r="E32" s="2" t="s">
        <v>176</v>
      </c>
      <c r="F32" s="2" t="s">
        <v>177</v>
      </c>
      <c r="G32" s="2" t="s">
        <v>178</v>
      </c>
    </row>
    <row r="33" spans="1:7" ht="120" x14ac:dyDescent="0.25">
      <c r="A33" s="2" t="s">
        <v>179</v>
      </c>
      <c r="B33" s="2" t="s">
        <v>8</v>
      </c>
      <c r="C33" s="1" t="s">
        <v>180</v>
      </c>
      <c r="D33" s="2" t="s">
        <v>181</v>
      </c>
      <c r="E33" s="2" t="s">
        <v>182</v>
      </c>
      <c r="F33" s="2" t="s">
        <v>183</v>
      </c>
      <c r="G33" s="2" t="s">
        <v>184</v>
      </c>
    </row>
    <row r="34" spans="1:7" ht="345" x14ac:dyDescent="0.25">
      <c r="A34" s="2" t="s">
        <v>185</v>
      </c>
      <c r="B34" s="2" t="s">
        <v>8</v>
      </c>
      <c r="C34" s="1" t="s">
        <v>186</v>
      </c>
      <c r="D34" s="2" t="s">
        <v>187</v>
      </c>
      <c r="E34" s="2" t="s">
        <v>188</v>
      </c>
      <c r="F34" s="2" t="s">
        <v>189</v>
      </c>
      <c r="G34" s="2" t="s">
        <v>190</v>
      </c>
    </row>
    <row r="35" spans="1:7" ht="240" x14ac:dyDescent="0.25">
      <c r="A35" s="2" t="s">
        <v>191</v>
      </c>
      <c r="B35" s="2" t="s">
        <v>8</v>
      </c>
      <c r="C35" s="1" t="s">
        <v>192</v>
      </c>
      <c r="D35" s="2" t="s">
        <v>193</v>
      </c>
      <c r="E35" s="2" t="s">
        <v>194</v>
      </c>
      <c r="F35" s="2" t="s">
        <v>195</v>
      </c>
      <c r="G35" s="2" t="s">
        <v>196</v>
      </c>
    </row>
    <row r="36" spans="1:7" ht="409.5" x14ac:dyDescent="0.25">
      <c r="A36" s="2" t="s">
        <v>197</v>
      </c>
      <c r="B36" s="2" t="s">
        <v>8</v>
      </c>
      <c r="C36" s="1" t="s">
        <v>198</v>
      </c>
      <c r="D36" s="2" t="s">
        <v>199</v>
      </c>
      <c r="E36" s="2" t="s">
        <v>200</v>
      </c>
      <c r="F36" s="2" t="s">
        <v>201</v>
      </c>
      <c r="G36" s="2" t="s">
        <v>202</v>
      </c>
    </row>
    <row r="37" spans="1:7" ht="409.5" x14ac:dyDescent="0.25">
      <c r="A37" s="2" t="s">
        <v>203</v>
      </c>
      <c r="B37" s="2" t="s">
        <v>8</v>
      </c>
      <c r="C37" s="1" t="s">
        <v>204</v>
      </c>
      <c r="D37" s="2" t="s">
        <v>205</v>
      </c>
      <c r="E37" s="2" t="s">
        <v>206</v>
      </c>
      <c r="F37" s="2" t="s">
        <v>207</v>
      </c>
      <c r="G37" s="2" t="s">
        <v>208</v>
      </c>
    </row>
    <row r="38" spans="1:7" ht="60" x14ac:dyDescent="0.25">
      <c r="A38" s="2" t="s">
        <v>209</v>
      </c>
      <c r="B38" s="2" t="s">
        <v>8</v>
      </c>
      <c r="C38" s="1" t="s">
        <v>210</v>
      </c>
      <c r="D38" s="2" t="s">
        <v>10</v>
      </c>
      <c r="E38" s="2" t="s">
        <v>211</v>
      </c>
      <c r="F38" s="2" t="s">
        <v>212</v>
      </c>
      <c r="G38" s="2" t="s">
        <v>213</v>
      </c>
    </row>
    <row r="39" spans="1:7" ht="90" x14ac:dyDescent="0.25">
      <c r="A39" s="2" t="s">
        <v>214</v>
      </c>
      <c r="B39" s="2" t="s">
        <v>8</v>
      </c>
      <c r="C39" s="1" t="s">
        <v>215</v>
      </c>
      <c r="D39" s="2" t="s">
        <v>10</v>
      </c>
      <c r="E39" s="2" t="s">
        <v>216</v>
      </c>
      <c r="F39" s="2" t="s">
        <v>217</v>
      </c>
      <c r="G39" s="2" t="s">
        <v>218</v>
      </c>
    </row>
    <row r="40" spans="1:7" ht="60" x14ac:dyDescent="0.25">
      <c r="A40" s="2" t="s">
        <v>219</v>
      </c>
      <c r="B40" s="2" t="s">
        <v>8</v>
      </c>
      <c r="C40" s="1" t="s">
        <v>220</v>
      </c>
      <c r="D40" s="2" t="s">
        <v>10</v>
      </c>
      <c r="E40" s="2" t="s">
        <v>221</v>
      </c>
      <c r="F40" s="2" t="s">
        <v>222</v>
      </c>
      <c r="G40" s="2" t="s">
        <v>223</v>
      </c>
    </row>
    <row r="41" spans="1:7" ht="90" x14ac:dyDescent="0.25">
      <c r="A41" s="2" t="s">
        <v>224</v>
      </c>
      <c r="B41" s="2" t="s">
        <v>8</v>
      </c>
      <c r="C41" s="1" t="s">
        <v>225</v>
      </c>
      <c r="D41" s="2" t="s">
        <v>10</v>
      </c>
      <c r="E41" s="2" t="s">
        <v>226</v>
      </c>
      <c r="F41" s="2" t="s">
        <v>227</v>
      </c>
      <c r="G41" s="2" t="s">
        <v>228</v>
      </c>
    </row>
    <row r="42" spans="1:7" ht="120" x14ac:dyDescent="0.25">
      <c r="A42" s="2" t="s">
        <v>229</v>
      </c>
      <c r="B42" s="2" t="s">
        <v>8</v>
      </c>
      <c r="C42" s="1" t="s">
        <v>230</v>
      </c>
      <c r="D42" s="2" t="s">
        <v>10</v>
      </c>
      <c r="E42" s="2" t="s">
        <v>231</v>
      </c>
      <c r="F42" s="2" t="s">
        <v>232</v>
      </c>
      <c r="G42" s="2" t="s">
        <v>233</v>
      </c>
    </row>
    <row r="43" spans="1:7" ht="165" x14ac:dyDescent="0.25">
      <c r="A43" s="2" t="s">
        <v>234</v>
      </c>
      <c r="B43" s="2" t="s">
        <v>8</v>
      </c>
      <c r="C43" s="1" t="s">
        <v>235</v>
      </c>
      <c r="D43" s="2" t="s">
        <v>236</v>
      </c>
      <c r="E43" s="2" t="s">
        <v>237</v>
      </c>
      <c r="F43" s="2" t="s">
        <v>238</v>
      </c>
      <c r="G43" s="2" t="s">
        <v>239</v>
      </c>
    </row>
    <row r="44" spans="1:7" ht="105" x14ac:dyDescent="0.25">
      <c r="A44" s="2" t="s">
        <v>240</v>
      </c>
      <c r="B44" s="2" t="s">
        <v>8</v>
      </c>
      <c r="C44" s="1" t="s">
        <v>241</v>
      </c>
      <c r="D44" s="2" t="s">
        <v>242</v>
      </c>
      <c r="E44" s="2" t="s">
        <v>243</v>
      </c>
      <c r="F44" s="2" t="s">
        <v>244</v>
      </c>
      <c r="G44" s="2" t="s">
        <v>245</v>
      </c>
    </row>
    <row r="45" spans="1:7" ht="135" x14ac:dyDescent="0.25">
      <c r="A45" s="2" t="s">
        <v>246</v>
      </c>
      <c r="B45" s="2" t="s">
        <v>8</v>
      </c>
      <c r="C45" s="1" t="s">
        <v>247</v>
      </c>
      <c r="D45" s="2" t="s">
        <v>28</v>
      </c>
      <c r="E45" s="2" t="s">
        <v>248</v>
      </c>
      <c r="F45" s="2" t="s">
        <v>249</v>
      </c>
      <c r="G45" s="2" t="s">
        <v>250</v>
      </c>
    </row>
    <row r="46" spans="1:7" ht="120" x14ac:dyDescent="0.25">
      <c r="A46" s="2" t="s">
        <v>251</v>
      </c>
      <c r="B46" s="2" t="s">
        <v>8</v>
      </c>
      <c r="C46" s="1" t="s">
        <v>252</v>
      </c>
      <c r="D46" s="2" t="s">
        <v>28</v>
      </c>
      <c r="E46" s="2" t="s">
        <v>253</v>
      </c>
      <c r="F46" s="2" t="s">
        <v>254</v>
      </c>
      <c r="G46" s="2" t="s">
        <v>255</v>
      </c>
    </row>
    <row r="47" spans="1:7" ht="195" x14ac:dyDescent="0.25">
      <c r="A47" s="2" t="s">
        <v>256</v>
      </c>
      <c r="B47" s="2" t="s">
        <v>8</v>
      </c>
      <c r="C47" s="1" t="s">
        <v>257</v>
      </c>
      <c r="D47" s="2" t="s">
        <v>258</v>
      </c>
      <c r="E47" s="2" t="s">
        <v>259</v>
      </c>
      <c r="F47" s="2" t="s">
        <v>260</v>
      </c>
      <c r="G47" s="2" t="s">
        <v>261</v>
      </c>
    </row>
    <row r="48" spans="1:7" ht="105" x14ac:dyDescent="0.25">
      <c r="A48" s="2" t="s">
        <v>262</v>
      </c>
      <c r="B48" s="2" t="s">
        <v>8</v>
      </c>
      <c r="C48" s="1" t="s">
        <v>263</v>
      </c>
      <c r="D48" s="2" t="s">
        <v>264</v>
      </c>
      <c r="E48" s="2" t="s">
        <v>265</v>
      </c>
      <c r="F48" s="2" t="s">
        <v>266</v>
      </c>
      <c r="G48" s="2" t="s">
        <v>267</v>
      </c>
    </row>
    <row r="49" spans="1:7" ht="210" x14ac:dyDescent="0.25">
      <c r="A49" s="2" t="s">
        <v>268</v>
      </c>
      <c r="B49" s="2" t="s">
        <v>8</v>
      </c>
      <c r="C49" s="1" t="s">
        <v>269</v>
      </c>
      <c r="D49" s="2" t="s">
        <v>270</v>
      </c>
      <c r="E49" s="2" t="s">
        <v>271</v>
      </c>
      <c r="F49" s="2" t="s">
        <v>272</v>
      </c>
      <c r="G49" s="2" t="s">
        <v>273</v>
      </c>
    </row>
    <row r="50" spans="1:7" ht="195" x14ac:dyDescent="0.25">
      <c r="A50" s="2" t="s">
        <v>274</v>
      </c>
      <c r="B50" s="2" t="s">
        <v>8</v>
      </c>
      <c r="C50" s="1" t="s">
        <v>275</v>
      </c>
      <c r="D50" s="2" t="s">
        <v>276</v>
      </c>
      <c r="E50" s="2" t="s">
        <v>277</v>
      </c>
      <c r="F50" s="2" t="s">
        <v>278</v>
      </c>
      <c r="G50" s="2" t="s">
        <v>279</v>
      </c>
    </row>
    <row r="51" spans="1:7" ht="150" x14ac:dyDescent="0.25">
      <c r="A51" s="2" t="s">
        <v>280</v>
      </c>
      <c r="B51" s="2" t="s">
        <v>8</v>
      </c>
      <c r="C51" s="1" t="s">
        <v>281</v>
      </c>
      <c r="D51" s="2" t="s">
        <v>28</v>
      </c>
      <c r="E51" s="2" t="s">
        <v>282</v>
      </c>
      <c r="F51" s="2" t="s">
        <v>283</v>
      </c>
      <c r="G51" s="2" t="s">
        <v>284</v>
      </c>
    </row>
    <row r="52" spans="1:7" ht="135" x14ac:dyDescent="0.25">
      <c r="A52" s="2" t="s">
        <v>285</v>
      </c>
      <c r="B52" s="2" t="s">
        <v>8</v>
      </c>
      <c r="C52" s="1" t="s">
        <v>286</v>
      </c>
      <c r="D52" s="2" t="s">
        <v>28</v>
      </c>
      <c r="E52" s="2" t="s">
        <v>287</v>
      </c>
      <c r="F52" s="2" t="s">
        <v>288</v>
      </c>
      <c r="G52" s="2" t="s">
        <v>289</v>
      </c>
    </row>
    <row r="53" spans="1:7" ht="150" x14ac:dyDescent="0.25">
      <c r="A53" s="2" t="s">
        <v>290</v>
      </c>
      <c r="B53" s="2" t="s">
        <v>8</v>
      </c>
      <c r="C53" s="1" t="s">
        <v>291</v>
      </c>
      <c r="D53" s="2" t="s">
        <v>236</v>
      </c>
      <c r="E53" s="2" t="s">
        <v>292</v>
      </c>
      <c r="F53" s="2" t="s">
        <v>293</v>
      </c>
      <c r="G53" s="2" t="s">
        <v>294</v>
      </c>
    </row>
    <row r="54" spans="1:7" ht="195" x14ac:dyDescent="0.25">
      <c r="A54" s="2" t="s">
        <v>295</v>
      </c>
      <c r="B54" s="2" t="s">
        <v>8</v>
      </c>
      <c r="C54" s="1" t="s">
        <v>296</v>
      </c>
      <c r="D54" s="2" t="s">
        <v>258</v>
      </c>
      <c r="E54" s="2" t="s">
        <v>297</v>
      </c>
      <c r="F54" s="2" t="s">
        <v>298</v>
      </c>
      <c r="G54" s="2" t="s">
        <v>299</v>
      </c>
    </row>
    <row r="55" spans="1:7" ht="210" x14ac:dyDescent="0.25">
      <c r="A55" s="2" t="s">
        <v>300</v>
      </c>
      <c r="B55" s="2" t="s">
        <v>8</v>
      </c>
      <c r="C55" s="1" t="s">
        <v>301</v>
      </c>
      <c r="D55" s="2" t="s">
        <v>302</v>
      </c>
      <c r="E55" s="2" t="s">
        <v>303</v>
      </c>
      <c r="F55" s="2" t="s">
        <v>304</v>
      </c>
      <c r="G55" s="2" t="s">
        <v>305</v>
      </c>
    </row>
    <row r="56" spans="1:7" ht="210" x14ac:dyDescent="0.25">
      <c r="A56" s="2" t="s">
        <v>306</v>
      </c>
      <c r="B56" s="2" t="s">
        <v>8</v>
      </c>
      <c r="C56" s="1" t="s">
        <v>307</v>
      </c>
      <c r="D56" s="2" t="s">
        <v>302</v>
      </c>
      <c r="E56" s="2" t="s">
        <v>308</v>
      </c>
      <c r="F56" s="2" t="s">
        <v>309</v>
      </c>
      <c r="G56" s="2" t="s">
        <v>310</v>
      </c>
    </row>
    <row r="57" spans="1:7" ht="210" x14ac:dyDescent="0.25">
      <c r="A57" s="2" t="s">
        <v>311</v>
      </c>
      <c r="B57" s="2" t="s">
        <v>8</v>
      </c>
      <c r="C57" s="1" t="s">
        <v>312</v>
      </c>
      <c r="D57" s="2" t="s">
        <v>313</v>
      </c>
      <c r="E57" s="2" t="s">
        <v>314</v>
      </c>
      <c r="F57" s="2" t="s">
        <v>315</v>
      </c>
      <c r="G57" s="2" t="s">
        <v>316</v>
      </c>
    </row>
    <row r="58" spans="1:7" ht="135" x14ac:dyDescent="0.25">
      <c r="A58" s="2" t="s">
        <v>317</v>
      </c>
      <c r="B58" s="2" t="s">
        <v>8</v>
      </c>
      <c r="C58" s="1" t="s">
        <v>318</v>
      </c>
      <c r="D58" s="2" t="s">
        <v>319</v>
      </c>
      <c r="E58" s="2" t="s">
        <v>320</v>
      </c>
      <c r="F58" s="2" t="s">
        <v>321</v>
      </c>
      <c r="G58" s="2" t="s">
        <v>322</v>
      </c>
    </row>
    <row r="59" spans="1:7" ht="150" x14ac:dyDescent="0.25">
      <c r="A59" s="2" t="s">
        <v>323</v>
      </c>
      <c r="B59" s="2" t="s">
        <v>8</v>
      </c>
      <c r="C59" s="1" t="s">
        <v>324</v>
      </c>
      <c r="D59" s="2" t="s">
        <v>325</v>
      </c>
      <c r="E59" s="2" t="s">
        <v>326</v>
      </c>
      <c r="F59" s="2" t="s">
        <v>327</v>
      </c>
      <c r="G59" s="2" t="s">
        <v>328</v>
      </c>
    </row>
    <row r="60" spans="1:7" ht="210" x14ac:dyDescent="0.25">
      <c r="A60" s="2" t="s">
        <v>329</v>
      </c>
      <c r="B60" s="2" t="s">
        <v>8</v>
      </c>
      <c r="C60" s="1" t="s">
        <v>330</v>
      </c>
      <c r="D60" s="2" t="s">
        <v>331</v>
      </c>
      <c r="E60" s="2" t="s">
        <v>332</v>
      </c>
      <c r="F60" s="2" t="s">
        <v>333</v>
      </c>
      <c r="G60" s="2" t="s">
        <v>334</v>
      </c>
    </row>
    <row r="61" spans="1:7" ht="150" x14ac:dyDescent="0.25">
      <c r="A61" s="2" t="s">
        <v>335</v>
      </c>
      <c r="B61" s="2" t="s">
        <v>8</v>
      </c>
      <c r="C61" s="1" t="s">
        <v>336</v>
      </c>
      <c r="D61" s="2" t="s">
        <v>337</v>
      </c>
      <c r="E61" s="2" t="s">
        <v>338</v>
      </c>
      <c r="F61" s="2" t="s">
        <v>339</v>
      </c>
      <c r="G61" s="2" t="s">
        <v>340</v>
      </c>
    </row>
    <row r="62" spans="1:7" ht="315" x14ac:dyDescent="0.25">
      <c r="A62" s="2" t="s">
        <v>341</v>
      </c>
      <c r="B62" s="2" t="s">
        <v>8</v>
      </c>
      <c r="C62" s="1" t="s">
        <v>342</v>
      </c>
      <c r="D62" s="2" t="s">
        <v>343</v>
      </c>
      <c r="E62" s="2" t="s">
        <v>344</v>
      </c>
      <c r="F62" s="2" t="s">
        <v>345</v>
      </c>
      <c r="G62" s="2" t="s">
        <v>346</v>
      </c>
    </row>
    <row r="63" spans="1:7" ht="135" x14ac:dyDescent="0.25">
      <c r="A63" s="2" t="s">
        <v>347</v>
      </c>
      <c r="B63" s="2" t="s">
        <v>8</v>
      </c>
      <c r="C63" s="1" t="s">
        <v>348</v>
      </c>
      <c r="D63" s="2" t="s">
        <v>349</v>
      </c>
      <c r="E63" s="2" t="s">
        <v>350</v>
      </c>
      <c r="F63" s="2" t="s">
        <v>351</v>
      </c>
      <c r="G63" s="2" t="s">
        <v>352</v>
      </c>
    </row>
    <row r="64" spans="1:7" ht="150" x14ac:dyDescent="0.25">
      <c r="A64" s="2" t="s">
        <v>353</v>
      </c>
      <c r="B64" s="2" t="s">
        <v>8</v>
      </c>
      <c r="C64" s="1" t="s">
        <v>354</v>
      </c>
      <c r="D64" s="2" t="s">
        <v>349</v>
      </c>
      <c r="E64" s="2" t="s">
        <v>355</v>
      </c>
      <c r="F64" s="2" t="s">
        <v>356</v>
      </c>
      <c r="G64" s="2" t="s">
        <v>357</v>
      </c>
    </row>
    <row r="65" spans="1:7" ht="270" x14ac:dyDescent="0.25">
      <c r="A65" s="2" t="s">
        <v>358</v>
      </c>
      <c r="B65" s="2" t="s">
        <v>8</v>
      </c>
      <c r="C65" s="1" t="s">
        <v>359</v>
      </c>
      <c r="D65" s="2" t="s">
        <v>360</v>
      </c>
      <c r="E65" s="2" t="s">
        <v>361</v>
      </c>
      <c r="F65" s="2" t="s">
        <v>362</v>
      </c>
      <c r="G65" s="2" t="s">
        <v>363</v>
      </c>
    </row>
    <row r="66" spans="1:7" ht="225" x14ac:dyDescent="0.25">
      <c r="A66" s="2" t="s">
        <v>364</v>
      </c>
      <c r="B66" s="2" t="s">
        <v>8</v>
      </c>
      <c r="C66" s="1" t="s">
        <v>365</v>
      </c>
      <c r="D66" s="2" t="s">
        <v>366</v>
      </c>
      <c r="E66" s="2" t="s">
        <v>367</v>
      </c>
      <c r="F66" s="2" t="s">
        <v>368</v>
      </c>
      <c r="G66" s="2" t="s">
        <v>369</v>
      </c>
    </row>
    <row r="67" spans="1:7" ht="150" x14ac:dyDescent="0.25">
      <c r="A67" s="2" t="s">
        <v>370</v>
      </c>
      <c r="B67" s="2" t="s">
        <v>8</v>
      </c>
      <c r="C67" s="1" t="s">
        <v>371</v>
      </c>
      <c r="D67" s="2" t="s">
        <v>372</v>
      </c>
      <c r="E67" s="2" t="s">
        <v>373</v>
      </c>
      <c r="F67" s="2" t="s">
        <v>374</v>
      </c>
      <c r="G67" s="2" t="s">
        <v>375</v>
      </c>
    </row>
    <row r="68" spans="1:7" ht="120" x14ac:dyDescent="0.25">
      <c r="A68" s="2" t="s">
        <v>376</v>
      </c>
      <c r="B68" s="2" t="s">
        <v>8</v>
      </c>
      <c r="C68" s="1" t="s">
        <v>377</v>
      </c>
      <c r="D68" s="2" t="s">
        <v>378</v>
      </c>
      <c r="E68" s="2" t="s">
        <v>379</v>
      </c>
      <c r="F68" s="2" t="s">
        <v>380</v>
      </c>
      <c r="G68" s="2" t="s">
        <v>381</v>
      </c>
    </row>
    <row r="69" spans="1:7" ht="330" x14ac:dyDescent="0.25">
      <c r="A69" s="2" t="s">
        <v>382</v>
      </c>
      <c r="B69" s="2" t="s">
        <v>8</v>
      </c>
      <c r="C69" s="1" t="s">
        <v>383</v>
      </c>
      <c r="D69" s="2" t="s">
        <v>384</v>
      </c>
      <c r="E69" s="2" t="s">
        <v>385</v>
      </c>
      <c r="F69" s="2" t="s">
        <v>386</v>
      </c>
      <c r="G69" s="2" t="s">
        <v>387</v>
      </c>
    </row>
    <row r="70" spans="1:7" ht="120" x14ac:dyDescent="0.25">
      <c r="A70" s="2" t="s">
        <v>388</v>
      </c>
      <c r="B70" s="2" t="s">
        <v>8</v>
      </c>
      <c r="C70" s="1" t="s">
        <v>389</v>
      </c>
      <c r="D70" s="2" t="s">
        <v>390</v>
      </c>
      <c r="E70" s="2" t="s">
        <v>391</v>
      </c>
      <c r="F70" s="2" t="s">
        <v>392</v>
      </c>
      <c r="G70" s="2" t="s">
        <v>393</v>
      </c>
    </row>
    <row r="71" spans="1:7" ht="150" x14ac:dyDescent="0.25">
      <c r="A71" s="2" t="s">
        <v>394</v>
      </c>
      <c r="B71" s="2" t="s">
        <v>8</v>
      </c>
      <c r="C71" s="1" t="s">
        <v>395</v>
      </c>
      <c r="D71" s="2" t="s">
        <v>390</v>
      </c>
      <c r="E71" s="2" t="s">
        <v>396</v>
      </c>
      <c r="F71" s="2" t="s">
        <v>397</v>
      </c>
      <c r="G71" s="2" t="s">
        <v>398</v>
      </c>
    </row>
    <row r="72" spans="1:7" ht="150" x14ac:dyDescent="0.25">
      <c r="A72" s="2" t="s">
        <v>399</v>
      </c>
      <c r="B72" s="2" t="s">
        <v>8</v>
      </c>
      <c r="C72" s="1" t="s">
        <v>400</v>
      </c>
      <c r="D72" s="2" t="s">
        <v>390</v>
      </c>
      <c r="E72" s="2" t="s">
        <v>401</v>
      </c>
      <c r="F72" s="2" t="s">
        <v>402</v>
      </c>
      <c r="G72" s="2" t="s">
        <v>403</v>
      </c>
    </row>
    <row r="73" spans="1:7" ht="330" x14ac:dyDescent="0.25">
      <c r="A73" s="2" t="s">
        <v>404</v>
      </c>
      <c r="B73" s="2" t="s">
        <v>8</v>
      </c>
      <c r="C73" s="1" t="s">
        <v>405</v>
      </c>
      <c r="D73" s="2" t="s">
        <v>406</v>
      </c>
      <c r="E73" s="2" t="s">
        <v>407</v>
      </c>
      <c r="F73" s="2" t="s">
        <v>408</v>
      </c>
      <c r="G73" s="2" t="s">
        <v>409</v>
      </c>
    </row>
    <row r="74" spans="1:7" ht="165" x14ac:dyDescent="0.25">
      <c r="A74" s="2" t="s">
        <v>410</v>
      </c>
      <c r="B74" s="2" t="s">
        <v>8</v>
      </c>
      <c r="C74" s="1" t="s">
        <v>411</v>
      </c>
      <c r="D74" s="2" t="s">
        <v>406</v>
      </c>
      <c r="E74" s="2" t="s">
        <v>412</v>
      </c>
      <c r="F74" s="2" t="s">
        <v>413</v>
      </c>
      <c r="G74" s="2" t="s">
        <v>414</v>
      </c>
    </row>
    <row r="75" spans="1:7" ht="105" x14ac:dyDescent="0.25">
      <c r="A75" s="2" t="s">
        <v>415</v>
      </c>
      <c r="B75" s="2" t="s">
        <v>8</v>
      </c>
      <c r="C75" s="1" t="s">
        <v>416</v>
      </c>
      <c r="D75" s="2" t="s">
        <v>406</v>
      </c>
      <c r="E75" s="2" t="s">
        <v>417</v>
      </c>
      <c r="F75" s="2" t="s">
        <v>418</v>
      </c>
      <c r="G75" s="2" t="s">
        <v>419</v>
      </c>
    </row>
    <row r="76" spans="1:7" ht="105" x14ac:dyDescent="0.25">
      <c r="A76" s="2" t="s">
        <v>420</v>
      </c>
      <c r="B76" s="2" t="s">
        <v>8</v>
      </c>
      <c r="C76" s="1" t="s">
        <v>421</v>
      </c>
      <c r="D76" s="2" t="s">
        <v>406</v>
      </c>
      <c r="E76" s="2" t="s">
        <v>422</v>
      </c>
      <c r="F76" s="2" t="s">
        <v>423</v>
      </c>
      <c r="G76" s="2" t="s">
        <v>424</v>
      </c>
    </row>
    <row r="77" spans="1:7" ht="90" x14ac:dyDescent="0.25">
      <c r="A77" s="2" t="s">
        <v>425</v>
      </c>
      <c r="B77" s="2" t="s">
        <v>8</v>
      </c>
      <c r="C77" s="1" t="s">
        <v>426</v>
      </c>
      <c r="D77" s="2" t="s">
        <v>406</v>
      </c>
      <c r="E77" s="2" t="s">
        <v>427</v>
      </c>
      <c r="F77" s="2" t="s">
        <v>428</v>
      </c>
      <c r="G77" s="2" t="s">
        <v>429</v>
      </c>
    </row>
    <row r="78" spans="1:7" ht="105" x14ac:dyDescent="0.25">
      <c r="A78" s="2" t="s">
        <v>430</v>
      </c>
      <c r="B78" s="2" t="s">
        <v>8</v>
      </c>
      <c r="C78" s="1" t="s">
        <v>431</v>
      </c>
      <c r="D78" s="2" t="s">
        <v>406</v>
      </c>
      <c r="E78" s="2" t="s">
        <v>432</v>
      </c>
      <c r="F78" s="2" t="s">
        <v>433</v>
      </c>
      <c r="G78" s="2" t="s">
        <v>434</v>
      </c>
    </row>
    <row r="79" spans="1:7" ht="120" x14ac:dyDescent="0.25">
      <c r="A79" s="2" t="s">
        <v>435</v>
      </c>
      <c r="B79" s="2" t="s">
        <v>8</v>
      </c>
      <c r="C79" s="1" t="s">
        <v>436</v>
      </c>
      <c r="D79" s="2" t="s">
        <v>437</v>
      </c>
      <c r="E79" s="2" t="s">
        <v>438</v>
      </c>
      <c r="F79" s="2" t="s">
        <v>439</v>
      </c>
      <c r="G79" s="2" t="s">
        <v>440</v>
      </c>
    </row>
    <row r="80" spans="1:7" ht="120" x14ac:dyDescent="0.25">
      <c r="A80" s="2" t="s">
        <v>441</v>
      </c>
      <c r="B80" s="2" t="s">
        <v>8</v>
      </c>
      <c r="C80" s="1" t="s">
        <v>442</v>
      </c>
      <c r="D80" s="2" t="s">
        <v>443</v>
      </c>
      <c r="E80" s="2" t="s">
        <v>444</v>
      </c>
      <c r="F80" s="2" t="s">
        <v>445</v>
      </c>
      <c r="G80" s="2" t="s">
        <v>446</v>
      </c>
    </row>
    <row r="81" spans="1:7" ht="105" x14ac:dyDescent="0.25">
      <c r="A81" s="2" t="s">
        <v>447</v>
      </c>
      <c r="B81" s="2" t="s">
        <v>8</v>
      </c>
      <c r="C81" s="1" t="s">
        <v>448</v>
      </c>
      <c r="D81" s="2" t="s">
        <v>449</v>
      </c>
      <c r="E81" s="2" t="s">
        <v>450</v>
      </c>
      <c r="F81" s="2" t="s">
        <v>451</v>
      </c>
      <c r="G81" s="2" t="s">
        <v>452</v>
      </c>
    </row>
    <row r="82" spans="1:7" ht="135" x14ac:dyDescent="0.25">
      <c r="A82" s="2" t="s">
        <v>453</v>
      </c>
      <c r="B82" s="2" t="s">
        <v>8</v>
      </c>
      <c r="C82" s="1" t="s">
        <v>454</v>
      </c>
      <c r="D82" s="2" t="s">
        <v>455</v>
      </c>
      <c r="E82" s="2" t="s">
        <v>456</v>
      </c>
      <c r="F82" s="2" t="s">
        <v>457</v>
      </c>
      <c r="G82" s="2" t="s">
        <v>458</v>
      </c>
    </row>
    <row r="83" spans="1:7" ht="135" x14ac:dyDescent="0.25">
      <c r="A83" s="2" t="s">
        <v>459</v>
      </c>
      <c r="B83" s="2" t="s">
        <v>8</v>
      </c>
      <c r="C83" s="1" t="s">
        <v>460</v>
      </c>
      <c r="D83" s="2" t="s">
        <v>461</v>
      </c>
      <c r="E83" s="2" t="s">
        <v>462</v>
      </c>
      <c r="F83" s="2" t="s">
        <v>463</v>
      </c>
      <c r="G83" s="2" t="s">
        <v>464</v>
      </c>
    </row>
    <row r="84" spans="1:7" ht="195" x14ac:dyDescent="0.25">
      <c r="A84" s="2" t="s">
        <v>465</v>
      </c>
      <c r="B84" s="2" t="s">
        <v>8</v>
      </c>
      <c r="C84" s="1" t="s">
        <v>466</v>
      </c>
      <c r="D84" s="2" t="s">
        <v>467</v>
      </c>
      <c r="E84" s="2" t="s">
        <v>468</v>
      </c>
      <c r="F84" s="2" t="s">
        <v>469</v>
      </c>
      <c r="G84" s="2" t="s">
        <v>470</v>
      </c>
    </row>
    <row r="85" spans="1:7" ht="255" x14ac:dyDescent="0.25">
      <c r="A85" s="2" t="s">
        <v>471</v>
      </c>
      <c r="B85" s="2" t="s">
        <v>8</v>
      </c>
      <c r="C85" s="1" t="s">
        <v>472</v>
      </c>
      <c r="D85" s="2" t="s">
        <v>473</v>
      </c>
      <c r="E85" s="2" t="s">
        <v>474</v>
      </c>
      <c r="F85" s="2" t="s">
        <v>475</v>
      </c>
      <c r="G85" s="2" t="s">
        <v>476</v>
      </c>
    </row>
    <row r="86" spans="1:7" ht="180" x14ac:dyDescent="0.25">
      <c r="A86" s="2" t="s">
        <v>477</v>
      </c>
      <c r="B86" s="2" t="s">
        <v>8</v>
      </c>
      <c r="C86" s="1" t="s">
        <v>478</v>
      </c>
      <c r="D86" s="2" t="s">
        <v>479</v>
      </c>
      <c r="E86" s="2" t="s">
        <v>480</v>
      </c>
      <c r="F86" s="2" t="s">
        <v>481</v>
      </c>
      <c r="G86" s="2" t="s">
        <v>482</v>
      </c>
    </row>
    <row r="87" spans="1:7" ht="240" x14ac:dyDescent="0.25">
      <c r="A87" s="2" t="s">
        <v>483</v>
      </c>
      <c r="B87" s="2" t="s">
        <v>8</v>
      </c>
      <c r="C87" s="1" t="s">
        <v>484</v>
      </c>
      <c r="D87" s="2" t="s">
        <v>485</v>
      </c>
      <c r="E87" s="2" t="s">
        <v>486</v>
      </c>
      <c r="F87" s="2" t="s">
        <v>487</v>
      </c>
      <c r="G87" s="2" t="s">
        <v>488</v>
      </c>
    </row>
    <row r="88" spans="1:7" ht="180" x14ac:dyDescent="0.25">
      <c r="A88" s="2" t="s">
        <v>489</v>
      </c>
      <c r="B88" s="2" t="s">
        <v>8</v>
      </c>
      <c r="C88" s="1" t="s">
        <v>490</v>
      </c>
      <c r="D88" s="2" t="s">
        <v>491</v>
      </c>
      <c r="E88" s="2" t="s">
        <v>492</v>
      </c>
      <c r="F88" s="2" t="s">
        <v>493</v>
      </c>
      <c r="G88" s="2" t="s">
        <v>494</v>
      </c>
    </row>
    <row r="89" spans="1:7" ht="150" x14ac:dyDescent="0.25">
      <c r="A89" s="2" t="s">
        <v>495</v>
      </c>
      <c r="B89" s="2" t="s">
        <v>8</v>
      </c>
      <c r="C89" s="1" t="s">
        <v>496</v>
      </c>
      <c r="D89" s="2" t="s">
        <v>497</v>
      </c>
      <c r="E89" s="2" t="s">
        <v>498</v>
      </c>
      <c r="F89" s="2" t="s">
        <v>499</v>
      </c>
      <c r="G89" s="2" t="s">
        <v>500</v>
      </c>
    </row>
    <row r="90" spans="1:7" ht="135" x14ac:dyDescent="0.25">
      <c r="A90" s="2" t="s">
        <v>501</v>
      </c>
      <c r="B90" s="2" t="s">
        <v>8</v>
      </c>
      <c r="C90" s="1" t="s">
        <v>502</v>
      </c>
      <c r="D90" s="2" t="s">
        <v>503</v>
      </c>
      <c r="E90" s="2" t="s">
        <v>504</v>
      </c>
      <c r="F90" s="2" t="s">
        <v>505</v>
      </c>
      <c r="G90" s="2" t="s">
        <v>506</v>
      </c>
    </row>
    <row r="91" spans="1:7" ht="120" x14ac:dyDescent="0.25">
      <c r="A91" s="2" t="s">
        <v>507</v>
      </c>
      <c r="B91" s="2" t="s">
        <v>8</v>
      </c>
      <c r="C91" s="1" t="s">
        <v>508</v>
      </c>
      <c r="D91" s="2" t="s">
        <v>509</v>
      </c>
      <c r="E91" s="2" t="s">
        <v>510</v>
      </c>
      <c r="F91" s="2" t="s">
        <v>511</v>
      </c>
      <c r="G91" s="2" t="s">
        <v>512</v>
      </c>
    </row>
    <row r="92" spans="1:7" ht="135" x14ac:dyDescent="0.25">
      <c r="A92" s="2" t="s">
        <v>513</v>
      </c>
      <c r="B92" s="2" t="s">
        <v>8</v>
      </c>
      <c r="C92" s="1" t="s">
        <v>514</v>
      </c>
      <c r="D92" s="2" t="s">
        <v>515</v>
      </c>
      <c r="E92" s="2" t="s">
        <v>516</v>
      </c>
      <c r="F92" s="2" t="s">
        <v>517</v>
      </c>
      <c r="G92" s="2" t="s">
        <v>518</v>
      </c>
    </row>
    <row r="93" spans="1:7" ht="120" x14ac:dyDescent="0.25">
      <c r="A93" s="2" t="s">
        <v>519</v>
      </c>
      <c r="B93" s="2" t="s">
        <v>8</v>
      </c>
      <c r="C93" s="1" t="s">
        <v>520</v>
      </c>
      <c r="D93" s="2" t="s">
        <v>521</v>
      </c>
      <c r="E93" s="2" t="s">
        <v>522</v>
      </c>
      <c r="F93" s="2" t="s">
        <v>523</v>
      </c>
      <c r="G93" s="2" t="s">
        <v>524</v>
      </c>
    </row>
    <row r="94" spans="1:7" ht="180" x14ac:dyDescent="0.25">
      <c r="A94" s="2" t="s">
        <v>525</v>
      </c>
      <c r="B94" s="2" t="s">
        <v>8</v>
      </c>
      <c r="C94" s="1" t="s">
        <v>526</v>
      </c>
      <c r="D94" s="2" t="s">
        <v>527</v>
      </c>
      <c r="E94" s="2" t="s">
        <v>528</v>
      </c>
      <c r="F94" s="2" t="s">
        <v>529</v>
      </c>
      <c r="G94" s="2" t="s">
        <v>530</v>
      </c>
    </row>
    <row r="95" spans="1:7" ht="135" x14ac:dyDescent="0.25">
      <c r="A95" s="2" t="s">
        <v>531</v>
      </c>
      <c r="B95" s="2" t="s">
        <v>8</v>
      </c>
      <c r="C95" s="1" t="s">
        <v>532</v>
      </c>
      <c r="D95" s="2" t="s">
        <v>533</v>
      </c>
      <c r="E95" s="2" t="s">
        <v>534</v>
      </c>
      <c r="F95" s="2" t="s">
        <v>535</v>
      </c>
      <c r="G95" s="2" t="s">
        <v>536</v>
      </c>
    </row>
    <row r="96" spans="1:7" ht="180" x14ac:dyDescent="0.25">
      <c r="A96" s="2" t="s">
        <v>537</v>
      </c>
      <c r="B96" s="2" t="s">
        <v>8</v>
      </c>
      <c r="C96" s="1" t="s">
        <v>538</v>
      </c>
      <c r="D96" s="2" t="s">
        <v>539</v>
      </c>
      <c r="E96" s="2" t="s">
        <v>540</v>
      </c>
      <c r="F96" s="2" t="s">
        <v>541</v>
      </c>
      <c r="G96" s="2" t="s">
        <v>542</v>
      </c>
    </row>
    <row r="97" spans="1:7" ht="150" x14ac:dyDescent="0.25">
      <c r="A97" s="2" t="s">
        <v>543</v>
      </c>
      <c r="B97" s="2" t="s">
        <v>8</v>
      </c>
      <c r="C97" s="1" t="s">
        <v>544</v>
      </c>
      <c r="D97" s="2" t="s">
        <v>545</v>
      </c>
      <c r="E97" s="2" t="s">
        <v>546</v>
      </c>
      <c r="F97" s="2" t="s">
        <v>547</v>
      </c>
      <c r="G97" s="2" t="s">
        <v>548</v>
      </c>
    </row>
    <row r="98" spans="1:7" ht="135" x14ac:dyDescent="0.25">
      <c r="A98" s="2" t="s">
        <v>549</v>
      </c>
      <c r="B98" s="2" t="s">
        <v>8</v>
      </c>
      <c r="C98" s="1" t="s">
        <v>550</v>
      </c>
      <c r="D98" s="2" t="s">
        <v>551</v>
      </c>
      <c r="E98" s="2" t="s">
        <v>552</v>
      </c>
      <c r="F98" s="2" t="s">
        <v>553</v>
      </c>
      <c r="G98" s="2" t="s">
        <v>554</v>
      </c>
    </row>
    <row r="99" spans="1:7" ht="240" x14ac:dyDescent="0.25">
      <c r="A99" s="2" t="s">
        <v>555</v>
      </c>
      <c r="B99" s="2" t="s">
        <v>8</v>
      </c>
      <c r="C99" s="1" t="s">
        <v>556</v>
      </c>
      <c r="D99" s="2" t="s">
        <v>557</v>
      </c>
      <c r="E99" s="2" t="s">
        <v>558</v>
      </c>
      <c r="F99" s="2" t="s">
        <v>559</v>
      </c>
      <c r="G99" s="2" t="s">
        <v>560</v>
      </c>
    </row>
    <row r="100" spans="1:7" ht="225" x14ac:dyDescent="0.25">
      <c r="A100" s="2" t="s">
        <v>561</v>
      </c>
      <c r="B100" s="2" t="s">
        <v>8</v>
      </c>
      <c r="C100" s="1" t="s">
        <v>562</v>
      </c>
      <c r="D100" s="2" t="s">
        <v>557</v>
      </c>
      <c r="E100" s="2" t="s">
        <v>563</v>
      </c>
      <c r="F100" s="2" t="s">
        <v>564</v>
      </c>
      <c r="G100" s="2" t="s">
        <v>565</v>
      </c>
    </row>
    <row r="101" spans="1:7" ht="360" x14ac:dyDescent="0.25">
      <c r="A101" s="2" t="s">
        <v>566</v>
      </c>
      <c r="B101" s="2" t="s">
        <v>8</v>
      </c>
      <c r="C101" s="1" t="s">
        <v>567</v>
      </c>
      <c r="D101" s="2" t="s">
        <v>568</v>
      </c>
      <c r="E101" s="2" t="s">
        <v>569</v>
      </c>
      <c r="F101" s="2" t="s">
        <v>570</v>
      </c>
      <c r="G101" s="2" t="s">
        <v>571</v>
      </c>
    </row>
    <row r="102" spans="1:7" ht="409.5" x14ac:dyDescent="0.25">
      <c r="A102" s="2" t="s">
        <v>572</v>
      </c>
      <c r="B102" s="2" t="s">
        <v>8</v>
      </c>
      <c r="C102" s="1" t="s">
        <v>573</v>
      </c>
      <c r="D102" s="2" t="s">
        <v>574</v>
      </c>
      <c r="E102" s="2" t="s">
        <v>575</v>
      </c>
      <c r="F102" s="2" t="s">
        <v>576</v>
      </c>
      <c r="G102" s="2" t="s">
        <v>577</v>
      </c>
    </row>
    <row r="103" spans="1:7" ht="390" x14ac:dyDescent="0.25">
      <c r="A103" s="2" t="s">
        <v>578</v>
      </c>
      <c r="B103" s="2" t="s">
        <v>8</v>
      </c>
      <c r="C103" s="1" t="s">
        <v>579</v>
      </c>
      <c r="D103" s="2" t="s">
        <v>574</v>
      </c>
      <c r="E103" s="2" t="s">
        <v>580</v>
      </c>
      <c r="F103" s="2" t="s">
        <v>581</v>
      </c>
      <c r="G103" s="2" t="s">
        <v>582</v>
      </c>
    </row>
    <row r="104" spans="1:7" ht="375" x14ac:dyDescent="0.25">
      <c r="A104" s="2" t="s">
        <v>583</v>
      </c>
      <c r="B104" s="2" t="s">
        <v>8</v>
      </c>
      <c r="C104" s="1" t="s">
        <v>584</v>
      </c>
      <c r="D104" s="2"/>
      <c r="E104" s="2" t="s">
        <v>585</v>
      </c>
      <c r="F104" s="2" t="s">
        <v>586</v>
      </c>
      <c r="G104" s="2" t="s">
        <v>587</v>
      </c>
    </row>
    <row r="105" spans="1:7" ht="409.5" x14ac:dyDescent="0.25">
      <c r="A105" s="2" t="s">
        <v>588</v>
      </c>
      <c r="B105" s="2" t="s">
        <v>8</v>
      </c>
      <c r="C105" s="1" t="s">
        <v>589</v>
      </c>
      <c r="D105" s="2" t="s">
        <v>590</v>
      </c>
      <c r="E105" s="2" t="s">
        <v>591</v>
      </c>
      <c r="F105" s="2" t="s">
        <v>592</v>
      </c>
      <c r="G105" s="2" t="s">
        <v>593</v>
      </c>
    </row>
    <row r="106" spans="1:7" ht="409.5" x14ac:dyDescent="0.25">
      <c r="A106" s="2" t="s">
        <v>594</v>
      </c>
      <c r="B106" s="2" t="s">
        <v>8</v>
      </c>
      <c r="C106" s="1" t="s">
        <v>595</v>
      </c>
      <c r="D106" s="2" t="s">
        <v>596</v>
      </c>
      <c r="E106" s="2" t="s">
        <v>597</v>
      </c>
      <c r="F106" s="2" t="s">
        <v>598</v>
      </c>
      <c r="G106" s="2" t="s">
        <v>599</v>
      </c>
    </row>
    <row r="107" spans="1:7" ht="285" x14ac:dyDescent="0.25">
      <c r="A107" s="2" t="s">
        <v>600</v>
      </c>
      <c r="B107" s="2" t="s">
        <v>8</v>
      </c>
      <c r="C107" s="1" t="s">
        <v>601</v>
      </c>
      <c r="D107" s="2" t="s">
        <v>602</v>
      </c>
      <c r="E107" s="2" t="s">
        <v>603</v>
      </c>
      <c r="F107" s="2" t="s">
        <v>604</v>
      </c>
      <c r="G107" s="2" t="s">
        <v>605</v>
      </c>
    </row>
    <row r="108" spans="1:7" ht="330" x14ac:dyDescent="0.25">
      <c r="A108" s="2" t="s">
        <v>606</v>
      </c>
      <c r="B108" s="2" t="s">
        <v>8</v>
      </c>
      <c r="C108" s="1" t="s">
        <v>607</v>
      </c>
      <c r="D108" s="2" t="s">
        <v>608</v>
      </c>
      <c r="E108" s="2" t="s">
        <v>609</v>
      </c>
      <c r="F108" s="2" t="s">
        <v>610</v>
      </c>
      <c r="G108" s="2" t="s">
        <v>611</v>
      </c>
    </row>
    <row r="109" spans="1:7" ht="285" x14ac:dyDescent="0.25">
      <c r="A109" s="2" t="s">
        <v>612</v>
      </c>
      <c r="B109" s="2" t="s">
        <v>8</v>
      </c>
      <c r="C109" s="1" t="s">
        <v>613</v>
      </c>
      <c r="D109" s="2" t="s">
        <v>614</v>
      </c>
      <c r="E109" s="2" t="s">
        <v>615</v>
      </c>
      <c r="F109" s="2" t="s">
        <v>616</v>
      </c>
      <c r="G109" s="2" t="s">
        <v>617</v>
      </c>
    </row>
    <row r="110" spans="1:7" ht="180" x14ac:dyDescent="0.25">
      <c r="A110" s="2" t="s">
        <v>618</v>
      </c>
      <c r="B110" s="2" t="s">
        <v>8</v>
      </c>
      <c r="C110" s="1" t="s">
        <v>619</v>
      </c>
      <c r="D110" s="2" t="s">
        <v>620</v>
      </c>
      <c r="E110" s="2" t="s">
        <v>621</v>
      </c>
      <c r="F110" s="2" t="s">
        <v>622</v>
      </c>
      <c r="G110" s="2" t="s">
        <v>623</v>
      </c>
    </row>
    <row r="111" spans="1:7" ht="135" x14ac:dyDescent="0.25">
      <c r="A111" s="2" t="s">
        <v>624</v>
      </c>
      <c r="B111" s="2" t="s">
        <v>8</v>
      </c>
      <c r="C111" s="1" t="s">
        <v>625</v>
      </c>
      <c r="D111" s="2" t="s">
        <v>626</v>
      </c>
      <c r="E111" s="2" t="s">
        <v>627</v>
      </c>
      <c r="F111" s="2" t="s">
        <v>628</v>
      </c>
      <c r="G111" s="2" t="s">
        <v>629</v>
      </c>
    </row>
    <row r="112" spans="1:7" ht="165" x14ac:dyDescent="0.25">
      <c r="A112" s="2" t="s">
        <v>630</v>
      </c>
      <c r="B112" s="2" t="s">
        <v>631</v>
      </c>
      <c r="C112" s="1" t="s">
        <v>632</v>
      </c>
      <c r="D112" s="2"/>
      <c r="E112" s="2" t="s">
        <v>633</v>
      </c>
      <c r="F112" s="2" t="s">
        <v>634</v>
      </c>
      <c r="G112" s="2" t="s">
        <v>635</v>
      </c>
    </row>
    <row r="113" spans="1:7" ht="345" x14ac:dyDescent="0.25">
      <c r="A113" s="2" t="s">
        <v>636</v>
      </c>
      <c r="B113" s="2" t="s">
        <v>631</v>
      </c>
      <c r="C113" s="1" t="s">
        <v>637</v>
      </c>
      <c r="D113" s="2"/>
      <c r="E113" s="2" t="s">
        <v>638</v>
      </c>
      <c r="F113" s="2" t="s">
        <v>639</v>
      </c>
      <c r="G113" s="2" t="s">
        <v>640</v>
      </c>
    </row>
    <row r="114" spans="1:7" ht="135" x14ac:dyDescent="0.25">
      <c r="A114" s="2" t="s">
        <v>641</v>
      </c>
      <c r="B114" s="2" t="s">
        <v>631</v>
      </c>
      <c r="C114" s="1" t="s">
        <v>642</v>
      </c>
      <c r="D114" s="2"/>
      <c r="E114" s="2" t="s">
        <v>643</v>
      </c>
      <c r="F114" s="2" t="s">
        <v>644</v>
      </c>
      <c r="G114" s="2" t="s">
        <v>645</v>
      </c>
    </row>
    <row r="115" spans="1:7" ht="315" x14ac:dyDescent="0.25">
      <c r="A115" s="2" t="s">
        <v>646</v>
      </c>
      <c r="B115" s="2" t="s">
        <v>631</v>
      </c>
      <c r="C115" s="1" t="s">
        <v>647</v>
      </c>
      <c r="D115" s="2"/>
      <c r="E115" s="2" t="s">
        <v>648</v>
      </c>
      <c r="F115" s="2" t="s">
        <v>649</v>
      </c>
      <c r="G115" s="2" t="s">
        <v>650</v>
      </c>
    </row>
    <row r="116" spans="1:7" ht="240" x14ac:dyDescent="0.25">
      <c r="A116" s="2" t="s">
        <v>651</v>
      </c>
      <c r="B116" s="2" t="s">
        <v>631</v>
      </c>
      <c r="C116" s="1" t="s">
        <v>652</v>
      </c>
      <c r="D116" s="2"/>
      <c r="E116" s="2" t="s">
        <v>653</v>
      </c>
      <c r="F116" s="2" t="s">
        <v>654</v>
      </c>
      <c r="G116" s="2" t="s">
        <v>655</v>
      </c>
    </row>
    <row r="117" spans="1:7" ht="409.5" x14ac:dyDescent="0.25">
      <c r="A117" s="2" t="s">
        <v>656</v>
      </c>
      <c r="B117" s="2" t="s">
        <v>631</v>
      </c>
      <c r="C117" s="1" t="s">
        <v>657</v>
      </c>
      <c r="D117" s="2"/>
      <c r="E117" s="2" t="s">
        <v>658</v>
      </c>
      <c r="F117" s="2" t="s">
        <v>659</v>
      </c>
      <c r="G117" s="2" t="s">
        <v>660</v>
      </c>
    </row>
    <row r="118" spans="1:7" ht="255" x14ac:dyDescent="0.25">
      <c r="A118" s="2" t="s">
        <v>661</v>
      </c>
      <c r="B118" s="2" t="s">
        <v>631</v>
      </c>
      <c r="C118" s="1" t="s">
        <v>662</v>
      </c>
      <c r="D118" s="2"/>
      <c r="E118" s="2" t="s">
        <v>663</v>
      </c>
      <c r="F118" s="2" t="s">
        <v>664</v>
      </c>
      <c r="G118" s="2" t="s">
        <v>665</v>
      </c>
    </row>
    <row r="119" spans="1:7" ht="360" x14ac:dyDescent="0.25">
      <c r="A119" s="2" t="s">
        <v>666</v>
      </c>
      <c r="B119" s="2" t="s">
        <v>631</v>
      </c>
      <c r="C119" s="1" t="s">
        <v>667</v>
      </c>
      <c r="D119" s="2"/>
      <c r="E119" s="2" t="s">
        <v>668</v>
      </c>
      <c r="F119" s="2" t="s">
        <v>669</v>
      </c>
      <c r="G119" s="2" t="s">
        <v>670</v>
      </c>
    </row>
    <row r="120" spans="1:7" ht="390" x14ac:dyDescent="0.25">
      <c r="A120" s="2" t="s">
        <v>671</v>
      </c>
      <c r="B120" s="2" t="s">
        <v>631</v>
      </c>
      <c r="C120" s="1" t="s">
        <v>672</v>
      </c>
      <c r="D120" s="2"/>
      <c r="E120" s="2" t="s">
        <v>673</v>
      </c>
      <c r="F120" s="2" t="s">
        <v>674</v>
      </c>
      <c r="G120" s="2" t="s">
        <v>675</v>
      </c>
    </row>
    <row r="121" spans="1:7" ht="315" x14ac:dyDescent="0.25">
      <c r="A121" s="2" t="s">
        <v>676</v>
      </c>
      <c r="B121" s="2" t="s">
        <v>631</v>
      </c>
      <c r="C121" s="1" t="s">
        <v>677</v>
      </c>
      <c r="D121" s="2"/>
      <c r="E121" s="2" t="s">
        <v>678</v>
      </c>
      <c r="F121" s="2" t="s">
        <v>679</v>
      </c>
      <c r="G121" s="2" t="s">
        <v>680</v>
      </c>
    </row>
    <row r="122" spans="1:7" ht="390" x14ac:dyDescent="0.25">
      <c r="A122" s="2" t="s">
        <v>681</v>
      </c>
      <c r="B122" s="2" t="s">
        <v>631</v>
      </c>
      <c r="C122" s="1" t="s">
        <v>682</v>
      </c>
      <c r="D122" s="2"/>
      <c r="E122" s="2" t="s">
        <v>683</v>
      </c>
      <c r="F122" s="2" t="s">
        <v>684</v>
      </c>
      <c r="G122" s="2" t="s">
        <v>685</v>
      </c>
    </row>
    <row r="123" spans="1:7" ht="390" x14ac:dyDescent="0.25">
      <c r="A123" s="2" t="s">
        <v>686</v>
      </c>
      <c r="B123" s="2" t="s">
        <v>631</v>
      </c>
      <c r="C123" s="1" t="s">
        <v>687</v>
      </c>
      <c r="D123" s="2"/>
      <c r="E123" s="2" t="s">
        <v>688</v>
      </c>
      <c r="F123" s="2" t="s">
        <v>689</v>
      </c>
      <c r="G123" s="2" t="s">
        <v>690</v>
      </c>
    </row>
    <row r="124" spans="1:7" ht="409.5" x14ac:dyDescent="0.25">
      <c r="A124" s="2" t="s">
        <v>691</v>
      </c>
      <c r="B124" s="2" t="s">
        <v>631</v>
      </c>
      <c r="C124" s="1" t="s">
        <v>692</v>
      </c>
      <c r="D124" s="2"/>
      <c r="E124" s="2" t="s">
        <v>693</v>
      </c>
      <c r="F124" s="2" t="s">
        <v>694</v>
      </c>
      <c r="G124" s="2" t="s">
        <v>695</v>
      </c>
    </row>
    <row r="125" spans="1:7" ht="409.5" x14ac:dyDescent="0.25">
      <c r="A125" s="2" t="s">
        <v>696</v>
      </c>
      <c r="B125" s="2" t="s">
        <v>631</v>
      </c>
      <c r="C125" s="1" t="s">
        <v>697</v>
      </c>
      <c r="D125" s="2"/>
      <c r="E125" s="2" t="s">
        <v>698</v>
      </c>
      <c r="F125" s="2" t="s">
        <v>699</v>
      </c>
      <c r="G125" s="2" t="s">
        <v>700</v>
      </c>
    </row>
    <row r="126" spans="1:7" ht="315" x14ac:dyDescent="0.25">
      <c r="A126" s="2" t="s">
        <v>701</v>
      </c>
      <c r="B126" s="2" t="s">
        <v>631</v>
      </c>
      <c r="C126" s="1" t="s">
        <v>702</v>
      </c>
      <c r="D126" s="2"/>
      <c r="E126" s="2" t="s">
        <v>703</v>
      </c>
      <c r="F126" s="2" t="s">
        <v>704</v>
      </c>
      <c r="G126" s="2" t="s">
        <v>705</v>
      </c>
    </row>
    <row r="127" spans="1:7" ht="255" x14ac:dyDescent="0.25">
      <c r="A127" s="2" t="s">
        <v>706</v>
      </c>
      <c r="B127" s="2" t="s">
        <v>631</v>
      </c>
      <c r="C127" s="1" t="s">
        <v>707</v>
      </c>
      <c r="D127" s="2"/>
      <c r="E127" s="2" t="s">
        <v>708</v>
      </c>
      <c r="F127" s="2" t="s">
        <v>709</v>
      </c>
      <c r="G127" s="2" t="s">
        <v>710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Mileage Data</vt:lpstr>
      <vt:lpstr>Life Expectancy Data</vt:lpstr>
      <vt:lpstr>Production Lots</vt:lpstr>
      <vt:lpstr>Version History</vt:lpstr>
      <vt:lpstr>Regression Instructions</vt:lpstr>
      <vt:lpstr>Regression</vt:lpstr>
      <vt:lpstr>Diagnostic Guide</vt:lpstr>
      <vt:lpstr>LAMBDA_functions</vt:lpstr>
      <vt:lpstr>Regression!Allow_Intercept</vt:lpstr>
      <vt:lpstr>Regression!alpha</vt:lpstr>
      <vt:lpstr>Regression!Source_Table</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Colodner, Stephen</cp:lastModifiedBy>
  <dcterms:created xsi:type="dcterms:W3CDTF">2026-07-29T12:35:09Z</dcterms:created>
  <dcterms:modified xsi:type="dcterms:W3CDTF">2026-07-29T12:36:27Z</dcterms:modified>
</cp:coreProperties>
</file>