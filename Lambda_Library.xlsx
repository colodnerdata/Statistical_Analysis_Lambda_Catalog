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drawings/drawing4.xml" ContentType="application/vnd.openxmlformats-officedocument.drawingml.chartshapes+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24FF89DB-33B0-4C18-9FFC-F13B3E7C0E7B}" xr6:coauthVersionLast="47" xr6:coauthVersionMax="47" xr10:uidLastSave="{00000000-0000-0000-0000-000000000000}"/>
  <bookViews>
    <workbookView xWindow="-120" yWindow="-120" windowWidth="29040" windowHeight="15720" activeTab="6" xr2:uid="{5CCECDC8-4033-4C42-88EF-BF7001E05517}"/>
  </bookViews>
  <sheets>
    <sheet name="LAMBDA_functions" sheetId="1" r:id="rId1"/>
    <sheet name="Life Expectancy Data" sheetId="2" r:id="rId2"/>
    <sheet name="Univariate" sheetId="3" r:id="rId3"/>
    <sheet name="Regression Instructions" sheetId="4" r:id="rId4"/>
    <sheet name="Diagnostic Guide" sheetId="5" r:id="rId5"/>
    <sheet name="Version History" sheetId="6" r:id="rId6"/>
    <sheet name="Regression" sheetId="7" r:id="rId7"/>
  </sheets>
  <definedNames>
    <definedName name="All_Xs" localSheetId="6">LifeExpectancyData[[Adult Mortality]:[Schooling]]</definedName>
    <definedName name="Allow_Intercept" localSheetId="6">Regression!$B$2</definedName>
    <definedName name="alpha" localSheetId="6">Regression!$M$12</definedName>
    <definedName name="Coefficient_Name_Col" localSheetId="6">_xlfn.LAMBDA(_xlpm.All_Xs,_xlop.Include,_xlfn.LET(_xlpm.n,COLUMNS(_xlpm.All_Xs),_xlpm.headers,TRANSPOSE(OFFSET(_xlpm.All_Xs,-1,0,1,_xlpm.n)),IF(_xlfn.ISOMITTED(_xlpm.Include),_xlpm.headers,IFERROR(_xlfn._xlws.FILTER(_xlpm.headers,_xlfn.TAKE(_xlpm.Include,_xlpm.n)),_xlfn.TAKE(_xlpm.headers,1)))))</definedName>
    <definedName name="Ind_Var_Include" localSheetId="6">Regression!$B$3:$B$16000</definedName>
    <definedName name="pred_input" localSheetId="6">Regression!$V$12:OFFSET(Regression!$V$12,1,0,COLUMNS(Regression!x_s))</definedName>
    <definedName name="RegChartActY" localSheetId="6">OFFSET(Regression!$X$2,1,0,MAX(IFERROR(Regression!$M$8,1),1),1)</definedName>
    <definedName name="RegChartCookDist" localSheetId="6">OFFSET(Regression!$AD$2,1,0,MAX(IFERROR(Regression!$M$8,1),1),1)</definedName>
    <definedName name="RegChartFitY" localSheetId="6">OFFSET(Regression!$Y$2,1,0,MAX(IFERROR(Regression!$M$8,1),1),1)</definedName>
    <definedName name="RegChartLeverage" localSheetId="6">OFFSET(Regression!$AB$2,1,0,MAX(IFERROR(Regression!$M$8,1),1),1)</definedName>
    <definedName name="RegChartPRESSResid" localSheetId="6">OFFSET(Regression!$AH$2,1,0,MAX(IFERROR(Regression!$M$8,1),1),1)</definedName>
    <definedName name="RegChartQQX" localSheetId="6">OFFSET(Regression!$AE$2,1,0,MAX(IFERROR(Regression!$M$8,1),1),1)</definedName>
    <definedName name="RegChartQQY" localSheetId="6">OFFSET(Regression!$AF$2,1,0,MAX(IFERROR(Regression!$M$8,1),1),1)</definedName>
    <definedName name="RegChartResid" localSheetId="6">OFFSET(Regression!$Z$2,1,0,MAX(IFERROR(Regression!$M$8,1),1),1)</definedName>
    <definedName name="RegChartScaleLoc" localSheetId="6">OFFSET(Regression!$AG$2,1,0,MAX(IFERROR(Regression!$M$8,1),1),1)</definedName>
    <definedName name="RegChartStudResid" localSheetId="6">OFFSET(Regression!$AC$2,1,0,MAX(IFERROR(Regression!$M$8,1),1),1)</definedName>
    <definedName name="Regression_Sample_Include" localSheetId="6">LifeExpectancyData[Full_Data]</definedName>
    <definedName name="UV_Data" localSheetId="2">_xlfn.ANCHORARRAY(Univariate!$A$4)</definedName>
    <definedName name="UV_FD_Counts" localSheetId="2">OFFSET(Univariate!$M$5,0,0,n_histogram_bins(Univariate!UV_Data),1)</definedName>
    <definedName name="UV_FD_Edges" localSheetId="2">OFFSET(Univariate!$L$5,0,0,n_histogram_bins(Univariate!UV_Data),1)</definedName>
    <definedName name="UV_n" localSheetId="2">IFERROR(COUNT(_xlfn.ANCHORARRAY(Univariate!$A$4)),0)</definedName>
    <definedName name="UV_Scott_Counts" localSheetId="2">OFFSET(Univariate!$J$5,0,0,n_histogram_bins(Univariate!UV_Data,"Scott"),1)</definedName>
    <definedName name="UV_Scott_Edges" localSheetId="2">OFFSET(Univariate!$I$5,0,0,n_histogram_bins(Univariate!UV_Data,"Scott"),1)</definedName>
    <definedName name="UV_Sturges_Counts" localSheetId="2">OFFSET(Univariate!$G$5,0,0,n_histogram_bins(Univariate!UV_Data,"Sturges"),1)</definedName>
    <definedName name="UV_Sturges_Edges" localSheetId="2">OFFSET(Univariate!$F$5,0,0,n_histogram_bins(Univariate!UV_Data,"Sturges"),1)</definedName>
    <definedName name="UV_WB_S1" localSheetId="2">Univariate!$AC$10:$AV$29</definedName>
    <definedName name="UV_WB_S2" localSheetId="2">Univariate!$AY$10:$BR$29</definedName>
    <definedName name="x_s" localSheetId="6">_xlfn.LET(_xlpm.n,COLUMNS(Regression!All_Xs),_xlpm.sel,IFERROR(_xlfn._xlws.FILTER(_xlfn.SEQUENCE(_xlpm.n),_xlfn.TAKE(Ind_Var_Include,_xlpm.n)),1),_xlfn.CHOOSECOLS(Regression!All_Xs,_xlpm.sel))</definedName>
    <definedName name="y" localSheetId="6">LifeExpectancyData[Life expectancy]</definedName>
    <definedName name="Observations">_xlfn.LAMBDA(_xlpm.Y,_xlop.Include,_xlfn.LET(_xlpm.filt_arg,IF(_xlfn.ISOMITTED(_xlpm.Include),TRUE,_xlpm.Include),ROWS(_xlfn._xlws.FILTER(_xlpm.Y,_xlpm.filt_arg))))</definedName>
    <definedName name="DF_Regression">_xlfn.LAMBDA(_xlpm.X_s,COLUMNS(_xlpm.X_s))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_xlfn.LAMBDA(_xlpm.X_s,_xlop.Allow_Intercept,_xlop.Include,1/VIF(_xlpm.X_s,_xlpm.Allow_Intercept,_xlpm.Include))</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_xlfn.LAMBDA(_xlpm.Y,_xlop.Include,_xlfn.SEQUENCE(ROWS(_xlfn._xlws.FILTER(_xlpm.Y,IF(_xlfn.ISOMITTED(_xlpm.Include),TRUE,_xlpm.Include)))))</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Y_Ranked">_xlfn.LAMBDA(_xlpm.Y,_xlop.Include,_xlfn._xlws.SORT(_xlfn._xlws.FILTER(_xlpm.Y,IF(_xlfn.ISOMITTED(_xlpm.Include),TRUE,_xlpm.Include))))</definedName>
    <definedName name="Dependent_Var">_xlfn.LAMBDA(_xlpm.Y,_xlop.Include,_xlfn._xlws.FILTER(_xlpm.Y,IF(_xlfn.ISOMITTED(_xlpm.Include),TRUE,_xlpm.Include)))</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Data_Completeness">_xlfn.LAMBDA(_xlpm.predictor_row,AND(ISNUMBER(_xlpm.predictor_row)))</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IFERROR(-SUMPRODUCT(LN(_xludf.NORM.DIST(_xlpm.x,_xlpm.mean,_xlpm.sd,FALSE))),1E+15)))</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E+15)))</definedName>
    <definedName name="NLL_Exponential">_xlfn.LAMBDA(_xlpm.data,_xlpm.rate,_xlop.filter,_xlfn.LET(_xlpm.filt_arg,IF(_xlfn.ISOMITTED(_xlpm.filter),ISNUMBER(_xlpm.data),_xlpm.filter),_xlpm.x,_xlfn._xlws.FILTER(_xlpm.data,_xlpm.filt_arg),IFERROR(-SUMPRODUCT(LN(_xludf.EXPON.DIST(_xlpm.x,_xlpm.rate,FALSE))),1E+15)))</definedName>
    <definedName name="NLL_Weibull">_xlfn.LAMBDA(_xlpm.data,_xlpm.shape,_xlpm.scale,_xlop.filter,_xlfn.LET(_xlpm.filt_arg,IF(_xlfn.ISOMITTED(_xlpm.filter),ISNUMBER(_xlpm.data),_xlpm.filter),_xlpm.x,_xlfn._xlws.FILTER(_xlpm.data,_xlpm.filt_arg),IFERROR(-SUMPRODUCT(LN(_xludf.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3E5C9282-A9B2-444C-813C-716E7A5A6E2B}">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90C3CC67-F44E-42D6-B81C-0DDC02D66010}">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CA2D799E-F632-4939-B90A-EA7FE0CAE1A2}">
      <text>
        <r>
          <rPr>
            <b/>
            <sz val="9"/>
            <color indexed="81"/>
            <rFont val="Tahoma"/>
            <family val="2"/>
          </rPr>
          <t>Shows whether the data have a longer tail on one side. Positive means a longer right tail; negative means a longer left tail.</t>
        </r>
      </text>
    </comment>
    <comment ref="H2" authorId="0" shapeId="0" xr:uid="{D52406D8-E3A3-4C9E-A010-E36BE8980EAF}">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ADDF7662-DED4-41A2-8293-343AFF85D559}">
      <text>
        <r>
          <rPr>
            <b/>
            <sz val="9"/>
            <color indexed="81"/>
            <rFont val="Tahoma"/>
            <family val="2"/>
          </rPr>
          <t>A measure of collinearity with the other predictors. A value of 1 means no overlap; above 5 warrants review, above 10 indicates a problem.</t>
        </r>
      </text>
    </comment>
    <comment ref="J2" authorId="0" shapeId="0" xr:uid="{F1E2329A-4BF5-42E2-B9AD-B563159E43AF}">
      <text>
        <r>
          <rPr>
            <b/>
            <sz val="9"/>
            <color indexed="81"/>
            <rFont val="Tahoma"/>
            <family val="2"/>
          </rPr>
          <t>The fraction of a predictor's variation not explained by the other predictors. Values below 0.2 warrant review; below 0.1 indicate strong collinearity.</t>
        </r>
      </text>
    </comment>
    <comment ref="X2" authorId="0" shapeId="0" xr:uid="{5267CA9A-641A-459F-8ACA-A3C846E35247}">
      <text>
        <r>
          <rPr>
            <b/>
            <sz val="9"/>
            <color indexed="81"/>
            <rFont val="Tahoma"/>
            <family val="2"/>
          </rPr>
          <t>The actual observed outcome values.</t>
        </r>
      </text>
    </comment>
    <comment ref="Y2" authorId="0" shapeId="0" xr:uid="{306226BF-FB66-4E15-8FEA-81396B999291}">
      <text>
        <r>
          <rPr>
            <b/>
            <sz val="9"/>
            <color indexed="81"/>
            <rFont val="Tahoma"/>
            <family val="2"/>
          </rPr>
          <t>The fitted outcome values produced by the model.</t>
        </r>
      </text>
    </comment>
    <comment ref="Z2" authorId="0" shapeId="0" xr:uid="{34FA8879-4F48-4193-8DAC-A6C2C31EAD3D}">
      <text>
        <r>
          <rPr>
            <b/>
            <sz val="9"/>
            <color indexed="81"/>
            <rFont val="Tahoma"/>
            <family val="2"/>
          </rPr>
          <t>Actual Y minus predicted Y. Positive means the row came in above the model's prediction; negative means below.</t>
        </r>
      </text>
    </comment>
    <comment ref="AA2" authorId="0" shapeId="0" xr:uid="{8D73849B-DE6E-4FD6-998B-99F128EDC0BE}">
      <text>
        <r>
          <rPr>
            <b/>
            <sz val="9"/>
            <color indexed="81"/>
            <rFont val="Tahoma"/>
            <family val="2"/>
          </rPr>
          <t>The prediction error for a row when that row is left out of the fitting step.</t>
        </r>
      </text>
    </comment>
    <comment ref="AB2" authorId="0" shapeId="0" xr:uid="{89558CAD-CB71-461B-925B-404CD6A9C3A3}">
      <text>
        <r>
          <rPr>
            <b/>
            <sz val="9"/>
            <color indexed="81"/>
            <rFont val="Tahoma"/>
            <family val="2"/>
          </rPr>
          <t>Leverage. It shows how unusual a row's predictor values are relative to the rest of the data.</t>
        </r>
      </text>
    </comment>
    <comment ref="AC2" authorId="0" shapeId="0" xr:uid="{6B4DE163-E6F7-43A4-B86E-6D3B2E286A00}">
      <text>
        <r>
          <rPr>
            <b/>
            <sz val="9"/>
            <color indexed="81"/>
            <rFont val="Tahoma"/>
            <family val="2"/>
          </rPr>
          <t>Residuals scaled to account for overall error size and leverage, making outliers easier to compare fairly.</t>
        </r>
      </text>
    </comment>
    <comment ref="AD2" authorId="0" shapeId="0" xr:uid="{01FA6493-8CE5-4C8A-971A-8CF4B2FF1450}">
      <text>
        <r>
          <rPr>
            <b/>
            <sz val="9"/>
            <color indexed="81"/>
            <rFont val="Tahoma"/>
            <family val="2"/>
          </rPr>
          <t>How much a single row can pull the fitted coefficients and predictions around.</t>
        </r>
      </text>
    </comment>
    <comment ref="AE2" authorId="0" shapeId="0" xr:uid="{BCF273A6-5318-4FE7-98E2-A57187FDB741}">
      <text>
        <r>
          <rPr>
            <b/>
            <sz val="9"/>
            <color indexed="81"/>
            <rFont val="Tahoma"/>
            <family val="2"/>
          </rPr>
          <t>Expected bell-curve quantiles used for the Q-Q comparison.</t>
        </r>
      </text>
    </comment>
    <comment ref="AF2" authorId="0" shapeId="0" xr:uid="{F6FFC67D-1A4B-4A22-A559-3CFFB5C47213}">
      <text>
        <r>
          <rPr>
            <b/>
            <sz val="9"/>
            <color indexed="81"/>
            <rFont val="Tahoma"/>
            <family val="2"/>
          </rPr>
          <t>Studentized residuals sorted from smallest to largest for the Q-Q plot.</t>
        </r>
      </text>
    </comment>
    <comment ref="AG2" authorId="0" shapeId="0" xr:uid="{41744D56-0218-46AB-8BFE-745814BFB1E0}">
      <text>
        <r>
          <rPr>
            <b/>
            <sz val="9"/>
            <color indexed="81"/>
            <rFont val="Tahoma"/>
            <family val="2"/>
          </rPr>
          <t>The square root of the absolute studentized residual. A flat pattern suggests stable error spread.</t>
        </r>
      </text>
    </comment>
    <comment ref="AH2" authorId="0" shapeId="0" xr:uid="{CA76F1CC-2B6F-4455-A259-3AA121930C7E}">
      <text>
        <r>
          <rPr>
            <b/>
            <sz val="9"/>
            <color indexed="81"/>
            <rFont val="Tahoma"/>
            <family val="2"/>
          </rPr>
          <t>A leverage-adjusted residual used to show how much a row affects out-of-sample prediction error.</t>
        </r>
      </text>
    </comment>
    <comment ref="U3" authorId="0" shapeId="0" xr:uid="{6FDF9978-5322-4AF3-A0A9-073E92BBA1D3}">
      <text>
        <r>
          <rPr>
            <b/>
            <sz val="9"/>
            <color indexed="81"/>
            <rFont val="Tahoma"/>
            <family val="2"/>
          </rPr>
          <t>The model's single best predicted Y value for the inputs you entered.</t>
        </r>
      </text>
    </comment>
    <comment ref="L4" authorId="0" shapeId="0" xr:uid="{D63D746F-28A4-49B7-906D-691FC1E23BF5}">
      <text>
        <r>
          <rPr>
            <b/>
            <sz val="9"/>
            <color indexed="81"/>
            <rFont val="Tahoma"/>
            <family val="2"/>
          </rPr>
          <t>How closely the model's predicted Y values track the actual Y values overall.</t>
        </r>
      </text>
    </comment>
    <comment ref="O4" authorId="0" shapeId="0" xr:uid="{187AD3AB-2531-4018-827B-3827EBF3DF79}">
      <text>
        <r>
          <rPr>
            <b/>
            <sz val="9"/>
            <color indexed="81"/>
            <rFont val="Tahoma"/>
            <family val="2"/>
          </rPr>
          <t>A leave-one-out prediction error score. Lower is better because it means the model predicts unseen rows more accurately.</t>
        </r>
      </text>
    </comment>
    <comment ref="U4" authorId="0" shapeId="0" xr:uid="{CB32ADE0-4B49-4AF9-BF15-12541D3B1DCF}">
      <text>
        <r>
          <rPr>
            <b/>
            <sz val="9"/>
            <color indexed="81"/>
            <rFont val="Tahoma"/>
            <family val="2"/>
          </rPr>
          <t>The standard error for a new prediction. It reflects both model uncertainty and ordinary row-to-row noise.</t>
        </r>
      </text>
    </comment>
    <comment ref="L5" authorId="0" shapeId="0" xr:uid="{EB2145E8-9090-4FAC-BC1E-81FDE1D80DEA}">
      <text>
        <r>
          <rPr>
            <b/>
            <sz val="9"/>
            <color indexed="81"/>
            <rFont val="Tahoma"/>
            <family val="2"/>
          </rPr>
          <t>The share of the outcome's variation explained by the model.</t>
        </r>
      </text>
    </comment>
    <comment ref="O5" authorId="0" shapeId="0" xr:uid="{13EAF7BF-9176-421B-838B-7F27D6BA4B6B}">
      <text>
        <r>
          <rPr>
            <b/>
            <sz val="9"/>
            <color indexed="81"/>
            <rFont val="Tahoma"/>
            <family val="2"/>
          </rPr>
          <t>An out-of-sample version of R Square based on leave-one-out prediction. Negative values mean the model predicts worse than just using the average Y.</t>
        </r>
      </text>
    </comment>
    <comment ref="U5" authorId="0" shapeId="0" xr:uid="{2DD345A2-BF87-44B5-82B7-2BF947A04841}">
      <text>
        <r>
          <rPr>
            <b/>
            <sz val="9"/>
            <color indexed="81"/>
            <rFont val="Tahoma"/>
            <family val="2"/>
          </rPr>
          <t>The t-distribution cutoff at the chosen confidence level. Multiply by SE Prediction to get the prediction interval half-width.</t>
        </r>
      </text>
    </comment>
    <comment ref="L6" authorId="0" shapeId="0" xr:uid="{C0DAF1A3-E78A-4E5C-9C44-2FD94C2CC778}">
      <text>
        <r>
          <rPr>
            <b/>
            <sz val="9"/>
            <color indexed="81"/>
            <rFont val="Tahoma"/>
            <family val="2"/>
          </rPr>
          <t>R Square with a penalty for adding predictors that do not help enough.</t>
        </r>
      </text>
    </comment>
    <comment ref="O6" authorId="0" shapeId="0" xr:uid="{143952A5-AA3E-4090-907D-6F9D222A29B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6B50DD93-81B7-476E-B7A0-C644E9731064}">
      <text>
        <r>
          <rPr>
            <b/>
            <sz val="9"/>
            <color indexed="81"/>
            <rFont val="Tahoma"/>
            <family val="2"/>
          </rPr>
          <t>The lower bound of the 95% confidence interval.</t>
        </r>
      </text>
    </comment>
    <comment ref="L7" authorId="0" shapeId="0" xr:uid="{66F00156-AE6E-4C21-BE61-33C9BAE6F24D}">
      <text>
        <r>
          <rPr>
            <b/>
            <sz val="9"/>
            <color indexed="81"/>
            <rFont val="Tahoma"/>
            <family val="2"/>
          </rPr>
          <t>The typical size of the model's prediction errors, measured in the same units as Y.</t>
        </r>
      </text>
    </comment>
    <comment ref="O7" authorId="0" shapeId="0" xr:uid="{04F90D06-BE7D-4836-87A1-3155FF33449B}">
      <text>
        <r>
          <rPr>
            <b/>
            <sz val="9"/>
            <color indexed="81"/>
            <rFont val="Tahoma"/>
            <family val="2"/>
          </rPr>
          <t>A model-comparison score that balances fit against complexity. Lower is better when comparing models on the same data.</t>
        </r>
      </text>
    </comment>
    <comment ref="U7" authorId="0" shapeId="0" xr:uid="{FCE29047-C390-44A7-8286-E3581BC2F620}">
      <text>
        <r>
          <rPr>
            <b/>
            <sz val="9"/>
            <color indexed="81"/>
            <rFont val="Tahoma"/>
            <family val="2"/>
          </rPr>
          <t>The upper bound of the 95% confidence interval.</t>
        </r>
      </text>
    </comment>
    <comment ref="L8" authorId="0" shapeId="0" xr:uid="{10FDC37B-FFF7-495B-8E3D-2D25BE1C88A7}">
      <text>
        <r>
          <rPr>
            <b/>
            <sz val="9"/>
            <color indexed="81"/>
            <rFont val="Tahoma"/>
            <family val="2"/>
          </rPr>
          <t>The number of rows actually used in the regression after filtering.</t>
        </r>
      </text>
    </comment>
    <comment ref="O8" authorId="0" shapeId="0" xr:uid="{90E7F91F-5F87-43D9-8262-18663712B663}">
      <text>
        <r>
          <rPr>
            <b/>
            <sz val="9"/>
            <color indexed="81"/>
            <rFont val="Tahoma"/>
            <family val="2"/>
          </rPr>
          <t>Another model-comparison score like AIC, but it penalizes extra predictors more strongly.</t>
        </r>
      </text>
    </comment>
    <comment ref="U8" authorId="0" shapeId="0" xr:uid="{B30848CA-9064-4C26-9850-A459A9464AB6}">
      <text>
        <r>
          <rPr>
            <b/>
            <sz val="9"/>
            <color indexed="81"/>
            <rFont val="Tahoma"/>
            <family val="2"/>
          </rPr>
          <t>The probability level associated with the interval. With alpha 0.05, this is 95%.</t>
        </r>
      </text>
    </comment>
    <comment ref="O9" authorId="0" shapeId="0" xr:uid="{84E4BD41-C5AE-41FF-A9B8-0D4F3377809F}">
      <text>
        <r>
          <rPr>
            <b/>
            <sz val="9"/>
            <color indexed="81"/>
            <rFont val="Tahoma"/>
            <family val="2"/>
          </rPr>
          <t>AIC with an extra correction for small samples.</t>
        </r>
      </text>
    </comment>
    <comment ref="O10" authorId="0" shapeId="0" xr:uid="{76CD6914-223F-4FB7-A9C1-6A3156EDBE8E}">
      <text>
        <r>
          <rPr>
            <b/>
            <sz val="9"/>
            <color indexed="81"/>
            <rFont val="Tahoma"/>
            <family val="2"/>
          </rPr>
          <t>A numeric check of how close the residuals are to a normal bell shape. Values closer to 1 are better.</t>
        </r>
      </text>
    </comment>
    <comment ref="L12" authorId="0" shapeId="0" xr:uid="{6739B4B8-5624-41FE-B9D7-7F46492F15B7}">
      <text>
        <r>
          <rPr>
            <b/>
            <sz val="9"/>
            <color indexed="81"/>
            <rFont val="Tahoma"/>
            <family val="2"/>
          </rPr>
          <t>The cutoff for statistical significance. At 0.05, results with p-values below 0.05 are treated as statistically significant.</t>
        </r>
      </text>
    </comment>
    <comment ref="M14" authorId="0" shapeId="0" xr:uid="{EC9EC403-58C9-41A5-BD9F-EE2604A9A3A8}">
      <text>
        <r>
          <rPr>
            <b/>
            <sz val="9"/>
            <color indexed="81"/>
            <rFont val="Tahoma"/>
            <family val="2"/>
          </rPr>
          <t>The number of independent data points available to estimate each part of the model — total rows minus one for each estimated parameter.</t>
        </r>
      </text>
    </comment>
    <comment ref="N14" authorId="0" shapeId="0" xr:uid="{0CE20A3C-70AB-4C47-A6B9-07E7982EAF1F}">
      <text>
        <r>
          <rPr>
            <b/>
            <sz val="9"/>
            <color indexed="81"/>
            <rFont val="Tahoma"/>
            <family val="2"/>
          </rPr>
          <t>The total variation attributed to that source — regression, residual, or total. The raw material from which MS and F are calculated.</t>
        </r>
      </text>
    </comment>
    <comment ref="O14" authorId="0" shapeId="0" xr:uid="{09EE1ECA-4603-4D39-9EAF-854FD523A62B}">
      <text>
        <r>
          <rPr>
            <b/>
            <sz val="9"/>
            <color indexed="81"/>
            <rFont val="Tahoma"/>
            <family val="2"/>
          </rPr>
          <t>Sum of squares averaged over its degrees of freedom — a per-unit measure of variation for that source.</t>
        </r>
      </text>
    </comment>
    <comment ref="P14" authorId="0" shapeId="0" xr:uid="{DAC9075E-5041-43E4-9705-54A7DAE1138B}">
      <text>
        <r>
          <rPr>
            <b/>
            <sz val="9"/>
            <color indexed="81"/>
            <rFont val="Tahoma"/>
            <family val="2"/>
          </rPr>
          <t>The model-vs-noise ratio used in the overall regression significance test.</t>
        </r>
      </text>
    </comment>
    <comment ref="Q14" authorId="0" shapeId="0" xr:uid="{4CE91B4E-F383-4614-BDE8-27B9BB21FC6B}">
      <text>
        <r>
          <rPr>
            <b/>
            <sz val="9"/>
            <color indexed="81"/>
            <rFont val="Tahoma"/>
            <family val="2"/>
          </rPr>
          <t>The p-value for the overall F test. Small values mean the model as a whole is unlikely to be pure noise.</t>
        </r>
      </text>
    </comment>
    <comment ref="L15" authorId="0" shapeId="0" xr:uid="{F8F3822D-66C0-43A9-BDCD-B7490B016A32}">
      <text>
        <r>
          <rPr>
            <b/>
            <sz val="9"/>
            <color indexed="81"/>
            <rFont val="Tahoma"/>
            <family val="2"/>
          </rPr>
          <t>The variation explained by the predictors taken together.</t>
        </r>
      </text>
    </comment>
    <comment ref="L16" authorId="0" shapeId="0" xr:uid="{725505FB-EFDC-4570-9214-8F33DDA6EDEB}">
      <text>
        <r>
          <rPr>
            <b/>
            <sz val="9"/>
            <color indexed="81"/>
            <rFont val="Tahoma"/>
            <family val="2"/>
          </rPr>
          <t>The variation the model does not explain.</t>
        </r>
      </text>
    </comment>
    <comment ref="L17" authorId="0" shapeId="0" xr:uid="{3AEC13EF-E94E-4AE6-AF80-533FB3F3EEAA}">
      <text>
        <r>
          <rPr>
            <b/>
            <sz val="9"/>
            <color indexed="81"/>
            <rFont val="Tahoma"/>
            <family val="2"/>
          </rPr>
          <t>All variation in the outcome before splitting it into explained and unexplained parts.</t>
        </r>
      </text>
    </comment>
    <comment ref="M20" authorId="0" shapeId="0" xr:uid="{151211C8-5D3C-47A3-B70F-E9AD32D1437F}">
      <text>
        <r>
          <rPr>
            <b/>
            <sz val="9"/>
            <color indexed="81"/>
            <rFont val="Tahoma"/>
            <family val="2"/>
          </rPr>
          <t>The fitted weights used to turn predictor values into predictions.</t>
        </r>
      </text>
    </comment>
    <comment ref="N20" authorId="0" shapeId="0" xr:uid="{EACFC827-7178-4C46-9B08-7BE45F4CBCEC}">
      <text>
        <r>
          <rPr>
            <b/>
            <sz val="9"/>
            <color indexed="81"/>
            <rFont val="Tahoma"/>
            <family val="2"/>
          </rPr>
          <t>How uncertain each coefficient estimate is.</t>
        </r>
      </text>
    </comment>
    <comment ref="O20" authorId="0" shapeId="0" xr:uid="{4F6314DF-9628-43F4-977E-24AB50352D19}">
      <text>
        <r>
          <rPr>
            <b/>
            <sz val="9"/>
            <color indexed="81"/>
            <rFont val="Tahoma"/>
            <family val="2"/>
          </rPr>
          <t>How many standard errors the coefficient is away from zero.</t>
        </r>
      </text>
    </comment>
    <comment ref="P20" authorId="0" shapeId="0" xr:uid="{31FDC89F-9A51-48F5-8A06-A5EC7F361271}">
      <text>
        <r>
          <rPr>
            <b/>
            <sz val="9"/>
            <color indexed="81"/>
            <rFont val="Tahoma"/>
            <family val="2"/>
          </rPr>
          <t>How surprising this coefficient would be if its true effect were zero. Smaller values mean stronger evidence of a real effect.</t>
        </r>
      </text>
    </comment>
    <comment ref="Q20" authorId="0" shapeId="0" xr:uid="{0B5A1875-F337-4A80-B910-A308B90AA75B}">
      <text>
        <r>
          <rPr>
            <b/>
            <sz val="9"/>
            <color indexed="81"/>
            <rFont val="Tahoma"/>
            <family val="2"/>
          </rPr>
          <t>The lower bound of the 95% confidence interval.</t>
        </r>
      </text>
    </comment>
    <comment ref="R20" authorId="0" shapeId="0" xr:uid="{F7FD2041-3547-43B5-9CA8-085B7BB40975}">
      <text>
        <r>
          <rPr>
            <b/>
            <sz val="9"/>
            <color indexed="81"/>
            <rFont val="Tahoma"/>
            <family val="2"/>
          </rPr>
          <t>The upper bound of the 95% confidence interval.</t>
        </r>
      </text>
    </comment>
    <comment ref="S20" authorId="0" shapeId="0" xr:uid="{CBB99653-4367-4B56-AA20-4CBA3F096BD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<sst xmlns="http://schemas.openxmlformats.org/spreadsheetml/2006/main" count="6633" uniqueCount="845">
  <si>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</si>
  <si>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</si>
  <si>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</si>
  <si>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</si>
  <si>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</si>
  <si>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</si>
  <si>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</si>
  <si>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</si>
  <si>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</si>
  <si>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</si>
  <si>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</si>
  <si>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</si>
  <si>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</si>
  <si>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</si>
  <si>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</si>
  <si>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</si>
  <si>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</si>
  <si>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</si>
  <si>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</si>
  <si>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</si>
  <si>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</si>
  <si>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</si>
  <si>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</si>
  <si>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</si>
  <si>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</si>
  <si>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</si>
  <si>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</si>
  <si>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</si>
  <si>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</si>
  <si>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</si>
  <si>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</si>
  <si>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</si>
  <si>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</si>
  <si>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</si>
  <si>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</si>
  <si>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</si>
  <si>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</si>
  <si>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</si>
  <si>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</si>
  <si>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</si>
  <si>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</si>
  <si>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</si>
  <si>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</si>
  <si>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</si>
  <si>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</si>
  <si>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</si>
  <si>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</si>
  <si>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</si>
  <si>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</si>
  <si>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</si>
  <si>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</si>
  <si>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</si>
  <si>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</si>
  <si>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</si>
  <si>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</si>
  <si>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</si>
  <si>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</si>
  <si>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</si>
  <si>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</si>
  <si>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</si>
  <si>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</si>
  <si>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</si>
  <si>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</si>
  <si>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</si>
  <si>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</si>
  <si>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</si>
  <si>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</si>
  <si>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</si>
  <si>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</si>
  <si>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</si>
  <si>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</si>
  <si>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</si>
  <si>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</si>
  <si>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</si>
  <si>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</si>
  <si>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</si>
  <si>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</si>
  <si>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</si>
  <si>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</si>
  <si>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</si>
  <si>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</si>
  <si>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</si>
  <si>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</si>
  <si>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</si>
  <si>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</si>
  <si>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</si>
  <si>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</si>
  <si>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</si>
  <si>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</si>
  <si>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</si>
  <si>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</si>
  <si>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</si>
  <si>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</si>
  <si>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</si>
  <si>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</si>
  <si>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</si>
  <si>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</si>
  <si>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</si>
  <si>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</si>
  <si>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</si>
  <si>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</si>
  <si>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</si>
  <si>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</si>
  <si>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</si>
  <si>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</si>
  <si>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</si>
  <si>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</si>
  <si>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</si>
  <si>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</si>
  <si>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</si>
  <si>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</si>
  <si>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</si>
  <si>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</si>
  <si>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</si>
  <si>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</si>
  <si>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</si>
  <si>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</si>
  <si>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</si>
  <si>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</si>
  <si>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</si>
  <si>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</si>
  <si>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</si>
  <si>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</si>
  <si>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</si>
  <si>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</si>
  <si>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</si>
  <si>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</si>
  <si>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</si>
  <si>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</si>
  <si>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</si>
  <si>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</si>
  <si>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</si>
  <si>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</si>
  <si>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</si>
  <si>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</si>
  <si>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</si>
  <si>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</si>
  <si>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</si>
  <si>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</si>
  <si>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</si>
  <si>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</si>
  <si>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</si>
  <si>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</si>
  <si>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</si>
  <si>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</si>
  <si>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</si>
  <si>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</si>
  <si>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</si>
  <si>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</si>
  <si>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</si>
  <si>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</si>
  <si>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</si>
  <si>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</si>
  <si>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</si>
  <si>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</si>
  <si>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</si>
  <si>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</si>
  <si>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</si>
  <si>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</si>
  <si>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</si>
  <si>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</si>
  <si>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</si>
  <si>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</si>
  <si>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</si>
  <si>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</si>
  <si>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</si>
  <si>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</si>
  <si>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</si>
  <si>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</si>
  <si>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</si>
  <si>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</si>
  <si>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</si>
  <si>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</si>
  <si>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</si>
  <si>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</si>
  <si>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</si>
  <si>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</si>
  <si>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</si>
  <si>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</si>
  <si>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</si>
  <si>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</si>
  <si>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</si>
  <si>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</si>
  <si>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</si>
  <si>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</si>
  <si>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</si>
  <si>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</si>
  <si>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</si>
  <si>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</si>
  <si>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</si>
  <si>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</si>
  <si>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</si>
  <si>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</si>
  <si>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</si>
  <si>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</si>
  <si>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</si>
  <si>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</si>
  <si>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</si>
  <si>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</si>
  <si>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</si>
  <si>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</si>
  <si>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</si>
  <si>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</si>
  <si>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</si>
  <si>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</si>
  <si>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</si>
  <si>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</si>
  <si>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</si>
  <si>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</si>
  <si>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</si>
  <si>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</si>
  <si>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</si>
  <si>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</si>
  <si>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</si>
  <si>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</si>
  <si>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</si>
  <si>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</si>
  <si>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</si>
  <si>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</si>
  <si>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</si>
  <si>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</si>
  <si>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</si>
  <si>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</si>
  <si>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</si>
  <si>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</si>
  <si>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</si>
  <si>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</si>
  <si>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</si>
  <si>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</si>
  <si>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</si>
  <si>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</si>
  <si>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</si>
  <si>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</si>
  <si>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</si>
  <si>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</si>
  <si>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</si>
  <si>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</si>
  <si>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</si>
  <si>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</si>
  <si>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</si>
  <si>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</si>
  <si>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</si>
  <si>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</si>
  <si>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</si>
  <si>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</si>
  <si>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</si>
  <si>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</si>
  <si>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</si>
  <si>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</si>
  <si>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</si>
  <si>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</si>
  <si>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</si>
  <si>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</si>
  <si>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</si>
  <si>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</si>
  <si>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</si>
  <si>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</si>
  <si>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</si>
  <si>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</si>
  <si>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</si>
  <si>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</si>
  <si>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</si>
  <si>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</si>
  <si>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</si>
  <si>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</si>
  <si>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</si>
  <si>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</si>
  <si>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</si>
  <si>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</si>
  <si>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</si>
  <si>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</si>
  <si>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</si>
  <si>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</si>
  <si>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</si>
  <si>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</si>
  <si>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</si>
  <si>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</si>
  <si>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</si>
  <si>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</si>
  <si>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</si>
  <si>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</si>
  <si>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</si>
  <si>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</si>
  <si>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</si>
  <si>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</si>
  <si>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</si>
  <si>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</si>
  <si>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</si>
  <si>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</si>
  <si>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</si>
  <si>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</si>
  <si>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</si>
  <si>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</si>
  <si>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</si>
  <si>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</si>
  <si>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</si>
  <si>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</si>
  <si>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</si>
  <si>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</si>
  <si>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</si>
  <si>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</si>
  <si>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</si>
  <si>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</si>
  <si>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</si>
  <si>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</si>
  <si>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</si>
  <si>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</si>
  <si>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</si>
  <si>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</si>
  <si>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</si>
  <si>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</si>
  <si>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</si>
  <si>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</si>
  <si>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</si>
  <si>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</si>
  <si>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</si>
  <si>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</si>
  <si>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</si>
  <si>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</si>
  <si>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</si>
  <si>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</si>
  <si>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</si>
  <si>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</si>
  <si>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</si>
  <si>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</si>
  <si>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</si>
  <si>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</si>
  <si>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</si>
  <si>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</si>
  <si>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</si>
  <si>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</si>
  <si>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</si>
  <si>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</si>
  <si>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</si>
  <si>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</si>
  <si>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</si>
  <si>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</si>
  <si>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</si>
  <si>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</si>
  <si>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</si>
  <si>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</si>
  <si>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</si>
  <si>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</si>
  <si>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</si>
  <si>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</si>
  <si>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</si>
  <si>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</si>
  <si>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</si>
  <si>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</si>
  <si>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</si>
  <si>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</si>
  <si>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</si>
  <si>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</si>
  <si>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</si>
  <si>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</si>
  <si>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</si>
  <si>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</si>
  <si>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</si>
  <si>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</si>
  <si>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</si>
  <si>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</si>
  <si>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</si>
  <si>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</si>
  <si>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</si>
  <si>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</si>
  <si>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</si>
  <si>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</si>
  <si>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</si>
  <si>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</si>
  <si>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</si>
  <si>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</si>
  <si>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</si>
  <si>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</si>
  <si>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</si>
  <si>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</si>
  <si>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</si>
  <si>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</si>
  <si>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</si>
  <si>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</si>
  <si>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</si>
  <si>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</si>
  <si>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</si>
  <si>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</si>
  <si>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</si>
  <si>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</si>
  <si>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</si>
  <si>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</si>
  <si>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</si>
  <si>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</si>
  <si>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</si>
  <si>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</si>
  <si>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</si>
  <si>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</si>
  <si>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</si>
  <si>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</si>
  <si>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</si>
  <si>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</si>
  <si>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</si>
  <si>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</si>
  <si>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</si>
  <si>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</si>
  <si>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</si>
  <si>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</si>
  <si>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</si>
  <si>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</si>
  <si>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</si>
  <si>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</si>
  <si>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</si>
  <si>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</si>
  <si>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</si>
  <si>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</si>
  <si>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</si>
  <si>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</si>
  <si>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</si>
  <si>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</si>
  <si>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</si>
  <si>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</si>
  <si>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</si>
  <si>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</si>
  <si>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</si>
  <si>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</si>
  <si>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</si>
  <si>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</si>
  <si>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</si>
  <si>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</si>
  <si>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</si>
  <si>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</si>
  <si>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</si>
  <si>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</si>
  <si>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</si>
  <si>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</si>
  <si>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</si>
  <si>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</si>
  <si>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</si>
  <si>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</si>
  <si>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</si>
  <si>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</si>
  <si>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</si>
  <si>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</si>
  <si>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</si>
  <si>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</si>
  <si>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</si>
  <si>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</si>
  <si>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</si>
  <si>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</si>
  <si>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</si>
  <si>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</si>
  <si>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</si>
  <si>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</si>
  <si>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</si>
  <si>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</si>
  <si>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</si>
  <si>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</si>
  <si>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</si>
  <si>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</si>
  <si>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</si>
  <si>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</si>
  <si>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</si>
  <si>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</si>
  <si>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</si>
  <si>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</si>
  <si>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</si>
  <si>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</si>
  <si>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</si>
  <si>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</si>
  <si>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</si>
  <si>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</si>
  <si>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</si>
  <si>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</si>
  <si>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</si>
  <si>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</si>
  <si>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</si>
  <si>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</si>
  <si>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</si>
  <si>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</si>
  <si>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</si>
  <si>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</si>
  <si>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</si>
  <si>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</si>
  <si>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</si>
  <si>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</si>
  <si>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</si>
  <si>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</si>
  <si>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</si>
  <si>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</si>
  <si>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</si>
  <si>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</si>
  <si>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</si>
  <si>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</si>
  <si>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</si>
  <si>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</si>
  <si>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</si>
  <si>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</si>
  <si>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</si>
  <si>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</si>
  <si>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</si>
  <si>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</si>
  <si>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</si>
  <si>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</si>
  <si>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</si>
  <si>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</si>
  <si>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</si>
  <si>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</si>
  <si>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</si>
  <si>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</si>
  <si>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</si>
  <si>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</si>
  <si>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</si>
  <si>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</si>
  <si>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</si>
  <si>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</si>
  <si>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</si>
  <si>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</si>
  <si>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</si>
  <si>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</si>
  <si>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</si>
  <si>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</si>
  <si>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</si>
  <si>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</si>
  <si>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</si>
  <si>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</si>
  <si>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</si>
  <si>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</si>
  <si>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</si>
  <si>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</si>
  <si>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</si>
  <si>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</si>
  <si>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</si>
  <si>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</si>
  <si>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</si>
  <si>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</si>
  <si>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</si>
  <si>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</si>
  <si>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</si>
  <si>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</si>
  <si>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</si>
  <si>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</si>
  <si>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</si>
  <si>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</si>
  <si>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</si>
  <si>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</si>
  <si>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</si>
  <si>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</si>
  <si>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</si>
  <si>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</si>
  <si>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</si>
  <si>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</si>
  <si>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</si>
  <si>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</si>
  <si>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</si>
  <si>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</si>
  <si>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</si>
  <si>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</si>
  <si>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</si>
  <si>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</si>
  <si>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</si>
  <si>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</si>
  <si>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</si>
  <si>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</si>
  <si>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</si>
  <si>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</si>
  <si>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</si>
  <si>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</si>
  <si>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</si>
  <si>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</si>
  <si>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</si>
  <si>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</si>
  <si>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</si>
  <si>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</si>
  <si>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</si>
  <si>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</si>
  <si>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</si>
  <si>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</si>
  <si>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</si>
  <si>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</si>
  <si>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</si>
  <si>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</si>
  <si>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</si>
  <si>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</si>
  <si>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</si>
  <si>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</si>
  <si>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</si>
  <si>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</si>
  <si>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</si>
  <si>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</si>
  <si>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</si>
  <si>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</si>
  <si>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</si>
  <si>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</si>
  <si>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</si>
  <si>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</si>
  <si>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</si>
  <si>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</si>
  <si>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</si>
  <si>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</si>
  <si>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</si>
  <si>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</si>
  <si>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</si>
  <si>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</si>
  <si>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</si>
  <si>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</si>
  <si>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</si>
  <si>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</si>
  <si>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</si>
  <si>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</si>
  <si>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</si>
  <si>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</si>
  <si>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</si>
  <si>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</si>
  <si>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</si>
  <si>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</si>
  <si>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</si>
  <si>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</si>
  <si>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</si>
  <si>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</si>
  <si>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</si>
  <si>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</si>
  <si>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</si>
  <si>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</si>
  <si>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</si>
  <si>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</si>
  <si>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</si>
  <si>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</si>
  <si>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</si>
  <si>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</si>
  <si>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</si>
  <si>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</si>
  <si>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</si>
  <si>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</si>
  <si>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</si>
  <si>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</si>
  <si>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</si>
  <si>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</si>
  <si>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</si>
  <si>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</si>
  <si>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</si>
  <si>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</si>
  <si>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</si>
  <si>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</si>
  <si>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</si>
  <si>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</si>
  <si>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</si>
  <si>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</si>
  <si>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</si>
  <si>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</si>
  <si>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</si>
  <si>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</si>
  <si>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</si>
  <si>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</si>
  <si>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</si>
  <si>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</si>
  <si>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Descriptive Statistics</t>
  </si>
  <si>
    <t>Value</t>
  </si>
  <si>
    <t>Mean</t>
  </si>
  <si>
    <t>Median</t>
  </si>
  <si>
    <t>Mode</t>
  </si>
  <si>
    <t>Std Dev</t>
  </si>
  <si>
    <t>Variance</t>
  </si>
  <si>
    <t>Min</t>
  </si>
  <si>
    <t>Max</t>
  </si>
  <si>
    <t>Range</t>
  </si>
  <si>
    <t>Count</t>
  </si>
  <si>
    <t>Missing</t>
  </si>
  <si>
    <t>Histograms</t>
  </si>
  <si>
    <t>Sturges Method</t>
  </si>
  <si>
    <t>Upper Edge</t>
  </si>
  <si>
    <t>Scott Method</t>
  </si>
  <si>
    <t>Freedman-Diaconis Method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</si>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</sst>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7">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6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0" fillId="0" borderId="0" xfId="0" applyBorder="1"/>
    <xf numFmtId="0" fontId="1" fillId="3" borderId="1" xfId="0" applyFont="1" applyFill="1" applyBorder="1"/>
    <xf numFmtId="0" fontId="0" fillId="0" borderId="1" xfId="0" applyBorder="1"/>
    <xf numFmtId="164" fontId="0" fillId="0" borderId="0" xfId="0" applyNumberFormat="1" applyBorder="1"/>
    <xf numFmtId="1" fontId="0" fillId="0" borderId="0" xfId="0" applyNumberFormat="1"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0" fontId="1" fillId="2" borderId="0" xfId="0" applyFont="1" applyFill="1"/>
    <xf numFmtId="2" fontId="0" fillId="0" borderId="0" xfId="0" applyNumberFormat="1"/>
    <xf numFmtId="2" fontId="0" fillId="0" borderId="0" xfId="0" applyNumberFormat="1" applyBorder="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164" fontId="0" fillId="4" borderId="0" xfId="0" applyNumberFormat="1" applyFill="1" applyBorder="1"/>
    <xf numFmtId="2" fontId="0" fillId="0" borderId="1" xfId="0" applyNumberFormat="1" applyBorder="1"/>
    <xf numFmtId="164" fontId="0" fillId="0" borderId="1" xfId="0" applyNumberFormat="1" applyBorder="1"/>
    <xf numFmtId="0" fontId="1" fillId="2" borderId="2" xfId="0" applyFont="1" applyFill="1" applyBorder="1"/>
    <xf numFmtId="0" fontId="0" fillId="0" borderId="3" xfId="0" applyBorder="1"/>
    <xf numFmtId="0" fontId="0" fillId="0" borderId="6" xfId="0" applyBorder="1"/>
    <xf numFmtId="0" fontId="0" fillId="0" borderId="7" xfId="0" applyBorder="1"/>
    <xf numFmtId="0" fontId="0" fillId="2" borderId="0" xfId="0" applyFill="1"/>
    <xf numFmtId="0" fontId="1" fillId="5" borderId="0" xfId="0" applyFont="1" applyFill="1"/>
    <xf numFmtId="0" fontId="0" fillId="5" borderId="0" xfId="0" applyFill="1"/>
    <xf numFmtId="0" fontId="1" fillId="6"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0" fontId="1" fillId="0" borderId="0" xfId="0" applyFont="1" applyBorder="1"/>
    <xf numFmtId="165" fontId="0" fillId="0" borderId="0" xfId="0" applyNumberForma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cellXfs>
  <cellStyles count="1">
    <cellStyle name="Normal" xfId="0" builtinId="0"/>
  </cellStyles>
  <dxfs count="33">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118459088"/>
        <c:axId val="1118460528"/>
      </c:barChart>
      <c:catAx>
        <c:axId val="1118459088"/>
        <c:scaling>
          <c:orientation val="minMax"/>
        </c:scaling>
        <c:delete val="0"/>
        <c:axPos val="b"/>
        <c:majorTickMark val="out"/>
        <c:minorTickMark val="none"/>
        <c:tickLblPos val="nextTo"/>
        <c:crossAx val="1118460528"/>
        <c:crosses val="autoZero"/>
        <c:auto val="1"/>
        <c:lblAlgn val="ctr"/>
        <c:lblOffset val="100"/>
        <c:noMultiLvlLbl val="0"/>
      </c:catAx>
      <c:valAx>
        <c:axId val="1118460528"/>
        <c:scaling>
          <c:orientation val="minMax"/>
        </c:scaling>
        <c:delete val="0"/>
        <c:axPos val="l"/>
        <c:majorGridlines/>
        <c:majorTickMark val="out"/>
        <c:minorTickMark val="none"/>
        <c:tickLblPos val="nextTo"/>
        <c:crossAx val="1118459088"/>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
                <c:pt idx="0">
                  <c:v>0</c:v>
                </c:pt>
              </c:numCache>
            </c:numRef>
          </c:xVal>
          <c:yVal>
            <c:numRef>
              <c:f>Regression!RegChartResid</c:f>
              <c:numCache>
                <c:formatCode>0.0000</c:formatCode>
                <c:ptCount val="1"/>
                <c:pt idx="0">
                  <c:v>0</c:v>
                </c:pt>
              </c:numCache>
            </c:numRef>
          </c:yVal>
          <c:smooth val="0"/>
          <c:extLst>
            <c:ext xmlns:c16="http://schemas.microsoft.com/office/drawing/2014/chart" uri="{C3380CC4-5D6E-409C-BE32-E72D297353CC}">
              <c16:uniqueId val="{00000001-0C16-4C55-A253-A0F1849AD905}"/>
            </c:ext>
          </c:extLst>
        </c:ser>
        <c:dLbls>
          <c:showLegendKey val="0"/>
          <c:showVal val="0"/>
          <c:showCatName val="0"/>
          <c:showSerName val="0"/>
          <c:showPercent val="0"/>
          <c:showBubbleSize val="0"/>
        </c:dLbls>
        <c:axId val="1110546112"/>
        <c:axId val="305379631"/>
      </c:scatterChart>
      <c:valAx>
        <c:axId val="111054611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05379631"/>
        <c:crosses val="autoZero"/>
        <c:crossBetween val="midCat"/>
      </c:valAx>
      <c:valAx>
        <c:axId val="30537963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1105461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
                <c:pt idx="0">
                  <c:v>0</c:v>
                </c:pt>
              </c:numCache>
            </c:numRef>
          </c:xVal>
          <c:yVal>
            <c:numRef>
              <c:f>Regression!RegChartQQY</c:f>
              <c:numCache>
                <c:formatCode>0.0000</c:formatCode>
                <c:ptCount val="1"/>
                <c:pt idx="0">
                  <c:v>0</c:v>
                </c:pt>
              </c:numCache>
            </c:numRef>
          </c:yVal>
          <c:smooth val="0"/>
          <c:extLst>
            <c:ext xmlns:c16="http://schemas.microsoft.com/office/drawing/2014/chart" uri="{C3380CC4-5D6E-409C-BE32-E72D297353CC}">
              <c16:uniqueId val="{00000001-D7FB-4DB5-B582-0DF3414165E6}"/>
            </c:ext>
          </c:extLst>
        </c:ser>
        <c:dLbls>
          <c:showLegendKey val="0"/>
          <c:showVal val="0"/>
          <c:showCatName val="0"/>
          <c:showSerName val="0"/>
          <c:showPercent val="0"/>
          <c:showBubbleSize val="0"/>
        </c:dLbls>
        <c:axId val="305378191"/>
        <c:axId val="305377231"/>
      </c:scatterChart>
      <c:valAx>
        <c:axId val="305378191"/>
        <c:scaling>
          <c:orientation val="minMax"/>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305377231"/>
        <c:crosses val="autoZero"/>
        <c:crossBetween val="midCat"/>
      </c:valAx>
      <c:valAx>
        <c:axId val="30537723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053781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
                <c:pt idx="0">
                  <c:v>0</c:v>
                </c:pt>
              </c:numCache>
            </c:numRef>
          </c:xVal>
          <c:yVal>
            <c:numRef>
              <c:f>Regression!RegChartActY</c:f>
              <c:numCache>
                <c:formatCode>General</c:formatCode>
                <c:ptCount val="1"/>
                <c:pt idx="0">
                  <c:v>0</c:v>
                </c:pt>
              </c:numCache>
            </c:numRef>
          </c:yVal>
          <c:smooth val="0"/>
          <c:extLst>
            <c:ext xmlns:c16="http://schemas.microsoft.com/office/drawing/2014/chart" uri="{C3380CC4-5D6E-409C-BE32-E72D297353CC}">
              <c16:uniqueId val="{00000001-C668-4908-9215-3C1D8F0CECDF}"/>
            </c:ext>
          </c:extLst>
        </c:ser>
        <c:dLbls>
          <c:showLegendKey val="0"/>
          <c:showVal val="0"/>
          <c:showCatName val="0"/>
          <c:showSerName val="0"/>
          <c:showPercent val="0"/>
          <c:showBubbleSize val="0"/>
        </c:dLbls>
        <c:axId val="305382031"/>
        <c:axId val="305374831"/>
      </c:scatterChart>
      <c:valAx>
        <c:axId val="305382031"/>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305374831"/>
        <c:crosses val="autoZero"/>
        <c:crossBetween val="midCat"/>
      </c:valAx>
      <c:valAx>
        <c:axId val="305374831"/>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3053820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
                <c:pt idx="0">
                  <c:v>0</c:v>
                </c:pt>
              </c:numCache>
            </c:numRef>
          </c:xVal>
          <c:yVal>
            <c:numRef>
              <c:f>Regression!RegChartScaleLoc</c:f>
              <c:numCache>
                <c:formatCode>0.0000</c:formatCode>
                <c:ptCount val="1"/>
                <c:pt idx="0">
                  <c:v>0</c:v>
                </c:pt>
              </c:numCache>
            </c:numRef>
          </c:yVal>
          <c:smooth val="0"/>
          <c:extLst>
            <c:ext xmlns:c16="http://schemas.microsoft.com/office/drawing/2014/chart" uri="{C3380CC4-5D6E-409C-BE32-E72D297353CC}">
              <c16:uniqueId val="{00000001-007F-48F7-A27C-046CA4646058}"/>
            </c:ext>
          </c:extLst>
        </c:ser>
        <c:dLbls>
          <c:showLegendKey val="0"/>
          <c:showVal val="0"/>
          <c:showCatName val="0"/>
          <c:showSerName val="0"/>
          <c:showPercent val="0"/>
          <c:showBubbleSize val="0"/>
        </c:dLbls>
        <c:axId val="305383951"/>
        <c:axId val="305382991"/>
      </c:scatterChart>
      <c:valAx>
        <c:axId val="30538395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05382991"/>
        <c:crosses val="autoZero"/>
        <c:crossBetween val="midCat"/>
      </c:valAx>
      <c:valAx>
        <c:axId val="3053829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305383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
                <c:pt idx="0">
                  <c:v>0</c:v>
                </c:pt>
              </c:numCache>
            </c:numRef>
          </c:val>
          <c:extLst>
            <c:ext xmlns:c16="http://schemas.microsoft.com/office/drawing/2014/chart" uri="{C3380CC4-5D6E-409C-BE32-E72D297353CC}">
              <c16:uniqueId val="{00000001-E627-4D6F-ADFA-441EB42B56CC}"/>
            </c:ext>
          </c:extLst>
        </c:ser>
        <c:dLbls>
          <c:showLegendKey val="0"/>
          <c:showVal val="0"/>
          <c:showCatName val="0"/>
          <c:showSerName val="0"/>
          <c:showPercent val="0"/>
          <c:showBubbleSize val="0"/>
        </c:dLbls>
        <c:gapWidth val="150"/>
        <c:axId val="305371951"/>
        <c:axId val="305382511"/>
      </c:barChart>
      <c:catAx>
        <c:axId val="30537195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05382511"/>
        <c:crosses val="autoZero"/>
        <c:auto val="1"/>
        <c:lblAlgn val="ctr"/>
        <c:lblOffset val="100"/>
        <c:noMultiLvlLbl val="0"/>
      </c:catAx>
      <c:valAx>
        <c:axId val="30538251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0537195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
                <c:pt idx="0">
                  <c:v>0</c:v>
                </c:pt>
              </c:numCache>
            </c:numRef>
          </c:xVal>
          <c:yVal>
            <c:numRef>
              <c:f>Regression!RegChartStudResid</c:f>
              <c:numCache>
                <c:formatCode>0.0000</c:formatCode>
                <c:ptCount val="1"/>
                <c:pt idx="0">
                  <c:v>0</c:v>
                </c:pt>
              </c:numCache>
            </c:numRef>
          </c:yVal>
          <c:smooth val="0"/>
          <c:extLst>
            <c:ext xmlns:c16="http://schemas.microsoft.com/office/drawing/2014/chart" uri="{C3380CC4-5D6E-409C-BE32-E72D297353CC}">
              <c16:uniqueId val="{00000001-960C-472F-A696-6C3F367C7934}"/>
            </c:ext>
          </c:extLst>
        </c:ser>
        <c:dLbls>
          <c:showLegendKey val="0"/>
          <c:showVal val="0"/>
          <c:showCatName val="0"/>
          <c:showSerName val="0"/>
          <c:showPercent val="0"/>
          <c:showBubbleSize val="0"/>
        </c:dLbls>
        <c:axId val="305374351"/>
        <c:axId val="305369551"/>
      </c:scatterChart>
      <c:valAx>
        <c:axId val="30537435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305369551"/>
        <c:crosses val="autoZero"/>
        <c:crossBetween val="midCat"/>
      </c:valAx>
      <c:valAx>
        <c:axId val="30536955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053743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
                <c:pt idx="0">
                  <c:v>0</c:v>
                </c:pt>
              </c:numCache>
            </c:numRef>
          </c:val>
          <c:extLst>
            <c:ext xmlns:c16="http://schemas.microsoft.com/office/drawing/2014/chart" uri="{C3380CC4-5D6E-409C-BE32-E72D297353CC}">
              <c16:uniqueId val="{00000001-E018-4CBE-A94D-511A6C5C7164}"/>
            </c:ext>
          </c:extLst>
        </c:ser>
        <c:dLbls>
          <c:showLegendKey val="0"/>
          <c:showVal val="0"/>
          <c:showCatName val="0"/>
          <c:showSerName val="0"/>
          <c:showPercent val="0"/>
          <c:showBubbleSize val="0"/>
        </c:dLbls>
        <c:gapWidth val="150"/>
        <c:axId val="305387791"/>
        <c:axId val="305388271"/>
      </c:barChart>
      <c:catAx>
        <c:axId val="30538779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05388271"/>
        <c:crosses val="autoZero"/>
        <c:auto val="1"/>
        <c:lblAlgn val="ctr"/>
        <c:lblOffset val="100"/>
        <c:noMultiLvlLbl val="0"/>
      </c:catAx>
      <c:valAx>
        <c:axId val="30538827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30538779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6</xdr:col>
      <xdr:colOff>228600</xdr:colOff>
      <xdr:row>39</xdr:row>
      <xdr:rowOff>142875</xdr:rowOff>
    </xdr:from>
    <xdr:to>
      <xdr:col>12</xdr:col>
      <xdr:colOff>298450</xdr:colOff>
      <xdr:row>54</xdr:row>
      <xdr:rowOff>79375</xdr:rowOff>
    </xdr:to>
    <xdr:graphicFrame macro="">
      <xdr:nvGraphicFramePr>
        <xdr:cNvPr id="2" name="Chart 1">
          <a:extLst>
            <a:ext uri="{FF2B5EF4-FFF2-40B4-BE49-F238E27FC236}">
              <a16:creationId xmlns:a16="http://schemas.microsoft.com/office/drawing/2014/main" id="{BEB02D06-963B-BD41-BBC0-4089636B16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3C4CE34E-995E-88A2-3568-ED91306160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949C3D6B-93B3-AE55-9C47-2CCAB8CB86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E1CD4030-4CBF-C712-FC01-055EC7220A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09ED8D26-EB94-2555-D798-5D189A29A5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0050643A-0FA8-5ECF-D1F1-0B71652CDE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A1FC1823-17A6-34F1-A358-9EB0CB711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2F09DF5E-91D1-A287-45E6-8EEC0590F5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0.13551</cdr:x>
      <cdr:y>0.11998</cdr:y>
    </cdr:from>
    <cdr:to>
      <cdr:x>0.95634</cdr:x>
      <cdr:y>0.85106</cdr:y>
    </cdr:to>
    <cdr:cxnSp macro="">
      <cdr:nvCxnSpPr>
        <cdr:cNvPr id="2" name="Straight Connector 1">
          <a:extLst xmlns:a="http://schemas.openxmlformats.org/drawingml/2006/main">
            <a:ext uri="{FF2B5EF4-FFF2-40B4-BE49-F238E27FC236}">
              <a16:creationId xmlns:a16="http://schemas.microsoft.com/office/drawing/2014/main" id="{462CE0F6-01D1-1D78-A8C8-26A19F61DB83}"/>
            </a:ext>
          </a:extLst>
        </cdr:cNvPr>
        <cdr:cNvCxnSpPr/>
      </cdr:nvCxnSpPr>
      <cdr:spPr>
        <a:xfrm xmlns:a="http://schemas.openxmlformats.org/drawingml/2006/main" flipV="1">
          <a:off x="533496" y="472345"/>
          <a:ext cx="3231610"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c:userShapes xmlns:c="http://schemas.openxmlformats.org/drawingml/2006/chart">
  <cdr:relSizeAnchor xmlns:cdr="http://schemas.openxmlformats.org/drawingml/2006/chartDrawing">
    <cdr:from>
      <cdr:x>0.13551</cdr:x>
      <cdr:y>0.11998</cdr:y>
    </cdr:from>
    <cdr:to>
      <cdr:x>0.95634</cdr:x>
      <cdr:y>0.85106</cdr:y>
    </cdr:to>
    <cdr:cxnSp macro="">
      <cdr:nvCxnSpPr>
        <cdr:cNvPr id="2" name="Straight Connector 1">
          <a:extLst xmlns:a="http://schemas.openxmlformats.org/drawingml/2006/main">
            <a:ext uri="{FF2B5EF4-FFF2-40B4-BE49-F238E27FC236}">
              <a16:creationId xmlns:a16="http://schemas.microsoft.com/office/drawing/2014/main" id="{1982CC0B-8375-BE83-5F3D-3C451DDF8B6A}"/>
            </a:ext>
          </a:extLst>
        </cdr:cNvPr>
        <cdr:cNvCxnSpPr/>
      </cdr:nvCxnSpPr>
      <cdr:spPr>
        <a:xfrm xmlns:a="http://schemas.openxmlformats.org/drawingml/2006/main" flipV="1">
          <a:off x="533496" y="472345"/>
          <a:ext cx="3231610"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CDC04F-1520-4BF2-A81D-B5E00D88314D}" name="LAMBDAFunctionsCatalog" displayName="LAMBDAFunctionsCatalog" ref="A1:F79" totalsRowShown="0" headerRowDxfId="26" dataDxfId="25">
  <autoFilter ref="A1:F79" xr:uid="{0CCDC04F-1520-4BF2-A81D-B5E00D88314D}"/>
  <tableColumns count="6">
    <tableColumn id="1" xr3:uid="{77F4FDF2-17B0-4AA7-9C69-862997BDA89B}" name="Function Name" dataDxfId="32"/>
    <tableColumn id="2" xr3:uid="{6E737977-77C1-4B24-996B-8AD4D866800F}" name="Definition" dataDxfId="31"/>
    <tableColumn id="3" xr3:uid="{FCF559DD-326E-40EF-A03A-A43B4030B982}" name="Arguments" dataDxfId="30"/>
    <tableColumn id="4" xr3:uid="{085083CD-2E89-4308-9D62-58A50FF102BF}" name="Yields" dataDxfId="29"/>
    <tableColumn id="5" xr3:uid="{88AE305C-6405-4E78-89ED-A5A5EA1ACBFB}" name="Plain-Language Summary" dataDxfId="28"/>
    <tableColumn id="6" xr3:uid="{86C8021C-6A33-4BE0-803A-028DD7EBB60C}" name="Description"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5BE24F-2D85-4627-9AC2-5DFF5C814E38}" name="LifeExpectancyData" displayName="LifeExpectancyData" ref="A1:W2939" totalsRowShown="0">
  <autoFilter ref="A1:W2939" xr:uid="{9C5BE24F-2D85-4627-9AC2-5DFF5C814E38}"/>
  <tableColumns count="23">
    <tableColumn id="1" xr3:uid="{0DDA86B4-E26E-4A79-BE12-18C68718CB76}" name="Country"/>
    <tableColumn id="2" xr3:uid="{8F75F51E-3A78-4D9D-9113-4B9D4909751F}" name="Year"/>
    <tableColumn id="3" xr3:uid="{F3A23803-F2D4-43A5-8EFD-6B1B783136D4}" name="Status"/>
    <tableColumn id="4" xr3:uid="{463D0FD3-0837-4FD2-8A25-3BE47D7CA15E}" name="Life expectancy"/>
    <tableColumn id="5" xr3:uid="{76C061E7-763E-43EC-BCC9-8E628C50FF7A}" name="Adult Mortality"/>
    <tableColumn id="6" xr3:uid="{A25CCB5D-1CD7-424C-8E63-FC94B6BFF278}" name="infant deaths"/>
    <tableColumn id="7" xr3:uid="{D2E22016-5CA0-4B93-B5E4-E499E9375B24}" name="Alcohol"/>
    <tableColumn id="8" xr3:uid="{253D55C4-D093-46FB-943E-F7C628965183}" name="percentage expenditure"/>
    <tableColumn id="9" xr3:uid="{63DE35CC-1B24-407D-9CBE-58EB85057594}" name="Hepatitis B"/>
    <tableColumn id="10" xr3:uid="{7A61A577-C69B-42BF-88A1-AF508C257351}" name="Measles"/>
    <tableColumn id="11" xr3:uid="{40A7FDA8-B676-45E4-A813-27FB3456BC5D}" name="BMI"/>
    <tableColumn id="12" xr3:uid="{5D9C64CA-B815-4608-B94A-B0931132BD2D}" name="under-five deaths"/>
    <tableColumn id="13" xr3:uid="{DEF00023-0AF4-49C1-80A7-621A0EFDD0A3}" name="Polio"/>
    <tableColumn id="14" xr3:uid="{42C7BACA-B1A1-4F34-B0FC-BFFCBFAD58C3}" name="Total expenditure"/>
    <tableColumn id="15" xr3:uid="{ACB1F7F7-8B6C-46E6-9729-132FA1DFB00C}" name="Diphtheria"/>
    <tableColumn id="16" xr3:uid="{62667607-836F-4BAC-8F07-68C1F6D1092F}" name="HIV/AIDS"/>
    <tableColumn id="17" xr3:uid="{92C20CCC-56DA-4009-97A0-FA187C06D4E3}" name="GDP"/>
    <tableColumn id="18" xr3:uid="{40842F02-9FE2-4754-A562-8E407E9C8A1A}" name="Population"/>
    <tableColumn id="19" xr3:uid="{41A1823E-DD0D-467E-917F-5D6AEC560483}" name="thinness 1-19 years"/>
    <tableColumn id="20" xr3:uid="{76D45EB2-C56A-46BE-BD7D-8367F2A4AD3C}" name="thinness 5-9 years"/>
    <tableColumn id="21" xr3:uid="{9B69FBF8-C704-4734-B33A-3346013FA947}" name="Income composition of resources"/>
    <tableColumn id="22" xr3:uid="{5D7F5347-1AA4-4C78-8CB2-A34EC0CC50C4}" name="Schooling"/>
    <tableColumn id="23" xr3:uid="{D2074699-FDAC-464C-A687-35A8D378ED32}"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8948-723E-4A21-B3C5-E2E310E26298}">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CEF26-26A1-4ECA-9846-F2BE8440A116}">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e">
        <f ca="1">Data_Completeness(LifeExpectancyData[[#This Row],[Life expectancy]:[Schooling]])</f>
        <v>#NAME?</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e">
        <f ca="1">Data_Completeness(LifeExpectancyData[[#This Row],[Life expectancy]:[Schooling]])</f>
        <v>#NAME?</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e">
        <f ca="1">Data_Completeness(LifeExpectancyData[[#This Row],[Life expectancy]:[Schooling]])</f>
        <v>#NAME?</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e">
        <f ca="1">Data_Completeness(LifeExpectancyData[[#This Row],[Life expectancy]:[Schooling]])</f>
        <v>#NAME?</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e">
        <f ca="1">Data_Completeness(LifeExpectancyData[[#This Row],[Life expectancy]:[Schooling]])</f>
        <v>#NAME?</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e">
        <f ca="1">Data_Completeness(LifeExpectancyData[[#This Row],[Life expectancy]:[Schooling]])</f>
        <v>#NAME?</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e">
        <f ca="1">Data_Completeness(LifeExpectancyData[[#This Row],[Life expectancy]:[Schooling]])</f>
        <v>#NAME?</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e">
        <f ca="1">Data_Completeness(LifeExpectancyData[[#This Row],[Life expectancy]:[Schooling]])</f>
        <v>#NAME?</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e">
        <f ca="1">Data_Completeness(LifeExpectancyData[[#This Row],[Life expectancy]:[Schooling]])</f>
        <v>#NAME?</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e">
        <f ca="1">Data_Completeness(LifeExpectancyData[[#This Row],[Life expectancy]:[Schooling]])</f>
        <v>#NAME?</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e">
        <f ca="1">Data_Completeness(LifeExpectancyData[[#This Row],[Life expectancy]:[Schooling]])</f>
        <v>#NAME?</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e">
        <f ca="1">Data_Completeness(LifeExpectancyData[[#This Row],[Life expectancy]:[Schooling]])</f>
        <v>#NAME?</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e">
        <f ca="1">Data_Completeness(LifeExpectancyData[[#This Row],[Life expectancy]:[Schooling]])</f>
        <v>#NAME?</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e">
        <f ca="1">Data_Completeness(LifeExpectancyData[[#This Row],[Life expectancy]:[Schooling]])</f>
        <v>#NAME?</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e">
        <f ca="1">Data_Completeness(LifeExpectancyData[[#This Row],[Life expectancy]:[Schooling]])</f>
        <v>#NAME?</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e">
        <f ca="1">Data_Completeness(LifeExpectancyData[[#This Row],[Life expectancy]:[Schooling]])</f>
        <v>#NAME?</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e">
        <f ca="1">Data_Completeness(LifeExpectancyData[[#This Row],[Life expectancy]:[Schooling]])</f>
        <v>#NAME?</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e">
        <f ca="1">Data_Completeness(LifeExpectancyData[[#This Row],[Life expectancy]:[Schooling]])</f>
        <v>#NAME?</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e">
        <f ca="1">Data_Completeness(LifeExpectancyData[[#This Row],[Life expectancy]:[Schooling]])</f>
        <v>#NAME?</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e">
        <f ca="1">Data_Completeness(LifeExpectancyData[[#This Row],[Life expectancy]:[Schooling]])</f>
        <v>#NAME?</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e">
        <f ca="1">Data_Completeness(LifeExpectancyData[[#This Row],[Life expectancy]:[Schooling]])</f>
        <v>#NAME?</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e">
        <f ca="1">Data_Completeness(LifeExpectancyData[[#This Row],[Life expectancy]:[Schooling]])</f>
        <v>#NAME?</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e">
        <f ca="1">Data_Completeness(LifeExpectancyData[[#This Row],[Life expectancy]:[Schooling]])</f>
        <v>#NAME?</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e">
        <f ca="1">Data_Completeness(LifeExpectancyData[[#This Row],[Life expectancy]:[Schooling]])</f>
        <v>#NAME?</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e">
        <f ca="1">Data_Completeness(LifeExpectancyData[[#This Row],[Life expectancy]:[Schooling]])</f>
        <v>#NAME?</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e">
        <f ca="1">Data_Completeness(LifeExpectancyData[[#This Row],[Life expectancy]:[Schooling]])</f>
        <v>#NAME?</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e">
        <f ca="1">Data_Completeness(LifeExpectancyData[[#This Row],[Life expectancy]:[Schooling]])</f>
        <v>#NAME?</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e">
        <f ca="1">Data_Completeness(LifeExpectancyData[[#This Row],[Life expectancy]:[Schooling]])</f>
        <v>#NAME?</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e">
        <f ca="1">Data_Completeness(LifeExpectancyData[[#This Row],[Life expectancy]:[Schooling]])</f>
        <v>#NAME?</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e">
        <f ca="1">Data_Completeness(LifeExpectancyData[[#This Row],[Life expectancy]:[Schooling]])</f>
        <v>#NAME?</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e">
        <f ca="1">Data_Completeness(LifeExpectancyData[[#This Row],[Life expectancy]:[Schooling]])</f>
        <v>#NAME?</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e">
        <f ca="1">Data_Completeness(LifeExpectancyData[[#This Row],[Life expectancy]:[Schooling]])</f>
        <v>#NAME?</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e">
        <f ca="1">Data_Completeness(LifeExpectancyData[[#This Row],[Life expectancy]:[Schooling]])</f>
        <v>#NAME?</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e">
        <f ca="1">Data_Completeness(LifeExpectancyData[[#This Row],[Life expectancy]:[Schooling]])</f>
        <v>#NAME?</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e">
        <f ca="1">Data_Completeness(LifeExpectancyData[[#This Row],[Life expectancy]:[Schooling]])</f>
        <v>#NAME?</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e">
        <f ca="1">Data_Completeness(LifeExpectancyData[[#This Row],[Life expectancy]:[Schooling]])</f>
        <v>#NAME?</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e">
        <f ca="1">Data_Completeness(LifeExpectancyData[[#This Row],[Life expectancy]:[Schooling]])</f>
        <v>#NAME?</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e">
        <f ca="1">Data_Completeness(LifeExpectancyData[[#This Row],[Life expectancy]:[Schooling]])</f>
        <v>#NAME?</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e">
        <f ca="1">Data_Completeness(LifeExpectancyData[[#This Row],[Life expectancy]:[Schooling]])</f>
        <v>#NAME?</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e">
        <f ca="1">Data_Completeness(LifeExpectancyData[[#This Row],[Life expectancy]:[Schooling]])</f>
        <v>#NAME?</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e">
        <f ca="1">Data_Completeness(LifeExpectancyData[[#This Row],[Life expectancy]:[Schooling]])</f>
        <v>#NAME?</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e">
        <f ca="1">Data_Completeness(LifeExpectancyData[[#This Row],[Life expectancy]:[Schooling]])</f>
        <v>#NAME?</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e">
        <f ca="1">Data_Completeness(LifeExpectancyData[[#This Row],[Life expectancy]:[Schooling]])</f>
        <v>#NAME?</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e">
        <f ca="1">Data_Completeness(LifeExpectancyData[[#This Row],[Life expectancy]:[Schooling]])</f>
        <v>#NAME?</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e">
        <f ca="1">Data_Completeness(LifeExpectancyData[[#This Row],[Life expectancy]:[Schooling]])</f>
        <v>#NAME?</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e">
        <f ca="1">Data_Completeness(LifeExpectancyData[[#This Row],[Life expectancy]:[Schooling]])</f>
        <v>#NAME?</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e">
        <f ca="1">Data_Completeness(LifeExpectancyData[[#This Row],[Life expectancy]:[Schooling]])</f>
        <v>#NAME?</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e">
        <f ca="1">Data_Completeness(LifeExpectancyData[[#This Row],[Life expectancy]:[Schooling]])</f>
        <v>#NAME?</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e">
        <f ca="1">Data_Completeness(LifeExpectancyData[[#This Row],[Life expectancy]:[Schooling]])</f>
        <v>#NAME?</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e">
        <f ca="1">Data_Completeness(LifeExpectancyData[[#This Row],[Life expectancy]:[Schooling]])</f>
        <v>#NAME?</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e">
        <f ca="1">Data_Completeness(LifeExpectancyData[[#This Row],[Life expectancy]:[Schooling]])</f>
        <v>#NAME?</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e">
        <f ca="1">Data_Completeness(LifeExpectancyData[[#This Row],[Life expectancy]:[Schooling]])</f>
        <v>#NAME?</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e">
        <f ca="1">Data_Completeness(LifeExpectancyData[[#This Row],[Life expectancy]:[Schooling]])</f>
        <v>#NAME?</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e">
        <f ca="1">Data_Completeness(LifeExpectancyData[[#This Row],[Life expectancy]:[Schooling]])</f>
        <v>#NAME?</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e">
        <f ca="1">Data_Completeness(LifeExpectancyData[[#This Row],[Life expectancy]:[Schooling]])</f>
        <v>#NAME?</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e">
        <f ca="1">Data_Completeness(LifeExpectancyData[[#This Row],[Life expectancy]:[Schooling]])</f>
        <v>#NAME?</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e">
        <f ca="1">Data_Completeness(LifeExpectancyData[[#This Row],[Life expectancy]:[Schooling]])</f>
        <v>#NAME?</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e">
        <f ca="1">Data_Completeness(LifeExpectancyData[[#This Row],[Life expectancy]:[Schooling]])</f>
        <v>#NAME?</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e">
        <f ca="1">Data_Completeness(LifeExpectancyData[[#This Row],[Life expectancy]:[Schooling]])</f>
        <v>#NAME?</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e">
        <f ca="1">Data_Completeness(LifeExpectancyData[[#This Row],[Life expectancy]:[Schooling]])</f>
        <v>#NAME?</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e">
        <f ca="1">Data_Completeness(LifeExpectancyData[[#This Row],[Life expectancy]:[Schooling]])</f>
        <v>#NAME?</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e">
        <f ca="1">Data_Completeness(LifeExpectancyData[[#This Row],[Life expectancy]:[Schooling]])</f>
        <v>#NAME?</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e">
        <f ca="1">Data_Completeness(LifeExpectancyData[[#This Row],[Life expectancy]:[Schooling]])</f>
        <v>#NAME?</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e">
        <f ca="1">Data_Completeness(LifeExpectancyData[[#This Row],[Life expectancy]:[Schooling]])</f>
        <v>#NAME?</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e">
        <f ca="1">Data_Completeness(LifeExpectancyData[[#This Row],[Life expectancy]:[Schooling]])</f>
        <v>#NAME?</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e">
        <f ca="1">Data_Completeness(LifeExpectancyData[[#This Row],[Life expectancy]:[Schooling]])</f>
        <v>#NAME?</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e">
        <f ca="1">Data_Completeness(LifeExpectancyData[[#This Row],[Life expectancy]:[Schooling]])</f>
        <v>#NAME?</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e">
        <f ca="1">Data_Completeness(LifeExpectancyData[[#This Row],[Life expectancy]:[Schooling]])</f>
        <v>#NAME?</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e">
        <f ca="1">Data_Completeness(LifeExpectancyData[[#This Row],[Life expectancy]:[Schooling]])</f>
        <v>#NAME?</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e">
        <f ca="1">Data_Completeness(LifeExpectancyData[[#This Row],[Life expectancy]:[Schooling]])</f>
        <v>#NAME?</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e">
        <f ca="1">Data_Completeness(LifeExpectancyData[[#This Row],[Life expectancy]:[Schooling]])</f>
        <v>#NAME?</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e">
        <f ca="1">Data_Completeness(LifeExpectancyData[[#This Row],[Life expectancy]:[Schooling]])</f>
        <v>#NAME?</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e">
        <f ca="1">Data_Completeness(LifeExpectancyData[[#This Row],[Life expectancy]:[Schooling]])</f>
        <v>#NAME?</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e">
        <f ca="1">Data_Completeness(LifeExpectancyData[[#This Row],[Life expectancy]:[Schooling]])</f>
        <v>#NAME?</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e">
        <f ca="1">Data_Completeness(LifeExpectancyData[[#This Row],[Life expectancy]:[Schooling]])</f>
        <v>#NAME?</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e">
        <f ca="1">Data_Completeness(LifeExpectancyData[[#This Row],[Life expectancy]:[Schooling]])</f>
        <v>#NAME?</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e">
        <f ca="1">Data_Completeness(LifeExpectancyData[[#This Row],[Life expectancy]:[Schooling]])</f>
        <v>#NAME?</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e">
        <f ca="1">Data_Completeness(LifeExpectancyData[[#This Row],[Life expectancy]:[Schooling]])</f>
        <v>#NAME?</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e">
        <f ca="1">Data_Completeness(LifeExpectancyData[[#This Row],[Life expectancy]:[Schooling]])</f>
        <v>#NAME?</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e">
        <f ca="1">Data_Completeness(LifeExpectancyData[[#This Row],[Life expectancy]:[Schooling]])</f>
        <v>#NAME?</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e">
        <f ca="1">Data_Completeness(LifeExpectancyData[[#This Row],[Life expectancy]:[Schooling]])</f>
        <v>#NAME?</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e">
        <f ca="1">Data_Completeness(LifeExpectancyData[[#This Row],[Life expectancy]:[Schooling]])</f>
        <v>#NAME?</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e">
        <f ca="1">Data_Completeness(LifeExpectancyData[[#This Row],[Life expectancy]:[Schooling]])</f>
        <v>#NAME?</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e">
        <f ca="1">Data_Completeness(LifeExpectancyData[[#This Row],[Life expectancy]:[Schooling]])</f>
        <v>#NAME?</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e">
        <f ca="1">Data_Completeness(LifeExpectancyData[[#This Row],[Life expectancy]:[Schooling]])</f>
        <v>#NAME?</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e">
        <f ca="1">Data_Completeness(LifeExpectancyData[[#This Row],[Life expectancy]:[Schooling]])</f>
        <v>#NAME?</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e">
        <f ca="1">Data_Completeness(LifeExpectancyData[[#This Row],[Life expectancy]:[Schooling]])</f>
        <v>#NAME?</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e">
        <f ca="1">Data_Completeness(LifeExpectancyData[[#This Row],[Life expectancy]:[Schooling]])</f>
        <v>#NAME?</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e">
        <f ca="1">Data_Completeness(LifeExpectancyData[[#This Row],[Life expectancy]:[Schooling]])</f>
        <v>#NAME?</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e">
        <f ca="1">Data_Completeness(LifeExpectancyData[[#This Row],[Life expectancy]:[Schooling]])</f>
        <v>#NAME?</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e">
        <f ca="1">Data_Completeness(LifeExpectancyData[[#This Row],[Life expectancy]:[Schooling]])</f>
        <v>#NAME?</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e">
        <f ca="1">Data_Completeness(LifeExpectancyData[[#This Row],[Life expectancy]:[Schooling]])</f>
        <v>#NAME?</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e">
        <f ca="1">Data_Completeness(LifeExpectancyData[[#This Row],[Life expectancy]:[Schooling]])</f>
        <v>#NAME?</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e">
        <f ca="1">Data_Completeness(LifeExpectancyData[[#This Row],[Life expectancy]:[Schooling]])</f>
        <v>#NAME?</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e">
        <f ca="1">Data_Completeness(LifeExpectancyData[[#This Row],[Life expectancy]:[Schooling]])</f>
        <v>#NAME?</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e">
        <f ca="1">Data_Completeness(LifeExpectancyData[[#This Row],[Life expectancy]:[Schooling]])</f>
        <v>#NAME?</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e">
        <f ca="1">Data_Completeness(LifeExpectancyData[[#This Row],[Life expectancy]:[Schooling]])</f>
        <v>#NAME?</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e">
        <f ca="1">Data_Completeness(LifeExpectancyData[[#This Row],[Life expectancy]:[Schooling]])</f>
        <v>#NAME?</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e">
        <f ca="1">Data_Completeness(LifeExpectancyData[[#This Row],[Life expectancy]:[Schooling]])</f>
        <v>#NAME?</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e">
        <f ca="1">Data_Completeness(LifeExpectancyData[[#This Row],[Life expectancy]:[Schooling]])</f>
        <v>#NAME?</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e">
        <f ca="1">Data_Completeness(LifeExpectancyData[[#This Row],[Life expectancy]:[Schooling]])</f>
        <v>#NAME?</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e">
        <f ca="1">Data_Completeness(LifeExpectancyData[[#This Row],[Life expectancy]:[Schooling]])</f>
        <v>#NAME?</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e">
        <f ca="1">Data_Completeness(LifeExpectancyData[[#This Row],[Life expectancy]:[Schooling]])</f>
        <v>#NAME?</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e">
        <f ca="1">Data_Completeness(LifeExpectancyData[[#This Row],[Life expectancy]:[Schooling]])</f>
        <v>#NAME?</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e">
        <f ca="1">Data_Completeness(LifeExpectancyData[[#This Row],[Life expectancy]:[Schooling]])</f>
        <v>#NAME?</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e">
        <f ca="1">Data_Completeness(LifeExpectancyData[[#This Row],[Life expectancy]:[Schooling]])</f>
        <v>#NAME?</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e">
        <f ca="1">Data_Completeness(LifeExpectancyData[[#This Row],[Life expectancy]:[Schooling]])</f>
        <v>#NAME?</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e">
        <f ca="1">Data_Completeness(LifeExpectancyData[[#This Row],[Life expectancy]:[Schooling]])</f>
        <v>#NAME?</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e">
        <f ca="1">Data_Completeness(LifeExpectancyData[[#This Row],[Life expectancy]:[Schooling]])</f>
        <v>#NAME?</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e">
        <f ca="1">Data_Completeness(LifeExpectancyData[[#This Row],[Life expectancy]:[Schooling]])</f>
        <v>#NAME?</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e">
        <f ca="1">Data_Completeness(LifeExpectancyData[[#This Row],[Life expectancy]:[Schooling]])</f>
        <v>#NAME?</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e">
        <f ca="1">Data_Completeness(LifeExpectancyData[[#This Row],[Life expectancy]:[Schooling]])</f>
        <v>#NAME?</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e">
        <f ca="1">Data_Completeness(LifeExpectancyData[[#This Row],[Life expectancy]:[Schooling]])</f>
        <v>#NAME?</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e">
        <f ca="1">Data_Completeness(LifeExpectancyData[[#This Row],[Life expectancy]:[Schooling]])</f>
        <v>#NAME?</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e">
        <f ca="1">Data_Completeness(LifeExpectancyData[[#This Row],[Life expectancy]:[Schooling]])</f>
        <v>#NAME?</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e">
        <f ca="1">Data_Completeness(LifeExpectancyData[[#This Row],[Life expectancy]:[Schooling]])</f>
        <v>#NAME?</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e">
        <f ca="1">Data_Completeness(LifeExpectancyData[[#This Row],[Life expectancy]:[Schooling]])</f>
        <v>#NAME?</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e">
        <f ca="1">Data_Completeness(LifeExpectancyData[[#This Row],[Life expectancy]:[Schooling]])</f>
        <v>#NAME?</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e">
        <f ca="1">Data_Completeness(LifeExpectancyData[[#This Row],[Life expectancy]:[Schooling]])</f>
        <v>#NAME?</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e">
        <f ca="1">Data_Completeness(LifeExpectancyData[[#This Row],[Life expectancy]:[Schooling]])</f>
        <v>#NAME?</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e">
        <f ca="1">Data_Completeness(LifeExpectancyData[[#This Row],[Life expectancy]:[Schooling]])</f>
        <v>#NAME?</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e">
        <f ca="1">Data_Completeness(LifeExpectancyData[[#This Row],[Life expectancy]:[Schooling]])</f>
        <v>#NAME?</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e">
        <f ca="1">Data_Completeness(LifeExpectancyData[[#This Row],[Life expectancy]:[Schooling]])</f>
        <v>#NAME?</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e">
        <f ca="1">Data_Completeness(LifeExpectancyData[[#This Row],[Life expectancy]:[Schooling]])</f>
        <v>#NAME?</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e">
        <f ca="1">Data_Completeness(LifeExpectancyData[[#This Row],[Life expectancy]:[Schooling]])</f>
        <v>#NAME?</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e">
        <f ca="1">Data_Completeness(LifeExpectancyData[[#This Row],[Life expectancy]:[Schooling]])</f>
        <v>#NAME?</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e">
        <f ca="1">Data_Completeness(LifeExpectancyData[[#This Row],[Life expectancy]:[Schooling]])</f>
        <v>#NAME?</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e">
        <f ca="1">Data_Completeness(LifeExpectancyData[[#This Row],[Life expectancy]:[Schooling]])</f>
        <v>#NAME?</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e">
        <f ca="1">Data_Completeness(LifeExpectancyData[[#This Row],[Life expectancy]:[Schooling]])</f>
        <v>#NAME?</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e">
        <f ca="1">Data_Completeness(LifeExpectancyData[[#This Row],[Life expectancy]:[Schooling]])</f>
        <v>#NAME?</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e">
        <f ca="1">Data_Completeness(LifeExpectancyData[[#This Row],[Life expectancy]:[Schooling]])</f>
        <v>#NAME?</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e">
        <f ca="1">Data_Completeness(LifeExpectancyData[[#This Row],[Life expectancy]:[Schooling]])</f>
        <v>#NAME?</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e">
        <f ca="1">Data_Completeness(LifeExpectancyData[[#This Row],[Life expectancy]:[Schooling]])</f>
        <v>#NAME?</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e">
        <f ca="1">Data_Completeness(LifeExpectancyData[[#This Row],[Life expectancy]:[Schooling]])</f>
        <v>#NAME?</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e">
        <f ca="1">Data_Completeness(LifeExpectancyData[[#This Row],[Life expectancy]:[Schooling]])</f>
        <v>#NAME?</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e">
        <f ca="1">Data_Completeness(LifeExpectancyData[[#This Row],[Life expectancy]:[Schooling]])</f>
        <v>#NAME?</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e">
        <f ca="1">Data_Completeness(LifeExpectancyData[[#This Row],[Life expectancy]:[Schooling]])</f>
        <v>#NAME?</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e">
        <f ca="1">Data_Completeness(LifeExpectancyData[[#This Row],[Life expectancy]:[Schooling]])</f>
        <v>#NAME?</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e">
        <f ca="1">Data_Completeness(LifeExpectancyData[[#This Row],[Life expectancy]:[Schooling]])</f>
        <v>#NAME?</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e">
        <f ca="1">Data_Completeness(LifeExpectancyData[[#This Row],[Life expectancy]:[Schooling]])</f>
        <v>#NAME?</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e">
        <f ca="1">Data_Completeness(LifeExpectancyData[[#This Row],[Life expectancy]:[Schooling]])</f>
        <v>#NAME?</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e">
        <f ca="1">Data_Completeness(LifeExpectancyData[[#This Row],[Life expectancy]:[Schooling]])</f>
        <v>#NAME?</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e">
        <f ca="1">Data_Completeness(LifeExpectancyData[[#This Row],[Life expectancy]:[Schooling]])</f>
        <v>#NAME?</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e">
        <f ca="1">Data_Completeness(LifeExpectancyData[[#This Row],[Life expectancy]:[Schooling]])</f>
        <v>#NAME?</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e">
        <f ca="1">Data_Completeness(LifeExpectancyData[[#This Row],[Life expectancy]:[Schooling]])</f>
        <v>#NAME?</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e">
        <f ca="1">Data_Completeness(LifeExpectancyData[[#This Row],[Life expectancy]:[Schooling]])</f>
        <v>#NAME?</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e">
        <f ca="1">Data_Completeness(LifeExpectancyData[[#This Row],[Life expectancy]:[Schooling]])</f>
        <v>#NAME?</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e">
        <f ca="1">Data_Completeness(LifeExpectancyData[[#This Row],[Life expectancy]:[Schooling]])</f>
        <v>#NAME?</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e">
        <f ca="1">Data_Completeness(LifeExpectancyData[[#This Row],[Life expectancy]:[Schooling]])</f>
        <v>#NAME?</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e">
        <f ca="1">Data_Completeness(LifeExpectancyData[[#This Row],[Life expectancy]:[Schooling]])</f>
        <v>#NAME?</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e">
        <f ca="1">Data_Completeness(LifeExpectancyData[[#This Row],[Life expectancy]:[Schooling]])</f>
        <v>#NAME?</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e">
        <f ca="1">Data_Completeness(LifeExpectancyData[[#This Row],[Life expectancy]:[Schooling]])</f>
        <v>#NAME?</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e">
        <f ca="1">Data_Completeness(LifeExpectancyData[[#This Row],[Life expectancy]:[Schooling]])</f>
        <v>#NAME?</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e">
        <f ca="1">Data_Completeness(LifeExpectancyData[[#This Row],[Life expectancy]:[Schooling]])</f>
        <v>#NAME?</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e">
        <f ca="1">Data_Completeness(LifeExpectancyData[[#This Row],[Life expectancy]:[Schooling]])</f>
        <v>#NAME?</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e">
        <f ca="1">Data_Completeness(LifeExpectancyData[[#This Row],[Life expectancy]:[Schooling]])</f>
        <v>#NAME?</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e">
        <f ca="1">Data_Completeness(LifeExpectancyData[[#This Row],[Life expectancy]:[Schooling]])</f>
        <v>#NAME?</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e">
        <f ca="1">Data_Completeness(LifeExpectancyData[[#This Row],[Life expectancy]:[Schooling]])</f>
        <v>#NAME?</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e">
        <f ca="1">Data_Completeness(LifeExpectancyData[[#This Row],[Life expectancy]:[Schooling]])</f>
        <v>#NAME?</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e">
        <f ca="1">Data_Completeness(LifeExpectancyData[[#This Row],[Life expectancy]:[Schooling]])</f>
        <v>#NAME?</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e">
        <f ca="1">Data_Completeness(LifeExpectancyData[[#This Row],[Life expectancy]:[Schooling]])</f>
        <v>#NAME?</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e">
        <f ca="1">Data_Completeness(LifeExpectancyData[[#This Row],[Life expectancy]:[Schooling]])</f>
        <v>#NAME?</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e">
        <f ca="1">Data_Completeness(LifeExpectancyData[[#This Row],[Life expectancy]:[Schooling]])</f>
        <v>#NAME?</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e">
        <f ca="1">Data_Completeness(LifeExpectancyData[[#This Row],[Life expectancy]:[Schooling]])</f>
        <v>#NAME?</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e">
        <f ca="1">Data_Completeness(LifeExpectancyData[[#This Row],[Life expectancy]:[Schooling]])</f>
        <v>#NAME?</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e">
        <f ca="1">Data_Completeness(LifeExpectancyData[[#This Row],[Life expectancy]:[Schooling]])</f>
        <v>#NAME?</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e">
        <f ca="1">Data_Completeness(LifeExpectancyData[[#This Row],[Life expectancy]:[Schooling]])</f>
        <v>#NAME?</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e">
        <f ca="1">Data_Completeness(LifeExpectancyData[[#This Row],[Life expectancy]:[Schooling]])</f>
        <v>#NAME?</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e">
        <f ca="1">Data_Completeness(LifeExpectancyData[[#This Row],[Life expectancy]:[Schooling]])</f>
        <v>#NAME?</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e">
        <f ca="1">Data_Completeness(LifeExpectancyData[[#This Row],[Life expectancy]:[Schooling]])</f>
        <v>#NAME?</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e">
        <f ca="1">Data_Completeness(LifeExpectancyData[[#This Row],[Life expectancy]:[Schooling]])</f>
        <v>#NAME?</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e">
        <f ca="1">Data_Completeness(LifeExpectancyData[[#This Row],[Life expectancy]:[Schooling]])</f>
        <v>#NAME?</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e">
        <f ca="1">Data_Completeness(LifeExpectancyData[[#This Row],[Life expectancy]:[Schooling]])</f>
        <v>#NAME?</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e">
        <f ca="1">Data_Completeness(LifeExpectancyData[[#This Row],[Life expectancy]:[Schooling]])</f>
        <v>#NAME?</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e">
        <f ca="1">Data_Completeness(LifeExpectancyData[[#This Row],[Life expectancy]:[Schooling]])</f>
        <v>#NAME?</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e">
        <f ca="1">Data_Completeness(LifeExpectancyData[[#This Row],[Life expectancy]:[Schooling]])</f>
        <v>#NAME?</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e">
        <f ca="1">Data_Completeness(LifeExpectancyData[[#This Row],[Life expectancy]:[Schooling]])</f>
        <v>#NAME?</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e">
        <f ca="1">Data_Completeness(LifeExpectancyData[[#This Row],[Life expectancy]:[Schooling]])</f>
        <v>#NAME?</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e">
        <f ca="1">Data_Completeness(LifeExpectancyData[[#This Row],[Life expectancy]:[Schooling]])</f>
        <v>#NAME?</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e">
        <f ca="1">Data_Completeness(LifeExpectancyData[[#This Row],[Life expectancy]:[Schooling]])</f>
        <v>#NAME?</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e">
        <f ca="1">Data_Completeness(LifeExpectancyData[[#This Row],[Life expectancy]:[Schooling]])</f>
        <v>#NAME?</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e">
        <f ca="1">Data_Completeness(LifeExpectancyData[[#This Row],[Life expectancy]:[Schooling]])</f>
        <v>#NAME?</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e">
        <f ca="1">Data_Completeness(LifeExpectancyData[[#This Row],[Life expectancy]:[Schooling]])</f>
        <v>#NAME?</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e">
        <f ca="1">Data_Completeness(LifeExpectancyData[[#This Row],[Life expectancy]:[Schooling]])</f>
        <v>#NAME?</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e">
        <f ca="1">Data_Completeness(LifeExpectancyData[[#This Row],[Life expectancy]:[Schooling]])</f>
        <v>#NAME?</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e">
        <f ca="1">Data_Completeness(LifeExpectancyData[[#This Row],[Life expectancy]:[Schooling]])</f>
        <v>#NAME?</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e">
        <f ca="1">Data_Completeness(LifeExpectancyData[[#This Row],[Life expectancy]:[Schooling]])</f>
        <v>#NAME?</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e">
        <f ca="1">Data_Completeness(LifeExpectancyData[[#This Row],[Life expectancy]:[Schooling]])</f>
        <v>#NAME?</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e">
        <f ca="1">Data_Completeness(LifeExpectancyData[[#This Row],[Life expectancy]:[Schooling]])</f>
        <v>#NAME?</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e">
        <f ca="1">Data_Completeness(LifeExpectancyData[[#This Row],[Life expectancy]:[Schooling]])</f>
        <v>#NAME?</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e">
        <f ca="1">Data_Completeness(LifeExpectancyData[[#This Row],[Life expectancy]:[Schooling]])</f>
        <v>#NAME?</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e">
        <f ca="1">Data_Completeness(LifeExpectancyData[[#This Row],[Life expectancy]:[Schooling]])</f>
        <v>#NAME?</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e">
        <f ca="1">Data_Completeness(LifeExpectancyData[[#This Row],[Life expectancy]:[Schooling]])</f>
        <v>#NAME?</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e">
        <f ca="1">Data_Completeness(LifeExpectancyData[[#This Row],[Life expectancy]:[Schooling]])</f>
        <v>#NAME?</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e">
        <f ca="1">Data_Completeness(LifeExpectancyData[[#This Row],[Life expectancy]:[Schooling]])</f>
        <v>#NAME?</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e">
        <f ca="1">Data_Completeness(LifeExpectancyData[[#This Row],[Life expectancy]:[Schooling]])</f>
        <v>#NAME?</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e">
        <f ca="1">Data_Completeness(LifeExpectancyData[[#This Row],[Life expectancy]:[Schooling]])</f>
        <v>#NAME?</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e">
        <f ca="1">Data_Completeness(LifeExpectancyData[[#This Row],[Life expectancy]:[Schooling]])</f>
        <v>#NAME?</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e">
        <f ca="1">Data_Completeness(LifeExpectancyData[[#This Row],[Life expectancy]:[Schooling]])</f>
        <v>#NAME?</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e">
        <f ca="1">Data_Completeness(LifeExpectancyData[[#This Row],[Life expectancy]:[Schooling]])</f>
        <v>#NAME?</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e">
        <f ca="1">Data_Completeness(LifeExpectancyData[[#This Row],[Life expectancy]:[Schooling]])</f>
        <v>#NAME?</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e">
        <f ca="1">Data_Completeness(LifeExpectancyData[[#This Row],[Life expectancy]:[Schooling]])</f>
        <v>#NAME?</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e">
        <f ca="1">Data_Completeness(LifeExpectancyData[[#This Row],[Life expectancy]:[Schooling]])</f>
        <v>#NAME?</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e">
        <f ca="1">Data_Completeness(LifeExpectancyData[[#This Row],[Life expectancy]:[Schooling]])</f>
        <v>#NAME?</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e">
        <f ca="1">Data_Completeness(LifeExpectancyData[[#This Row],[Life expectancy]:[Schooling]])</f>
        <v>#NAME?</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e">
        <f ca="1">Data_Completeness(LifeExpectancyData[[#This Row],[Life expectancy]:[Schooling]])</f>
        <v>#NAME?</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e">
        <f ca="1">Data_Completeness(LifeExpectancyData[[#This Row],[Life expectancy]:[Schooling]])</f>
        <v>#NAME?</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e">
        <f ca="1">Data_Completeness(LifeExpectancyData[[#This Row],[Life expectancy]:[Schooling]])</f>
        <v>#NAME?</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e">
        <f ca="1">Data_Completeness(LifeExpectancyData[[#This Row],[Life expectancy]:[Schooling]])</f>
        <v>#NAME?</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e">
        <f ca="1">Data_Completeness(LifeExpectancyData[[#This Row],[Life expectancy]:[Schooling]])</f>
        <v>#NAME?</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e">
        <f ca="1">Data_Completeness(LifeExpectancyData[[#This Row],[Life expectancy]:[Schooling]])</f>
        <v>#NAME?</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e">
        <f ca="1">Data_Completeness(LifeExpectancyData[[#This Row],[Life expectancy]:[Schooling]])</f>
        <v>#NAME?</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e">
        <f ca="1">Data_Completeness(LifeExpectancyData[[#This Row],[Life expectancy]:[Schooling]])</f>
        <v>#NAME?</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e">
        <f ca="1">Data_Completeness(LifeExpectancyData[[#This Row],[Life expectancy]:[Schooling]])</f>
        <v>#NAME?</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e">
        <f ca="1">Data_Completeness(LifeExpectancyData[[#This Row],[Life expectancy]:[Schooling]])</f>
        <v>#NAME?</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e">
        <f ca="1">Data_Completeness(LifeExpectancyData[[#This Row],[Life expectancy]:[Schooling]])</f>
        <v>#NAME?</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e">
        <f ca="1">Data_Completeness(LifeExpectancyData[[#This Row],[Life expectancy]:[Schooling]])</f>
        <v>#NAME?</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e">
        <f ca="1">Data_Completeness(LifeExpectancyData[[#This Row],[Life expectancy]:[Schooling]])</f>
        <v>#NAME?</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e">
        <f ca="1">Data_Completeness(LifeExpectancyData[[#This Row],[Life expectancy]:[Schooling]])</f>
        <v>#NAME?</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e">
        <f ca="1">Data_Completeness(LifeExpectancyData[[#This Row],[Life expectancy]:[Schooling]])</f>
        <v>#NAME?</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e">
        <f ca="1">Data_Completeness(LifeExpectancyData[[#This Row],[Life expectancy]:[Schooling]])</f>
        <v>#NAME?</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e">
        <f ca="1">Data_Completeness(LifeExpectancyData[[#This Row],[Life expectancy]:[Schooling]])</f>
        <v>#NAME?</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e">
        <f ca="1">Data_Completeness(LifeExpectancyData[[#This Row],[Life expectancy]:[Schooling]])</f>
        <v>#NAME?</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e">
        <f ca="1">Data_Completeness(LifeExpectancyData[[#This Row],[Life expectancy]:[Schooling]])</f>
        <v>#NAME?</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e">
        <f ca="1">Data_Completeness(LifeExpectancyData[[#This Row],[Life expectancy]:[Schooling]])</f>
        <v>#NAME?</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e">
        <f ca="1">Data_Completeness(LifeExpectancyData[[#This Row],[Life expectancy]:[Schooling]])</f>
        <v>#NAME?</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e">
        <f ca="1">Data_Completeness(LifeExpectancyData[[#This Row],[Life expectancy]:[Schooling]])</f>
        <v>#NAME?</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e">
        <f ca="1">Data_Completeness(LifeExpectancyData[[#This Row],[Life expectancy]:[Schooling]])</f>
        <v>#NAME?</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e">
        <f ca="1">Data_Completeness(LifeExpectancyData[[#This Row],[Life expectancy]:[Schooling]])</f>
        <v>#NAME?</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e">
        <f ca="1">Data_Completeness(LifeExpectancyData[[#This Row],[Life expectancy]:[Schooling]])</f>
        <v>#NAME?</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e">
        <f ca="1">Data_Completeness(LifeExpectancyData[[#This Row],[Life expectancy]:[Schooling]])</f>
        <v>#NAME?</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e">
        <f ca="1">Data_Completeness(LifeExpectancyData[[#This Row],[Life expectancy]:[Schooling]])</f>
        <v>#NAME?</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e">
        <f ca="1">Data_Completeness(LifeExpectancyData[[#This Row],[Life expectancy]:[Schooling]])</f>
        <v>#NAME?</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e">
        <f ca="1">Data_Completeness(LifeExpectancyData[[#This Row],[Life expectancy]:[Schooling]])</f>
        <v>#NAME?</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e">
        <f ca="1">Data_Completeness(LifeExpectancyData[[#This Row],[Life expectancy]:[Schooling]])</f>
        <v>#NAME?</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e">
        <f ca="1">Data_Completeness(LifeExpectancyData[[#This Row],[Life expectancy]:[Schooling]])</f>
        <v>#NAME?</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e">
        <f ca="1">Data_Completeness(LifeExpectancyData[[#This Row],[Life expectancy]:[Schooling]])</f>
        <v>#NAME?</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e">
        <f ca="1">Data_Completeness(LifeExpectancyData[[#This Row],[Life expectancy]:[Schooling]])</f>
        <v>#NAME?</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e">
        <f ca="1">Data_Completeness(LifeExpectancyData[[#This Row],[Life expectancy]:[Schooling]])</f>
        <v>#NAME?</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e">
        <f ca="1">Data_Completeness(LifeExpectancyData[[#This Row],[Life expectancy]:[Schooling]])</f>
        <v>#NAME?</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e">
        <f ca="1">Data_Completeness(LifeExpectancyData[[#This Row],[Life expectancy]:[Schooling]])</f>
        <v>#NAME?</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e">
        <f ca="1">Data_Completeness(LifeExpectancyData[[#This Row],[Life expectancy]:[Schooling]])</f>
        <v>#NAME?</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e">
        <f ca="1">Data_Completeness(LifeExpectancyData[[#This Row],[Life expectancy]:[Schooling]])</f>
        <v>#NAME?</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e">
        <f ca="1">Data_Completeness(LifeExpectancyData[[#This Row],[Life expectancy]:[Schooling]])</f>
        <v>#NAME?</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e">
        <f ca="1">Data_Completeness(LifeExpectancyData[[#This Row],[Life expectancy]:[Schooling]])</f>
        <v>#NAME?</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e">
        <f ca="1">Data_Completeness(LifeExpectancyData[[#This Row],[Life expectancy]:[Schooling]])</f>
        <v>#NAME?</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e">
        <f ca="1">Data_Completeness(LifeExpectancyData[[#This Row],[Life expectancy]:[Schooling]])</f>
        <v>#NAME?</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e">
        <f ca="1">Data_Completeness(LifeExpectancyData[[#This Row],[Life expectancy]:[Schooling]])</f>
        <v>#NAME?</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e">
        <f ca="1">Data_Completeness(LifeExpectancyData[[#This Row],[Life expectancy]:[Schooling]])</f>
        <v>#NAME?</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e">
        <f ca="1">Data_Completeness(LifeExpectancyData[[#This Row],[Life expectancy]:[Schooling]])</f>
        <v>#NAME?</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e">
        <f ca="1">Data_Completeness(LifeExpectancyData[[#This Row],[Life expectancy]:[Schooling]])</f>
        <v>#NAME?</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e">
        <f ca="1">Data_Completeness(LifeExpectancyData[[#This Row],[Life expectancy]:[Schooling]])</f>
        <v>#NAME?</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e">
        <f ca="1">Data_Completeness(LifeExpectancyData[[#This Row],[Life expectancy]:[Schooling]])</f>
        <v>#NAME?</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e">
        <f ca="1">Data_Completeness(LifeExpectancyData[[#This Row],[Life expectancy]:[Schooling]])</f>
        <v>#NAME?</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e">
        <f ca="1">Data_Completeness(LifeExpectancyData[[#This Row],[Life expectancy]:[Schooling]])</f>
        <v>#NAME?</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e">
        <f ca="1">Data_Completeness(LifeExpectancyData[[#This Row],[Life expectancy]:[Schooling]])</f>
        <v>#NAME?</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e">
        <f ca="1">Data_Completeness(LifeExpectancyData[[#This Row],[Life expectancy]:[Schooling]])</f>
        <v>#NAME?</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e">
        <f ca="1">Data_Completeness(LifeExpectancyData[[#This Row],[Life expectancy]:[Schooling]])</f>
        <v>#NAME?</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e">
        <f ca="1">Data_Completeness(LifeExpectancyData[[#This Row],[Life expectancy]:[Schooling]])</f>
        <v>#NAME?</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e">
        <f ca="1">Data_Completeness(LifeExpectancyData[[#This Row],[Life expectancy]:[Schooling]])</f>
        <v>#NAME?</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e">
        <f ca="1">Data_Completeness(LifeExpectancyData[[#This Row],[Life expectancy]:[Schooling]])</f>
        <v>#NAME?</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e">
        <f ca="1">Data_Completeness(LifeExpectancyData[[#This Row],[Life expectancy]:[Schooling]])</f>
        <v>#NAME?</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e">
        <f ca="1">Data_Completeness(LifeExpectancyData[[#This Row],[Life expectancy]:[Schooling]])</f>
        <v>#NAME?</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e">
        <f ca="1">Data_Completeness(LifeExpectancyData[[#This Row],[Life expectancy]:[Schooling]])</f>
        <v>#NAME?</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e">
        <f ca="1">Data_Completeness(LifeExpectancyData[[#This Row],[Life expectancy]:[Schooling]])</f>
        <v>#NAME?</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e">
        <f ca="1">Data_Completeness(LifeExpectancyData[[#This Row],[Life expectancy]:[Schooling]])</f>
        <v>#NAME?</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e">
        <f ca="1">Data_Completeness(LifeExpectancyData[[#This Row],[Life expectancy]:[Schooling]])</f>
        <v>#NAME?</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e">
        <f ca="1">Data_Completeness(LifeExpectancyData[[#This Row],[Life expectancy]:[Schooling]])</f>
        <v>#NAME?</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e">
        <f ca="1">Data_Completeness(LifeExpectancyData[[#This Row],[Life expectancy]:[Schooling]])</f>
        <v>#NAME?</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e">
        <f ca="1">Data_Completeness(LifeExpectancyData[[#This Row],[Life expectancy]:[Schooling]])</f>
        <v>#NAME?</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e">
        <f ca="1">Data_Completeness(LifeExpectancyData[[#This Row],[Life expectancy]:[Schooling]])</f>
        <v>#NAME?</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e">
        <f ca="1">Data_Completeness(LifeExpectancyData[[#This Row],[Life expectancy]:[Schooling]])</f>
        <v>#NAME?</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e">
        <f ca="1">Data_Completeness(LifeExpectancyData[[#This Row],[Life expectancy]:[Schooling]])</f>
        <v>#NAME?</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e">
        <f ca="1">Data_Completeness(LifeExpectancyData[[#This Row],[Life expectancy]:[Schooling]])</f>
        <v>#NAME?</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e">
        <f ca="1">Data_Completeness(LifeExpectancyData[[#This Row],[Life expectancy]:[Schooling]])</f>
        <v>#NAME?</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e">
        <f ca="1">Data_Completeness(LifeExpectancyData[[#This Row],[Life expectancy]:[Schooling]])</f>
        <v>#NAME?</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e">
        <f ca="1">Data_Completeness(LifeExpectancyData[[#This Row],[Life expectancy]:[Schooling]])</f>
        <v>#NAME?</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e">
        <f ca="1">Data_Completeness(LifeExpectancyData[[#This Row],[Life expectancy]:[Schooling]])</f>
        <v>#NAME?</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e">
        <f ca="1">Data_Completeness(LifeExpectancyData[[#This Row],[Life expectancy]:[Schooling]])</f>
        <v>#NAME?</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e">
        <f ca="1">Data_Completeness(LifeExpectancyData[[#This Row],[Life expectancy]:[Schooling]])</f>
        <v>#NAME?</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e">
        <f ca="1">Data_Completeness(LifeExpectancyData[[#This Row],[Life expectancy]:[Schooling]])</f>
        <v>#NAME?</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e">
        <f ca="1">Data_Completeness(LifeExpectancyData[[#This Row],[Life expectancy]:[Schooling]])</f>
        <v>#NAME?</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e">
        <f ca="1">Data_Completeness(LifeExpectancyData[[#This Row],[Life expectancy]:[Schooling]])</f>
        <v>#NAME?</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e">
        <f ca="1">Data_Completeness(LifeExpectancyData[[#This Row],[Life expectancy]:[Schooling]])</f>
        <v>#NAME?</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e">
        <f ca="1">Data_Completeness(LifeExpectancyData[[#This Row],[Life expectancy]:[Schooling]])</f>
        <v>#NAME?</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e">
        <f ca="1">Data_Completeness(LifeExpectancyData[[#This Row],[Life expectancy]:[Schooling]])</f>
        <v>#NAME?</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e">
        <f ca="1">Data_Completeness(LifeExpectancyData[[#This Row],[Life expectancy]:[Schooling]])</f>
        <v>#NAME?</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e">
        <f ca="1">Data_Completeness(LifeExpectancyData[[#This Row],[Life expectancy]:[Schooling]])</f>
        <v>#NAME?</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e">
        <f ca="1">Data_Completeness(LifeExpectancyData[[#This Row],[Life expectancy]:[Schooling]])</f>
        <v>#NAME?</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e">
        <f ca="1">Data_Completeness(LifeExpectancyData[[#This Row],[Life expectancy]:[Schooling]])</f>
        <v>#NAME?</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e">
        <f ca="1">Data_Completeness(LifeExpectancyData[[#This Row],[Life expectancy]:[Schooling]])</f>
        <v>#NAME?</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e">
        <f ca="1">Data_Completeness(LifeExpectancyData[[#This Row],[Life expectancy]:[Schooling]])</f>
        <v>#NAME?</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e">
        <f ca="1">Data_Completeness(LifeExpectancyData[[#This Row],[Life expectancy]:[Schooling]])</f>
        <v>#NAME?</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e">
        <f ca="1">Data_Completeness(LifeExpectancyData[[#This Row],[Life expectancy]:[Schooling]])</f>
        <v>#NAME?</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e">
        <f ca="1">Data_Completeness(LifeExpectancyData[[#This Row],[Life expectancy]:[Schooling]])</f>
        <v>#NAME?</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e">
        <f ca="1">Data_Completeness(LifeExpectancyData[[#This Row],[Life expectancy]:[Schooling]])</f>
        <v>#NAME?</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e">
        <f ca="1">Data_Completeness(LifeExpectancyData[[#This Row],[Life expectancy]:[Schooling]])</f>
        <v>#NAME?</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e">
        <f ca="1">Data_Completeness(LifeExpectancyData[[#This Row],[Life expectancy]:[Schooling]])</f>
        <v>#NAME?</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e">
        <f ca="1">Data_Completeness(LifeExpectancyData[[#This Row],[Life expectancy]:[Schooling]])</f>
        <v>#NAME?</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e">
        <f ca="1">Data_Completeness(LifeExpectancyData[[#This Row],[Life expectancy]:[Schooling]])</f>
        <v>#NAME?</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e">
        <f ca="1">Data_Completeness(LifeExpectancyData[[#This Row],[Life expectancy]:[Schooling]])</f>
        <v>#NAME?</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e">
        <f ca="1">Data_Completeness(LifeExpectancyData[[#This Row],[Life expectancy]:[Schooling]])</f>
        <v>#NAME?</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e">
        <f ca="1">Data_Completeness(LifeExpectancyData[[#This Row],[Life expectancy]:[Schooling]])</f>
        <v>#NAME?</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e">
        <f ca="1">Data_Completeness(LifeExpectancyData[[#This Row],[Life expectancy]:[Schooling]])</f>
        <v>#NAME?</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e">
        <f ca="1">Data_Completeness(LifeExpectancyData[[#This Row],[Life expectancy]:[Schooling]])</f>
        <v>#NAME?</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e">
        <f ca="1">Data_Completeness(LifeExpectancyData[[#This Row],[Life expectancy]:[Schooling]])</f>
        <v>#NAME?</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e">
        <f ca="1">Data_Completeness(LifeExpectancyData[[#This Row],[Life expectancy]:[Schooling]])</f>
        <v>#NAME?</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e">
        <f ca="1">Data_Completeness(LifeExpectancyData[[#This Row],[Life expectancy]:[Schooling]])</f>
        <v>#NAME?</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e">
        <f ca="1">Data_Completeness(LifeExpectancyData[[#This Row],[Life expectancy]:[Schooling]])</f>
        <v>#NAME?</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e">
        <f ca="1">Data_Completeness(LifeExpectancyData[[#This Row],[Life expectancy]:[Schooling]])</f>
        <v>#NAME?</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e">
        <f ca="1">Data_Completeness(LifeExpectancyData[[#This Row],[Life expectancy]:[Schooling]])</f>
        <v>#NAME?</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e">
        <f ca="1">Data_Completeness(LifeExpectancyData[[#This Row],[Life expectancy]:[Schooling]])</f>
        <v>#NAME?</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e">
        <f ca="1">Data_Completeness(LifeExpectancyData[[#This Row],[Life expectancy]:[Schooling]])</f>
        <v>#NAME?</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e">
        <f ca="1">Data_Completeness(LifeExpectancyData[[#This Row],[Life expectancy]:[Schooling]])</f>
        <v>#NAME?</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e">
        <f ca="1">Data_Completeness(LifeExpectancyData[[#This Row],[Life expectancy]:[Schooling]])</f>
        <v>#NAME?</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e">
        <f ca="1">Data_Completeness(LifeExpectancyData[[#This Row],[Life expectancy]:[Schooling]])</f>
        <v>#NAME?</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e">
        <f ca="1">Data_Completeness(LifeExpectancyData[[#This Row],[Life expectancy]:[Schooling]])</f>
        <v>#NAME?</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e">
        <f ca="1">Data_Completeness(LifeExpectancyData[[#This Row],[Life expectancy]:[Schooling]])</f>
        <v>#NAME?</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e">
        <f ca="1">Data_Completeness(LifeExpectancyData[[#This Row],[Life expectancy]:[Schooling]])</f>
        <v>#NAME?</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e">
        <f ca="1">Data_Completeness(LifeExpectancyData[[#This Row],[Life expectancy]:[Schooling]])</f>
        <v>#NAME?</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e">
        <f ca="1">Data_Completeness(LifeExpectancyData[[#This Row],[Life expectancy]:[Schooling]])</f>
        <v>#NAME?</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e">
        <f ca="1">Data_Completeness(LifeExpectancyData[[#This Row],[Life expectancy]:[Schooling]])</f>
        <v>#NAME?</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e">
        <f ca="1">Data_Completeness(LifeExpectancyData[[#This Row],[Life expectancy]:[Schooling]])</f>
        <v>#NAME?</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e">
        <f ca="1">Data_Completeness(LifeExpectancyData[[#This Row],[Life expectancy]:[Schooling]])</f>
        <v>#NAME?</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e">
        <f ca="1">Data_Completeness(LifeExpectancyData[[#This Row],[Life expectancy]:[Schooling]])</f>
        <v>#NAME?</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e">
        <f ca="1">Data_Completeness(LifeExpectancyData[[#This Row],[Life expectancy]:[Schooling]])</f>
        <v>#NAME?</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e">
        <f ca="1">Data_Completeness(LifeExpectancyData[[#This Row],[Life expectancy]:[Schooling]])</f>
        <v>#NAME?</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e">
        <f ca="1">Data_Completeness(LifeExpectancyData[[#This Row],[Life expectancy]:[Schooling]])</f>
        <v>#NAME?</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e">
        <f ca="1">Data_Completeness(LifeExpectancyData[[#This Row],[Life expectancy]:[Schooling]])</f>
        <v>#NAME?</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e">
        <f ca="1">Data_Completeness(LifeExpectancyData[[#This Row],[Life expectancy]:[Schooling]])</f>
        <v>#NAME?</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e">
        <f ca="1">Data_Completeness(LifeExpectancyData[[#This Row],[Life expectancy]:[Schooling]])</f>
        <v>#NAME?</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e">
        <f ca="1">Data_Completeness(LifeExpectancyData[[#This Row],[Life expectancy]:[Schooling]])</f>
        <v>#NAME?</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e">
        <f ca="1">Data_Completeness(LifeExpectancyData[[#This Row],[Life expectancy]:[Schooling]])</f>
        <v>#NAME?</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e">
        <f ca="1">Data_Completeness(LifeExpectancyData[[#This Row],[Life expectancy]:[Schooling]])</f>
        <v>#NAME?</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e">
        <f ca="1">Data_Completeness(LifeExpectancyData[[#This Row],[Life expectancy]:[Schooling]])</f>
        <v>#NAME?</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e">
        <f ca="1">Data_Completeness(LifeExpectancyData[[#This Row],[Life expectancy]:[Schooling]])</f>
        <v>#NAME?</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e">
        <f ca="1">Data_Completeness(LifeExpectancyData[[#This Row],[Life expectancy]:[Schooling]])</f>
        <v>#NAME?</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e">
        <f ca="1">Data_Completeness(LifeExpectancyData[[#This Row],[Life expectancy]:[Schooling]])</f>
        <v>#NAME?</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e">
        <f ca="1">Data_Completeness(LifeExpectancyData[[#This Row],[Life expectancy]:[Schooling]])</f>
        <v>#NAME?</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e">
        <f ca="1">Data_Completeness(LifeExpectancyData[[#This Row],[Life expectancy]:[Schooling]])</f>
        <v>#NAME?</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e">
        <f ca="1">Data_Completeness(LifeExpectancyData[[#This Row],[Life expectancy]:[Schooling]])</f>
        <v>#NAME?</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e">
        <f ca="1">Data_Completeness(LifeExpectancyData[[#This Row],[Life expectancy]:[Schooling]])</f>
        <v>#NAME?</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e">
        <f ca="1">Data_Completeness(LifeExpectancyData[[#This Row],[Life expectancy]:[Schooling]])</f>
        <v>#NAME?</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e">
        <f ca="1">Data_Completeness(LifeExpectancyData[[#This Row],[Life expectancy]:[Schooling]])</f>
        <v>#NAME?</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e">
        <f ca="1">Data_Completeness(LifeExpectancyData[[#This Row],[Life expectancy]:[Schooling]])</f>
        <v>#NAME?</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e">
        <f ca="1">Data_Completeness(LifeExpectancyData[[#This Row],[Life expectancy]:[Schooling]])</f>
        <v>#NAME?</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e">
        <f ca="1">Data_Completeness(LifeExpectancyData[[#This Row],[Life expectancy]:[Schooling]])</f>
        <v>#NAME?</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e">
        <f ca="1">Data_Completeness(LifeExpectancyData[[#This Row],[Life expectancy]:[Schooling]])</f>
        <v>#NAME?</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e">
        <f ca="1">Data_Completeness(LifeExpectancyData[[#This Row],[Life expectancy]:[Schooling]])</f>
        <v>#NAME?</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e">
        <f ca="1">Data_Completeness(LifeExpectancyData[[#This Row],[Life expectancy]:[Schooling]])</f>
        <v>#NAME?</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e">
        <f ca="1">Data_Completeness(LifeExpectancyData[[#This Row],[Life expectancy]:[Schooling]])</f>
        <v>#NAME?</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e">
        <f ca="1">Data_Completeness(LifeExpectancyData[[#This Row],[Life expectancy]:[Schooling]])</f>
        <v>#NAME?</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e">
        <f ca="1">Data_Completeness(LifeExpectancyData[[#This Row],[Life expectancy]:[Schooling]])</f>
        <v>#NAME?</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e">
        <f ca="1">Data_Completeness(LifeExpectancyData[[#This Row],[Life expectancy]:[Schooling]])</f>
        <v>#NAME?</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e">
        <f ca="1">Data_Completeness(LifeExpectancyData[[#This Row],[Life expectancy]:[Schooling]])</f>
        <v>#NAME?</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e">
        <f ca="1">Data_Completeness(LifeExpectancyData[[#This Row],[Life expectancy]:[Schooling]])</f>
        <v>#NAME?</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e">
        <f ca="1">Data_Completeness(LifeExpectancyData[[#This Row],[Life expectancy]:[Schooling]])</f>
        <v>#NAME?</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e">
        <f ca="1">Data_Completeness(LifeExpectancyData[[#This Row],[Life expectancy]:[Schooling]])</f>
        <v>#NAME?</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e">
        <f ca="1">Data_Completeness(LifeExpectancyData[[#This Row],[Life expectancy]:[Schooling]])</f>
        <v>#NAME?</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e">
        <f ca="1">Data_Completeness(LifeExpectancyData[[#This Row],[Life expectancy]:[Schooling]])</f>
        <v>#NAME?</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e">
        <f ca="1">Data_Completeness(LifeExpectancyData[[#This Row],[Life expectancy]:[Schooling]])</f>
        <v>#NAME?</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e">
        <f ca="1">Data_Completeness(LifeExpectancyData[[#This Row],[Life expectancy]:[Schooling]])</f>
        <v>#NAME?</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e">
        <f ca="1">Data_Completeness(LifeExpectancyData[[#This Row],[Life expectancy]:[Schooling]])</f>
        <v>#NAME?</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e">
        <f ca="1">Data_Completeness(LifeExpectancyData[[#This Row],[Life expectancy]:[Schooling]])</f>
        <v>#NAME?</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e">
        <f ca="1">Data_Completeness(LifeExpectancyData[[#This Row],[Life expectancy]:[Schooling]])</f>
        <v>#NAME?</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e">
        <f ca="1">Data_Completeness(LifeExpectancyData[[#This Row],[Life expectancy]:[Schooling]])</f>
        <v>#NAME?</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e">
        <f ca="1">Data_Completeness(LifeExpectancyData[[#This Row],[Life expectancy]:[Schooling]])</f>
        <v>#NAME?</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e">
        <f ca="1">Data_Completeness(LifeExpectancyData[[#This Row],[Life expectancy]:[Schooling]])</f>
        <v>#NAME?</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e">
        <f ca="1">Data_Completeness(LifeExpectancyData[[#This Row],[Life expectancy]:[Schooling]])</f>
        <v>#NAME?</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e">
        <f ca="1">Data_Completeness(LifeExpectancyData[[#This Row],[Life expectancy]:[Schooling]])</f>
        <v>#NAME?</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e">
        <f ca="1">Data_Completeness(LifeExpectancyData[[#This Row],[Life expectancy]:[Schooling]])</f>
        <v>#NAME?</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e">
        <f ca="1">Data_Completeness(LifeExpectancyData[[#This Row],[Life expectancy]:[Schooling]])</f>
        <v>#NAME?</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e">
        <f ca="1">Data_Completeness(LifeExpectancyData[[#This Row],[Life expectancy]:[Schooling]])</f>
        <v>#NAME?</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e">
        <f ca="1">Data_Completeness(LifeExpectancyData[[#This Row],[Life expectancy]:[Schooling]])</f>
        <v>#NAME?</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e">
        <f ca="1">Data_Completeness(LifeExpectancyData[[#This Row],[Life expectancy]:[Schooling]])</f>
        <v>#NAME?</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e">
        <f ca="1">Data_Completeness(LifeExpectancyData[[#This Row],[Life expectancy]:[Schooling]])</f>
        <v>#NAME?</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e">
        <f ca="1">Data_Completeness(LifeExpectancyData[[#This Row],[Life expectancy]:[Schooling]])</f>
        <v>#NAME?</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e">
        <f ca="1">Data_Completeness(LifeExpectancyData[[#This Row],[Life expectancy]:[Schooling]])</f>
        <v>#NAME?</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e">
        <f ca="1">Data_Completeness(LifeExpectancyData[[#This Row],[Life expectancy]:[Schooling]])</f>
        <v>#NAME?</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e">
        <f ca="1">Data_Completeness(LifeExpectancyData[[#This Row],[Life expectancy]:[Schooling]])</f>
        <v>#NAME?</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e">
        <f ca="1">Data_Completeness(LifeExpectancyData[[#This Row],[Life expectancy]:[Schooling]])</f>
        <v>#NAME?</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e">
        <f ca="1">Data_Completeness(LifeExpectancyData[[#This Row],[Life expectancy]:[Schooling]])</f>
        <v>#NAME?</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e">
        <f ca="1">Data_Completeness(LifeExpectancyData[[#This Row],[Life expectancy]:[Schooling]])</f>
        <v>#NAME?</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e">
        <f ca="1">Data_Completeness(LifeExpectancyData[[#This Row],[Life expectancy]:[Schooling]])</f>
        <v>#NAME?</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e">
        <f ca="1">Data_Completeness(LifeExpectancyData[[#This Row],[Life expectancy]:[Schooling]])</f>
        <v>#NAME?</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e">
        <f ca="1">Data_Completeness(LifeExpectancyData[[#This Row],[Life expectancy]:[Schooling]])</f>
        <v>#NAME?</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e">
        <f ca="1">Data_Completeness(LifeExpectancyData[[#This Row],[Life expectancy]:[Schooling]])</f>
        <v>#NAME?</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e">
        <f ca="1">Data_Completeness(LifeExpectancyData[[#This Row],[Life expectancy]:[Schooling]])</f>
        <v>#NAME?</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e">
        <f ca="1">Data_Completeness(LifeExpectancyData[[#This Row],[Life expectancy]:[Schooling]])</f>
        <v>#NAME?</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e">
        <f ca="1">Data_Completeness(LifeExpectancyData[[#This Row],[Life expectancy]:[Schooling]])</f>
        <v>#NAME?</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e">
        <f ca="1">Data_Completeness(LifeExpectancyData[[#This Row],[Life expectancy]:[Schooling]])</f>
        <v>#NAME?</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e">
        <f ca="1">Data_Completeness(LifeExpectancyData[[#This Row],[Life expectancy]:[Schooling]])</f>
        <v>#NAME?</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e">
        <f ca="1">Data_Completeness(LifeExpectancyData[[#This Row],[Life expectancy]:[Schooling]])</f>
        <v>#NAME?</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e">
        <f ca="1">Data_Completeness(LifeExpectancyData[[#This Row],[Life expectancy]:[Schooling]])</f>
        <v>#NAME?</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e">
        <f ca="1">Data_Completeness(LifeExpectancyData[[#This Row],[Life expectancy]:[Schooling]])</f>
        <v>#NAME?</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e">
        <f ca="1">Data_Completeness(LifeExpectancyData[[#This Row],[Life expectancy]:[Schooling]])</f>
        <v>#NAME?</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e">
        <f ca="1">Data_Completeness(LifeExpectancyData[[#This Row],[Life expectancy]:[Schooling]])</f>
        <v>#NAME?</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e">
        <f ca="1">Data_Completeness(LifeExpectancyData[[#This Row],[Life expectancy]:[Schooling]])</f>
        <v>#NAME?</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e">
        <f ca="1">Data_Completeness(LifeExpectancyData[[#This Row],[Life expectancy]:[Schooling]])</f>
        <v>#NAME?</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e">
        <f ca="1">Data_Completeness(LifeExpectancyData[[#This Row],[Life expectancy]:[Schooling]])</f>
        <v>#NAME?</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e">
        <f ca="1">Data_Completeness(LifeExpectancyData[[#This Row],[Life expectancy]:[Schooling]])</f>
        <v>#NAME?</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e">
        <f ca="1">Data_Completeness(LifeExpectancyData[[#This Row],[Life expectancy]:[Schooling]])</f>
        <v>#NAME?</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e">
        <f ca="1">Data_Completeness(LifeExpectancyData[[#This Row],[Life expectancy]:[Schooling]])</f>
        <v>#NAME?</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e">
        <f ca="1">Data_Completeness(LifeExpectancyData[[#This Row],[Life expectancy]:[Schooling]])</f>
        <v>#NAME?</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e">
        <f ca="1">Data_Completeness(LifeExpectancyData[[#This Row],[Life expectancy]:[Schooling]])</f>
        <v>#NAME?</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e">
        <f ca="1">Data_Completeness(LifeExpectancyData[[#This Row],[Life expectancy]:[Schooling]])</f>
        <v>#NAME?</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e">
        <f ca="1">Data_Completeness(LifeExpectancyData[[#This Row],[Life expectancy]:[Schooling]])</f>
        <v>#NAME?</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e">
        <f ca="1">Data_Completeness(LifeExpectancyData[[#This Row],[Life expectancy]:[Schooling]])</f>
        <v>#NAME?</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e">
        <f ca="1">Data_Completeness(LifeExpectancyData[[#This Row],[Life expectancy]:[Schooling]])</f>
        <v>#NAME?</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e">
        <f ca="1">Data_Completeness(LifeExpectancyData[[#This Row],[Life expectancy]:[Schooling]])</f>
        <v>#NAME?</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e">
        <f ca="1">Data_Completeness(LifeExpectancyData[[#This Row],[Life expectancy]:[Schooling]])</f>
        <v>#NAME?</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e">
        <f ca="1">Data_Completeness(LifeExpectancyData[[#This Row],[Life expectancy]:[Schooling]])</f>
        <v>#NAME?</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e">
        <f ca="1">Data_Completeness(LifeExpectancyData[[#This Row],[Life expectancy]:[Schooling]])</f>
        <v>#NAME?</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e">
        <f ca="1">Data_Completeness(LifeExpectancyData[[#This Row],[Life expectancy]:[Schooling]])</f>
        <v>#NAME?</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e">
        <f ca="1">Data_Completeness(LifeExpectancyData[[#This Row],[Life expectancy]:[Schooling]])</f>
        <v>#NAME?</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e">
        <f ca="1">Data_Completeness(LifeExpectancyData[[#This Row],[Life expectancy]:[Schooling]])</f>
        <v>#NAME?</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e">
        <f ca="1">Data_Completeness(LifeExpectancyData[[#This Row],[Life expectancy]:[Schooling]])</f>
        <v>#NAME?</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e">
        <f ca="1">Data_Completeness(LifeExpectancyData[[#This Row],[Life expectancy]:[Schooling]])</f>
        <v>#NAME?</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e">
        <f ca="1">Data_Completeness(LifeExpectancyData[[#This Row],[Life expectancy]:[Schooling]])</f>
        <v>#NAME?</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e">
        <f ca="1">Data_Completeness(LifeExpectancyData[[#This Row],[Life expectancy]:[Schooling]])</f>
        <v>#NAME?</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e">
        <f ca="1">Data_Completeness(LifeExpectancyData[[#This Row],[Life expectancy]:[Schooling]])</f>
        <v>#NAME?</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e">
        <f ca="1">Data_Completeness(LifeExpectancyData[[#This Row],[Life expectancy]:[Schooling]])</f>
        <v>#NAME?</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e">
        <f ca="1">Data_Completeness(LifeExpectancyData[[#This Row],[Life expectancy]:[Schooling]])</f>
        <v>#NAME?</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e">
        <f ca="1">Data_Completeness(LifeExpectancyData[[#This Row],[Life expectancy]:[Schooling]])</f>
        <v>#NAME?</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e">
        <f ca="1">Data_Completeness(LifeExpectancyData[[#This Row],[Life expectancy]:[Schooling]])</f>
        <v>#NAME?</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e">
        <f ca="1">Data_Completeness(LifeExpectancyData[[#This Row],[Life expectancy]:[Schooling]])</f>
        <v>#NAME?</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e">
        <f ca="1">Data_Completeness(LifeExpectancyData[[#This Row],[Life expectancy]:[Schooling]])</f>
        <v>#NAME?</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e">
        <f ca="1">Data_Completeness(LifeExpectancyData[[#This Row],[Life expectancy]:[Schooling]])</f>
        <v>#NAME?</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e">
        <f ca="1">Data_Completeness(LifeExpectancyData[[#This Row],[Life expectancy]:[Schooling]])</f>
        <v>#NAME?</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e">
        <f ca="1">Data_Completeness(LifeExpectancyData[[#This Row],[Life expectancy]:[Schooling]])</f>
        <v>#NAME?</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e">
        <f ca="1">Data_Completeness(LifeExpectancyData[[#This Row],[Life expectancy]:[Schooling]])</f>
        <v>#NAME?</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e">
        <f ca="1">Data_Completeness(LifeExpectancyData[[#This Row],[Life expectancy]:[Schooling]])</f>
        <v>#NAME?</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e">
        <f ca="1">Data_Completeness(LifeExpectancyData[[#This Row],[Life expectancy]:[Schooling]])</f>
        <v>#NAME?</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e">
        <f ca="1">Data_Completeness(LifeExpectancyData[[#This Row],[Life expectancy]:[Schooling]])</f>
        <v>#NAME?</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e">
        <f ca="1">Data_Completeness(LifeExpectancyData[[#This Row],[Life expectancy]:[Schooling]])</f>
        <v>#NAME?</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e">
        <f ca="1">Data_Completeness(LifeExpectancyData[[#This Row],[Life expectancy]:[Schooling]])</f>
        <v>#NAME?</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e">
        <f ca="1">Data_Completeness(LifeExpectancyData[[#This Row],[Life expectancy]:[Schooling]])</f>
        <v>#NAME?</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e">
        <f ca="1">Data_Completeness(LifeExpectancyData[[#This Row],[Life expectancy]:[Schooling]])</f>
        <v>#NAME?</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e">
        <f ca="1">Data_Completeness(LifeExpectancyData[[#This Row],[Life expectancy]:[Schooling]])</f>
        <v>#NAME?</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e">
        <f ca="1">Data_Completeness(LifeExpectancyData[[#This Row],[Life expectancy]:[Schooling]])</f>
        <v>#NAME?</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e">
        <f ca="1">Data_Completeness(LifeExpectancyData[[#This Row],[Life expectancy]:[Schooling]])</f>
        <v>#NAME?</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e">
        <f ca="1">Data_Completeness(LifeExpectancyData[[#This Row],[Life expectancy]:[Schooling]])</f>
        <v>#NAME?</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e">
        <f ca="1">Data_Completeness(LifeExpectancyData[[#This Row],[Life expectancy]:[Schooling]])</f>
        <v>#NAME?</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e">
        <f ca="1">Data_Completeness(LifeExpectancyData[[#This Row],[Life expectancy]:[Schooling]])</f>
        <v>#NAME?</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e">
        <f ca="1">Data_Completeness(LifeExpectancyData[[#This Row],[Life expectancy]:[Schooling]])</f>
        <v>#NAME?</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e">
        <f ca="1">Data_Completeness(LifeExpectancyData[[#This Row],[Life expectancy]:[Schooling]])</f>
        <v>#NAME?</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e">
        <f ca="1">Data_Completeness(LifeExpectancyData[[#This Row],[Life expectancy]:[Schooling]])</f>
        <v>#NAME?</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e">
        <f ca="1">Data_Completeness(LifeExpectancyData[[#This Row],[Life expectancy]:[Schooling]])</f>
        <v>#NAME?</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e">
        <f ca="1">Data_Completeness(LifeExpectancyData[[#This Row],[Life expectancy]:[Schooling]])</f>
        <v>#NAME?</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e">
        <f ca="1">Data_Completeness(LifeExpectancyData[[#This Row],[Life expectancy]:[Schooling]])</f>
        <v>#NAME?</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e">
        <f ca="1">Data_Completeness(LifeExpectancyData[[#This Row],[Life expectancy]:[Schooling]])</f>
        <v>#NAME?</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e">
        <f ca="1">Data_Completeness(LifeExpectancyData[[#This Row],[Life expectancy]:[Schooling]])</f>
        <v>#NAME?</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e">
        <f ca="1">Data_Completeness(LifeExpectancyData[[#This Row],[Life expectancy]:[Schooling]])</f>
        <v>#NAME?</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e">
        <f ca="1">Data_Completeness(LifeExpectancyData[[#This Row],[Life expectancy]:[Schooling]])</f>
        <v>#NAME?</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e">
        <f ca="1">Data_Completeness(LifeExpectancyData[[#This Row],[Life expectancy]:[Schooling]])</f>
        <v>#NAME?</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e">
        <f ca="1">Data_Completeness(LifeExpectancyData[[#This Row],[Life expectancy]:[Schooling]])</f>
        <v>#NAME?</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e">
        <f ca="1">Data_Completeness(LifeExpectancyData[[#This Row],[Life expectancy]:[Schooling]])</f>
        <v>#NAME?</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e">
        <f ca="1">Data_Completeness(LifeExpectancyData[[#This Row],[Life expectancy]:[Schooling]])</f>
        <v>#NAME?</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e">
        <f ca="1">Data_Completeness(LifeExpectancyData[[#This Row],[Life expectancy]:[Schooling]])</f>
        <v>#NAME?</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e">
        <f ca="1">Data_Completeness(LifeExpectancyData[[#This Row],[Life expectancy]:[Schooling]])</f>
        <v>#NAME?</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e">
        <f ca="1">Data_Completeness(LifeExpectancyData[[#This Row],[Life expectancy]:[Schooling]])</f>
        <v>#NAME?</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e">
        <f ca="1">Data_Completeness(LifeExpectancyData[[#This Row],[Life expectancy]:[Schooling]])</f>
        <v>#NAME?</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e">
        <f ca="1">Data_Completeness(LifeExpectancyData[[#This Row],[Life expectancy]:[Schooling]])</f>
        <v>#NAME?</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e">
        <f ca="1">Data_Completeness(LifeExpectancyData[[#This Row],[Life expectancy]:[Schooling]])</f>
        <v>#NAME?</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e">
        <f ca="1">Data_Completeness(LifeExpectancyData[[#This Row],[Life expectancy]:[Schooling]])</f>
        <v>#NAME?</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e">
        <f ca="1">Data_Completeness(LifeExpectancyData[[#This Row],[Life expectancy]:[Schooling]])</f>
        <v>#NAME?</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e">
        <f ca="1">Data_Completeness(LifeExpectancyData[[#This Row],[Life expectancy]:[Schooling]])</f>
        <v>#NAME?</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e">
        <f ca="1">Data_Completeness(LifeExpectancyData[[#This Row],[Life expectancy]:[Schooling]])</f>
        <v>#NAME?</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e">
        <f ca="1">Data_Completeness(LifeExpectancyData[[#This Row],[Life expectancy]:[Schooling]])</f>
        <v>#NAME?</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e">
        <f ca="1">Data_Completeness(LifeExpectancyData[[#This Row],[Life expectancy]:[Schooling]])</f>
        <v>#NAME?</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e">
        <f ca="1">Data_Completeness(LifeExpectancyData[[#This Row],[Life expectancy]:[Schooling]])</f>
        <v>#NAME?</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e">
        <f ca="1">Data_Completeness(LifeExpectancyData[[#This Row],[Life expectancy]:[Schooling]])</f>
        <v>#NAME?</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e">
        <f ca="1">Data_Completeness(LifeExpectancyData[[#This Row],[Life expectancy]:[Schooling]])</f>
        <v>#NAME?</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e">
        <f ca="1">Data_Completeness(LifeExpectancyData[[#This Row],[Life expectancy]:[Schooling]])</f>
        <v>#NAME?</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e">
        <f ca="1">Data_Completeness(LifeExpectancyData[[#This Row],[Life expectancy]:[Schooling]])</f>
        <v>#NAME?</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e">
        <f ca="1">Data_Completeness(LifeExpectancyData[[#This Row],[Life expectancy]:[Schooling]])</f>
        <v>#NAME?</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e">
        <f ca="1">Data_Completeness(LifeExpectancyData[[#This Row],[Life expectancy]:[Schooling]])</f>
        <v>#NAME?</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e">
        <f ca="1">Data_Completeness(LifeExpectancyData[[#This Row],[Life expectancy]:[Schooling]])</f>
        <v>#NAME?</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e">
        <f ca="1">Data_Completeness(LifeExpectancyData[[#This Row],[Life expectancy]:[Schooling]])</f>
        <v>#NAME?</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e">
        <f ca="1">Data_Completeness(LifeExpectancyData[[#This Row],[Life expectancy]:[Schooling]])</f>
        <v>#NAME?</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e">
        <f ca="1">Data_Completeness(LifeExpectancyData[[#This Row],[Life expectancy]:[Schooling]])</f>
        <v>#NAME?</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e">
        <f ca="1">Data_Completeness(LifeExpectancyData[[#This Row],[Life expectancy]:[Schooling]])</f>
        <v>#NAME?</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e">
        <f ca="1">Data_Completeness(LifeExpectancyData[[#This Row],[Life expectancy]:[Schooling]])</f>
        <v>#NAME?</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e">
        <f ca="1">Data_Completeness(LifeExpectancyData[[#This Row],[Life expectancy]:[Schooling]])</f>
        <v>#NAME?</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e">
        <f ca="1">Data_Completeness(LifeExpectancyData[[#This Row],[Life expectancy]:[Schooling]])</f>
        <v>#NAME?</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e">
        <f ca="1">Data_Completeness(LifeExpectancyData[[#This Row],[Life expectancy]:[Schooling]])</f>
        <v>#NAME?</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e">
        <f ca="1">Data_Completeness(LifeExpectancyData[[#This Row],[Life expectancy]:[Schooling]])</f>
        <v>#NAME?</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e">
        <f ca="1">Data_Completeness(LifeExpectancyData[[#This Row],[Life expectancy]:[Schooling]])</f>
        <v>#NAME?</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e">
        <f ca="1">Data_Completeness(LifeExpectancyData[[#This Row],[Life expectancy]:[Schooling]])</f>
        <v>#NAME?</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e">
        <f ca="1">Data_Completeness(LifeExpectancyData[[#This Row],[Life expectancy]:[Schooling]])</f>
        <v>#NAME?</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e">
        <f ca="1">Data_Completeness(LifeExpectancyData[[#This Row],[Life expectancy]:[Schooling]])</f>
        <v>#NAME?</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e">
        <f ca="1">Data_Completeness(LifeExpectancyData[[#This Row],[Life expectancy]:[Schooling]])</f>
        <v>#NAME?</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e">
        <f ca="1">Data_Completeness(LifeExpectancyData[[#This Row],[Life expectancy]:[Schooling]])</f>
        <v>#NAME?</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e">
        <f ca="1">Data_Completeness(LifeExpectancyData[[#This Row],[Life expectancy]:[Schooling]])</f>
        <v>#NAME?</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e">
        <f ca="1">Data_Completeness(LifeExpectancyData[[#This Row],[Life expectancy]:[Schooling]])</f>
        <v>#NAME?</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e">
        <f ca="1">Data_Completeness(LifeExpectancyData[[#This Row],[Life expectancy]:[Schooling]])</f>
        <v>#NAME?</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e">
        <f ca="1">Data_Completeness(LifeExpectancyData[[#This Row],[Life expectancy]:[Schooling]])</f>
        <v>#NAME?</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e">
        <f ca="1">Data_Completeness(LifeExpectancyData[[#This Row],[Life expectancy]:[Schooling]])</f>
        <v>#NAME?</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e">
        <f ca="1">Data_Completeness(LifeExpectancyData[[#This Row],[Life expectancy]:[Schooling]])</f>
        <v>#NAME?</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e">
        <f ca="1">Data_Completeness(LifeExpectancyData[[#This Row],[Life expectancy]:[Schooling]])</f>
        <v>#NAME?</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e">
        <f ca="1">Data_Completeness(LifeExpectancyData[[#This Row],[Life expectancy]:[Schooling]])</f>
        <v>#NAME?</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e">
        <f ca="1">Data_Completeness(LifeExpectancyData[[#This Row],[Life expectancy]:[Schooling]])</f>
        <v>#NAME?</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e">
        <f ca="1">Data_Completeness(LifeExpectancyData[[#This Row],[Life expectancy]:[Schooling]])</f>
        <v>#NAME?</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e">
        <f ca="1">Data_Completeness(LifeExpectancyData[[#This Row],[Life expectancy]:[Schooling]])</f>
        <v>#NAME?</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e">
        <f ca="1">Data_Completeness(LifeExpectancyData[[#This Row],[Life expectancy]:[Schooling]])</f>
        <v>#NAME?</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e">
        <f ca="1">Data_Completeness(LifeExpectancyData[[#This Row],[Life expectancy]:[Schooling]])</f>
        <v>#NAME?</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e">
        <f ca="1">Data_Completeness(LifeExpectancyData[[#This Row],[Life expectancy]:[Schooling]])</f>
        <v>#NAME?</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e">
        <f ca="1">Data_Completeness(LifeExpectancyData[[#This Row],[Life expectancy]:[Schooling]])</f>
        <v>#NAME?</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e">
        <f ca="1">Data_Completeness(LifeExpectancyData[[#This Row],[Life expectancy]:[Schooling]])</f>
        <v>#NAME?</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e">
        <f ca="1">Data_Completeness(LifeExpectancyData[[#This Row],[Life expectancy]:[Schooling]])</f>
        <v>#NAME?</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e">
        <f ca="1">Data_Completeness(LifeExpectancyData[[#This Row],[Life expectancy]:[Schooling]])</f>
        <v>#NAME?</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e">
        <f ca="1">Data_Completeness(LifeExpectancyData[[#This Row],[Life expectancy]:[Schooling]])</f>
        <v>#NAME?</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e">
        <f ca="1">Data_Completeness(LifeExpectancyData[[#This Row],[Life expectancy]:[Schooling]])</f>
        <v>#NAME?</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e">
        <f ca="1">Data_Completeness(LifeExpectancyData[[#This Row],[Life expectancy]:[Schooling]])</f>
        <v>#NAME?</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e">
        <f ca="1">Data_Completeness(LifeExpectancyData[[#This Row],[Life expectancy]:[Schooling]])</f>
        <v>#NAME?</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e">
        <f ca="1">Data_Completeness(LifeExpectancyData[[#This Row],[Life expectancy]:[Schooling]])</f>
        <v>#NAME?</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e">
        <f ca="1">Data_Completeness(LifeExpectancyData[[#This Row],[Life expectancy]:[Schooling]])</f>
        <v>#NAME?</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e">
        <f ca="1">Data_Completeness(LifeExpectancyData[[#This Row],[Life expectancy]:[Schooling]])</f>
        <v>#NAME?</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e">
        <f ca="1">Data_Completeness(LifeExpectancyData[[#This Row],[Life expectancy]:[Schooling]])</f>
        <v>#NAME?</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e">
        <f ca="1">Data_Completeness(LifeExpectancyData[[#This Row],[Life expectancy]:[Schooling]])</f>
        <v>#NAME?</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e">
        <f ca="1">Data_Completeness(LifeExpectancyData[[#This Row],[Life expectancy]:[Schooling]])</f>
        <v>#NAME?</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e">
        <f ca="1">Data_Completeness(LifeExpectancyData[[#This Row],[Life expectancy]:[Schooling]])</f>
        <v>#NAME?</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e">
        <f ca="1">Data_Completeness(LifeExpectancyData[[#This Row],[Life expectancy]:[Schooling]])</f>
        <v>#NAME?</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e">
        <f ca="1">Data_Completeness(LifeExpectancyData[[#This Row],[Life expectancy]:[Schooling]])</f>
        <v>#NAME?</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e">
        <f ca="1">Data_Completeness(LifeExpectancyData[[#This Row],[Life expectancy]:[Schooling]])</f>
        <v>#NAME?</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e">
        <f ca="1">Data_Completeness(LifeExpectancyData[[#This Row],[Life expectancy]:[Schooling]])</f>
        <v>#NAME?</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e">
        <f ca="1">Data_Completeness(LifeExpectancyData[[#This Row],[Life expectancy]:[Schooling]])</f>
        <v>#NAME?</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e">
        <f ca="1">Data_Completeness(LifeExpectancyData[[#This Row],[Life expectancy]:[Schooling]])</f>
        <v>#NAME?</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e">
        <f ca="1">Data_Completeness(LifeExpectancyData[[#This Row],[Life expectancy]:[Schooling]])</f>
        <v>#NAME?</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e">
        <f ca="1">Data_Completeness(LifeExpectancyData[[#This Row],[Life expectancy]:[Schooling]])</f>
        <v>#NAME?</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e">
        <f ca="1">Data_Completeness(LifeExpectancyData[[#This Row],[Life expectancy]:[Schooling]])</f>
        <v>#NAME?</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e">
        <f ca="1">Data_Completeness(LifeExpectancyData[[#This Row],[Life expectancy]:[Schooling]])</f>
        <v>#NAME?</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e">
        <f ca="1">Data_Completeness(LifeExpectancyData[[#This Row],[Life expectancy]:[Schooling]])</f>
        <v>#NAME?</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e">
        <f ca="1">Data_Completeness(LifeExpectancyData[[#This Row],[Life expectancy]:[Schooling]])</f>
        <v>#NAME?</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e">
        <f ca="1">Data_Completeness(LifeExpectancyData[[#This Row],[Life expectancy]:[Schooling]])</f>
        <v>#NAME?</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e">
        <f ca="1">Data_Completeness(LifeExpectancyData[[#This Row],[Life expectancy]:[Schooling]])</f>
        <v>#NAME?</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e">
        <f ca="1">Data_Completeness(LifeExpectancyData[[#This Row],[Life expectancy]:[Schooling]])</f>
        <v>#NAME?</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e">
        <f ca="1">Data_Completeness(LifeExpectancyData[[#This Row],[Life expectancy]:[Schooling]])</f>
        <v>#NAME?</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e">
        <f ca="1">Data_Completeness(LifeExpectancyData[[#This Row],[Life expectancy]:[Schooling]])</f>
        <v>#NAME?</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e">
        <f ca="1">Data_Completeness(LifeExpectancyData[[#This Row],[Life expectancy]:[Schooling]])</f>
        <v>#NAME?</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e">
        <f ca="1">Data_Completeness(LifeExpectancyData[[#This Row],[Life expectancy]:[Schooling]])</f>
        <v>#NAME?</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e">
        <f ca="1">Data_Completeness(LifeExpectancyData[[#This Row],[Life expectancy]:[Schooling]])</f>
        <v>#NAME?</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e">
        <f ca="1">Data_Completeness(LifeExpectancyData[[#This Row],[Life expectancy]:[Schooling]])</f>
        <v>#NAME?</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e">
        <f ca="1">Data_Completeness(LifeExpectancyData[[#This Row],[Life expectancy]:[Schooling]])</f>
        <v>#NAME?</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e">
        <f ca="1">Data_Completeness(LifeExpectancyData[[#This Row],[Life expectancy]:[Schooling]])</f>
        <v>#NAME?</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e">
        <f ca="1">Data_Completeness(LifeExpectancyData[[#This Row],[Life expectancy]:[Schooling]])</f>
        <v>#NAME?</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e">
        <f ca="1">Data_Completeness(LifeExpectancyData[[#This Row],[Life expectancy]:[Schooling]])</f>
        <v>#NAME?</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e">
        <f ca="1">Data_Completeness(LifeExpectancyData[[#This Row],[Life expectancy]:[Schooling]])</f>
        <v>#NAME?</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e">
        <f ca="1">Data_Completeness(LifeExpectancyData[[#This Row],[Life expectancy]:[Schooling]])</f>
        <v>#NAME?</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e">
        <f ca="1">Data_Completeness(LifeExpectancyData[[#This Row],[Life expectancy]:[Schooling]])</f>
        <v>#NAME?</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e">
        <f ca="1">Data_Completeness(LifeExpectancyData[[#This Row],[Life expectancy]:[Schooling]])</f>
        <v>#NAME?</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e">
        <f ca="1">Data_Completeness(LifeExpectancyData[[#This Row],[Life expectancy]:[Schooling]])</f>
        <v>#NAME?</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e">
        <f ca="1">Data_Completeness(LifeExpectancyData[[#This Row],[Life expectancy]:[Schooling]])</f>
        <v>#NAME?</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e">
        <f ca="1">Data_Completeness(LifeExpectancyData[[#This Row],[Life expectancy]:[Schooling]])</f>
        <v>#NAME?</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e">
        <f ca="1">Data_Completeness(LifeExpectancyData[[#This Row],[Life expectancy]:[Schooling]])</f>
        <v>#NAME?</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e">
        <f ca="1">Data_Completeness(LifeExpectancyData[[#This Row],[Life expectancy]:[Schooling]])</f>
        <v>#NAME?</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e">
        <f ca="1">Data_Completeness(LifeExpectancyData[[#This Row],[Life expectancy]:[Schooling]])</f>
        <v>#NAME?</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e">
        <f ca="1">Data_Completeness(LifeExpectancyData[[#This Row],[Life expectancy]:[Schooling]])</f>
        <v>#NAME?</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e">
        <f ca="1">Data_Completeness(LifeExpectancyData[[#This Row],[Life expectancy]:[Schooling]])</f>
        <v>#NAME?</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e">
        <f ca="1">Data_Completeness(LifeExpectancyData[[#This Row],[Life expectancy]:[Schooling]])</f>
        <v>#NAME?</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e">
        <f ca="1">Data_Completeness(LifeExpectancyData[[#This Row],[Life expectancy]:[Schooling]])</f>
        <v>#NAME?</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e">
        <f ca="1">Data_Completeness(LifeExpectancyData[[#This Row],[Life expectancy]:[Schooling]])</f>
        <v>#NAME?</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e">
        <f ca="1">Data_Completeness(LifeExpectancyData[[#This Row],[Life expectancy]:[Schooling]])</f>
        <v>#NAME?</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e">
        <f ca="1">Data_Completeness(LifeExpectancyData[[#This Row],[Life expectancy]:[Schooling]])</f>
        <v>#NAME?</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e">
        <f ca="1">Data_Completeness(LifeExpectancyData[[#This Row],[Life expectancy]:[Schooling]])</f>
        <v>#NAME?</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e">
        <f ca="1">Data_Completeness(LifeExpectancyData[[#This Row],[Life expectancy]:[Schooling]])</f>
        <v>#NAME?</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e">
        <f ca="1">Data_Completeness(LifeExpectancyData[[#This Row],[Life expectancy]:[Schooling]])</f>
        <v>#NAME?</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e">
        <f ca="1">Data_Completeness(LifeExpectancyData[[#This Row],[Life expectancy]:[Schooling]])</f>
        <v>#NAME?</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e">
        <f ca="1">Data_Completeness(LifeExpectancyData[[#This Row],[Life expectancy]:[Schooling]])</f>
        <v>#NAME?</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e">
        <f ca="1">Data_Completeness(LifeExpectancyData[[#This Row],[Life expectancy]:[Schooling]])</f>
        <v>#NAME?</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e">
        <f ca="1">Data_Completeness(LifeExpectancyData[[#This Row],[Life expectancy]:[Schooling]])</f>
        <v>#NAME?</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e">
        <f ca="1">Data_Completeness(LifeExpectancyData[[#This Row],[Life expectancy]:[Schooling]])</f>
        <v>#NAME?</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e">
        <f ca="1">Data_Completeness(LifeExpectancyData[[#This Row],[Life expectancy]:[Schooling]])</f>
        <v>#NAME?</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e">
        <f ca="1">Data_Completeness(LifeExpectancyData[[#This Row],[Life expectancy]:[Schooling]])</f>
        <v>#NAME?</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e">
        <f ca="1">Data_Completeness(LifeExpectancyData[[#This Row],[Life expectancy]:[Schooling]])</f>
        <v>#NAME?</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e">
        <f ca="1">Data_Completeness(LifeExpectancyData[[#This Row],[Life expectancy]:[Schooling]])</f>
        <v>#NAME?</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e">
        <f ca="1">Data_Completeness(LifeExpectancyData[[#This Row],[Life expectancy]:[Schooling]])</f>
        <v>#NAME?</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e">
        <f ca="1">Data_Completeness(LifeExpectancyData[[#This Row],[Life expectancy]:[Schooling]])</f>
        <v>#NAME?</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e">
        <f ca="1">Data_Completeness(LifeExpectancyData[[#This Row],[Life expectancy]:[Schooling]])</f>
        <v>#NAME?</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e">
        <f ca="1">Data_Completeness(LifeExpectancyData[[#This Row],[Life expectancy]:[Schooling]])</f>
        <v>#NAME?</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e">
        <f ca="1">Data_Completeness(LifeExpectancyData[[#This Row],[Life expectancy]:[Schooling]])</f>
        <v>#NAME?</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e">
        <f ca="1">Data_Completeness(LifeExpectancyData[[#This Row],[Life expectancy]:[Schooling]])</f>
        <v>#NAME?</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e">
        <f ca="1">Data_Completeness(LifeExpectancyData[[#This Row],[Life expectancy]:[Schooling]])</f>
        <v>#NAME?</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e">
        <f ca="1">Data_Completeness(LifeExpectancyData[[#This Row],[Life expectancy]:[Schooling]])</f>
        <v>#NAME?</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e">
        <f ca="1">Data_Completeness(LifeExpectancyData[[#This Row],[Life expectancy]:[Schooling]])</f>
        <v>#NAME?</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e">
        <f ca="1">Data_Completeness(LifeExpectancyData[[#This Row],[Life expectancy]:[Schooling]])</f>
        <v>#NAME?</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e">
        <f ca="1">Data_Completeness(LifeExpectancyData[[#This Row],[Life expectancy]:[Schooling]])</f>
        <v>#NAME?</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e">
        <f ca="1">Data_Completeness(LifeExpectancyData[[#This Row],[Life expectancy]:[Schooling]])</f>
        <v>#NAME?</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e">
        <f ca="1">Data_Completeness(LifeExpectancyData[[#This Row],[Life expectancy]:[Schooling]])</f>
        <v>#NAME?</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e">
        <f ca="1">Data_Completeness(LifeExpectancyData[[#This Row],[Life expectancy]:[Schooling]])</f>
        <v>#NAME?</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e">
        <f ca="1">Data_Completeness(LifeExpectancyData[[#This Row],[Life expectancy]:[Schooling]])</f>
        <v>#NAME?</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e">
        <f ca="1">Data_Completeness(LifeExpectancyData[[#This Row],[Life expectancy]:[Schooling]])</f>
        <v>#NAME?</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e">
        <f ca="1">Data_Completeness(LifeExpectancyData[[#This Row],[Life expectancy]:[Schooling]])</f>
        <v>#NAME?</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e">
        <f ca="1">Data_Completeness(LifeExpectancyData[[#This Row],[Life expectancy]:[Schooling]])</f>
        <v>#NAME?</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e">
        <f ca="1">Data_Completeness(LifeExpectancyData[[#This Row],[Life expectancy]:[Schooling]])</f>
        <v>#NAME?</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e">
        <f ca="1">Data_Completeness(LifeExpectancyData[[#This Row],[Life expectancy]:[Schooling]])</f>
        <v>#NAME?</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e">
        <f ca="1">Data_Completeness(LifeExpectancyData[[#This Row],[Life expectancy]:[Schooling]])</f>
        <v>#NAME?</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e">
        <f ca="1">Data_Completeness(LifeExpectancyData[[#This Row],[Life expectancy]:[Schooling]])</f>
        <v>#NAME?</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e">
        <f ca="1">Data_Completeness(LifeExpectancyData[[#This Row],[Life expectancy]:[Schooling]])</f>
        <v>#NAME?</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e">
        <f ca="1">Data_Completeness(LifeExpectancyData[[#This Row],[Life expectancy]:[Schooling]])</f>
        <v>#NAME?</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e">
        <f ca="1">Data_Completeness(LifeExpectancyData[[#This Row],[Life expectancy]:[Schooling]])</f>
        <v>#NAME?</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e">
        <f ca="1">Data_Completeness(LifeExpectancyData[[#This Row],[Life expectancy]:[Schooling]])</f>
        <v>#NAME?</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e">
        <f ca="1">Data_Completeness(LifeExpectancyData[[#This Row],[Life expectancy]:[Schooling]])</f>
        <v>#NAME?</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e">
        <f ca="1">Data_Completeness(LifeExpectancyData[[#This Row],[Life expectancy]:[Schooling]])</f>
        <v>#NAME?</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e">
        <f ca="1">Data_Completeness(LifeExpectancyData[[#This Row],[Life expectancy]:[Schooling]])</f>
        <v>#NAME?</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e">
        <f ca="1">Data_Completeness(LifeExpectancyData[[#This Row],[Life expectancy]:[Schooling]])</f>
        <v>#NAME?</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e">
        <f ca="1">Data_Completeness(LifeExpectancyData[[#This Row],[Life expectancy]:[Schooling]])</f>
        <v>#NAME?</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e">
        <f ca="1">Data_Completeness(LifeExpectancyData[[#This Row],[Life expectancy]:[Schooling]])</f>
        <v>#NAME?</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e">
        <f ca="1">Data_Completeness(LifeExpectancyData[[#This Row],[Life expectancy]:[Schooling]])</f>
        <v>#NAME?</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e">
        <f ca="1">Data_Completeness(LifeExpectancyData[[#This Row],[Life expectancy]:[Schooling]])</f>
        <v>#NAME?</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e">
        <f ca="1">Data_Completeness(LifeExpectancyData[[#This Row],[Life expectancy]:[Schooling]])</f>
        <v>#NAME?</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e">
        <f ca="1">Data_Completeness(LifeExpectancyData[[#This Row],[Life expectancy]:[Schooling]])</f>
        <v>#NAME?</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e">
        <f ca="1">Data_Completeness(LifeExpectancyData[[#This Row],[Life expectancy]:[Schooling]])</f>
        <v>#NAME?</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e">
        <f ca="1">Data_Completeness(LifeExpectancyData[[#This Row],[Life expectancy]:[Schooling]])</f>
        <v>#NAME?</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e">
        <f ca="1">Data_Completeness(LifeExpectancyData[[#This Row],[Life expectancy]:[Schooling]])</f>
        <v>#NAME?</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e">
        <f ca="1">Data_Completeness(LifeExpectancyData[[#This Row],[Life expectancy]:[Schooling]])</f>
        <v>#NAME?</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e">
        <f ca="1">Data_Completeness(LifeExpectancyData[[#This Row],[Life expectancy]:[Schooling]])</f>
        <v>#NAME?</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e">
        <f ca="1">Data_Completeness(LifeExpectancyData[[#This Row],[Life expectancy]:[Schooling]])</f>
        <v>#NAME?</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e">
        <f ca="1">Data_Completeness(LifeExpectancyData[[#This Row],[Life expectancy]:[Schooling]])</f>
        <v>#NAME?</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e">
        <f ca="1">Data_Completeness(LifeExpectancyData[[#This Row],[Life expectancy]:[Schooling]])</f>
        <v>#NAME?</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e">
        <f ca="1">Data_Completeness(LifeExpectancyData[[#This Row],[Life expectancy]:[Schooling]])</f>
        <v>#NAME?</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e">
        <f ca="1">Data_Completeness(LifeExpectancyData[[#This Row],[Life expectancy]:[Schooling]])</f>
        <v>#NAME?</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e">
        <f ca="1">Data_Completeness(LifeExpectancyData[[#This Row],[Life expectancy]:[Schooling]])</f>
        <v>#NAME?</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e">
        <f ca="1">Data_Completeness(LifeExpectancyData[[#This Row],[Life expectancy]:[Schooling]])</f>
        <v>#NAME?</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e">
        <f ca="1">Data_Completeness(LifeExpectancyData[[#This Row],[Life expectancy]:[Schooling]])</f>
        <v>#NAME?</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e">
        <f ca="1">Data_Completeness(LifeExpectancyData[[#This Row],[Life expectancy]:[Schooling]])</f>
        <v>#NAME?</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e">
        <f ca="1">Data_Completeness(LifeExpectancyData[[#This Row],[Life expectancy]:[Schooling]])</f>
        <v>#NAME?</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e">
        <f ca="1">Data_Completeness(LifeExpectancyData[[#This Row],[Life expectancy]:[Schooling]])</f>
        <v>#NAME?</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e">
        <f ca="1">Data_Completeness(LifeExpectancyData[[#This Row],[Life expectancy]:[Schooling]])</f>
        <v>#NAME?</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e">
        <f ca="1">Data_Completeness(LifeExpectancyData[[#This Row],[Life expectancy]:[Schooling]])</f>
        <v>#NAME?</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e">
        <f ca="1">Data_Completeness(LifeExpectancyData[[#This Row],[Life expectancy]:[Schooling]])</f>
        <v>#NAME?</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e">
        <f ca="1">Data_Completeness(LifeExpectancyData[[#This Row],[Life expectancy]:[Schooling]])</f>
        <v>#NAME?</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e">
        <f ca="1">Data_Completeness(LifeExpectancyData[[#This Row],[Life expectancy]:[Schooling]])</f>
        <v>#NAME?</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e">
        <f ca="1">Data_Completeness(LifeExpectancyData[[#This Row],[Life expectancy]:[Schooling]])</f>
        <v>#NAME?</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e">
        <f ca="1">Data_Completeness(LifeExpectancyData[[#This Row],[Life expectancy]:[Schooling]])</f>
        <v>#NAME?</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e">
        <f ca="1">Data_Completeness(LifeExpectancyData[[#This Row],[Life expectancy]:[Schooling]])</f>
        <v>#NAME?</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e">
        <f ca="1">Data_Completeness(LifeExpectancyData[[#This Row],[Life expectancy]:[Schooling]])</f>
        <v>#NAME?</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e">
        <f ca="1">Data_Completeness(LifeExpectancyData[[#This Row],[Life expectancy]:[Schooling]])</f>
        <v>#NAME?</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e">
        <f ca="1">Data_Completeness(LifeExpectancyData[[#This Row],[Life expectancy]:[Schooling]])</f>
        <v>#NAME?</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e">
        <f ca="1">Data_Completeness(LifeExpectancyData[[#This Row],[Life expectancy]:[Schooling]])</f>
        <v>#NAME?</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e">
        <f ca="1">Data_Completeness(LifeExpectancyData[[#This Row],[Life expectancy]:[Schooling]])</f>
        <v>#NAME?</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e">
        <f ca="1">Data_Completeness(LifeExpectancyData[[#This Row],[Life expectancy]:[Schooling]])</f>
        <v>#NAME?</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e">
        <f ca="1">Data_Completeness(LifeExpectancyData[[#This Row],[Life expectancy]:[Schooling]])</f>
        <v>#NAME?</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e">
        <f ca="1">Data_Completeness(LifeExpectancyData[[#This Row],[Life expectancy]:[Schooling]])</f>
        <v>#NAME?</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e">
        <f ca="1">Data_Completeness(LifeExpectancyData[[#This Row],[Life expectancy]:[Schooling]])</f>
        <v>#NAME?</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e">
        <f ca="1">Data_Completeness(LifeExpectancyData[[#This Row],[Life expectancy]:[Schooling]])</f>
        <v>#NAME?</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e">
        <f ca="1">Data_Completeness(LifeExpectancyData[[#This Row],[Life expectancy]:[Schooling]])</f>
        <v>#NAME?</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e">
        <f ca="1">Data_Completeness(LifeExpectancyData[[#This Row],[Life expectancy]:[Schooling]])</f>
        <v>#NAME?</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e">
        <f ca="1">Data_Completeness(LifeExpectancyData[[#This Row],[Life expectancy]:[Schooling]])</f>
        <v>#NAME?</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e">
        <f ca="1">Data_Completeness(LifeExpectancyData[[#This Row],[Life expectancy]:[Schooling]])</f>
        <v>#NAME?</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e">
        <f ca="1">Data_Completeness(LifeExpectancyData[[#This Row],[Life expectancy]:[Schooling]])</f>
        <v>#NAME?</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e">
        <f ca="1">Data_Completeness(LifeExpectancyData[[#This Row],[Life expectancy]:[Schooling]])</f>
        <v>#NAME?</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e">
        <f ca="1">Data_Completeness(LifeExpectancyData[[#This Row],[Life expectancy]:[Schooling]])</f>
        <v>#NAME?</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e">
        <f ca="1">Data_Completeness(LifeExpectancyData[[#This Row],[Life expectancy]:[Schooling]])</f>
        <v>#NAME?</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e">
        <f ca="1">Data_Completeness(LifeExpectancyData[[#This Row],[Life expectancy]:[Schooling]])</f>
        <v>#NAME?</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e">
        <f ca="1">Data_Completeness(LifeExpectancyData[[#This Row],[Life expectancy]:[Schooling]])</f>
        <v>#NAME?</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e">
        <f ca="1">Data_Completeness(LifeExpectancyData[[#This Row],[Life expectancy]:[Schooling]])</f>
        <v>#NAME?</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e">
        <f ca="1">Data_Completeness(LifeExpectancyData[[#This Row],[Life expectancy]:[Schooling]])</f>
        <v>#NAME?</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e">
        <f ca="1">Data_Completeness(LifeExpectancyData[[#This Row],[Life expectancy]:[Schooling]])</f>
        <v>#NAME?</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e">
        <f ca="1">Data_Completeness(LifeExpectancyData[[#This Row],[Life expectancy]:[Schooling]])</f>
        <v>#NAME?</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e">
        <f ca="1">Data_Completeness(LifeExpectancyData[[#This Row],[Life expectancy]:[Schooling]])</f>
        <v>#NAME?</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e">
        <f ca="1">Data_Completeness(LifeExpectancyData[[#This Row],[Life expectancy]:[Schooling]])</f>
        <v>#NAME?</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e">
        <f ca="1">Data_Completeness(LifeExpectancyData[[#This Row],[Life expectancy]:[Schooling]])</f>
        <v>#NAME?</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e">
        <f ca="1">Data_Completeness(LifeExpectancyData[[#This Row],[Life expectancy]:[Schooling]])</f>
        <v>#NAME?</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e">
        <f ca="1">Data_Completeness(LifeExpectancyData[[#This Row],[Life expectancy]:[Schooling]])</f>
        <v>#NAME?</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e">
        <f ca="1">Data_Completeness(LifeExpectancyData[[#This Row],[Life expectancy]:[Schooling]])</f>
        <v>#NAME?</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e">
        <f ca="1">Data_Completeness(LifeExpectancyData[[#This Row],[Life expectancy]:[Schooling]])</f>
        <v>#NAME?</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e">
        <f ca="1">Data_Completeness(LifeExpectancyData[[#This Row],[Life expectancy]:[Schooling]])</f>
        <v>#NAME?</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e">
        <f ca="1">Data_Completeness(LifeExpectancyData[[#This Row],[Life expectancy]:[Schooling]])</f>
        <v>#NAME?</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e">
        <f ca="1">Data_Completeness(LifeExpectancyData[[#This Row],[Life expectancy]:[Schooling]])</f>
        <v>#NAME?</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e">
        <f ca="1">Data_Completeness(LifeExpectancyData[[#This Row],[Life expectancy]:[Schooling]])</f>
        <v>#NAME?</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e">
        <f ca="1">Data_Completeness(LifeExpectancyData[[#This Row],[Life expectancy]:[Schooling]])</f>
        <v>#NAME?</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e">
        <f ca="1">Data_Completeness(LifeExpectancyData[[#This Row],[Life expectancy]:[Schooling]])</f>
        <v>#NAME?</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e">
        <f ca="1">Data_Completeness(LifeExpectancyData[[#This Row],[Life expectancy]:[Schooling]])</f>
        <v>#NAME?</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e">
        <f ca="1">Data_Completeness(LifeExpectancyData[[#This Row],[Life expectancy]:[Schooling]])</f>
        <v>#NAME?</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e">
        <f ca="1">Data_Completeness(LifeExpectancyData[[#This Row],[Life expectancy]:[Schooling]])</f>
        <v>#NAME?</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e">
        <f ca="1">Data_Completeness(LifeExpectancyData[[#This Row],[Life expectancy]:[Schooling]])</f>
        <v>#NAME?</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e">
        <f ca="1">Data_Completeness(LifeExpectancyData[[#This Row],[Life expectancy]:[Schooling]])</f>
        <v>#NAME?</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e">
        <f ca="1">Data_Completeness(LifeExpectancyData[[#This Row],[Life expectancy]:[Schooling]])</f>
        <v>#NAME?</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e">
        <f ca="1">Data_Completeness(LifeExpectancyData[[#This Row],[Life expectancy]:[Schooling]])</f>
        <v>#NAME?</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e">
        <f ca="1">Data_Completeness(LifeExpectancyData[[#This Row],[Life expectancy]:[Schooling]])</f>
        <v>#NAME?</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e">
        <f ca="1">Data_Completeness(LifeExpectancyData[[#This Row],[Life expectancy]:[Schooling]])</f>
        <v>#NAME?</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e">
        <f ca="1">Data_Completeness(LifeExpectancyData[[#This Row],[Life expectancy]:[Schooling]])</f>
        <v>#NAME?</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e">
        <f ca="1">Data_Completeness(LifeExpectancyData[[#This Row],[Life expectancy]:[Schooling]])</f>
        <v>#NAME?</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e">
        <f ca="1">Data_Completeness(LifeExpectancyData[[#This Row],[Life expectancy]:[Schooling]])</f>
        <v>#NAME?</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e">
        <f ca="1">Data_Completeness(LifeExpectancyData[[#This Row],[Life expectancy]:[Schooling]])</f>
        <v>#NAME?</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e">
        <f ca="1">Data_Completeness(LifeExpectancyData[[#This Row],[Life expectancy]:[Schooling]])</f>
        <v>#NAME?</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e">
        <f ca="1">Data_Completeness(LifeExpectancyData[[#This Row],[Life expectancy]:[Schooling]])</f>
        <v>#NAME?</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e">
        <f ca="1">Data_Completeness(LifeExpectancyData[[#This Row],[Life expectancy]:[Schooling]])</f>
        <v>#NAME?</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e">
        <f ca="1">Data_Completeness(LifeExpectancyData[[#This Row],[Life expectancy]:[Schooling]])</f>
        <v>#NAME?</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e">
        <f ca="1">Data_Completeness(LifeExpectancyData[[#This Row],[Life expectancy]:[Schooling]])</f>
        <v>#NAME?</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e">
        <f ca="1">Data_Completeness(LifeExpectancyData[[#This Row],[Life expectancy]:[Schooling]])</f>
        <v>#NAME?</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e">
        <f ca="1">Data_Completeness(LifeExpectancyData[[#This Row],[Life expectancy]:[Schooling]])</f>
        <v>#NAME?</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e">
        <f ca="1">Data_Completeness(LifeExpectancyData[[#This Row],[Life expectancy]:[Schooling]])</f>
        <v>#NAME?</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e">
        <f ca="1">Data_Completeness(LifeExpectancyData[[#This Row],[Life expectancy]:[Schooling]])</f>
        <v>#NAME?</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e">
        <f ca="1">Data_Completeness(LifeExpectancyData[[#This Row],[Life expectancy]:[Schooling]])</f>
        <v>#NAME?</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e">
        <f ca="1">Data_Completeness(LifeExpectancyData[[#This Row],[Life expectancy]:[Schooling]])</f>
        <v>#NAME?</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e">
        <f ca="1">Data_Completeness(LifeExpectancyData[[#This Row],[Life expectancy]:[Schooling]])</f>
        <v>#NAME?</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e">
        <f ca="1">Data_Completeness(LifeExpectancyData[[#This Row],[Life expectancy]:[Schooling]])</f>
        <v>#NAME?</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e">
        <f ca="1">Data_Completeness(LifeExpectancyData[[#This Row],[Life expectancy]:[Schooling]])</f>
        <v>#NAME?</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e">
        <f ca="1">Data_Completeness(LifeExpectancyData[[#This Row],[Life expectancy]:[Schooling]])</f>
        <v>#NAME?</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e">
        <f ca="1">Data_Completeness(LifeExpectancyData[[#This Row],[Life expectancy]:[Schooling]])</f>
        <v>#NAME?</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e">
        <f ca="1">Data_Completeness(LifeExpectancyData[[#This Row],[Life expectancy]:[Schooling]])</f>
        <v>#NAME?</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e">
        <f ca="1">Data_Completeness(LifeExpectancyData[[#This Row],[Life expectancy]:[Schooling]])</f>
        <v>#NAME?</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e">
        <f ca="1">Data_Completeness(LifeExpectancyData[[#This Row],[Life expectancy]:[Schooling]])</f>
        <v>#NAME?</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e">
        <f ca="1">Data_Completeness(LifeExpectancyData[[#This Row],[Life expectancy]:[Schooling]])</f>
        <v>#NAME?</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e">
        <f ca="1">Data_Completeness(LifeExpectancyData[[#This Row],[Life expectancy]:[Schooling]])</f>
        <v>#NAME?</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e">
        <f ca="1">Data_Completeness(LifeExpectancyData[[#This Row],[Life expectancy]:[Schooling]])</f>
        <v>#NAME?</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e">
        <f ca="1">Data_Completeness(LifeExpectancyData[[#This Row],[Life expectancy]:[Schooling]])</f>
        <v>#NAME?</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e">
        <f ca="1">Data_Completeness(LifeExpectancyData[[#This Row],[Life expectancy]:[Schooling]])</f>
        <v>#NAME?</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e">
        <f ca="1">Data_Completeness(LifeExpectancyData[[#This Row],[Life expectancy]:[Schooling]])</f>
        <v>#NAME?</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e">
        <f ca="1">Data_Completeness(LifeExpectancyData[[#This Row],[Life expectancy]:[Schooling]])</f>
        <v>#NAME?</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e">
        <f ca="1">Data_Completeness(LifeExpectancyData[[#This Row],[Life expectancy]:[Schooling]])</f>
        <v>#NAME?</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e">
        <f ca="1">Data_Completeness(LifeExpectancyData[[#This Row],[Life expectancy]:[Schooling]])</f>
        <v>#NAME?</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e">
        <f ca="1">Data_Completeness(LifeExpectancyData[[#This Row],[Life expectancy]:[Schooling]])</f>
        <v>#NAME?</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e">
        <f ca="1">Data_Completeness(LifeExpectancyData[[#This Row],[Life expectancy]:[Schooling]])</f>
        <v>#NAME?</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e">
        <f ca="1">Data_Completeness(LifeExpectancyData[[#This Row],[Life expectancy]:[Schooling]])</f>
        <v>#NAME?</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e">
        <f ca="1">Data_Completeness(LifeExpectancyData[[#This Row],[Life expectancy]:[Schooling]])</f>
        <v>#NAME?</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e">
        <f ca="1">Data_Completeness(LifeExpectancyData[[#This Row],[Life expectancy]:[Schooling]])</f>
        <v>#NAME?</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e">
        <f ca="1">Data_Completeness(LifeExpectancyData[[#This Row],[Life expectancy]:[Schooling]])</f>
        <v>#NAME?</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e">
        <f ca="1">Data_Completeness(LifeExpectancyData[[#This Row],[Life expectancy]:[Schooling]])</f>
        <v>#NAME?</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e">
        <f ca="1">Data_Completeness(LifeExpectancyData[[#This Row],[Life expectancy]:[Schooling]])</f>
        <v>#NAME?</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e">
        <f ca="1">Data_Completeness(LifeExpectancyData[[#This Row],[Life expectancy]:[Schooling]])</f>
        <v>#NAME?</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e">
        <f ca="1">Data_Completeness(LifeExpectancyData[[#This Row],[Life expectancy]:[Schooling]])</f>
        <v>#NAME?</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e">
        <f ca="1">Data_Completeness(LifeExpectancyData[[#This Row],[Life expectancy]:[Schooling]])</f>
        <v>#NAME?</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e">
        <f ca="1">Data_Completeness(LifeExpectancyData[[#This Row],[Life expectancy]:[Schooling]])</f>
        <v>#NAME?</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e">
        <f ca="1">Data_Completeness(LifeExpectancyData[[#This Row],[Life expectancy]:[Schooling]])</f>
        <v>#NAME?</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e">
        <f ca="1">Data_Completeness(LifeExpectancyData[[#This Row],[Life expectancy]:[Schooling]])</f>
        <v>#NAME?</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e">
        <f ca="1">Data_Completeness(LifeExpectancyData[[#This Row],[Life expectancy]:[Schooling]])</f>
        <v>#NAME?</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e">
        <f ca="1">Data_Completeness(LifeExpectancyData[[#This Row],[Life expectancy]:[Schooling]])</f>
        <v>#NAME?</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e">
        <f ca="1">Data_Completeness(LifeExpectancyData[[#This Row],[Life expectancy]:[Schooling]])</f>
        <v>#NAME?</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e">
        <f ca="1">Data_Completeness(LifeExpectancyData[[#This Row],[Life expectancy]:[Schooling]])</f>
        <v>#NAME?</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e">
        <f ca="1">Data_Completeness(LifeExpectancyData[[#This Row],[Life expectancy]:[Schooling]])</f>
        <v>#NAME?</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e">
        <f ca="1">Data_Completeness(LifeExpectancyData[[#This Row],[Life expectancy]:[Schooling]])</f>
        <v>#NAME?</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e">
        <f ca="1">Data_Completeness(LifeExpectancyData[[#This Row],[Life expectancy]:[Schooling]])</f>
        <v>#NAME?</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e">
        <f ca="1">Data_Completeness(LifeExpectancyData[[#This Row],[Life expectancy]:[Schooling]])</f>
        <v>#NAME?</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e">
        <f ca="1">Data_Completeness(LifeExpectancyData[[#This Row],[Life expectancy]:[Schooling]])</f>
        <v>#NAME?</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e">
        <f ca="1">Data_Completeness(LifeExpectancyData[[#This Row],[Life expectancy]:[Schooling]])</f>
        <v>#NAME?</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e">
        <f ca="1">Data_Completeness(LifeExpectancyData[[#This Row],[Life expectancy]:[Schooling]])</f>
        <v>#NAME?</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e">
        <f ca="1">Data_Completeness(LifeExpectancyData[[#This Row],[Life expectancy]:[Schooling]])</f>
        <v>#NAME?</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e">
        <f ca="1">Data_Completeness(LifeExpectancyData[[#This Row],[Life expectancy]:[Schooling]])</f>
        <v>#NAME?</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e">
        <f ca="1">Data_Completeness(LifeExpectancyData[[#This Row],[Life expectancy]:[Schooling]])</f>
        <v>#NAME?</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e">
        <f ca="1">Data_Completeness(LifeExpectancyData[[#This Row],[Life expectancy]:[Schooling]])</f>
        <v>#NAME?</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e">
        <f ca="1">Data_Completeness(LifeExpectancyData[[#This Row],[Life expectancy]:[Schooling]])</f>
        <v>#NAME?</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e">
        <f ca="1">Data_Completeness(LifeExpectancyData[[#This Row],[Life expectancy]:[Schooling]])</f>
        <v>#NAME?</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e">
        <f ca="1">Data_Completeness(LifeExpectancyData[[#This Row],[Life expectancy]:[Schooling]])</f>
        <v>#NAME?</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e">
        <f ca="1">Data_Completeness(LifeExpectancyData[[#This Row],[Life expectancy]:[Schooling]])</f>
        <v>#NAME?</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e">
        <f ca="1">Data_Completeness(LifeExpectancyData[[#This Row],[Life expectancy]:[Schooling]])</f>
        <v>#NAME?</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e">
        <f ca="1">Data_Completeness(LifeExpectancyData[[#This Row],[Life expectancy]:[Schooling]])</f>
        <v>#NAME?</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e">
        <f ca="1">Data_Completeness(LifeExpectancyData[[#This Row],[Life expectancy]:[Schooling]])</f>
        <v>#NAME?</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e">
        <f ca="1">Data_Completeness(LifeExpectancyData[[#This Row],[Life expectancy]:[Schooling]])</f>
        <v>#NAME?</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e">
        <f ca="1">Data_Completeness(LifeExpectancyData[[#This Row],[Life expectancy]:[Schooling]])</f>
        <v>#NAME?</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e">
        <f ca="1">Data_Completeness(LifeExpectancyData[[#This Row],[Life expectancy]:[Schooling]])</f>
        <v>#NAME?</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e">
        <f ca="1">Data_Completeness(LifeExpectancyData[[#This Row],[Life expectancy]:[Schooling]])</f>
        <v>#NAME?</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e">
        <f ca="1">Data_Completeness(LifeExpectancyData[[#This Row],[Life expectancy]:[Schooling]])</f>
        <v>#NAME?</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e">
        <f ca="1">Data_Completeness(LifeExpectancyData[[#This Row],[Life expectancy]:[Schooling]])</f>
        <v>#NAME?</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e">
        <f ca="1">Data_Completeness(LifeExpectancyData[[#This Row],[Life expectancy]:[Schooling]])</f>
        <v>#NAME?</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e">
        <f ca="1">Data_Completeness(LifeExpectancyData[[#This Row],[Life expectancy]:[Schooling]])</f>
        <v>#NAME?</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e">
        <f ca="1">Data_Completeness(LifeExpectancyData[[#This Row],[Life expectancy]:[Schooling]])</f>
        <v>#NAME?</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e">
        <f ca="1">Data_Completeness(LifeExpectancyData[[#This Row],[Life expectancy]:[Schooling]])</f>
        <v>#NAME?</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e">
        <f ca="1">Data_Completeness(LifeExpectancyData[[#This Row],[Life expectancy]:[Schooling]])</f>
        <v>#NAME?</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e">
        <f ca="1">Data_Completeness(LifeExpectancyData[[#This Row],[Life expectancy]:[Schooling]])</f>
        <v>#NAME?</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e">
        <f ca="1">Data_Completeness(LifeExpectancyData[[#This Row],[Life expectancy]:[Schooling]])</f>
        <v>#NAME?</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e">
        <f ca="1">Data_Completeness(LifeExpectancyData[[#This Row],[Life expectancy]:[Schooling]])</f>
        <v>#NAME?</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e">
        <f ca="1">Data_Completeness(LifeExpectancyData[[#This Row],[Life expectancy]:[Schooling]])</f>
        <v>#NAME?</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e">
        <f ca="1">Data_Completeness(LifeExpectancyData[[#This Row],[Life expectancy]:[Schooling]])</f>
        <v>#NAME?</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e">
        <f ca="1">Data_Completeness(LifeExpectancyData[[#This Row],[Life expectancy]:[Schooling]])</f>
        <v>#NAME?</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e">
        <f ca="1">Data_Completeness(LifeExpectancyData[[#This Row],[Life expectancy]:[Schooling]])</f>
        <v>#NAME?</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e">
        <f ca="1">Data_Completeness(LifeExpectancyData[[#This Row],[Life expectancy]:[Schooling]])</f>
        <v>#NAME?</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e">
        <f ca="1">Data_Completeness(LifeExpectancyData[[#This Row],[Life expectancy]:[Schooling]])</f>
        <v>#NAME?</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e">
        <f ca="1">Data_Completeness(LifeExpectancyData[[#This Row],[Life expectancy]:[Schooling]])</f>
        <v>#NAME?</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e">
        <f ca="1">Data_Completeness(LifeExpectancyData[[#This Row],[Life expectancy]:[Schooling]])</f>
        <v>#NAME?</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e">
        <f ca="1">Data_Completeness(LifeExpectancyData[[#This Row],[Life expectancy]:[Schooling]])</f>
        <v>#NAME?</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e">
        <f ca="1">Data_Completeness(LifeExpectancyData[[#This Row],[Life expectancy]:[Schooling]])</f>
        <v>#NAME?</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e">
        <f ca="1">Data_Completeness(LifeExpectancyData[[#This Row],[Life expectancy]:[Schooling]])</f>
        <v>#NAME?</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e">
        <f ca="1">Data_Completeness(LifeExpectancyData[[#This Row],[Life expectancy]:[Schooling]])</f>
        <v>#NAME?</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e">
        <f ca="1">Data_Completeness(LifeExpectancyData[[#This Row],[Life expectancy]:[Schooling]])</f>
        <v>#NAME?</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e">
        <f ca="1">Data_Completeness(LifeExpectancyData[[#This Row],[Life expectancy]:[Schooling]])</f>
        <v>#NAME?</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e">
        <f ca="1">Data_Completeness(LifeExpectancyData[[#This Row],[Life expectancy]:[Schooling]])</f>
        <v>#NAME?</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e">
        <f ca="1">Data_Completeness(LifeExpectancyData[[#This Row],[Life expectancy]:[Schooling]])</f>
        <v>#NAME?</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e">
        <f ca="1">Data_Completeness(LifeExpectancyData[[#This Row],[Life expectancy]:[Schooling]])</f>
        <v>#NAME?</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e">
        <f ca="1">Data_Completeness(LifeExpectancyData[[#This Row],[Life expectancy]:[Schooling]])</f>
        <v>#NAME?</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e">
        <f ca="1">Data_Completeness(LifeExpectancyData[[#This Row],[Life expectancy]:[Schooling]])</f>
        <v>#NAME?</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e">
        <f ca="1">Data_Completeness(LifeExpectancyData[[#This Row],[Life expectancy]:[Schooling]])</f>
        <v>#NAME?</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e">
        <f ca="1">Data_Completeness(LifeExpectancyData[[#This Row],[Life expectancy]:[Schooling]])</f>
        <v>#NAME?</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e">
        <f ca="1">Data_Completeness(LifeExpectancyData[[#This Row],[Life expectancy]:[Schooling]])</f>
        <v>#NAME?</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e">
        <f ca="1">Data_Completeness(LifeExpectancyData[[#This Row],[Life expectancy]:[Schooling]])</f>
        <v>#NAME?</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e">
        <f ca="1">Data_Completeness(LifeExpectancyData[[#This Row],[Life expectancy]:[Schooling]])</f>
        <v>#NAME?</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e">
        <f ca="1">Data_Completeness(LifeExpectancyData[[#This Row],[Life expectancy]:[Schooling]])</f>
        <v>#NAME?</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e">
        <f ca="1">Data_Completeness(LifeExpectancyData[[#This Row],[Life expectancy]:[Schooling]])</f>
        <v>#NAME?</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e">
        <f ca="1">Data_Completeness(LifeExpectancyData[[#This Row],[Life expectancy]:[Schooling]])</f>
        <v>#NAME?</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e">
        <f ca="1">Data_Completeness(LifeExpectancyData[[#This Row],[Life expectancy]:[Schooling]])</f>
        <v>#NAME?</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e">
        <f ca="1">Data_Completeness(LifeExpectancyData[[#This Row],[Life expectancy]:[Schooling]])</f>
        <v>#NAME?</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e">
        <f ca="1">Data_Completeness(LifeExpectancyData[[#This Row],[Life expectancy]:[Schooling]])</f>
        <v>#NAME?</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e">
        <f ca="1">Data_Completeness(LifeExpectancyData[[#This Row],[Life expectancy]:[Schooling]])</f>
        <v>#NAME?</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e">
        <f ca="1">Data_Completeness(LifeExpectancyData[[#This Row],[Life expectancy]:[Schooling]])</f>
        <v>#NAME?</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e">
        <f ca="1">Data_Completeness(LifeExpectancyData[[#This Row],[Life expectancy]:[Schooling]])</f>
        <v>#NAME?</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e">
        <f ca="1">Data_Completeness(LifeExpectancyData[[#This Row],[Life expectancy]:[Schooling]])</f>
        <v>#NAME?</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e">
        <f ca="1">Data_Completeness(LifeExpectancyData[[#This Row],[Life expectancy]:[Schooling]])</f>
        <v>#NAME?</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e">
        <f ca="1">Data_Completeness(LifeExpectancyData[[#This Row],[Life expectancy]:[Schooling]])</f>
        <v>#NAME?</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e">
        <f ca="1">Data_Completeness(LifeExpectancyData[[#This Row],[Life expectancy]:[Schooling]])</f>
        <v>#NAME?</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e">
        <f ca="1">Data_Completeness(LifeExpectancyData[[#This Row],[Life expectancy]:[Schooling]])</f>
        <v>#NAME?</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e">
        <f ca="1">Data_Completeness(LifeExpectancyData[[#This Row],[Life expectancy]:[Schooling]])</f>
        <v>#NAME?</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e">
        <f ca="1">Data_Completeness(LifeExpectancyData[[#This Row],[Life expectancy]:[Schooling]])</f>
        <v>#NAME?</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e">
        <f ca="1">Data_Completeness(LifeExpectancyData[[#This Row],[Life expectancy]:[Schooling]])</f>
        <v>#NAME?</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e">
        <f ca="1">Data_Completeness(LifeExpectancyData[[#This Row],[Life expectancy]:[Schooling]])</f>
        <v>#NAME?</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e">
        <f ca="1">Data_Completeness(LifeExpectancyData[[#This Row],[Life expectancy]:[Schooling]])</f>
        <v>#NAME?</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e">
        <f ca="1">Data_Completeness(LifeExpectancyData[[#This Row],[Life expectancy]:[Schooling]])</f>
        <v>#NAME?</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e">
        <f ca="1">Data_Completeness(LifeExpectancyData[[#This Row],[Life expectancy]:[Schooling]])</f>
        <v>#NAME?</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e">
        <f ca="1">Data_Completeness(LifeExpectancyData[[#This Row],[Life expectancy]:[Schooling]])</f>
        <v>#NAME?</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e">
        <f ca="1">Data_Completeness(LifeExpectancyData[[#This Row],[Life expectancy]:[Schooling]])</f>
        <v>#NAME?</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e">
        <f ca="1">Data_Completeness(LifeExpectancyData[[#This Row],[Life expectancy]:[Schooling]])</f>
        <v>#NAME?</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e">
        <f ca="1">Data_Completeness(LifeExpectancyData[[#This Row],[Life expectancy]:[Schooling]])</f>
        <v>#NAME?</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e">
        <f ca="1">Data_Completeness(LifeExpectancyData[[#This Row],[Life expectancy]:[Schooling]])</f>
        <v>#NAME?</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e">
        <f ca="1">Data_Completeness(LifeExpectancyData[[#This Row],[Life expectancy]:[Schooling]])</f>
        <v>#NAME?</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e">
        <f ca="1">Data_Completeness(LifeExpectancyData[[#This Row],[Life expectancy]:[Schooling]])</f>
        <v>#NAME?</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e">
        <f ca="1">Data_Completeness(LifeExpectancyData[[#This Row],[Life expectancy]:[Schooling]])</f>
        <v>#NAME?</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e">
        <f ca="1">Data_Completeness(LifeExpectancyData[[#This Row],[Life expectancy]:[Schooling]])</f>
        <v>#NAME?</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e">
        <f ca="1">Data_Completeness(LifeExpectancyData[[#This Row],[Life expectancy]:[Schooling]])</f>
        <v>#NAME?</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e">
        <f ca="1">Data_Completeness(LifeExpectancyData[[#This Row],[Life expectancy]:[Schooling]])</f>
        <v>#NAME?</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e">
        <f ca="1">Data_Completeness(LifeExpectancyData[[#This Row],[Life expectancy]:[Schooling]])</f>
        <v>#NAME?</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e">
        <f ca="1">Data_Completeness(LifeExpectancyData[[#This Row],[Life expectancy]:[Schooling]])</f>
        <v>#NAME?</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e">
        <f ca="1">Data_Completeness(LifeExpectancyData[[#This Row],[Life expectancy]:[Schooling]])</f>
        <v>#NAME?</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e">
        <f ca="1">Data_Completeness(LifeExpectancyData[[#This Row],[Life expectancy]:[Schooling]])</f>
        <v>#NAME?</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e">
        <f ca="1">Data_Completeness(LifeExpectancyData[[#This Row],[Life expectancy]:[Schooling]])</f>
        <v>#NAME?</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e">
        <f ca="1">Data_Completeness(LifeExpectancyData[[#This Row],[Life expectancy]:[Schooling]])</f>
        <v>#NAME?</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e">
        <f ca="1">Data_Completeness(LifeExpectancyData[[#This Row],[Life expectancy]:[Schooling]])</f>
        <v>#NAME?</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e">
        <f ca="1">Data_Completeness(LifeExpectancyData[[#This Row],[Life expectancy]:[Schooling]])</f>
        <v>#NAME?</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e">
        <f ca="1">Data_Completeness(LifeExpectancyData[[#This Row],[Life expectancy]:[Schooling]])</f>
        <v>#NAME?</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e">
        <f ca="1">Data_Completeness(LifeExpectancyData[[#This Row],[Life expectancy]:[Schooling]])</f>
        <v>#NAME?</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e">
        <f ca="1">Data_Completeness(LifeExpectancyData[[#This Row],[Life expectancy]:[Schooling]])</f>
        <v>#NAME?</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e">
        <f ca="1">Data_Completeness(LifeExpectancyData[[#This Row],[Life expectancy]:[Schooling]])</f>
        <v>#NAME?</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e">
        <f ca="1">Data_Completeness(LifeExpectancyData[[#This Row],[Life expectancy]:[Schooling]])</f>
        <v>#NAME?</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e">
        <f ca="1">Data_Completeness(LifeExpectancyData[[#This Row],[Life expectancy]:[Schooling]])</f>
        <v>#NAME?</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e">
        <f ca="1">Data_Completeness(LifeExpectancyData[[#This Row],[Life expectancy]:[Schooling]])</f>
        <v>#NAME?</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e">
        <f ca="1">Data_Completeness(LifeExpectancyData[[#This Row],[Life expectancy]:[Schooling]])</f>
        <v>#NAME?</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e">
        <f ca="1">Data_Completeness(LifeExpectancyData[[#This Row],[Life expectancy]:[Schooling]])</f>
        <v>#NAME?</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e">
        <f ca="1">Data_Completeness(LifeExpectancyData[[#This Row],[Life expectancy]:[Schooling]])</f>
        <v>#NAME?</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e">
        <f ca="1">Data_Completeness(LifeExpectancyData[[#This Row],[Life expectancy]:[Schooling]])</f>
        <v>#NAME?</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e">
        <f ca="1">Data_Completeness(LifeExpectancyData[[#This Row],[Life expectancy]:[Schooling]])</f>
        <v>#NAME?</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e">
        <f ca="1">Data_Completeness(LifeExpectancyData[[#This Row],[Life expectancy]:[Schooling]])</f>
        <v>#NAME?</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e">
        <f ca="1">Data_Completeness(LifeExpectancyData[[#This Row],[Life expectancy]:[Schooling]])</f>
        <v>#NAME?</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e">
        <f ca="1">Data_Completeness(LifeExpectancyData[[#This Row],[Life expectancy]:[Schooling]])</f>
        <v>#NAME?</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e">
        <f ca="1">Data_Completeness(LifeExpectancyData[[#This Row],[Life expectancy]:[Schooling]])</f>
        <v>#NAME?</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e">
        <f ca="1">Data_Completeness(LifeExpectancyData[[#This Row],[Life expectancy]:[Schooling]])</f>
        <v>#NAME?</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e">
        <f ca="1">Data_Completeness(LifeExpectancyData[[#This Row],[Life expectancy]:[Schooling]])</f>
        <v>#NAME?</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e">
        <f ca="1">Data_Completeness(LifeExpectancyData[[#This Row],[Life expectancy]:[Schooling]])</f>
        <v>#NAME?</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e">
        <f ca="1">Data_Completeness(LifeExpectancyData[[#This Row],[Life expectancy]:[Schooling]])</f>
        <v>#NAME?</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e">
        <f ca="1">Data_Completeness(LifeExpectancyData[[#This Row],[Life expectancy]:[Schooling]])</f>
        <v>#NAME?</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e">
        <f ca="1">Data_Completeness(LifeExpectancyData[[#This Row],[Life expectancy]:[Schooling]])</f>
        <v>#NAME?</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e">
        <f ca="1">Data_Completeness(LifeExpectancyData[[#This Row],[Life expectancy]:[Schooling]])</f>
        <v>#NAME?</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e">
        <f ca="1">Data_Completeness(LifeExpectancyData[[#This Row],[Life expectancy]:[Schooling]])</f>
        <v>#NAME?</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e">
        <f ca="1">Data_Completeness(LifeExpectancyData[[#This Row],[Life expectancy]:[Schooling]])</f>
        <v>#NAME?</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e">
        <f ca="1">Data_Completeness(LifeExpectancyData[[#This Row],[Life expectancy]:[Schooling]])</f>
        <v>#NAME?</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e">
        <f ca="1">Data_Completeness(LifeExpectancyData[[#This Row],[Life expectancy]:[Schooling]])</f>
        <v>#NAME?</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e">
        <f ca="1">Data_Completeness(LifeExpectancyData[[#This Row],[Life expectancy]:[Schooling]])</f>
        <v>#NAME?</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e">
        <f ca="1">Data_Completeness(LifeExpectancyData[[#This Row],[Life expectancy]:[Schooling]])</f>
        <v>#NAME?</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e">
        <f ca="1">Data_Completeness(LifeExpectancyData[[#This Row],[Life expectancy]:[Schooling]])</f>
        <v>#NAME?</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e">
        <f ca="1">Data_Completeness(LifeExpectancyData[[#This Row],[Life expectancy]:[Schooling]])</f>
        <v>#NAME?</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e">
        <f ca="1">Data_Completeness(LifeExpectancyData[[#This Row],[Life expectancy]:[Schooling]])</f>
        <v>#NAME?</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e">
        <f ca="1">Data_Completeness(LifeExpectancyData[[#This Row],[Life expectancy]:[Schooling]])</f>
        <v>#NAME?</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e">
        <f ca="1">Data_Completeness(LifeExpectancyData[[#This Row],[Life expectancy]:[Schooling]])</f>
        <v>#NAME?</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e">
        <f ca="1">Data_Completeness(LifeExpectancyData[[#This Row],[Life expectancy]:[Schooling]])</f>
        <v>#NAME?</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e">
        <f ca="1">Data_Completeness(LifeExpectancyData[[#This Row],[Life expectancy]:[Schooling]])</f>
        <v>#NAME?</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e">
        <f ca="1">Data_Completeness(LifeExpectancyData[[#This Row],[Life expectancy]:[Schooling]])</f>
        <v>#NAME?</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e">
        <f ca="1">Data_Completeness(LifeExpectancyData[[#This Row],[Life expectancy]:[Schooling]])</f>
        <v>#NAME?</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e">
        <f ca="1">Data_Completeness(LifeExpectancyData[[#This Row],[Life expectancy]:[Schooling]])</f>
        <v>#NAME?</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e">
        <f ca="1">Data_Completeness(LifeExpectancyData[[#This Row],[Life expectancy]:[Schooling]])</f>
        <v>#NAME?</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e">
        <f ca="1">Data_Completeness(LifeExpectancyData[[#This Row],[Life expectancy]:[Schooling]])</f>
        <v>#NAME?</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e">
        <f ca="1">Data_Completeness(LifeExpectancyData[[#This Row],[Life expectancy]:[Schooling]])</f>
        <v>#NAME?</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e">
        <f ca="1">Data_Completeness(LifeExpectancyData[[#This Row],[Life expectancy]:[Schooling]])</f>
        <v>#NAME?</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e">
        <f ca="1">Data_Completeness(LifeExpectancyData[[#This Row],[Life expectancy]:[Schooling]])</f>
        <v>#NAME?</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e">
        <f ca="1">Data_Completeness(LifeExpectancyData[[#This Row],[Life expectancy]:[Schooling]])</f>
        <v>#NAME?</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e">
        <f ca="1">Data_Completeness(LifeExpectancyData[[#This Row],[Life expectancy]:[Schooling]])</f>
        <v>#NAME?</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e">
        <f ca="1">Data_Completeness(LifeExpectancyData[[#This Row],[Life expectancy]:[Schooling]])</f>
        <v>#NAME?</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e">
        <f ca="1">Data_Completeness(LifeExpectancyData[[#This Row],[Life expectancy]:[Schooling]])</f>
        <v>#NAME?</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e">
        <f ca="1">Data_Completeness(LifeExpectancyData[[#This Row],[Life expectancy]:[Schooling]])</f>
        <v>#NAME?</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e">
        <f ca="1">Data_Completeness(LifeExpectancyData[[#This Row],[Life expectancy]:[Schooling]])</f>
        <v>#NAME?</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e">
        <f ca="1">Data_Completeness(LifeExpectancyData[[#This Row],[Life expectancy]:[Schooling]])</f>
        <v>#NAME?</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e">
        <f ca="1">Data_Completeness(LifeExpectancyData[[#This Row],[Life expectancy]:[Schooling]])</f>
        <v>#NAME?</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e">
        <f ca="1">Data_Completeness(LifeExpectancyData[[#This Row],[Life expectancy]:[Schooling]])</f>
        <v>#NAME?</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e">
        <f ca="1">Data_Completeness(LifeExpectancyData[[#This Row],[Life expectancy]:[Schooling]])</f>
        <v>#NAME?</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e">
        <f ca="1">Data_Completeness(LifeExpectancyData[[#This Row],[Life expectancy]:[Schooling]])</f>
        <v>#NAME?</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e">
        <f ca="1">Data_Completeness(LifeExpectancyData[[#This Row],[Life expectancy]:[Schooling]])</f>
        <v>#NAME?</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e">
        <f ca="1">Data_Completeness(LifeExpectancyData[[#This Row],[Life expectancy]:[Schooling]])</f>
        <v>#NAME?</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e">
        <f ca="1">Data_Completeness(LifeExpectancyData[[#This Row],[Life expectancy]:[Schooling]])</f>
        <v>#NAME?</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e">
        <f ca="1">Data_Completeness(LifeExpectancyData[[#This Row],[Life expectancy]:[Schooling]])</f>
        <v>#NAME?</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e">
        <f ca="1">Data_Completeness(LifeExpectancyData[[#This Row],[Life expectancy]:[Schooling]])</f>
        <v>#NAME?</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e">
        <f ca="1">Data_Completeness(LifeExpectancyData[[#This Row],[Life expectancy]:[Schooling]])</f>
        <v>#NAME?</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e">
        <f ca="1">Data_Completeness(LifeExpectancyData[[#This Row],[Life expectancy]:[Schooling]])</f>
        <v>#NAME?</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e">
        <f ca="1">Data_Completeness(LifeExpectancyData[[#This Row],[Life expectancy]:[Schooling]])</f>
        <v>#NAME?</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e">
        <f ca="1">Data_Completeness(LifeExpectancyData[[#This Row],[Life expectancy]:[Schooling]])</f>
        <v>#NAME?</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e">
        <f ca="1">Data_Completeness(LifeExpectancyData[[#This Row],[Life expectancy]:[Schooling]])</f>
        <v>#NAME?</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e">
        <f ca="1">Data_Completeness(LifeExpectancyData[[#This Row],[Life expectancy]:[Schooling]])</f>
        <v>#NAME?</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e">
        <f ca="1">Data_Completeness(LifeExpectancyData[[#This Row],[Life expectancy]:[Schooling]])</f>
        <v>#NAME?</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e">
        <f ca="1">Data_Completeness(LifeExpectancyData[[#This Row],[Life expectancy]:[Schooling]])</f>
        <v>#NAME?</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e">
        <f ca="1">Data_Completeness(LifeExpectancyData[[#This Row],[Life expectancy]:[Schooling]])</f>
        <v>#NAME?</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e">
        <f ca="1">Data_Completeness(LifeExpectancyData[[#This Row],[Life expectancy]:[Schooling]])</f>
        <v>#NAME?</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e">
        <f ca="1">Data_Completeness(LifeExpectancyData[[#This Row],[Life expectancy]:[Schooling]])</f>
        <v>#NAME?</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e">
        <f ca="1">Data_Completeness(LifeExpectancyData[[#This Row],[Life expectancy]:[Schooling]])</f>
        <v>#NAME?</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e">
        <f ca="1">Data_Completeness(LifeExpectancyData[[#This Row],[Life expectancy]:[Schooling]])</f>
        <v>#NAME?</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e">
        <f ca="1">Data_Completeness(LifeExpectancyData[[#This Row],[Life expectancy]:[Schooling]])</f>
        <v>#NAME?</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e">
        <f ca="1">Data_Completeness(LifeExpectancyData[[#This Row],[Life expectancy]:[Schooling]])</f>
        <v>#NAME?</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e">
        <f ca="1">Data_Completeness(LifeExpectancyData[[#This Row],[Life expectancy]:[Schooling]])</f>
        <v>#NAME?</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e">
        <f ca="1">Data_Completeness(LifeExpectancyData[[#This Row],[Life expectancy]:[Schooling]])</f>
        <v>#NAME?</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e">
        <f ca="1">Data_Completeness(LifeExpectancyData[[#This Row],[Life expectancy]:[Schooling]])</f>
        <v>#NAME?</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e">
        <f ca="1">Data_Completeness(LifeExpectancyData[[#This Row],[Life expectancy]:[Schooling]])</f>
        <v>#NAME?</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e">
        <f ca="1">Data_Completeness(LifeExpectancyData[[#This Row],[Life expectancy]:[Schooling]])</f>
        <v>#NAME?</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e">
        <f ca="1">Data_Completeness(LifeExpectancyData[[#This Row],[Life expectancy]:[Schooling]])</f>
        <v>#NAME?</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e">
        <f ca="1">Data_Completeness(LifeExpectancyData[[#This Row],[Life expectancy]:[Schooling]])</f>
        <v>#NAME?</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e">
        <f ca="1">Data_Completeness(LifeExpectancyData[[#This Row],[Life expectancy]:[Schooling]])</f>
        <v>#NAME?</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e">
        <f ca="1">Data_Completeness(LifeExpectancyData[[#This Row],[Life expectancy]:[Schooling]])</f>
        <v>#NAME?</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e">
        <f ca="1">Data_Completeness(LifeExpectancyData[[#This Row],[Life expectancy]:[Schooling]])</f>
        <v>#NAME?</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e">
        <f ca="1">Data_Completeness(LifeExpectancyData[[#This Row],[Life expectancy]:[Schooling]])</f>
        <v>#NAME?</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e">
        <f ca="1">Data_Completeness(LifeExpectancyData[[#This Row],[Life expectancy]:[Schooling]])</f>
        <v>#NAME?</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e">
        <f ca="1">Data_Completeness(LifeExpectancyData[[#This Row],[Life expectancy]:[Schooling]])</f>
        <v>#NAME?</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e">
        <f ca="1">Data_Completeness(LifeExpectancyData[[#This Row],[Life expectancy]:[Schooling]])</f>
        <v>#NAME?</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e">
        <f ca="1">Data_Completeness(LifeExpectancyData[[#This Row],[Life expectancy]:[Schooling]])</f>
        <v>#NAME?</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e">
        <f ca="1">Data_Completeness(LifeExpectancyData[[#This Row],[Life expectancy]:[Schooling]])</f>
        <v>#NAME?</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e">
        <f ca="1">Data_Completeness(LifeExpectancyData[[#This Row],[Life expectancy]:[Schooling]])</f>
        <v>#NAME?</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e">
        <f ca="1">Data_Completeness(LifeExpectancyData[[#This Row],[Life expectancy]:[Schooling]])</f>
        <v>#NAME?</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e">
        <f ca="1">Data_Completeness(LifeExpectancyData[[#This Row],[Life expectancy]:[Schooling]])</f>
        <v>#NAME?</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e">
        <f ca="1">Data_Completeness(LifeExpectancyData[[#This Row],[Life expectancy]:[Schooling]])</f>
        <v>#NAME?</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e">
        <f ca="1">Data_Completeness(LifeExpectancyData[[#This Row],[Life expectancy]:[Schooling]])</f>
        <v>#NAME?</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e">
        <f ca="1">Data_Completeness(LifeExpectancyData[[#This Row],[Life expectancy]:[Schooling]])</f>
        <v>#NAME?</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e">
        <f ca="1">Data_Completeness(LifeExpectancyData[[#This Row],[Life expectancy]:[Schooling]])</f>
        <v>#NAME?</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e">
        <f ca="1">Data_Completeness(LifeExpectancyData[[#This Row],[Life expectancy]:[Schooling]])</f>
        <v>#NAME?</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e">
        <f ca="1">Data_Completeness(LifeExpectancyData[[#This Row],[Life expectancy]:[Schooling]])</f>
        <v>#NAME?</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e">
        <f ca="1">Data_Completeness(LifeExpectancyData[[#This Row],[Life expectancy]:[Schooling]])</f>
        <v>#NAME?</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e">
        <f ca="1">Data_Completeness(LifeExpectancyData[[#This Row],[Life expectancy]:[Schooling]])</f>
        <v>#NAME?</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e">
        <f ca="1">Data_Completeness(LifeExpectancyData[[#This Row],[Life expectancy]:[Schooling]])</f>
        <v>#NAME?</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e">
        <f ca="1">Data_Completeness(LifeExpectancyData[[#This Row],[Life expectancy]:[Schooling]])</f>
        <v>#NAME?</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e">
        <f ca="1">Data_Completeness(LifeExpectancyData[[#This Row],[Life expectancy]:[Schooling]])</f>
        <v>#NAME?</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e">
        <f ca="1">Data_Completeness(LifeExpectancyData[[#This Row],[Life expectancy]:[Schooling]])</f>
        <v>#NAME?</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e">
        <f ca="1">Data_Completeness(LifeExpectancyData[[#This Row],[Life expectancy]:[Schooling]])</f>
        <v>#NAME?</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e">
        <f ca="1">Data_Completeness(LifeExpectancyData[[#This Row],[Life expectancy]:[Schooling]])</f>
        <v>#NAME?</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e">
        <f ca="1">Data_Completeness(LifeExpectancyData[[#This Row],[Life expectancy]:[Schooling]])</f>
        <v>#NAME?</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e">
        <f ca="1">Data_Completeness(LifeExpectancyData[[#This Row],[Life expectancy]:[Schooling]])</f>
        <v>#NAME?</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e">
        <f ca="1">Data_Completeness(LifeExpectancyData[[#This Row],[Life expectancy]:[Schooling]])</f>
        <v>#NAME?</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e">
        <f ca="1">Data_Completeness(LifeExpectancyData[[#This Row],[Life expectancy]:[Schooling]])</f>
        <v>#NAME?</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e">
        <f ca="1">Data_Completeness(LifeExpectancyData[[#This Row],[Life expectancy]:[Schooling]])</f>
        <v>#NAME?</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e">
        <f ca="1">Data_Completeness(LifeExpectancyData[[#This Row],[Life expectancy]:[Schooling]])</f>
        <v>#NAME?</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e">
        <f ca="1">Data_Completeness(LifeExpectancyData[[#This Row],[Life expectancy]:[Schooling]])</f>
        <v>#NAME?</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e">
        <f ca="1">Data_Completeness(LifeExpectancyData[[#This Row],[Life expectancy]:[Schooling]])</f>
        <v>#NAME?</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e">
        <f ca="1">Data_Completeness(LifeExpectancyData[[#This Row],[Life expectancy]:[Schooling]])</f>
        <v>#NAME?</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e">
        <f ca="1">Data_Completeness(LifeExpectancyData[[#This Row],[Life expectancy]:[Schooling]])</f>
        <v>#NAME?</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e">
        <f ca="1">Data_Completeness(LifeExpectancyData[[#This Row],[Life expectancy]:[Schooling]])</f>
        <v>#NAME?</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e">
        <f ca="1">Data_Completeness(LifeExpectancyData[[#This Row],[Life expectancy]:[Schooling]])</f>
        <v>#NAME?</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e">
        <f ca="1">Data_Completeness(LifeExpectancyData[[#This Row],[Life expectancy]:[Schooling]])</f>
        <v>#NAME?</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e">
        <f ca="1">Data_Completeness(LifeExpectancyData[[#This Row],[Life expectancy]:[Schooling]])</f>
        <v>#NAME?</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e">
        <f ca="1">Data_Completeness(LifeExpectancyData[[#This Row],[Life expectancy]:[Schooling]])</f>
        <v>#NAME?</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e">
        <f ca="1">Data_Completeness(LifeExpectancyData[[#This Row],[Life expectancy]:[Schooling]])</f>
        <v>#NAME?</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e">
        <f ca="1">Data_Completeness(LifeExpectancyData[[#This Row],[Life expectancy]:[Schooling]])</f>
        <v>#NAME?</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e">
        <f ca="1">Data_Completeness(LifeExpectancyData[[#This Row],[Life expectancy]:[Schooling]])</f>
        <v>#NAME?</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e">
        <f ca="1">Data_Completeness(LifeExpectancyData[[#This Row],[Life expectancy]:[Schooling]])</f>
        <v>#NAME?</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e">
        <f ca="1">Data_Completeness(LifeExpectancyData[[#This Row],[Life expectancy]:[Schooling]])</f>
        <v>#NAME?</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e">
        <f ca="1">Data_Completeness(LifeExpectancyData[[#This Row],[Life expectancy]:[Schooling]])</f>
        <v>#NAME?</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e">
        <f ca="1">Data_Completeness(LifeExpectancyData[[#This Row],[Life expectancy]:[Schooling]])</f>
        <v>#NAME?</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e">
        <f ca="1">Data_Completeness(LifeExpectancyData[[#This Row],[Life expectancy]:[Schooling]])</f>
        <v>#NAME?</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e">
        <f ca="1">Data_Completeness(LifeExpectancyData[[#This Row],[Life expectancy]:[Schooling]])</f>
        <v>#NAME?</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e">
        <f ca="1">Data_Completeness(LifeExpectancyData[[#This Row],[Life expectancy]:[Schooling]])</f>
        <v>#NAME?</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e">
        <f ca="1">Data_Completeness(LifeExpectancyData[[#This Row],[Life expectancy]:[Schooling]])</f>
        <v>#NAME?</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e">
        <f ca="1">Data_Completeness(LifeExpectancyData[[#This Row],[Life expectancy]:[Schooling]])</f>
        <v>#NAME?</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e">
        <f ca="1">Data_Completeness(LifeExpectancyData[[#This Row],[Life expectancy]:[Schooling]])</f>
        <v>#NAME?</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e">
        <f ca="1">Data_Completeness(LifeExpectancyData[[#This Row],[Life expectancy]:[Schooling]])</f>
        <v>#NAME?</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e">
        <f ca="1">Data_Completeness(LifeExpectancyData[[#This Row],[Life expectancy]:[Schooling]])</f>
        <v>#NAME?</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e">
        <f ca="1">Data_Completeness(LifeExpectancyData[[#This Row],[Life expectancy]:[Schooling]])</f>
        <v>#NAME?</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e">
        <f ca="1">Data_Completeness(LifeExpectancyData[[#This Row],[Life expectancy]:[Schooling]])</f>
        <v>#NAME?</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e">
        <f ca="1">Data_Completeness(LifeExpectancyData[[#This Row],[Life expectancy]:[Schooling]])</f>
        <v>#NAME?</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e">
        <f ca="1">Data_Completeness(LifeExpectancyData[[#This Row],[Life expectancy]:[Schooling]])</f>
        <v>#NAME?</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e">
        <f ca="1">Data_Completeness(LifeExpectancyData[[#This Row],[Life expectancy]:[Schooling]])</f>
        <v>#NAME?</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e">
        <f ca="1">Data_Completeness(LifeExpectancyData[[#This Row],[Life expectancy]:[Schooling]])</f>
        <v>#NAME?</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e">
        <f ca="1">Data_Completeness(LifeExpectancyData[[#This Row],[Life expectancy]:[Schooling]])</f>
        <v>#NAME?</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e">
        <f ca="1">Data_Completeness(LifeExpectancyData[[#This Row],[Life expectancy]:[Schooling]])</f>
        <v>#NAME?</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e">
        <f ca="1">Data_Completeness(LifeExpectancyData[[#This Row],[Life expectancy]:[Schooling]])</f>
        <v>#NAME?</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e">
        <f ca="1">Data_Completeness(LifeExpectancyData[[#This Row],[Life expectancy]:[Schooling]])</f>
        <v>#NAME?</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e">
        <f ca="1">Data_Completeness(LifeExpectancyData[[#This Row],[Life expectancy]:[Schooling]])</f>
        <v>#NAME?</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e">
        <f ca="1">Data_Completeness(LifeExpectancyData[[#This Row],[Life expectancy]:[Schooling]])</f>
        <v>#NAME?</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e">
        <f ca="1">Data_Completeness(LifeExpectancyData[[#This Row],[Life expectancy]:[Schooling]])</f>
        <v>#NAME?</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e">
        <f ca="1">Data_Completeness(LifeExpectancyData[[#This Row],[Life expectancy]:[Schooling]])</f>
        <v>#NAME?</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e">
        <f ca="1">Data_Completeness(LifeExpectancyData[[#This Row],[Life expectancy]:[Schooling]])</f>
        <v>#NAME?</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e">
        <f ca="1">Data_Completeness(LifeExpectancyData[[#This Row],[Life expectancy]:[Schooling]])</f>
        <v>#NAME?</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e">
        <f ca="1">Data_Completeness(LifeExpectancyData[[#This Row],[Life expectancy]:[Schooling]])</f>
        <v>#NAME?</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e">
        <f ca="1">Data_Completeness(LifeExpectancyData[[#This Row],[Life expectancy]:[Schooling]])</f>
        <v>#NAME?</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e">
        <f ca="1">Data_Completeness(LifeExpectancyData[[#This Row],[Life expectancy]:[Schooling]])</f>
        <v>#NAME?</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e">
        <f ca="1">Data_Completeness(LifeExpectancyData[[#This Row],[Life expectancy]:[Schooling]])</f>
        <v>#NAME?</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e">
        <f ca="1">Data_Completeness(LifeExpectancyData[[#This Row],[Life expectancy]:[Schooling]])</f>
        <v>#NAME?</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e">
        <f ca="1">Data_Completeness(LifeExpectancyData[[#This Row],[Life expectancy]:[Schooling]])</f>
        <v>#NAME?</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e">
        <f ca="1">Data_Completeness(LifeExpectancyData[[#This Row],[Life expectancy]:[Schooling]])</f>
        <v>#NAME?</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e">
        <f ca="1">Data_Completeness(LifeExpectancyData[[#This Row],[Life expectancy]:[Schooling]])</f>
        <v>#NAME?</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e">
        <f ca="1">Data_Completeness(LifeExpectancyData[[#This Row],[Life expectancy]:[Schooling]])</f>
        <v>#NAME?</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e">
        <f ca="1">Data_Completeness(LifeExpectancyData[[#This Row],[Life expectancy]:[Schooling]])</f>
        <v>#NAME?</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e">
        <f ca="1">Data_Completeness(LifeExpectancyData[[#This Row],[Life expectancy]:[Schooling]])</f>
        <v>#NAME?</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e">
        <f ca="1">Data_Completeness(LifeExpectancyData[[#This Row],[Life expectancy]:[Schooling]])</f>
        <v>#NAME?</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e">
        <f ca="1">Data_Completeness(LifeExpectancyData[[#This Row],[Life expectancy]:[Schooling]])</f>
        <v>#NAME?</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e">
        <f ca="1">Data_Completeness(LifeExpectancyData[[#This Row],[Life expectancy]:[Schooling]])</f>
        <v>#NAME?</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e">
        <f ca="1">Data_Completeness(LifeExpectancyData[[#This Row],[Life expectancy]:[Schooling]])</f>
        <v>#NAME?</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e">
        <f ca="1">Data_Completeness(LifeExpectancyData[[#This Row],[Life expectancy]:[Schooling]])</f>
        <v>#NAME?</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e">
        <f ca="1">Data_Completeness(LifeExpectancyData[[#This Row],[Life expectancy]:[Schooling]])</f>
        <v>#NAME?</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e">
        <f ca="1">Data_Completeness(LifeExpectancyData[[#This Row],[Life expectancy]:[Schooling]])</f>
        <v>#NAME?</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e">
        <f ca="1">Data_Completeness(LifeExpectancyData[[#This Row],[Life expectancy]:[Schooling]])</f>
        <v>#NAME?</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e">
        <f ca="1">Data_Completeness(LifeExpectancyData[[#This Row],[Life expectancy]:[Schooling]])</f>
        <v>#NAME?</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e">
        <f ca="1">Data_Completeness(LifeExpectancyData[[#This Row],[Life expectancy]:[Schooling]])</f>
        <v>#NAME?</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e">
        <f ca="1">Data_Completeness(LifeExpectancyData[[#This Row],[Life expectancy]:[Schooling]])</f>
        <v>#NAME?</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e">
        <f ca="1">Data_Completeness(LifeExpectancyData[[#This Row],[Life expectancy]:[Schooling]])</f>
        <v>#NAME?</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e">
        <f ca="1">Data_Completeness(LifeExpectancyData[[#This Row],[Life expectancy]:[Schooling]])</f>
        <v>#NAME?</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e">
        <f ca="1">Data_Completeness(LifeExpectancyData[[#This Row],[Life expectancy]:[Schooling]])</f>
        <v>#NAME?</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e">
        <f ca="1">Data_Completeness(LifeExpectancyData[[#This Row],[Life expectancy]:[Schooling]])</f>
        <v>#NAME?</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e">
        <f ca="1">Data_Completeness(LifeExpectancyData[[#This Row],[Life expectancy]:[Schooling]])</f>
        <v>#NAME?</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e">
        <f ca="1">Data_Completeness(LifeExpectancyData[[#This Row],[Life expectancy]:[Schooling]])</f>
        <v>#NAME?</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e">
        <f ca="1">Data_Completeness(LifeExpectancyData[[#This Row],[Life expectancy]:[Schooling]])</f>
        <v>#NAME?</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e">
        <f ca="1">Data_Completeness(LifeExpectancyData[[#This Row],[Life expectancy]:[Schooling]])</f>
        <v>#NAME?</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e">
        <f ca="1">Data_Completeness(LifeExpectancyData[[#This Row],[Life expectancy]:[Schooling]])</f>
        <v>#NAME?</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e">
        <f ca="1">Data_Completeness(LifeExpectancyData[[#This Row],[Life expectancy]:[Schooling]])</f>
        <v>#NAME?</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e">
        <f ca="1">Data_Completeness(LifeExpectancyData[[#This Row],[Life expectancy]:[Schooling]])</f>
        <v>#NAME?</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e">
        <f ca="1">Data_Completeness(LifeExpectancyData[[#This Row],[Life expectancy]:[Schooling]])</f>
        <v>#NAME?</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e">
        <f ca="1">Data_Completeness(LifeExpectancyData[[#This Row],[Life expectancy]:[Schooling]])</f>
        <v>#NAME?</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e">
        <f ca="1">Data_Completeness(LifeExpectancyData[[#This Row],[Life expectancy]:[Schooling]])</f>
        <v>#NAME?</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e">
        <f ca="1">Data_Completeness(LifeExpectancyData[[#This Row],[Life expectancy]:[Schooling]])</f>
        <v>#NAME?</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e">
        <f ca="1">Data_Completeness(LifeExpectancyData[[#This Row],[Life expectancy]:[Schooling]])</f>
        <v>#NAME?</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e">
        <f ca="1">Data_Completeness(LifeExpectancyData[[#This Row],[Life expectancy]:[Schooling]])</f>
        <v>#NAME?</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e">
        <f ca="1">Data_Completeness(LifeExpectancyData[[#This Row],[Life expectancy]:[Schooling]])</f>
        <v>#NAME?</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e">
        <f ca="1">Data_Completeness(LifeExpectancyData[[#This Row],[Life expectancy]:[Schooling]])</f>
        <v>#NAME?</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e">
        <f ca="1">Data_Completeness(LifeExpectancyData[[#This Row],[Life expectancy]:[Schooling]])</f>
        <v>#NAME?</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e">
        <f ca="1">Data_Completeness(LifeExpectancyData[[#This Row],[Life expectancy]:[Schooling]])</f>
        <v>#NAME?</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e">
        <f ca="1">Data_Completeness(LifeExpectancyData[[#This Row],[Life expectancy]:[Schooling]])</f>
        <v>#NAME?</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e">
        <f ca="1">Data_Completeness(LifeExpectancyData[[#This Row],[Life expectancy]:[Schooling]])</f>
        <v>#NAME?</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e">
        <f ca="1">Data_Completeness(LifeExpectancyData[[#This Row],[Life expectancy]:[Schooling]])</f>
        <v>#NAME?</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e">
        <f ca="1">Data_Completeness(LifeExpectancyData[[#This Row],[Life expectancy]:[Schooling]])</f>
        <v>#NAME?</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e">
        <f ca="1">Data_Completeness(LifeExpectancyData[[#This Row],[Life expectancy]:[Schooling]])</f>
        <v>#NAME?</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e">
        <f ca="1">Data_Completeness(LifeExpectancyData[[#This Row],[Life expectancy]:[Schooling]])</f>
        <v>#NAME?</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e">
        <f ca="1">Data_Completeness(LifeExpectancyData[[#This Row],[Life expectancy]:[Schooling]])</f>
        <v>#NAME?</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e">
        <f ca="1">Data_Completeness(LifeExpectancyData[[#This Row],[Life expectancy]:[Schooling]])</f>
        <v>#NAME?</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e">
        <f ca="1">Data_Completeness(LifeExpectancyData[[#This Row],[Life expectancy]:[Schooling]])</f>
        <v>#NAME?</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e">
        <f ca="1">Data_Completeness(LifeExpectancyData[[#This Row],[Life expectancy]:[Schooling]])</f>
        <v>#NAME?</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e">
        <f ca="1">Data_Completeness(LifeExpectancyData[[#This Row],[Life expectancy]:[Schooling]])</f>
        <v>#NAME?</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e">
        <f ca="1">Data_Completeness(LifeExpectancyData[[#This Row],[Life expectancy]:[Schooling]])</f>
        <v>#NAME?</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e">
        <f ca="1">Data_Completeness(LifeExpectancyData[[#This Row],[Life expectancy]:[Schooling]])</f>
        <v>#NAME?</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e">
        <f ca="1">Data_Completeness(LifeExpectancyData[[#This Row],[Life expectancy]:[Schooling]])</f>
        <v>#NAME?</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e">
        <f ca="1">Data_Completeness(LifeExpectancyData[[#This Row],[Life expectancy]:[Schooling]])</f>
        <v>#NAME?</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e">
        <f ca="1">Data_Completeness(LifeExpectancyData[[#This Row],[Life expectancy]:[Schooling]])</f>
        <v>#NAME?</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e">
        <f ca="1">Data_Completeness(LifeExpectancyData[[#This Row],[Life expectancy]:[Schooling]])</f>
        <v>#NAME?</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e">
        <f ca="1">Data_Completeness(LifeExpectancyData[[#This Row],[Life expectancy]:[Schooling]])</f>
        <v>#NAME?</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e">
        <f ca="1">Data_Completeness(LifeExpectancyData[[#This Row],[Life expectancy]:[Schooling]])</f>
        <v>#NAME?</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e">
        <f ca="1">Data_Completeness(LifeExpectancyData[[#This Row],[Life expectancy]:[Schooling]])</f>
        <v>#NAME?</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e">
        <f ca="1">Data_Completeness(LifeExpectancyData[[#This Row],[Life expectancy]:[Schooling]])</f>
        <v>#NAME?</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e">
        <f ca="1">Data_Completeness(LifeExpectancyData[[#This Row],[Life expectancy]:[Schooling]])</f>
        <v>#NAME?</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e">
        <f ca="1">Data_Completeness(LifeExpectancyData[[#This Row],[Life expectancy]:[Schooling]])</f>
        <v>#NAME?</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e">
        <f ca="1">Data_Completeness(LifeExpectancyData[[#This Row],[Life expectancy]:[Schooling]])</f>
        <v>#NAME?</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e">
        <f ca="1">Data_Completeness(LifeExpectancyData[[#This Row],[Life expectancy]:[Schooling]])</f>
        <v>#NAME?</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e">
        <f ca="1">Data_Completeness(LifeExpectancyData[[#This Row],[Life expectancy]:[Schooling]])</f>
        <v>#NAME?</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e">
        <f ca="1">Data_Completeness(LifeExpectancyData[[#This Row],[Life expectancy]:[Schooling]])</f>
        <v>#NAME?</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e">
        <f ca="1">Data_Completeness(LifeExpectancyData[[#This Row],[Life expectancy]:[Schooling]])</f>
        <v>#NAME?</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e">
        <f ca="1">Data_Completeness(LifeExpectancyData[[#This Row],[Life expectancy]:[Schooling]])</f>
        <v>#NAME?</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e">
        <f ca="1">Data_Completeness(LifeExpectancyData[[#This Row],[Life expectancy]:[Schooling]])</f>
        <v>#NAME?</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e">
        <f ca="1">Data_Completeness(LifeExpectancyData[[#This Row],[Life expectancy]:[Schooling]])</f>
        <v>#NAME?</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e">
        <f ca="1">Data_Completeness(LifeExpectancyData[[#This Row],[Life expectancy]:[Schooling]])</f>
        <v>#NAME?</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e">
        <f ca="1">Data_Completeness(LifeExpectancyData[[#This Row],[Life expectancy]:[Schooling]])</f>
        <v>#NAME?</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e">
        <f ca="1">Data_Completeness(LifeExpectancyData[[#This Row],[Life expectancy]:[Schooling]])</f>
        <v>#NAME?</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e">
        <f ca="1">Data_Completeness(LifeExpectancyData[[#This Row],[Life expectancy]:[Schooling]])</f>
        <v>#NAME?</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e">
        <f ca="1">Data_Completeness(LifeExpectancyData[[#This Row],[Life expectancy]:[Schooling]])</f>
        <v>#NAME?</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e">
        <f ca="1">Data_Completeness(LifeExpectancyData[[#This Row],[Life expectancy]:[Schooling]])</f>
        <v>#NAME?</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e">
        <f ca="1">Data_Completeness(LifeExpectancyData[[#This Row],[Life expectancy]:[Schooling]])</f>
        <v>#NAME?</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e">
        <f ca="1">Data_Completeness(LifeExpectancyData[[#This Row],[Life expectancy]:[Schooling]])</f>
        <v>#NAME?</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e">
        <f ca="1">Data_Completeness(LifeExpectancyData[[#This Row],[Life expectancy]:[Schooling]])</f>
        <v>#NAME?</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e">
        <f ca="1">Data_Completeness(LifeExpectancyData[[#This Row],[Life expectancy]:[Schooling]])</f>
        <v>#NAME?</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e">
        <f ca="1">Data_Completeness(LifeExpectancyData[[#This Row],[Life expectancy]:[Schooling]])</f>
        <v>#NAME?</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e">
        <f ca="1">Data_Completeness(LifeExpectancyData[[#This Row],[Life expectancy]:[Schooling]])</f>
        <v>#NAME?</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e">
        <f ca="1">Data_Completeness(LifeExpectancyData[[#This Row],[Life expectancy]:[Schooling]])</f>
        <v>#NAME?</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e">
        <f ca="1">Data_Completeness(LifeExpectancyData[[#This Row],[Life expectancy]:[Schooling]])</f>
        <v>#NAME?</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e">
        <f ca="1">Data_Completeness(LifeExpectancyData[[#This Row],[Life expectancy]:[Schooling]])</f>
        <v>#NAME?</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e">
        <f ca="1">Data_Completeness(LifeExpectancyData[[#This Row],[Life expectancy]:[Schooling]])</f>
        <v>#NAME?</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e">
        <f ca="1">Data_Completeness(LifeExpectancyData[[#This Row],[Life expectancy]:[Schooling]])</f>
        <v>#NAME?</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e">
        <f ca="1">Data_Completeness(LifeExpectancyData[[#This Row],[Life expectancy]:[Schooling]])</f>
        <v>#NAME?</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e">
        <f ca="1">Data_Completeness(LifeExpectancyData[[#This Row],[Life expectancy]:[Schooling]])</f>
        <v>#NAME?</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e">
        <f ca="1">Data_Completeness(LifeExpectancyData[[#This Row],[Life expectancy]:[Schooling]])</f>
        <v>#NAME?</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e">
        <f ca="1">Data_Completeness(LifeExpectancyData[[#This Row],[Life expectancy]:[Schooling]])</f>
        <v>#NAME?</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e">
        <f ca="1">Data_Completeness(LifeExpectancyData[[#This Row],[Life expectancy]:[Schooling]])</f>
        <v>#NAME?</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e">
        <f ca="1">Data_Completeness(LifeExpectancyData[[#This Row],[Life expectancy]:[Schooling]])</f>
        <v>#NAME?</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e">
        <f ca="1">Data_Completeness(LifeExpectancyData[[#This Row],[Life expectancy]:[Schooling]])</f>
        <v>#NAME?</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e">
        <f ca="1">Data_Completeness(LifeExpectancyData[[#This Row],[Life expectancy]:[Schooling]])</f>
        <v>#NAME?</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e">
        <f ca="1">Data_Completeness(LifeExpectancyData[[#This Row],[Life expectancy]:[Schooling]])</f>
        <v>#NAME?</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e">
        <f ca="1">Data_Completeness(LifeExpectancyData[[#This Row],[Life expectancy]:[Schooling]])</f>
        <v>#NAME?</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e">
        <f ca="1">Data_Completeness(LifeExpectancyData[[#This Row],[Life expectancy]:[Schooling]])</f>
        <v>#NAME?</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e">
        <f ca="1">Data_Completeness(LifeExpectancyData[[#This Row],[Life expectancy]:[Schooling]])</f>
        <v>#NAME?</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e">
        <f ca="1">Data_Completeness(LifeExpectancyData[[#This Row],[Life expectancy]:[Schooling]])</f>
        <v>#NAME?</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e">
        <f ca="1">Data_Completeness(LifeExpectancyData[[#This Row],[Life expectancy]:[Schooling]])</f>
        <v>#NAME?</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e">
        <f ca="1">Data_Completeness(LifeExpectancyData[[#This Row],[Life expectancy]:[Schooling]])</f>
        <v>#NAME?</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e">
        <f ca="1">Data_Completeness(LifeExpectancyData[[#This Row],[Life expectancy]:[Schooling]])</f>
        <v>#NAME?</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e">
        <f ca="1">Data_Completeness(LifeExpectancyData[[#This Row],[Life expectancy]:[Schooling]])</f>
        <v>#NAME?</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e">
        <f ca="1">Data_Completeness(LifeExpectancyData[[#This Row],[Life expectancy]:[Schooling]])</f>
        <v>#NAME?</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e">
        <f ca="1">Data_Completeness(LifeExpectancyData[[#This Row],[Life expectancy]:[Schooling]])</f>
        <v>#NAME?</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e">
        <f ca="1">Data_Completeness(LifeExpectancyData[[#This Row],[Life expectancy]:[Schooling]])</f>
        <v>#NAME?</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e">
        <f ca="1">Data_Completeness(LifeExpectancyData[[#This Row],[Life expectancy]:[Schooling]])</f>
        <v>#NAME?</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e">
        <f ca="1">Data_Completeness(LifeExpectancyData[[#This Row],[Life expectancy]:[Schooling]])</f>
        <v>#NAME?</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e">
        <f ca="1">Data_Completeness(LifeExpectancyData[[#This Row],[Life expectancy]:[Schooling]])</f>
        <v>#NAME?</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e">
        <f ca="1">Data_Completeness(LifeExpectancyData[[#This Row],[Life expectancy]:[Schooling]])</f>
        <v>#NAME?</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e">
        <f ca="1">Data_Completeness(LifeExpectancyData[[#This Row],[Life expectancy]:[Schooling]])</f>
        <v>#NAME?</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e">
        <f ca="1">Data_Completeness(LifeExpectancyData[[#This Row],[Life expectancy]:[Schooling]])</f>
        <v>#NAME?</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e">
        <f ca="1">Data_Completeness(LifeExpectancyData[[#This Row],[Life expectancy]:[Schooling]])</f>
        <v>#NAME?</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e">
        <f ca="1">Data_Completeness(LifeExpectancyData[[#This Row],[Life expectancy]:[Schooling]])</f>
        <v>#NAME?</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e">
        <f ca="1">Data_Completeness(LifeExpectancyData[[#This Row],[Life expectancy]:[Schooling]])</f>
        <v>#NAME?</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e">
        <f ca="1">Data_Completeness(LifeExpectancyData[[#This Row],[Life expectancy]:[Schooling]])</f>
        <v>#NAME?</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e">
        <f ca="1">Data_Completeness(LifeExpectancyData[[#This Row],[Life expectancy]:[Schooling]])</f>
        <v>#NAME?</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e">
        <f ca="1">Data_Completeness(LifeExpectancyData[[#This Row],[Life expectancy]:[Schooling]])</f>
        <v>#NAME?</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e">
        <f ca="1">Data_Completeness(LifeExpectancyData[[#This Row],[Life expectancy]:[Schooling]])</f>
        <v>#NAME?</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e">
        <f ca="1">Data_Completeness(LifeExpectancyData[[#This Row],[Life expectancy]:[Schooling]])</f>
        <v>#NAME?</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e">
        <f ca="1">Data_Completeness(LifeExpectancyData[[#This Row],[Life expectancy]:[Schooling]])</f>
        <v>#NAME?</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e">
        <f ca="1">Data_Completeness(LifeExpectancyData[[#This Row],[Life expectancy]:[Schooling]])</f>
        <v>#NAME?</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e">
        <f ca="1">Data_Completeness(LifeExpectancyData[[#This Row],[Life expectancy]:[Schooling]])</f>
        <v>#NAME?</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e">
        <f ca="1">Data_Completeness(LifeExpectancyData[[#This Row],[Life expectancy]:[Schooling]])</f>
        <v>#NAME?</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e">
        <f ca="1">Data_Completeness(LifeExpectancyData[[#This Row],[Life expectancy]:[Schooling]])</f>
        <v>#NAME?</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e">
        <f ca="1">Data_Completeness(LifeExpectancyData[[#This Row],[Life expectancy]:[Schooling]])</f>
        <v>#NAME?</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e">
        <f ca="1">Data_Completeness(LifeExpectancyData[[#This Row],[Life expectancy]:[Schooling]])</f>
        <v>#NAME?</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e">
        <f ca="1">Data_Completeness(LifeExpectancyData[[#This Row],[Life expectancy]:[Schooling]])</f>
        <v>#NAME?</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e">
        <f ca="1">Data_Completeness(LifeExpectancyData[[#This Row],[Life expectancy]:[Schooling]])</f>
        <v>#NAME?</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e">
        <f ca="1">Data_Completeness(LifeExpectancyData[[#This Row],[Life expectancy]:[Schooling]])</f>
        <v>#NAME?</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e">
        <f ca="1">Data_Completeness(LifeExpectancyData[[#This Row],[Life expectancy]:[Schooling]])</f>
        <v>#NAME?</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e">
        <f ca="1">Data_Completeness(LifeExpectancyData[[#This Row],[Life expectancy]:[Schooling]])</f>
        <v>#NAME?</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e">
        <f ca="1">Data_Completeness(LifeExpectancyData[[#This Row],[Life expectancy]:[Schooling]])</f>
        <v>#NAME?</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e">
        <f ca="1">Data_Completeness(LifeExpectancyData[[#This Row],[Life expectancy]:[Schooling]])</f>
        <v>#NAME?</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e">
        <f ca="1">Data_Completeness(LifeExpectancyData[[#This Row],[Life expectancy]:[Schooling]])</f>
        <v>#NAME?</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e">
        <f ca="1">Data_Completeness(LifeExpectancyData[[#This Row],[Life expectancy]:[Schooling]])</f>
        <v>#NAME?</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e">
        <f ca="1">Data_Completeness(LifeExpectancyData[[#This Row],[Life expectancy]:[Schooling]])</f>
        <v>#NAME?</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e">
        <f ca="1">Data_Completeness(LifeExpectancyData[[#This Row],[Life expectancy]:[Schooling]])</f>
        <v>#NAME?</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e">
        <f ca="1">Data_Completeness(LifeExpectancyData[[#This Row],[Life expectancy]:[Schooling]])</f>
        <v>#NAME?</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e">
        <f ca="1">Data_Completeness(LifeExpectancyData[[#This Row],[Life expectancy]:[Schooling]])</f>
        <v>#NAME?</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e">
        <f ca="1">Data_Completeness(LifeExpectancyData[[#This Row],[Life expectancy]:[Schooling]])</f>
        <v>#NAME?</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e">
        <f ca="1">Data_Completeness(LifeExpectancyData[[#This Row],[Life expectancy]:[Schooling]])</f>
        <v>#NAME?</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e">
        <f ca="1">Data_Completeness(LifeExpectancyData[[#This Row],[Life expectancy]:[Schooling]])</f>
        <v>#NAME?</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e">
        <f ca="1">Data_Completeness(LifeExpectancyData[[#This Row],[Life expectancy]:[Schooling]])</f>
        <v>#NAME?</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e">
        <f ca="1">Data_Completeness(LifeExpectancyData[[#This Row],[Life expectancy]:[Schooling]])</f>
        <v>#NAME?</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e">
        <f ca="1">Data_Completeness(LifeExpectancyData[[#This Row],[Life expectancy]:[Schooling]])</f>
        <v>#NAME?</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e">
        <f ca="1">Data_Completeness(LifeExpectancyData[[#This Row],[Life expectancy]:[Schooling]])</f>
        <v>#NAME?</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e">
        <f ca="1">Data_Completeness(LifeExpectancyData[[#This Row],[Life expectancy]:[Schooling]])</f>
        <v>#NAME?</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e">
        <f ca="1">Data_Completeness(LifeExpectancyData[[#This Row],[Life expectancy]:[Schooling]])</f>
        <v>#NAME?</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e">
        <f ca="1">Data_Completeness(LifeExpectancyData[[#This Row],[Life expectancy]:[Schooling]])</f>
        <v>#NAME?</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e">
        <f ca="1">Data_Completeness(LifeExpectancyData[[#This Row],[Life expectancy]:[Schooling]])</f>
        <v>#NAME?</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e">
        <f ca="1">Data_Completeness(LifeExpectancyData[[#This Row],[Life expectancy]:[Schooling]])</f>
        <v>#NAME?</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e">
        <f ca="1">Data_Completeness(LifeExpectancyData[[#This Row],[Life expectancy]:[Schooling]])</f>
        <v>#NAME?</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e">
        <f ca="1">Data_Completeness(LifeExpectancyData[[#This Row],[Life expectancy]:[Schooling]])</f>
        <v>#NAME?</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e">
        <f ca="1">Data_Completeness(LifeExpectancyData[[#This Row],[Life expectancy]:[Schooling]])</f>
        <v>#NAME?</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e">
        <f ca="1">Data_Completeness(LifeExpectancyData[[#This Row],[Life expectancy]:[Schooling]])</f>
        <v>#NAME?</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e">
        <f ca="1">Data_Completeness(LifeExpectancyData[[#This Row],[Life expectancy]:[Schooling]])</f>
        <v>#NAME?</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e">
        <f ca="1">Data_Completeness(LifeExpectancyData[[#This Row],[Life expectancy]:[Schooling]])</f>
        <v>#NAME?</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e">
        <f ca="1">Data_Completeness(LifeExpectancyData[[#This Row],[Life expectancy]:[Schooling]])</f>
        <v>#NAME?</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e">
        <f ca="1">Data_Completeness(LifeExpectancyData[[#This Row],[Life expectancy]:[Schooling]])</f>
        <v>#NAME?</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e">
        <f ca="1">Data_Completeness(LifeExpectancyData[[#This Row],[Life expectancy]:[Schooling]])</f>
        <v>#NAME?</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e">
        <f ca="1">Data_Completeness(LifeExpectancyData[[#This Row],[Life expectancy]:[Schooling]])</f>
        <v>#NAME?</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e">
        <f ca="1">Data_Completeness(LifeExpectancyData[[#This Row],[Life expectancy]:[Schooling]])</f>
        <v>#NAME?</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e">
        <f ca="1">Data_Completeness(LifeExpectancyData[[#This Row],[Life expectancy]:[Schooling]])</f>
        <v>#NAME?</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e">
        <f ca="1">Data_Completeness(LifeExpectancyData[[#This Row],[Life expectancy]:[Schooling]])</f>
        <v>#NAME?</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e">
        <f ca="1">Data_Completeness(LifeExpectancyData[[#This Row],[Life expectancy]:[Schooling]])</f>
        <v>#NAME?</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e">
        <f ca="1">Data_Completeness(LifeExpectancyData[[#This Row],[Life expectancy]:[Schooling]])</f>
        <v>#NAME?</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e">
        <f ca="1">Data_Completeness(LifeExpectancyData[[#This Row],[Life expectancy]:[Schooling]])</f>
        <v>#NAME?</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e">
        <f ca="1">Data_Completeness(LifeExpectancyData[[#This Row],[Life expectancy]:[Schooling]])</f>
        <v>#NAME?</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e">
        <f ca="1">Data_Completeness(LifeExpectancyData[[#This Row],[Life expectancy]:[Schooling]])</f>
        <v>#NAME?</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e">
        <f ca="1">Data_Completeness(LifeExpectancyData[[#This Row],[Life expectancy]:[Schooling]])</f>
        <v>#NAME?</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e">
        <f ca="1">Data_Completeness(LifeExpectancyData[[#This Row],[Life expectancy]:[Schooling]])</f>
        <v>#NAME?</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e">
        <f ca="1">Data_Completeness(LifeExpectancyData[[#This Row],[Life expectancy]:[Schooling]])</f>
        <v>#NAME?</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e">
        <f ca="1">Data_Completeness(LifeExpectancyData[[#This Row],[Life expectancy]:[Schooling]])</f>
        <v>#NAME?</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e">
        <f ca="1">Data_Completeness(LifeExpectancyData[[#This Row],[Life expectancy]:[Schooling]])</f>
        <v>#NAME?</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e">
        <f ca="1">Data_Completeness(LifeExpectancyData[[#This Row],[Life expectancy]:[Schooling]])</f>
        <v>#NAME?</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e">
        <f ca="1">Data_Completeness(LifeExpectancyData[[#This Row],[Life expectancy]:[Schooling]])</f>
        <v>#NAME?</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e">
        <f ca="1">Data_Completeness(LifeExpectancyData[[#This Row],[Life expectancy]:[Schooling]])</f>
        <v>#NAME?</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e">
        <f ca="1">Data_Completeness(LifeExpectancyData[[#This Row],[Life expectancy]:[Schooling]])</f>
        <v>#NAME?</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e">
        <f ca="1">Data_Completeness(LifeExpectancyData[[#This Row],[Life expectancy]:[Schooling]])</f>
        <v>#NAME?</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e">
        <f ca="1">Data_Completeness(LifeExpectancyData[[#This Row],[Life expectancy]:[Schooling]])</f>
        <v>#NAME?</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e">
        <f ca="1">Data_Completeness(LifeExpectancyData[[#This Row],[Life expectancy]:[Schooling]])</f>
        <v>#NAME?</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e">
        <f ca="1">Data_Completeness(LifeExpectancyData[[#This Row],[Life expectancy]:[Schooling]])</f>
        <v>#NAME?</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e">
        <f ca="1">Data_Completeness(LifeExpectancyData[[#This Row],[Life expectancy]:[Schooling]])</f>
        <v>#NAME?</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e">
        <f ca="1">Data_Completeness(LifeExpectancyData[[#This Row],[Life expectancy]:[Schooling]])</f>
        <v>#NAME?</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e">
        <f ca="1">Data_Completeness(LifeExpectancyData[[#This Row],[Life expectancy]:[Schooling]])</f>
        <v>#NAME?</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e">
        <f ca="1">Data_Completeness(LifeExpectancyData[[#This Row],[Life expectancy]:[Schooling]])</f>
        <v>#NAME?</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e">
        <f ca="1">Data_Completeness(LifeExpectancyData[[#This Row],[Life expectancy]:[Schooling]])</f>
        <v>#NAME?</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e">
        <f ca="1">Data_Completeness(LifeExpectancyData[[#This Row],[Life expectancy]:[Schooling]])</f>
        <v>#NAME?</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e">
        <f ca="1">Data_Completeness(LifeExpectancyData[[#This Row],[Life expectancy]:[Schooling]])</f>
        <v>#NAME?</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e">
        <f ca="1">Data_Completeness(LifeExpectancyData[[#This Row],[Life expectancy]:[Schooling]])</f>
        <v>#NAME?</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e">
        <f ca="1">Data_Completeness(LifeExpectancyData[[#This Row],[Life expectancy]:[Schooling]])</f>
        <v>#NAME?</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e">
        <f ca="1">Data_Completeness(LifeExpectancyData[[#This Row],[Life expectancy]:[Schooling]])</f>
        <v>#NAME?</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e">
        <f ca="1">Data_Completeness(LifeExpectancyData[[#This Row],[Life expectancy]:[Schooling]])</f>
        <v>#NAME?</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e">
        <f ca="1">Data_Completeness(LifeExpectancyData[[#This Row],[Life expectancy]:[Schooling]])</f>
        <v>#NAME?</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e">
        <f ca="1">Data_Completeness(LifeExpectancyData[[#This Row],[Life expectancy]:[Schooling]])</f>
        <v>#NAME?</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e">
        <f ca="1">Data_Completeness(LifeExpectancyData[[#This Row],[Life expectancy]:[Schooling]])</f>
        <v>#NAME?</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e">
        <f ca="1">Data_Completeness(LifeExpectancyData[[#This Row],[Life expectancy]:[Schooling]])</f>
        <v>#NAME?</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e">
        <f ca="1">Data_Completeness(LifeExpectancyData[[#This Row],[Life expectancy]:[Schooling]])</f>
        <v>#NAME?</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e">
        <f ca="1">Data_Completeness(LifeExpectancyData[[#This Row],[Life expectancy]:[Schooling]])</f>
        <v>#NAME?</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e">
        <f ca="1">Data_Completeness(LifeExpectancyData[[#This Row],[Life expectancy]:[Schooling]])</f>
        <v>#NAME?</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e">
        <f ca="1">Data_Completeness(LifeExpectancyData[[#This Row],[Life expectancy]:[Schooling]])</f>
        <v>#NAME?</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e">
        <f ca="1">Data_Completeness(LifeExpectancyData[[#This Row],[Life expectancy]:[Schooling]])</f>
        <v>#NAME?</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e">
        <f ca="1">Data_Completeness(LifeExpectancyData[[#This Row],[Life expectancy]:[Schooling]])</f>
        <v>#NAME?</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e">
        <f ca="1">Data_Completeness(LifeExpectancyData[[#This Row],[Life expectancy]:[Schooling]])</f>
        <v>#NAME?</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e">
        <f ca="1">Data_Completeness(LifeExpectancyData[[#This Row],[Life expectancy]:[Schooling]])</f>
        <v>#NAME?</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e">
        <f ca="1">Data_Completeness(LifeExpectancyData[[#This Row],[Life expectancy]:[Schooling]])</f>
        <v>#NAME?</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e">
        <f ca="1">Data_Completeness(LifeExpectancyData[[#This Row],[Life expectancy]:[Schooling]])</f>
        <v>#NAME?</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e">
        <f ca="1">Data_Completeness(LifeExpectancyData[[#This Row],[Life expectancy]:[Schooling]])</f>
        <v>#NAME?</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e">
        <f ca="1">Data_Completeness(LifeExpectancyData[[#This Row],[Life expectancy]:[Schooling]])</f>
        <v>#NAME?</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e">
        <f ca="1">Data_Completeness(LifeExpectancyData[[#This Row],[Life expectancy]:[Schooling]])</f>
        <v>#NAME?</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e">
        <f ca="1">Data_Completeness(LifeExpectancyData[[#This Row],[Life expectancy]:[Schooling]])</f>
        <v>#NAME?</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e">
        <f ca="1">Data_Completeness(LifeExpectancyData[[#This Row],[Life expectancy]:[Schooling]])</f>
        <v>#NAME?</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e">
        <f ca="1">Data_Completeness(LifeExpectancyData[[#This Row],[Life expectancy]:[Schooling]])</f>
        <v>#NAME?</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e">
        <f ca="1">Data_Completeness(LifeExpectancyData[[#This Row],[Life expectancy]:[Schooling]])</f>
        <v>#NAME?</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e">
        <f ca="1">Data_Completeness(LifeExpectancyData[[#This Row],[Life expectancy]:[Schooling]])</f>
        <v>#NAME?</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e">
        <f ca="1">Data_Completeness(LifeExpectancyData[[#This Row],[Life expectancy]:[Schooling]])</f>
        <v>#NAME?</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e">
        <f ca="1">Data_Completeness(LifeExpectancyData[[#This Row],[Life expectancy]:[Schooling]])</f>
        <v>#NAME?</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e">
        <f ca="1">Data_Completeness(LifeExpectancyData[[#This Row],[Life expectancy]:[Schooling]])</f>
        <v>#NAME?</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e">
        <f ca="1">Data_Completeness(LifeExpectancyData[[#This Row],[Life expectancy]:[Schooling]])</f>
        <v>#NAME?</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e">
        <f ca="1">Data_Completeness(LifeExpectancyData[[#This Row],[Life expectancy]:[Schooling]])</f>
        <v>#NAME?</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e">
        <f ca="1">Data_Completeness(LifeExpectancyData[[#This Row],[Life expectancy]:[Schooling]])</f>
        <v>#NAME?</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e">
        <f ca="1">Data_Completeness(LifeExpectancyData[[#This Row],[Life expectancy]:[Schooling]])</f>
        <v>#NAME?</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e">
        <f ca="1">Data_Completeness(LifeExpectancyData[[#This Row],[Life expectancy]:[Schooling]])</f>
        <v>#NAME?</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e">
        <f ca="1">Data_Completeness(LifeExpectancyData[[#This Row],[Life expectancy]:[Schooling]])</f>
        <v>#NAME?</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e">
        <f ca="1">Data_Completeness(LifeExpectancyData[[#This Row],[Life expectancy]:[Schooling]])</f>
        <v>#NAME?</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e">
        <f ca="1">Data_Completeness(LifeExpectancyData[[#This Row],[Life expectancy]:[Schooling]])</f>
        <v>#NAME?</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e">
        <f ca="1">Data_Completeness(LifeExpectancyData[[#This Row],[Life expectancy]:[Schooling]])</f>
        <v>#NAME?</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e">
        <f ca="1">Data_Completeness(LifeExpectancyData[[#This Row],[Life expectancy]:[Schooling]])</f>
        <v>#NAME?</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e">
        <f ca="1">Data_Completeness(LifeExpectancyData[[#This Row],[Life expectancy]:[Schooling]])</f>
        <v>#NAME?</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e">
        <f ca="1">Data_Completeness(LifeExpectancyData[[#This Row],[Life expectancy]:[Schooling]])</f>
        <v>#NAME?</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e">
        <f ca="1">Data_Completeness(LifeExpectancyData[[#This Row],[Life expectancy]:[Schooling]])</f>
        <v>#NAME?</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e">
        <f ca="1">Data_Completeness(LifeExpectancyData[[#This Row],[Life expectancy]:[Schooling]])</f>
        <v>#NAME?</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e">
        <f ca="1">Data_Completeness(LifeExpectancyData[[#This Row],[Life expectancy]:[Schooling]])</f>
        <v>#NAME?</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e">
        <f ca="1">Data_Completeness(LifeExpectancyData[[#This Row],[Life expectancy]:[Schooling]])</f>
        <v>#NAME?</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e">
        <f ca="1">Data_Completeness(LifeExpectancyData[[#This Row],[Life expectancy]:[Schooling]])</f>
        <v>#NAME?</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e">
        <f ca="1">Data_Completeness(LifeExpectancyData[[#This Row],[Life expectancy]:[Schooling]])</f>
        <v>#NAME?</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e">
        <f ca="1">Data_Completeness(LifeExpectancyData[[#This Row],[Life expectancy]:[Schooling]])</f>
        <v>#NAME?</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e">
        <f ca="1">Data_Completeness(LifeExpectancyData[[#This Row],[Life expectancy]:[Schooling]])</f>
        <v>#NAME?</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e">
        <f ca="1">Data_Completeness(LifeExpectancyData[[#This Row],[Life expectancy]:[Schooling]])</f>
        <v>#NAME?</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e">
        <f ca="1">Data_Completeness(LifeExpectancyData[[#This Row],[Life expectancy]:[Schooling]])</f>
        <v>#NAME?</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e">
        <f ca="1">Data_Completeness(LifeExpectancyData[[#This Row],[Life expectancy]:[Schooling]])</f>
        <v>#NAME?</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e">
        <f ca="1">Data_Completeness(LifeExpectancyData[[#This Row],[Life expectancy]:[Schooling]])</f>
        <v>#NAME?</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e">
        <f ca="1">Data_Completeness(LifeExpectancyData[[#This Row],[Life expectancy]:[Schooling]])</f>
        <v>#NAME?</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e">
        <f ca="1">Data_Completeness(LifeExpectancyData[[#This Row],[Life expectancy]:[Schooling]])</f>
        <v>#NAME?</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e">
        <f ca="1">Data_Completeness(LifeExpectancyData[[#This Row],[Life expectancy]:[Schooling]])</f>
        <v>#NAME?</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e">
        <f ca="1">Data_Completeness(LifeExpectancyData[[#This Row],[Life expectancy]:[Schooling]])</f>
        <v>#NAME?</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e">
        <f ca="1">Data_Completeness(LifeExpectancyData[[#This Row],[Life expectancy]:[Schooling]])</f>
        <v>#NAME?</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e">
        <f ca="1">Data_Completeness(LifeExpectancyData[[#This Row],[Life expectancy]:[Schooling]])</f>
        <v>#NAME?</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e">
        <f ca="1">Data_Completeness(LifeExpectancyData[[#This Row],[Life expectancy]:[Schooling]])</f>
        <v>#NAME?</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e">
        <f ca="1">Data_Completeness(LifeExpectancyData[[#This Row],[Life expectancy]:[Schooling]])</f>
        <v>#NAME?</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e">
        <f ca="1">Data_Completeness(LifeExpectancyData[[#This Row],[Life expectancy]:[Schooling]])</f>
        <v>#NAME?</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e">
        <f ca="1">Data_Completeness(LifeExpectancyData[[#This Row],[Life expectancy]:[Schooling]])</f>
        <v>#NAME?</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e">
        <f ca="1">Data_Completeness(LifeExpectancyData[[#This Row],[Life expectancy]:[Schooling]])</f>
        <v>#NAME?</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e">
        <f ca="1">Data_Completeness(LifeExpectancyData[[#This Row],[Life expectancy]:[Schooling]])</f>
        <v>#NAME?</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e">
        <f ca="1">Data_Completeness(LifeExpectancyData[[#This Row],[Life expectancy]:[Schooling]])</f>
        <v>#NAME?</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e">
        <f ca="1">Data_Completeness(LifeExpectancyData[[#This Row],[Life expectancy]:[Schooling]])</f>
        <v>#NAME?</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e">
        <f ca="1">Data_Completeness(LifeExpectancyData[[#This Row],[Life expectancy]:[Schooling]])</f>
        <v>#NAME?</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e">
        <f ca="1">Data_Completeness(LifeExpectancyData[[#This Row],[Life expectancy]:[Schooling]])</f>
        <v>#NAME?</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e">
        <f ca="1">Data_Completeness(LifeExpectancyData[[#This Row],[Life expectancy]:[Schooling]])</f>
        <v>#NAME?</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e">
        <f ca="1">Data_Completeness(LifeExpectancyData[[#This Row],[Life expectancy]:[Schooling]])</f>
        <v>#NAME?</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e">
        <f ca="1">Data_Completeness(LifeExpectancyData[[#This Row],[Life expectancy]:[Schooling]])</f>
        <v>#NAME?</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e">
        <f ca="1">Data_Completeness(LifeExpectancyData[[#This Row],[Life expectancy]:[Schooling]])</f>
        <v>#NAME?</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e">
        <f ca="1">Data_Completeness(LifeExpectancyData[[#This Row],[Life expectancy]:[Schooling]])</f>
        <v>#NAME?</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e">
        <f ca="1">Data_Completeness(LifeExpectancyData[[#This Row],[Life expectancy]:[Schooling]])</f>
        <v>#NAME?</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e">
        <f ca="1">Data_Completeness(LifeExpectancyData[[#This Row],[Life expectancy]:[Schooling]])</f>
        <v>#NAME?</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e">
        <f ca="1">Data_Completeness(LifeExpectancyData[[#This Row],[Life expectancy]:[Schooling]])</f>
        <v>#NAME?</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e">
        <f ca="1">Data_Completeness(LifeExpectancyData[[#This Row],[Life expectancy]:[Schooling]])</f>
        <v>#NAME?</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e">
        <f ca="1">Data_Completeness(LifeExpectancyData[[#This Row],[Life expectancy]:[Schooling]])</f>
        <v>#NAME?</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e">
        <f ca="1">Data_Completeness(LifeExpectancyData[[#This Row],[Life expectancy]:[Schooling]])</f>
        <v>#NAME?</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e">
        <f ca="1">Data_Completeness(LifeExpectancyData[[#This Row],[Life expectancy]:[Schooling]])</f>
        <v>#NAME?</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e">
        <f ca="1">Data_Completeness(LifeExpectancyData[[#This Row],[Life expectancy]:[Schooling]])</f>
        <v>#NAME?</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e">
        <f ca="1">Data_Completeness(LifeExpectancyData[[#This Row],[Life expectancy]:[Schooling]])</f>
        <v>#NAME?</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e">
        <f ca="1">Data_Completeness(LifeExpectancyData[[#This Row],[Life expectancy]:[Schooling]])</f>
        <v>#NAME?</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e">
        <f ca="1">Data_Completeness(LifeExpectancyData[[#This Row],[Life expectancy]:[Schooling]])</f>
        <v>#NAME?</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e">
        <f ca="1">Data_Completeness(LifeExpectancyData[[#This Row],[Life expectancy]:[Schooling]])</f>
        <v>#NAME?</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e">
        <f ca="1">Data_Completeness(LifeExpectancyData[[#This Row],[Life expectancy]:[Schooling]])</f>
        <v>#NAME?</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e">
        <f ca="1">Data_Completeness(LifeExpectancyData[[#This Row],[Life expectancy]:[Schooling]])</f>
        <v>#NAME?</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e">
        <f ca="1">Data_Completeness(LifeExpectancyData[[#This Row],[Life expectancy]:[Schooling]])</f>
        <v>#NAME?</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e">
        <f ca="1">Data_Completeness(LifeExpectancyData[[#This Row],[Life expectancy]:[Schooling]])</f>
        <v>#NAME?</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e">
        <f ca="1">Data_Completeness(LifeExpectancyData[[#This Row],[Life expectancy]:[Schooling]])</f>
        <v>#NAME?</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e">
        <f ca="1">Data_Completeness(LifeExpectancyData[[#This Row],[Life expectancy]:[Schooling]])</f>
        <v>#NAME?</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e">
        <f ca="1">Data_Completeness(LifeExpectancyData[[#This Row],[Life expectancy]:[Schooling]])</f>
        <v>#NAME?</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e">
        <f ca="1">Data_Completeness(LifeExpectancyData[[#This Row],[Life expectancy]:[Schooling]])</f>
        <v>#NAME?</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e">
        <f ca="1">Data_Completeness(LifeExpectancyData[[#This Row],[Life expectancy]:[Schooling]])</f>
        <v>#NAME?</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e">
        <f ca="1">Data_Completeness(LifeExpectancyData[[#This Row],[Life expectancy]:[Schooling]])</f>
        <v>#NAME?</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e">
        <f ca="1">Data_Completeness(LifeExpectancyData[[#This Row],[Life expectancy]:[Schooling]])</f>
        <v>#NAME?</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e">
        <f ca="1">Data_Completeness(LifeExpectancyData[[#This Row],[Life expectancy]:[Schooling]])</f>
        <v>#NAME?</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e">
        <f ca="1">Data_Completeness(LifeExpectancyData[[#This Row],[Life expectancy]:[Schooling]])</f>
        <v>#NAME?</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e">
        <f ca="1">Data_Completeness(LifeExpectancyData[[#This Row],[Life expectancy]:[Schooling]])</f>
        <v>#NAME?</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e">
        <f ca="1">Data_Completeness(LifeExpectancyData[[#This Row],[Life expectancy]:[Schooling]])</f>
        <v>#NAME?</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e">
        <f ca="1">Data_Completeness(LifeExpectancyData[[#This Row],[Life expectancy]:[Schooling]])</f>
        <v>#NAME?</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e">
        <f ca="1">Data_Completeness(LifeExpectancyData[[#This Row],[Life expectancy]:[Schooling]])</f>
        <v>#NAME?</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e">
        <f ca="1">Data_Completeness(LifeExpectancyData[[#This Row],[Life expectancy]:[Schooling]])</f>
        <v>#NAME?</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e">
        <f ca="1">Data_Completeness(LifeExpectancyData[[#This Row],[Life expectancy]:[Schooling]])</f>
        <v>#NAME?</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e">
        <f ca="1">Data_Completeness(LifeExpectancyData[[#This Row],[Life expectancy]:[Schooling]])</f>
        <v>#NAME?</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e">
        <f ca="1">Data_Completeness(LifeExpectancyData[[#This Row],[Life expectancy]:[Schooling]])</f>
        <v>#NAME?</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e">
        <f ca="1">Data_Completeness(LifeExpectancyData[[#This Row],[Life expectancy]:[Schooling]])</f>
        <v>#NAME?</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e">
        <f ca="1">Data_Completeness(LifeExpectancyData[[#This Row],[Life expectancy]:[Schooling]])</f>
        <v>#NAME?</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e">
        <f ca="1">Data_Completeness(LifeExpectancyData[[#This Row],[Life expectancy]:[Schooling]])</f>
        <v>#NAME?</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e">
        <f ca="1">Data_Completeness(LifeExpectancyData[[#This Row],[Life expectancy]:[Schooling]])</f>
        <v>#NAME?</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e">
        <f ca="1">Data_Completeness(LifeExpectancyData[[#This Row],[Life expectancy]:[Schooling]])</f>
        <v>#NAME?</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e">
        <f ca="1">Data_Completeness(LifeExpectancyData[[#This Row],[Life expectancy]:[Schooling]])</f>
        <v>#NAME?</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e">
        <f ca="1">Data_Completeness(LifeExpectancyData[[#This Row],[Life expectancy]:[Schooling]])</f>
        <v>#NAME?</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e">
        <f ca="1">Data_Completeness(LifeExpectancyData[[#This Row],[Life expectancy]:[Schooling]])</f>
        <v>#NAME?</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e">
        <f ca="1">Data_Completeness(LifeExpectancyData[[#This Row],[Life expectancy]:[Schooling]])</f>
        <v>#NAME?</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e">
        <f ca="1">Data_Completeness(LifeExpectancyData[[#This Row],[Life expectancy]:[Schooling]])</f>
        <v>#NAME?</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e">
        <f ca="1">Data_Completeness(LifeExpectancyData[[#This Row],[Life expectancy]:[Schooling]])</f>
        <v>#NAME?</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e">
        <f ca="1">Data_Completeness(LifeExpectancyData[[#This Row],[Life expectancy]:[Schooling]])</f>
        <v>#NAME?</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e">
        <f ca="1">Data_Completeness(LifeExpectancyData[[#This Row],[Life expectancy]:[Schooling]])</f>
        <v>#NAME?</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e">
        <f ca="1">Data_Completeness(LifeExpectancyData[[#This Row],[Life expectancy]:[Schooling]])</f>
        <v>#NAME?</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e">
        <f ca="1">Data_Completeness(LifeExpectancyData[[#This Row],[Life expectancy]:[Schooling]])</f>
        <v>#NAME?</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e">
        <f ca="1">Data_Completeness(LifeExpectancyData[[#This Row],[Life expectancy]:[Schooling]])</f>
        <v>#NAME?</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e">
        <f ca="1">Data_Completeness(LifeExpectancyData[[#This Row],[Life expectancy]:[Schooling]])</f>
        <v>#NAME?</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e">
        <f ca="1">Data_Completeness(LifeExpectancyData[[#This Row],[Life expectancy]:[Schooling]])</f>
        <v>#NAME?</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e">
        <f ca="1">Data_Completeness(LifeExpectancyData[[#This Row],[Life expectancy]:[Schooling]])</f>
        <v>#NAME?</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e">
        <f ca="1">Data_Completeness(LifeExpectancyData[[#This Row],[Life expectancy]:[Schooling]])</f>
        <v>#NAME?</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e">
        <f ca="1">Data_Completeness(LifeExpectancyData[[#This Row],[Life expectancy]:[Schooling]])</f>
        <v>#NAME?</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e">
        <f ca="1">Data_Completeness(LifeExpectancyData[[#This Row],[Life expectancy]:[Schooling]])</f>
        <v>#NAME?</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e">
        <f ca="1">Data_Completeness(LifeExpectancyData[[#This Row],[Life expectancy]:[Schooling]])</f>
        <v>#NAME?</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e">
        <f ca="1">Data_Completeness(LifeExpectancyData[[#This Row],[Life expectancy]:[Schooling]])</f>
        <v>#NAME?</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e">
        <f ca="1">Data_Completeness(LifeExpectancyData[[#This Row],[Life expectancy]:[Schooling]])</f>
        <v>#NAME?</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e">
        <f ca="1">Data_Completeness(LifeExpectancyData[[#This Row],[Life expectancy]:[Schooling]])</f>
        <v>#NAME?</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e">
        <f ca="1">Data_Completeness(LifeExpectancyData[[#This Row],[Life expectancy]:[Schooling]])</f>
        <v>#NAME?</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e">
        <f ca="1">Data_Completeness(LifeExpectancyData[[#This Row],[Life expectancy]:[Schooling]])</f>
        <v>#NAME?</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e">
        <f ca="1">Data_Completeness(LifeExpectancyData[[#This Row],[Life expectancy]:[Schooling]])</f>
        <v>#NAME?</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e">
        <f ca="1">Data_Completeness(LifeExpectancyData[[#This Row],[Life expectancy]:[Schooling]])</f>
        <v>#NAME?</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e">
        <f ca="1">Data_Completeness(LifeExpectancyData[[#This Row],[Life expectancy]:[Schooling]])</f>
        <v>#NAME?</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e">
        <f ca="1">Data_Completeness(LifeExpectancyData[[#This Row],[Life expectancy]:[Schooling]])</f>
        <v>#NAME?</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e">
        <f ca="1">Data_Completeness(LifeExpectancyData[[#This Row],[Life expectancy]:[Schooling]])</f>
        <v>#NAME?</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e">
        <f ca="1">Data_Completeness(LifeExpectancyData[[#This Row],[Life expectancy]:[Schooling]])</f>
        <v>#NAME?</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e">
        <f ca="1">Data_Completeness(LifeExpectancyData[[#This Row],[Life expectancy]:[Schooling]])</f>
        <v>#NAME?</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e">
        <f ca="1">Data_Completeness(LifeExpectancyData[[#This Row],[Life expectancy]:[Schooling]])</f>
        <v>#NAME?</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e">
        <f ca="1">Data_Completeness(LifeExpectancyData[[#This Row],[Life expectancy]:[Schooling]])</f>
        <v>#NAME?</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e">
        <f ca="1">Data_Completeness(LifeExpectancyData[[#This Row],[Life expectancy]:[Schooling]])</f>
        <v>#NAME?</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e">
        <f ca="1">Data_Completeness(LifeExpectancyData[[#This Row],[Life expectancy]:[Schooling]])</f>
        <v>#NAME?</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e">
        <f ca="1">Data_Completeness(LifeExpectancyData[[#This Row],[Life expectancy]:[Schooling]])</f>
        <v>#NAME?</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e">
        <f ca="1">Data_Completeness(LifeExpectancyData[[#This Row],[Life expectancy]:[Schooling]])</f>
        <v>#NAME?</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e">
        <f ca="1">Data_Completeness(LifeExpectancyData[[#This Row],[Life expectancy]:[Schooling]])</f>
        <v>#NAME?</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e">
        <f ca="1">Data_Completeness(LifeExpectancyData[[#This Row],[Life expectancy]:[Schooling]])</f>
        <v>#NAME?</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e">
        <f ca="1">Data_Completeness(LifeExpectancyData[[#This Row],[Life expectancy]:[Schooling]])</f>
        <v>#NAME?</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e">
        <f ca="1">Data_Completeness(LifeExpectancyData[[#This Row],[Life expectancy]:[Schooling]])</f>
        <v>#NAME?</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e">
        <f ca="1">Data_Completeness(LifeExpectancyData[[#This Row],[Life expectancy]:[Schooling]])</f>
        <v>#NAME?</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e">
        <f ca="1">Data_Completeness(LifeExpectancyData[[#This Row],[Life expectancy]:[Schooling]])</f>
        <v>#NAME?</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e">
        <f ca="1">Data_Completeness(LifeExpectancyData[[#This Row],[Life expectancy]:[Schooling]])</f>
        <v>#NAME?</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e">
        <f ca="1">Data_Completeness(LifeExpectancyData[[#This Row],[Life expectancy]:[Schooling]])</f>
        <v>#NAME?</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e">
        <f ca="1">Data_Completeness(LifeExpectancyData[[#This Row],[Life expectancy]:[Schooling]])</f>
        <v>#NAME?</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e">
        <f ca="1">Data_Completeness(LifeExpectancyData[[#This Row],[Life expectancy]:[Schooling]])</f>
        <v>#NAME?</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e">
        <f ca="1">Data_Completeness(LifeExpectancyData[[#This Row],[Life expectancy]:[Schooling]])</f>
        <v>#NAME?</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e">
        <f ca="1">Data_Completeness(LifeExpectancyData[[#This Row],[Life expectancy]:[Schooling]])</f>
        <v>#NAME?</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e">
        <f ca="1">Data_Completeness(LifeExpectancyData[[#This Row],[Life expectancy]:[Schooling]])</f>
        <v>#NAME?</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e">
        <f ca="1">Data_Completeness(LifeExpectancyData[[#This Row],[Life expectancy]:[Schooling]])</f>
        <v>#NAME?</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e">
        <f ca="1">Data_Completeness(LifeExpectancyData[[#This Row],[Life expectancy]:[Schooling]])</f>
        <v>#NAME?</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e">
        <f ca="1">Data_Completeness(LifeExpectancyData[[#This Row],[Life expectancy]:[Schooling]])</f>
        <v>#NAME?</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e">
        <f ca="1">Data_Completeness(LifeExpectancyData[[#This Row],[Life expectancy]:[Schooling]])</f>
        <v>#NAME?</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e">
        <f ca="1">Data_Completeness(LifeExpectancyData[[#This Row],[Life expectancy]:[Schooling]])</f>
        <v>#NAME?</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e">
        <f ca="1">Data_Completeness(LifeExpectancyData[[#This Row],[Life expectancy]:[Schooling]])</f>
        <v>#NAME?</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e">
        <f ca="1">Data_Completeness(LifeExpectancyData[[#This Row],[Life expectancy]:[Schooling]])</f>
        <v>#NAME?</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e">
        <f ca="1">Data_Completeness(LifeExpectancyData[[#This Row],[Life expectancy]:[Schooling]])</f>
        <v>#NAME?</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e">
        <f ca="1">Data_Completeness(LifeExpectancyData[[#This Row],[Life expectancy]:[Schooling]])</f>
        <v>#NAME?</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e">
        <f ca="1">Data_Completeness(LifeExpectancyData[[#This Row],[Life expectancy]:[Schooling]])</f>
        <v>#NAME?</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e">
        <f ca="1">Data_Completeness(LifeExpectancyData[[#This Row],[Life expectancy]:[Schooling]])</f>
        <v>#NAME?</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e">
        <f ca="1">Data_Completeness(LifeExpectancyData[[#This Row],[Life expectancy]:[Schooling]])</f>
        <v>#NAME?</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e">
        <f ca="1">Data_Completeness(LifeExpectancyData[[#This Row],[Life expectancy]:[Schooling]])</f>
        <v>#NAME?</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e">
        <f ca="1">Data_Completeness(LifeExpectancyData[[#This Row],[Life expectancy]:[Schooling]])</f>
        <v>#NAME?</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e">
        <f ca="1">Data_Completeness(LifeExpectancyData[[#This Row],[Life expectancy]:[Schooling]])</f>
        <v>#NAME?</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e">
        <f ca="1">Data_Completeness(LifeExpectancyData[[#This Row],[Life expectancy]:[Schooling]])</f>
        <v>#NAME?</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e">
        <f ca="1">Data_Completeness(LifeExpectancyData[[#This Row],[Life expectancy]:[Schooling]])</f>
        <v>#NAME?</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e">
        <f ca="1">Data_Completeness(LifeExpectancyData[[#This Row],[Life expectancy]:[Schooling]])</f>
        <v>#NAME?</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e">
        <f ca="1">Data_Completeness(LifeExpectancyData[[#This Row],[Life expectancy]:[Schooling]])</f>
        <v>#NAME?</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e">
        <f ca="1">Data_Completeness(LifeExpectancyData[[#This Row],[Life expectancy]:[Schooling]])</f>
        <v>#NAME?</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e">
        <f ca="1">Data_Completeness(LifeExpectancyData[[#This Row],[Life expectancy]:[Schooling]])</f>
        <v>#NAME?</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e">
        <f ca="1">Data_Completeness(LifeExpectancyData[[#This Row],[Life expectancy]:[Schooling]])</f>
        <v>#NAME?</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e">
        <f ca="1">Data_Completeness(LifeExpectancyData[[#This Row],[Life expectancy]:[Schooling]])</f>
        <v>#NAME?</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e">
        <f ca="1">Data_Completeness(LifeExpectancyData[[#This Row],[Life expectancy]:[Schooling]])</f>
        <v>#NAME?</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e">
        <f ca="1">Data_Completeness(LifeExpectancyData[[#This Row],[Life expectancy]:[Schooling]])</f>
        <v>#NAME?</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e">
        <f ca="1">Data_Completeness(LifeExpectancyData[[#This Row],[Life expectancy]:[Schooling]])</f>
        <v>#NAME?</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e">
        <f ca="1">Data_Completeness(LifeExpectancyData[[#This Row],[Life expectancy]:[Schooling]])</f>
        <v>#NAME?</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e">
        <f ca="1">Data_Completeness(LifeExpectancyData[[#This Row],[Life expectancy]:[Schooling]])</f>
        <v>#NAME?</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e">
        <f ca="1">Data_Completeness(LifeExpectancyData[[#This Row],[Life expectancy]:[Schooling]])</f>
        <v>#NAME?</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e">
        <f ca="1">Data_Completeness(LifeExpectancyData[[#This Row],[Life expectancy]:[Schooling]])</f>
        <v>#NAME?</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e">
        <f ca="1">Data_Completeness(LifeExpectancyData[[#This Row],[Life expectancy]:[Schooling]])</f>
        <v>#NAME?</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e">
        <f ca="1">Data_Completeness(LifeExpectancyData[[#This Row],[Life expectancy]:[Schooling]])</f>
        <v>#NAME?</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e">
        <f ca="1">Data_Completeness(LifeExpectancyData[[#This Row],[Life expectancy]:[Schooling]])</f>
        <v>#NAME?</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e">
        <f ca="1">Data_Completeness(LifeExpectancyData[[#This Row],[Life expectancy]:[Schooling]])</f>
        <v>#NAME?</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e">
        <f ca="1">Data_Completeness(LifeExpectancyData[[#This Row],[Life expectancy]:[Schooling]])</f>
        <v>#NAME?</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e">
        <f ca="1">Data_Completeness(LifeExpectancyData[[#This Row],[Life expectancy]:[Schooling]])</f>
        <v>#NAME?</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e">
        <f ca="1">Data_Completeness(LifeExpectancyData[[#This Row],[Life expectancy]:[Schooling]])</f>
        <v>#NAME?</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e">
        <f ca="1">Data_Completeness(LifeExpectancyData[[#This Row],[Life expectancy]:[Schooling]])</f>
        <v>#NAME?</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e">
        <f ca="1">Data_Completeness(LifeExpectancyData[[#This Row],[Life expectancy]:[Schooling]])</f>
        <v>#NAME?</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e">
        <f ca="1">Data_Completeness(LifeExpectancyData[[#This Row],[Life expectancy]:[Schooling]])</f>
        <v>#NAME?</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e">
        <f ca="1">Data_Completeness(LifeExpectancyData[[#This Row],[Life expectancy]:[Schooling]])</f>
        <v>#NAME?</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e">
        <f ca="1">Data_Completeness(LifeExpectancyData[[#This Row],[Life expectancy]:[Schooling]])</f>
        <v>#NAME?</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e">
        <f ca="1">Data_Completeness(LifeExpectancyData[[#This Row],[Life expectancy]:[Schooling]])</f>
        <v>#NAME?</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e">
        <f ca="1">Data_Completeness(LifeExpectancyData[[#This Row],[Life expectancy]:[Schooling]])</f>
        <v>#NAME?</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e">
        <f ca="1">Data_Completeness(LifeExpectancyData[[#This Row],[Life expectancy]:[Schooling]])</f>
        <v>#NAME?</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e">
        <f ca="1">Data_Completeness(LifeExpectancyData[[#This Row],[Life expectancy]:[Schooling]])</f>
        <v>#NAME?</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e">
        <f ca="1">Data_Completeness(LifeExpectancyData[[#This Row],[Life expectancy]:[Schooling]])</f>
        <v>#NAME?</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e">
        <f ca="1">Data_Completeness(LifeExpectancyData[[#This Row],[Life expectancy]:[Schooling]])</f>
        <v>#NAME?</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e">
        <f ca="1">Data_Completeness(LifeExpectancyData[[#This Row],[Life expectancy]:[Schooling]])</f>
        <v>#NAME?</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e">
        <f ca="1">Data_Completeness(LifeExpectancyData[[#This Row],[Life expectancy]:[Schooling]])</f>
        <v>#NAME?</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e">
        <f ca="1">Data_Completeness(LifeExpectancyData[[#This Row],[Life expectancy]:[Schooling]])</f>
        <v>#NAME?</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e">
        <f ca="1">Data_Completeness(LifeExpectancyData[[#This Row],[Life expectancy]:[Schooling]])</f>
        <v>#NAME?</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e">
        <f ca="1">Data_Completeness(LifeExpectancyData[[#This Row],[Life expectancy]:[Schooling]])</f>
        <v>#NAME?</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e">
        <f ca="1">Data_Completeness(LifeExpectancyData[[#This Row],[Life expectancy]:[Schooling]])</f>
        <v>#NAME?</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e">
        <f ca="1">Data_Completeness(LifeExpectancyData[[#This Row],[Life expectancy]:[Schooling]])</f>
        <v>#NAME?</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e">
        <f ca="1">Data_Completeness(LifeExpectancyData[[#This Row],[Life expectancy]:[Schooling]])</f>
        <v>#NAME?</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e">
        <f ca="1">Data_Completeness(LifeExpectancyData[[#This Row],[Life expectancy]:[Schooling]])</f>
        <v>#NAME?</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e">
        <f ca="1">Data_Completeness(LifeExpectancyData[[#This Row],[Life expectancy]:[Schooling]])</f>
        <v>#NAME?</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e">
        <f ca="1">Data_Completeness(LifeExpectancyData[[#This Row],[Life expectancy]:[Schooling]])</f>
        <v>#NAME?</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e">
        <f ca="1">Data_Completeness(LifeExpectancyData[[#This Row],[Life expectancy]:[Schooling]])</f>
        <v>#NAME?</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e">
        <f ca="1">Data_Completeness(LifeExpectancyData[[#This Row],[Life expectancy]:[Schooling]])</f>
        <v>#NAME?</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e">
        <f ca="1">Data_Completeness(LifeExpectancyData[[#This Row],[Life expectancy]:[Schooling]])</f>
        <v>#NAME?</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e">
        <f ca="1">Data_Completeness(LifeExpectancyData[[#This Row],[Life expectancy]:[Schooling]])</f>
        <v>#NAME?</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e">
        <f ca="1">Data_Completeness(LifeExpectancyData[[#This Row],[Life expectancy]:[Schooling]])</f>
        <v>#NAME?</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e">
        <f ca="1">Data_Completeness(LifeExpectancyData[[#This Row],[Life expectancy]:[Schooling]])</f>
        <v>#NAME?</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e">
        <f ca="1">Data_Completeness(LifeExpectancyData[[#This Row],[Life expectancy]:[Schooling]])</f>
        <v>#NAME?</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e">
        <f ca="1">Data_Completeness(LifeExpectancyData[[#This Row],[Life expectancy]:[Schooling]])</f>
        <v>#NAME?</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e">
        <f ca="1">Data_Completeness(LifeExpectancyData[[#This Row],[Life expectancy]:[Schooling]])</f>
        <v>#NAME?</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e">
        <f ca="1">Data_Completeness(LifeExpectancyData[[#This Row],[Life expectancy]:[Schooling]])</f>
        <v>#NAME?</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e">
        <f ca="1">Data_Completeness(LifeExpectancyData[[#This Row],[Life expectancy]:[Schooling]])</f>
        <v>#NAME?</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e">
        <f ca="1">Data_Completeness(LifeExpectancyData[[#This Row],[Life expectancy]:[Schooling]])</f>
        <v>#NAME?</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e">
        <f ca="1">Data_Completeness(LifeExpectancyData[[#This Row],[Life expectancy]:[Schooling]])</f>
        <v>#NAME?</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e">
        <f ca="1">Data_Completeness(LifeExpectancyData[[#This Row],[Life expectancy]:[Schooling]])</f>
        <v>#NAME?</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e">
        <f ca="1">Data_Completeness(LifeExpectancyData[[#This Row],[Life expectancy]:[Schooling]])</f>
        <v>#NAME?</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e">
        <f ca="1">Data_Completeness(LifeExpectancyData[[#This Row],[Life expectancy]:[Schooling]])</f>
        <v>#NAME?</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e">
        <f ca="1">Data_Completeness(LifeExpectancyData[[#This Row],[Life expectancy]:[Schooling]])</f>
        <v>#NAME?</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e">
        <f ca="1">Data_Completeness(LifeExpectancyData[[#This Row],[Life expectancy]:[Schooling]])</f>
        <v>#NAME?</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e">
        <f ca="1">Data_Completeness(LifeExpectancyData[[#This Row],[Life expectancy]:[Schooling]])</f>
        <v>#NAME?</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e">
        <f ca="1">Data_Completeness(LifeExpectancyData[[#This Row],[Life expectancy]:[Schooling]])</f>
        <v>#NAME?</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e">
        <f ca="1">Data_Completeness(LifeExpectancyData[[#This Row],[Life expectancy]:[Schooling]])</f>
        <v>#NAME?</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e">
        <f ca="1">Data_Completeness(LifeExpectancyData[[#This Row],[Life expectancy]:[Schooling]])</f>
        <v>#NAME?</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e">
        <f ca="1">Data_Completeness(LifeExpectancyData[[#This Row],[Life expectancy]:[Schooling]])</f>
        <v>#NAME?</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e">
        <f ca="1">Data_Completeness(LifeExpectancyData[[#This Row],[Life expectancy]:[Schooling]])</f>
        <v>#NAME?</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e">
        <f ca="1">Data_Completeness(LifeExpectancyData[[#This Row],[Life expectancy]:[Schooling]])</f>
        <v>#NAME?</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e">
        <f ca="1">Data_Completeness(LifeExpectancyData[[#This Row],[Life expectancy]:[Schooling]])</f>
        <v>#NAME?</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e">
        <f ca="1">Data_Completeness(LifeExpectancyData[[#This Row],[Life expectancy]:[Schooling]])</f>
        <v>#NAME?</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e">
        <f ca="1">Data_Completeness(LifeExpectancyData[[#This Row],[Life expectancy]:[Schooling]])</f>
        <v>#NAME?</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e">
        <f ca="1">Data_Completeness(LifeExpectancyData[[#This Row],[Life expectancy]:[Schooling]])</f>
        <v>#NAME?</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e">
        <f ca="1">Data_Completeness(LifeExpectancyData[[#This Row],[Life expectancy]:[Schooling]])</f>
        <v>#NAME?</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e">
        <f ca="1">Data_Completeness(LifeExpectancyData[[#This Row],[Life expectancy]:[Schooling]])</f>
        <v>#NAME?</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e">
        <f ca="1">Data_Completeness(LifeExpectancyData[[#This Row],[Life expectancy]:[Schooling]])</f>
        <v>#NAME?</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e">
        <f ca="1">Data_Completeness(LifeExpectancyData[[#This Row],[Life expectancy]:[Schooling]])</f>
        <v>#NAME?</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e">
        <f ca="1">Data_Completeness(LifeExpectancyData[[#This Row],[Life expectancy]:[Schooling]])</f>
        <v>#NAME?</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e">
        <f ca="1">Data_Completeness(LifeExpectancyData[[#This Row],[Life expectancy]:[Schooling]])</f>
        <v>#NAME?</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e">
        <f ca="1">Data_Completeness(LifeExpectancyData[[#This Row],[Life expectancy]:[Schooling]])</f>
        <v>#NAME?</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e">
        <f ca="1">Data_Completeness(LifeExpectancyData[[#This Row],[Life expectancy]:[Schooling]])</f>
        <v>#NAME?</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e">
        <f ca="1">Data_Completeness(LifeExpectancyData[[#This Row],[Life expectancy]:[Schooling]])</f>
        <v>#NAME?</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e">
        <f ca="1">Data_Completeness(LifeExpectancyData[[#This Row],[Life expectancy]:[Schooling]])</f>
        <v>#NAME?</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e">
        <f ca="1">Data_Completeness(LifeExpectancyData[[#This Row],[Life expectancy]:[Schooling]])</f>
        <v>#NAME?</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e">
        <f ca="1">Data_Completeness(LifeExpectancyData[[#This Row],[Life expectancy]:[Schooling]])</f>
        <v>#NAME?</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e">
        <f ca="1">Data_Completeness(LifeExpectancyData[[#This Row],[Life expectancy]:[Schooling]])</f>
        <v>#NAME?</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e">
        <f ca="1">Data_Completeness(LifeExpectancyData[[#This Row],[Life expectancy]:[Schooling]])</f>
        <v>#NAME?</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e">
        <f ca="1">Data_Completeness(LifeExpectancyData[[#This Row],[Life expectancy]:[Schooling]])</f>
        <v>#NAME?</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e">
        <f ca="1">Data_Completeness(LifeExpectancyData[[#This Row],[Life expectancy]:[Schooling]])</f>
        <v>#NAME?</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e">
        <f ca="1">Data_Completeness(LifeExpectancyData[[#This Row],[Life expectancy]:[Schooling]])</f>
        <v>#NAME?</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e">
        <f ca="1">Data_Completeness(LifeExpectancyData[[#This Row],[Life expectancy]:[Schooling]])</f>
        <v>#NAME?</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e">
        <f ca="1">Data_Completeness(LifeExpectancyData[[#This Row],[Life expectancy]:[Schooling]])</f>
        <v>#NAME?</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e">
        <f ca="1">Data_Completeness(LifeExpectancyData[[#This Row],[Life expectancy]:[Schooling]])</f>
        <v>#NAME?</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e">
        <f ca="1">Data_Completeness(LifeExpectancyData[[#This Row],[Life expectancy]:[Schooling]])</f>
        <v>#NAME?</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e">
        <f ca="1">Data_Completeness(LifeExpectancyData[[#This Row],[Life expectancy]:[Schooling]])</f>
        <v>#NAME?</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e">
        <f ca="1">Data_Completeness(LifeExpectancyData[[#This Row],[Life expectancy]:[Schooling]])</f>
        <v>#NAME?</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e">
        <f ca="1">Data_Completeness(LifeExpectancyData[[#This Row],[Life expectancy]:[Schooling]])</f>
        <v>#NAME?</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e">
        <f ca="1">Data_Completeness(LifeExpectancyData[[#This Row],[Life expectancy]:[Schooling]])</f>
        <v>#NAME?</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e">
        <f ca="1">Data_Completeness(LifeExpectancyData[[#This Row],[Life expectancy]:[Schooling]])</f>
        <v>#NAME?</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e">
        <f ca="1">Data_Completeness(LifeExpectancyData[[#This Row],[Life expectancy]:[Schooling]])</f>
        <v>#NAME?</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e">
        <f ca="1">Data_Completeness(LifeExpectancyData[[#This Row],[Life expectancy]:[Schooling]])</f>
        <v>#NAME?</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e">
        <f ca="1">Data_Completeness(LifeExpectancyData[[#This Row],[Life expectancy]:[Schooling]])</f>
        <v>#NAME?</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e">
        <f ca="1">Data_Completeness(LifeExpectancyData[[#This Row],[Life expectancy]:[Schooling]])</f>
        <v>#NAME?</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e">
        <f ca="1">Data_Completeness(LifeExpectancyData[[#This Row],[Life expectancy]:[Schooling]])</f>
        <v>#NAME?</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e">
        <f ca="1">Data_Completeness(LifeExpectancyData[[#This Row],[Life expectancy]:[Schooling]])</f>
        <v>#NAME?</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e">
        <f ca="1">Data_Completeness(LifeExpectancyData[[#This Row],[Life expectancy]:[Schooling]])</f>
        <v>#NAME?</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e">
        <f ca="1">Data_Completeness(LifeExpectancyData[[#This Row],[Life expectancy]:[Schooling]])</f>
        <v>#NAME?</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e">
        <f ca="1">Data_Completeness(LifeExpectancyData[[#This Row],[Life expectancy]:[Schooling]])</f>
        <v>#NAME?</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e">
        <f ca="1">Data_Completeness(LifeExpectancyData[[#This Row],[Life expectancy]:[Schooling]])</f>
        <v>#NAME?</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e">
        <f ca="1">Data_Completeness(LifeExpectancyData[[#This Row],[Life expectancy]:[Schooling]])</f>
        <v>#NAME?</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e">
        <f ca="1">Data_Completeness(LifeExpectancyData[[#This Row],[Life expectancy]:[Schooling]])</f>
        <v>#NAME?</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e">
        <f ca="1">Data_Completeness(LifeExpectancyData[[#This Row],[Life expectancy]:[Schooling]])</f>
        <v>#NAME?</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e">
        <f ca="1">Data_Completeness(LifeExpectancyData[[#This Row],[Life expectancy]:[Schooling]])</f>
        <v>#NAME?</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e">
        <f ca="1">Data_Completeness(LifeExpectancyData[[#This Row],[Life expectancy]:[Schooling]])</f>
        <v>#NAME?</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e">
        <f ca="1">Data_Completeness(LifeExpectancyData[[#This Row],[Life expectancy]:[Schooling]])</f>
        <v>#NAME?</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e">
        <f ca="1">Data_Completeness(LifeExpectancyData[[#This Row],[Life expectancy]:[Schooling]])</f>
        <v>#NAME?</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e">
        <f ca="1">Data_Completeness(LifeExpectancyData[[#This Row],[Life expectancy]:[Schooling]])</f>
        <v>#NAME?</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e">
        <f ca="1">Data_Completeness(LifeExpectancyData[[#This Row],[Life expectancy]:[Schooling]])</f>
        <v>#NAME?</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e">
        <f ca="1">Data_Completeness(LifeExpectancyData[[#This Row],[Life expectancy]:[Schooling]])</f>
        <v>#NAME?</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e">
        <f ca="1">Data_Completeness(LifeExpectancyData[[#This Row],[Life expectancy]:[Schooling]])</f>
        <v>#NAME?</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e">
        <f ca="1">Data_Completeness(LifeExpectancyData[[#This Row],[Life expectancy]:[Schooling]])</f>
        <v>#NAME?</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e">
        <f ca="1">Data_Completeness(LifeExpectancyData[[#This Row],[Life expectancy]:[Schooling]])</f>
        <v>#NAME?</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e">
        <f ca="1">Data_Completeness(LifeExpectancyData[[#This Row],[Life expectancy]:[Schooling]])</f>
        <v>#NAME?</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e">
        <f ca="1">Data_Completeness(LifeExpectancyData[[#This Row],[Life expectancy]:[Schooling]])</f>
        <v>#NAME?</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e">
        <f ca="1">Data_Completeness(LifeExpectancyData[[#This Row],[Life expectancy]:[Schooling]])</f>
        <v>#NAME?</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e">
        <f ca="1">Data_Completeness(LifeExpectancyData[[#This Row],[Life expectancy]:[Schooling]])</f>
        <v>#NAME?</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e">
        <f ca="1">Data_Completeness(LifeExpectancyData[[#This Row],[Life expectancy]:[Schooling]])</f>
        <v>#NAME?</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e">
        <f ca="1">Data_Completeness(LifeExpectancyData[[#This Row],[Life expectancy]:[Schooling]])</f>
        <v>#NAME?</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e">
        <f ca="1">Data_Completeness(LifeExpectancyData[[#This Row],[Life expectancy]:[Schooling]])</f>
        <v>#NAME?</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e">
        <f ca="1">Data_Completeness(LifeExpectancyData[[#This Row],[Life expectancy]:[Schooling]])</f>
        <v>#NAME?</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e">
        <f ca="1">Data_Completeness(LifeExpectancyData[[#This Row],[Life expectancy]:[Schooling]])</f>
        <v>#NAME?</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e">
        <f ca="1">Data_Completeness(LifeExpectancyData[[#This Row],[Life expectancy]:[Schooling]])</f>
        <v>#NAME?</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e">
        <f ca="1">Data_Completeness(LifeExpectancyData[[#This Row],[Life expectancy]:[Schooling]])</f>
        <v>#NAME?</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e">
        <f ca="1">Data_Completeness(LifeExpectancyData[[#This Row],[Life expectancy]:[Schooling]])</f>
        <v>#NAME?</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e">
        <f ca="1">Data_Completeness(LifeExpectancyData[[#This Row],[Life expectancy]:[Schooling]])</f>
        <v>#NAME?</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e">
        <f ca="1">Data_Completeness(LifeExpectancyData[[#This Row],[Life expectancy]:[Schooling]])</f>
        <v>#NAME?</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e">
        <f ca="1">Data_Completeness(LifeExpectancyData[[#This Row],[Life expectancy]:[Schooling]])</f>
        <v>#NAME?</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e">
        <f ca="1">Data_Completeness(LifeExpectancyData[[#This Row],[Life expectancy]:[Schooling]])</f>
        <v>#NAME?</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e">
        <f ca="1">Data_Completeness(LifeExpectancyData[[#This Row],[Life expectancy]:[Schooling]])</f>
        <v>#NAME?</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e">
        <f ca="1">Data_Completeness(LifeExpectancyData[[#This Row],[Life expectancy]:[Schooling]])</f>
        <v>#NAME?</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e">
        <f ca="1">Data_Completeness(LifeExpectancyData[[#This Row],[Life expectancy]:[Schooling]])</f>
        <v>#NAME?</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e">
        <f ca="1">Data_Completeness(LifeExpectancyData[[#This Row],[Life expectancy]:[Schooling]])</f>
        <v>#NAME?</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e">
        <f ca="1">Data_Completeness(LifeExpectancyData[[#This Row],[Life expectancy]:[Schooling]])</f>
        <v>#NAME?</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e">
        <f ca="1">Data_Completeness(LifeExpectancyData[[#This Row],[Life expectancy]:[Schooling]])</f>
        <v>#NAME?</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e">
        <f ca="1">Data_Completeness(LifeExpectancyData[[#This Row],[Life expectancy]:[Schooling]])</f>
        <v>#NAME?</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e">
        <f ca="1">Data_Completeness(LifeExpectancyData[[#This Row],[Life expectancy]:[Schooling]])</f>
        <v>#NAME?</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e">
        <f ca="1">Data_Completeness(LifeExpectancyData[[#This Row],[Life expectancy]:[Schooling]])</f>
        <v>#NAME?</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e">
        <f ca="1">Data_Completeness(LifeExpectancyData[[#This Row],[Life expectancy]:[Schooling]])</f>
        <v>#NAME?</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e">
        <f ca="1">Data_Completeness(LifeExpectancyData[[#This Row],[Life expectancy]:[Schooling]])</f>
        <v>#NAME?</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e">
        <f ca="1">Data_Completeness(LifeExpectancyData[[#This Row],[Life expectancy]:[Schooling]])</f>
        <v>#NAME?</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e">
        <f ca="1">Data_Completeness(LifeExpectancyData[[#This Row],[Life expectancy]:[Schooling]])</f>
        <v>#NAME?</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e">
        <f ca="1">Data_Completeness(LifeExpectancyData[[#This Row],[Life expectancy]:[Schooling]])</f>
        <v>#NAME?</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e">
        <f ca="1">Data_Completeness(LifeExpectancyData[[#This Row],[Life expectancy]:[Schooling]])</f>
        <v>#NAME?</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e">
        <f ca="1">Data_Completeness(LifeExpectancyData[[#This Row],[Life expectancy]:[Schooling]])</f>
        <v>#NAME?</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e">
        <f ca="1">Data_Completeness(LifeExpectancyData[[#This Row],[Life expectancy]:[Schooling]])</f>
        <v>#NAME?</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e">
        <f ca="1">Data_Completeness(LifeExpectancyData[[#This Row],[Life expectancy]:[Schooling]])</f>
        <v>#NAME?</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e">
        <f ca="1">Data_Completeness(LifeExpectancyData[[#This Row],[Life expectancy]:[Schooling]])</f>
        <v>#NAME?</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e">
        <f ca="1">Data_Completeness(LifeExpectancyData[[#This Row],[Life expectancy]:[Schooling]])</f>
        <v>#NAME?</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e">
        <f ca="1">Data_Completeness(LifeExpectancyData[[#This Row],[Life expectancy]:[Schooling]])</f>
        <v>#NAME?</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e">
        <f ca="1">Data_Completeness(LifeExpectancyData[[#This Row],[Life expectancy]:[Schooling]])</f>
        <v>#NAME?</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e">
        <f ca="1">Data_Completeness(LifeExpectancyData[[#This Row],[Life expectancy]:[Schooling]])</f>
        <v>#NAME?</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e">
        <f ca="1">Data_Completeness(LifeExpectancyData[[#This Row],[Life expectancy]:[Schooling]])</f>
        <v>#NAME?</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e">
        <f ca="1">Data_Completeness(LifeExpectancyData[[#This Row],[Life expectancy]:[Schooling]])</f>
        <v>#NAME?</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e">
        <f ca="1">Data_Completeness(LifeExpectancyData[[#This Row],[Life expectancy]:[Schooling]])</f>
        <v>#NAME?</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e">
        <f ca="1">Data_Completeness(LifeExpectancyData[[#This Row],[Life expectancy]:[Schooling]])</f>
        <v>#NAME?</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e">
        <f ca="1">Data_Completeness(LifeExpectancyData[[#This Row],[Life expectancy]:[Schooling]])</f>
        <v>#NAME?</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e">
        <f ca="1">Data_Completeness(LifeExpectancyData[[#This Row],[Life expectancy]:[Schooling]])</f>
        <v>#NAME?</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e">
        <f ca="1">Data_Completeness(LifeExpectancyData[[#This Row],[Life expectancy]:[Schooling]])</f>
        <v>#NAME?</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e">
        <f ca="1">Data_Completeness(LifeExpectancyData[[#This Row],[Life expectancy]:[Schooling]])</f>
        <v>#NAME?</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e">
        <f ca="1">Data_Completeness(LifeExpectancyData[[#This Row],[Life expectancy]:[Schooling]])</f>
        <v>#NAME?</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e">
        <f ca="1">Data_Completeness(LifeExpectancyData[[#This Row],[Life expectancy]:[Schooling]])</f>
        <v>#NAME?</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e">
        <f ca="1">Data_Completeness(LifeExpectancyData[[#This Row],[Life expectancy]:[Schooling]])</f>
        <v>#NAME?</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e">
        <f ca="1">Data_Completeness(LifeExpectancyData[[#This Row],[Life expectancy]:[Schooling]])</f>
        <v>#NAME?</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e">
        <f ca="1">Data_Completeness(LifeExpectancyData[[#This Row],[Life expectancy]:[Schooling]])</f>
        <v>#NAME?</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e">
        <f ca="1">Data_Completeness(LifeExpectancyData[[#This Row],[Life expectancy]:[Schooling]])</f>
        <v>#NAME?</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e">
        <f ca="1">Data_Completeness(LifeExpectancyData[[#This Row],[Life expectancy]:[Schooling]])</f>
        <v>#NAME?</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e">
        <f ca="1">Data_Completeness(LifeExpectancyData[[#This Row],[Life expectancy]:[Schooling]])</f>
        <v>#NAME?</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e">
        <f ca="1">Data_Completeness(LifeExpectancyData[[#This Row],[Life expectancy]:[Schooling]])</f>
        <v>#NAME?</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e">
        <f ca="1">Data_Completeness(LifeExpectancyData[[#This Row],[Life expectancy]:[Schooling]])</f>
        <v>#NAME?</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e">
        <f ca="1">Data_Completeness(LifeExpectancyData[[#This Row],[Life expectancy]:[Schooling]])</f>
        <v>#NAME?</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e">
        <f ca="1">Data_Completeness(LifeExpectancyData[[#This Row],[Life expectancy]:[Schooling]])</f>
        <v>#NAME?</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e">
        <f ca="1">Data_Completeness(LifeExpectancyData[[#This Row],[Life expectancy]:[Schooling]])</f>
        <v>#NAME?</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e">
        <f ca="1">Data_Completeness(LifeExpectancyData[[#This Row],[Life expectancy]:[Schooling]])</f>
        <v>#NAME?</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e">
        <f ca="1">Data_Completeness(LifeExpectancyData[[#This Row],[Life expectancy]:[Schooling]])</f>
        <v>#NAME?</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e">
        <f ca="1">Data_Completeness(LifeExpectancyData[[#This Row],[Life expectancy]:[Schooling]])</f>
        <v>#NAME?</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e">
        <f ca="1">Data_Completeness(LifeExpectancyData[[#This Row],[Life expectancy]:[Schooling]])</f>
        <v>#NAME?</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e">
        <f ca="1">Data_Completeness(LifeExpectancyData[[#This Row],[Life expectancy]:[Schooling]])</f>
        <v>#NAME?</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e">
        <f ca="1">Data_Completeness(LifeExpectancyData[[#This Row],[Life expectancy]:[Schooling]])</f>
        <v>#NAME?</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e">
        <f ca="1">Data_Completeness(LifeExpectancyData[[#This Row],[Life expectancy]:[Schooling]])</f>
        <v>#NAME?</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e">
        <f ca="1">Data_Completeness(LifeExpectancyData[[#This Row],[Life expectancy]:[Schooling]])</f>
        <v>#NAME?</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e">
        <f ca="1">Data_Completeness(LifeExpectancyData[[#This Row],[Life expectancy]:[Schooling]])</f>
        <v>#NAME?</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e">
        <f ca="1">Data_Completeness(LifeExpectancyData[[#This Row],[Life expectancy]:[Schooling]])</f>
        <v>#NAME?</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e">
        <f ca="1">Data_Completeness(LifeExpectancyData[[#This Row],[Life expectancy]:[Schooling]])</f>
        <v>#NAME?</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e">
        <f ca="1">Data_Completeness(LifeExpectancyData[[#This Row],[Life expectancy]:[Schooling]])</f>
        <v>#NAME?</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e">
        <f ca="1">Data_Completeness(LifeExpectancyData[[#This Row],[Life expectancy]:[Schooling]])</f>
        <v>#NAME?</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e">
        <f ca="1">Data_Completeness(LifeExpectancyData[[#This Row],[Life expectancy]:[Schooling]])</f>
        <v>#NAME?</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e">
        <f ca="1">Data_Completeness(LifeExpectancyData[[#This Row],[Life expectancy]:[Schooling]])</f>
        <v>#NAME?</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e">
        <f ca="1">Data_Completeness(LifeExpectancyData[[#This Row],[Life expectancy]:[Schooling]])</f>
        <v>#NAME?</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e">
        <f ca="1">Data_Completeness(LifeExpectancyData[[#This Row],[Life expectancy]:[Schooling]])</f>
        <v>#NAME?</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e">
        <f ca="1">Data_Completeness(LifeExpectancyData[[#This Row],[Life expectancy]:[Schooling]])</f>
        <v>#NAME?</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e">
        <f ca="1">Data_Completeness(LifeExpectancyData[[#This Row],[Life expectancy]:[Schooling]])</f>
        <v>#NAME?</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e">
        <f ca="1">Data_Completeness(LifeExpectancyData[[#This Row],[Life expectancy]:[Schooling]])</f>
        <v>#NAME?</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e">
        <f ca="1">Data_Completeness(LifeExpectancyData[[#This Row],[Life expectancy]:[Schooling]])</f>
        <v>#NAME?</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e">
        <f ca="1">Data_Completeness(LifeExpectancyData[[#This Row],[Life expectancy]:[Schooling]])</f>
        <v>#NAME?</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e">
        <f ca="1">Data_Completeness(LifeExpectancyData[[#This Row],[Life expectancy]:[Schooling]])</f>
        <v>#NAME?</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e">
        <f ca="1">Data_Completeness(LifeExpectancyData[[#This Row],[Life expectancy]:[Schooling]])</f>
        <v>#NAME?</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e">
        <f ca="1">Data_Completeness(LifeExpectancyData[[#This Row],[Life expectancy]:[Schooling]])</f>
        <v>#NAME?</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e">
        <f ca="1">Data_Completeness(LifeExpectancyData[[#This Row],[Life expectancy]:[Schooling]])</f>
        <v>#NAME?</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e">
        <f ca="1">Data_Completeness(LifeExpectancyData[[#This Row],[Life expectancy]:[Schooling]])</f>
        <v>#NAME?</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e">
        <f ca="1">Data_Completeness(LifeExpectancyData[[#This Row],[Life expectancy]:[Schooling]])</f>
        <v>#NAME?</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e">
        <f ca="1">Data_Completeness(LifeExpectancyData[[#This Row],[Life expectancy]:[Schooling]])</f>
        <v>#NAME?</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e">
        <f ca="1">Data_Completeness(LifeExpectancyData[[#This Row],[Life expectancy]:[Schooling]])</f>
        <v>#NAME?</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e">
        <f ca="1">Data_Completeness(LifeExpectancyData[[#This Row],[Life expectancy]:[Schooling]])</f>
        <v>#NAME?</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e">
        <f ca="1">Data_Completeness(LifeExpectancyData[[#This Row],[Life expectancy]:[Schooling]])</f>
        <v>#NAME?</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e">
        <f ca="1">Data_Completeness(LifeExpectancyData[[#This Row],[Life expectancy]:[Schooling]])</f>
        <v>#NAME?</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e">
        <f ca="1">Data_Completeness(LifeExpectancyData[[#This Row],[Life expectancy]:[Schooling]])</f>
        <v>#NAME?</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e">
        <f ca="1">Data_Completeness(LifeExpectancyData[[#This Row],[Life expectancy]:[Schooling]])</f>
        <v>#NAME?</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e">
        <f ca="1">Data_Completeness(LifeExpectancyData[[#This Row],[Life expectancy]:[Schooling]])</f>
        <v>#NAME?</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e">
        <f ca="1">Data_Completeness(LifeExpectancyData[[#This Row],[Life expectancy]:[Schooling]])</f>
        <v>#NAME?</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e">
        <f ca="1">Data_Completeness(LifeExpectancyData[[#This Row],[Life expectancy]:[Schooling]])</f>
        <v>#NAME?</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e">
        <f ca="1">Data_Completeness(LifeExpectancyData[[#This Row],[Life expectancy]:[Schooling]])</f>
        <v>#NAME?</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e">
        <f ca="1">Data_Completeness(LifeExpectancyData[[#This Row],[Life expectancy]:[Schooling]])</f>
        <v>#NAME?</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e">
        <f ca="1">Data_Completeness(LifeExpectancyData[[#This Row],[Life expectancy]:[Schooling]])</f>
        <v>#NAME?</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e">
        <f ca="1">Data_Completeness(LifeExpectancyData[[#This Row],[Life expectancy]:[Schooling]])</f>
        <v>#NAME?</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e">
        <f ca="1">Data_Completeness(LifeExpectancyData[[#This Row],[Life expectancy]:[Schooling]])</f>
        <v>#NAME?</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e">
        <f ca="1">Data_Completeness(LifeExpectancyData[[#This Row],[Life expectancy]:[Schooling]])</f>
        <v>#NAME?</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e">
        <f ca="1">Data_Completeness(LifeExpectancyData[[#This Row],[Life expectancy]:[Schooling]])</f>
        <v>#NAME?</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e">
        <f ca="1">Data_Completeness(LifeExpectancyData[[#This Row],[Life expectancy]:[Schooling]])</f>
        <v>#NAME?</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e">
        <f ca="1">Data_Completeness(LifeExpectancyData[[#This Row],[Life expectancy]:[Schooling]])</f>
        <v>#NAME?</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e">
        <f ca="1">Data_Completeness(LifeExpectancyData[[#This Row],[Life expectancy]:[Schooling]])</f>
        <v>#NAME?</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e">
        <f ca="1">Data_Completeness(LifeExpectancyData[[#This Row],[Life expectancy]:[Schooling]])</f>
        <v>#NAME?</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e">
        <f ca="1">Data_Completeness(LifeExpectancyData[[#This Row],[Life expectancy]:[Schooling]])</f>
        <v>#NAME?</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e">
        <f ca="1">Data_Completeness(LifeExpectancyData[[#This Row],[Life expectancy]:[Schooling]])</f>
        <v>#NAME?</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e">
        <f ca="1">Data_Completeness(LifeExpectancyData[[#This Row],[Life expectancy]:[Schooling]])</f>
        <v>#NAME?</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e">
        <f ca="1">Data_Completeness(LifeExpectancyData[[#This Row],[Life expectancy]:[Schooling]])</f>
        <v>#NAME?</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e">
        <f ca="1">Data_Completeness(LifeExpectancyData[[#This Row],[Life expectancy]:[Schooling]])</f>
        <v>#NAME?</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e">
        <f ca="1">Data_Completeness(LifeExpectancyData[[#This Row],[Life expectancy]:[Schooling]])</f>
        <v>#NAME?</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e">
        <f ca="1">Data_Completeness(LifeExpectancyData[[#This Row],[Life expectancy]:[Schooling]])</f>
        <v>#NAME?</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e">
        <f ca="1">Data_Completeness(LifeExpectancyData[[#This Row],[Life expectancy]:[Schooling]])</f>
        <v>#NAME?</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e">
        <f ca="1">Data_Completeness(LifeExpectancyData[[#This Row],[Life expectancy]:[Schooling]])</f>
        <v>#NAME?</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e">
        <f ca="1">Data_Completeness(LifeExpectancyData[[#This Row],[Life expectancy]:[Schooling]])</f>
        <v>#NAME?</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e">
        <f ca="1">Data_Completeness(LifeExpectancyData[[#This Row],[Life expectancy]:[Schooling]])</f>
        <v>#NAME?</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e">
        <f ca="1">Data_Completeness(LifeExpectancyData[[#This Row],[Life expectancy]:[Schooling]])</f>
        <v>#NAME?</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e">
        <f ca="1">Data_Completeness(LifeExpectancyData[[#This Row],[Life expectancy]:[Schooling]])</f>
        <v>#NAME?</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e">
        <f ca="1">Data_Completeness(LifeExpectancyData[[#This Row],[Life expectancy]:[Schooling]])</f>
        <v>#NAME?</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e">
        <f ca="1">Data_Completeness(LifeExpectancyData[[#This Row],[Life expectancy]:[Schooling]])</f>
        <v>#NAME?</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e">
        <f ca="1">Data_Completeness(LifeExpectancyData[[#This Row],[Life expectancy]:[Schooling]])</f>
        <v>#NAME?</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e">
        <f ca="1">Data_Completeness(LifeExpectancyData[[#This Row],[Life expectancy]:[Schooling]])</f>
        <v>#NAME?</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e">
        <f ca="1">Data_Completeness(LifeExpectancyData[[#This Row],[Life expectancy]:[Schooling]])</f>
        <v>#NAME?</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e">
        <f ca="1">Data_Completeness(LifeExpectancyData[[#This Row],[Life expectancy]:[Schooling]])</f>
        <v>#NAME?</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e">
        <f ca="1">Data_Completeness(LifeExpectancyData[[#This Row],[Life expectancy]:[Schooling]])</f>
        <v>#NAME?</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e">
        <f ca="1">Data_Completeness(LifeExpectancyData[[#This Row],[Life expectancy]:[Schooling]])</f>
        <v>#NAME?</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e">
        <f ca="1">Data_Completeness(LifeExpectancyData[[#This Row],[Life expectancy]:[Schooling]])</f>
        <v>#NAME?</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e">
        <f ca="1">Data_Completeness(LifeExpectancyData[[#This Row],[Life expectancy]:[Schooling]])</f>
        <v>#NAME?</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e">
        <f ca="1">Data_Completeness(LifeExpectancyData[[#This Row],[Life expectancy]:[Schooling]])</f>
        <v>#NAME?</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e">
        <f ca="1">Data_Completeness(LifeExpectancyData[[#This Row],[Life expectancy]:[Schooling]])</f>
        <v>#NAME?</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e">
        <f ca="1">Data_Completeness(LifeExpectancyData[[#This Row],[Life expectancy]:[Schooling]])</f>
        <v>#NAME?</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e">
        <f ca="1">Data_Completeness(LifeExpectancyData[[#This Row],[Life expectancy]:[Schooling]])</f>
        <v>#NAME?</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e">
        <f ca="1">Data_Completeness(LifeExpectancyData[[#This Row],[Life expectancy]:[Schooling]])</f>
        <v>#NAME?</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e">
        <f ca="1">Data_Completeness(LifeExpectancyData[[#This Row],[Life expectancy]:[Schooling]])</f>
        <v>#NAME?</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e">
        <f ca="1">Data_Completeness(LifeExpectancyData[[#This Row],[Life expectancy]:[Schooling]])</f>
        <v>#NAME?</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e">
        <f ca="1">Data_Completeness(LifeExpectancyData[[#This Row],[Life expectancy]:[Schooling]])</f>
        <v>#NAME?</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e">
        <f ca="1">Data_Completeness(LifeExpectancyData[[#This Row],[Life expectancy]:[Schooling]])</f>
        <v>#NAME?</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e">
        <f ca="1">Data_Completeness(LifeExpectancyData[[#This Row],[Life expectancy]:[Schooling]])</f>
        <v>#NAME?</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e">
        <f ca="1">Data_Completeness(LifeExpectancyData[[#This Row],[Life expectancy]:[Schooling]])</f>
        <v>#NAME?</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e">
        <f ca="1">Data_Completeness(LifeExpectancyData[[#This Row],[Life expectancy]:[Schooling]])</f>
        <v>#NAME?</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e">
        <f ca="1">Data_Completeness(LifeExpectancyData[[#This Row],[Life expectancy]:[Schooling]])</f>
        <v>#NAME?</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e">
        <f ca="1">Data_Completeness(LifeExpectancyData[[#This Row],[Life expectancy]:[Schooling]])</f>
        <v>#NAME?</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e">
        <f ca="1">Data_Completeness(LifeExpectancyData[[#This Row],[Life expectancy]:[Schooling]])</f>
        <v>#NAME?</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e">
        <f ca="1">Data_Completeness(LifeExpectancyData[[#This Row],[Life expectancy]:[Schooling]])</f>
        <v>#NAME?</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e">
        <f ca="1">Data_Completeness(LifeExpectancyData[[#This Row],[Life expectancy]:[Schooling]])</f>
        <v>#NAME?</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e">
        <f ca="1">Data_Completeness(LifeExpectancyData[[#This Row],[Life expectancy]:[Schooling]])</f>
        <v>#NAME?</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e">
        <f ca="1">Data_Completeness(LifeExpectancyData[[#This Row],[Life expectancy]:[Schooling]])</f>
        <v>#NAME?</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e">
        <f ca="1">Data_Completeness(LifeExpectancyData[[#This Row],[Life expectancy]:[Schooling]])</f>
        <v>#NAME?</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e">
        <f ca="1">Data_Completeness(LifeExpectancyData[[#This Row],[Life expectancy]:[Schooling]])</f>
        <v>#NAME?</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e">
        <f ca="1">Data_Completeness(LifeExpectancyData[[#This Row],[Life expectancy]:[Schooling]])</f>
        <v>#NAME?</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e">
        <f ca="1">Data_Completeness(LifeExpectancyData[[#This Row],[Life expectancy]:[Schooling]])</f>
        <v>#NAME?</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e">
        <f ca="1">Data_Completeness(LifeExpectancyData[[#This Row],[Life expectancy]:[Schooling]])</f>
        <v>#NAME?</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e">
        <f ca="1">Data_Completeness(LifeExpectancyData[[#This Row],[Life expectancy]:[Schooling]])</f>
        <v>#NAME?</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e">
        <f ca="1">Data_Completeness(LifeExpectancyData[[#This Row],[Life expectancy]:[Schooling]])</f>
        <v>#NAME?</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e">
        <f ca="1">Data_Completeness(LifeExpectancyData[[#This Row],[Life expectancy]:[Schooling]])</f>
        <v>#NAME?</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e">
        <f ca="1">Data_Completeness(LifeExpectancyData[[#This Row],[Life expectancy]:[Schooling]])</f>
        <v>#NAME?</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e">
        <f ca="1">Data_Completeness(LifeExpectancyData[[#This Row],[Life expectancy]:[Schooling]])</f>
        <v>#NAME?</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e">
        <f ca="1">Data_Completeness(LifeExpectancyData[[#This Row],[Life expectancy]:[Schooling]])</f>
        <v>#NAME?</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e">
        <f ca="1">Data_Completeness(LifeExpectancyData[[#This Row],[Life expectancy]:[Schooling]])</f>
        <v>#NAME?</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e">
        <f ca="1">Data_Completeness(LifeExpectancyData[[#This Row],[Life expectancy]:[Schooling]])</f>
        <v>#NAME?</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e">
        <f ca="1">Data_Completeness(LifeExpectancyData[[#This Row],[Life expectancy]:[Schooling]])</f>
        <v>#NAME?</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e">
        <f ca="1">Data_Completeness(LifeExpectancyData[[#This Row],[Life expectancy]:[Schooling]])</f>
        <v>#NAME?</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e">
        <f ca="1">Data_Completeness(LifeExpectancyData[[#This Row],[Life expectancy]:[Schooling]])</f>
        <v>#NAME?</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e">
        <f ca="1">Data_Completeness(LifeExpectancyData[[#This Row],[Life expectancy]:[Schooling]])</f>
        <v>#NAME?</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e">
        <f ca="1">Data_Completeness(LifeExpectancyData[[#This Row],[Life expectancy]:[Schooling]])</f>
        <v>#NAME?</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e">
        <f ca="1">Data_Completeness(LifeExpectancyData[[#This Row],[Life expectancy]:[Schooling]])</f>
        <v>#NAME?</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e">
        <f ca="1">Data_Completeness(LifeExpectancyData[[#This Row],[Life expectancy]:[Schooling]])</f>
        <v>#NAME?</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e">
        <f ca="1">Data_Completeness(LifeExpectancyData[[#This Row],[Life expectancy]:[Schooling]])</f>
        <v>#NAME?</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e">
        <f ca="1">Data_Completeness(LifeExpectancyData[[#This Row],[Life expectancy]:[Schooling]])</f>
        <v>#NAME?</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e">
        <f ca="1">Data_Completeness(LifeExpectancyData[[#This Row],[Life expectancy]:[Schooling]])</f>
        <v>#NAME?</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e">
        <f ca="1">Data_Completeness(LifeExpectancyData[[#This Row],[Life expectancy]:[Schooling]])</f>
        <v>#NAME?</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e">
        <f ca="1">Data_Completeness(LifeExpectancyData[[#This Row],[Life expectancy]:[Schooling]])</f>
        <v>#NAME?</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e">
        <f ca="1">Data_Completeness(LifeExpectancyData[[#This Row],[Life expectancy]:[Schooling]])</f>
        <v>#NAME?</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e">
        <f ca="1">Data_Completeness(LifeExpectancyData[[#This Row],[Life expectancy]:[Schooling]])</f>
        <v>#NAME?</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e">
        <f ca="1">Data_Completeness(LifeExpectancyData[[#This Row],[Life expectancy]:[Schooling]])</f>
        <v>#NAME?</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e">
        <f ca="1">Data_Completeness(LifeExpectancyData[[#This Row],[Life expectancy]:[Schooling]])</f>
        <v>#NAME?</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e">
        <f ca="1">Data_Completeness(LifeExpectancyData[[#This Row],[Life expectancy]:[Schooling]])</f>
        <v>#NAME?</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e">
        <f ca="1">Data_Completeness(LifeExpectancyData[[#This Row],[Life expectancy]:[Schooling]])</f>
        <v>#NAME?</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e">
        <f ca="1">Data_Completeness(LifeExpectancyData[[#This Row],[Life expectancy]:[Schooling]])</f>
        <v>#NAME?</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e">
        <f ca="1">Data_Completeness(LifeExpectancyData[[#This Row],[Life expectancy]:[Schooling]])</f>
        <v>#NAME?</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e">
        <f ca="1">Data_Completeness(LifeExpectancyData[[#This Row],[Life expectancy]:[Schooling]])</f>
        <v>#NAME?</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e">
        <f ca="1">Data_Completeness(LifeExpectancyData[[#This Row],[Life expectancy]:[Schooling]])</f>
        <v>#NAME?</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e">
        <f ca="1">Data_Completeness(LifeExpectancyData[[#This Row],[Life expectancy]:[Schooling]])</f>
        <v>#NAME?</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e">
        <f ca="1">Data_Completeness(LifeExpectancyData[[#This Row],[Life expectancy]:[Schooling]])</f>
        <v>#NAME?</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e">
        <f ca="1">Data_Completeness(LifeExpectancyData[[#This Row],[Life expectancy]:[Schooling]])</f>
        <v>#NAME?</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e">
        <f ca="1">Data_Completeness(LifeExpectancyData[[#This Row],[Life expectancy]:[Schooling]])</f>
        <v>#NAME?</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e">
        <f ca="1">Data_Completeness(LifeExpectancyData[[#This Row],[Life expectancy]:[Schooling]])</f>
        <v>#NAME?</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e">
        <f ca="1">Data_Completeness(LifeExpectancyData[[#This Row],[Life expectancy]:[Schooling]])</f>
        <v>#NAME?</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e">
        <f ca="1">Data_Completeness(LifeExpectancyData[[#This Row],[Life expectancy]:[Schooling]])</f>
        <v>#NAME?</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e">
        <f ca="1">Data_Completeness(LifeExpectancyData[[#This Row],[Life expectancy]:[Schooling]])</f>
        <v>#NAME?</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e">
        <f ca="1">Data_Completeness(LifeExpectancyData[[#This Row],[Life expectancy]:[Schooling]])</f>
        <v>#NAME?</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e">
        <f ca="1">Data_Completeness(LifeExpectancyData[[#This Row],[Life expectancy]:[Schooling]])</f>
        <v>#NAME?</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e">
        <f ca="1">Data_Completeness(LifeExpectancyData[[#This Row],[Life expectancy]:[Schooling]])</f>
        <v>#NAME?</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e">
        <f ca="1">Data_Completeness(LifeExpectancyData[[#This Row],[Life expectancy]:[Schooling]])</f>
        <v>#NAME?</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e">
        <f ca="1">Data_Completeness(LifeExpectancyData[[#This Row],[Life expectancy]:[Schooling]])</f>
        <v>#NAME?</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e">
        <f ca="1">Data_Completeness(LifeExpectancyData[[#This Row],[Life expectancy]:[Schooling]])</f>
        <v>#NAME?</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e">
        <f ca="1">Data_Completeness(LifeExpectancyData[[#This Row],[Life expectancy]:[Schooling]])</f>
        <v>#NAME?</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e">
        <f ca="1">Data_Completeness(LifeExpectancyData[[#This Row],[Life expectancy]:[Schooling]])</f>
        <v>#NAME?</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e">
        <f ca="1">Data_Completeness(LifeExpectancyData[[#This Row],[Life expectancy]:[Schooling]])</f>
        <v>#NAME?</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e">
        <f ca="1">Data_Completeness(LifeExpectancyData[[#This Row],[Life expectancy]:[Schooling]])</f>
        <v>#NAME?</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e">
        <f ca="1">Data_Completeness(LifeExpectancyData[[#This Row],[Life expectancy]:[Schooling]])</f>
        <v>#NAME?</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e">
        <f ca="1">Data_Completeness(LifeExpectancyData[[#This Row],[Life expectancy]:[Schooling]])</f>
        <v>#NAME?</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e">
        <f ca="1">Data_Completeness(LifeExpectancyData[[#This Row],[Life expectancy]:[Schooling]])</f>
        <v>#NAME?</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e">
        <f ca="1">Data_Completeness(LifeExpectancyData[[#This Row],[Life expectancy]:[Schooling]])</f>
        <v>#NAME?</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e">
        <f ca="1">Data_Completeness(LifeExpectancyData[[#This Row],[Life expectancy]:[Schooling]])</f>
        <v>#NAME?</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e">
        <f ca="1">Data_Completeness(LifeExpectancyData[[#This Row],[Life expectancy]:[Schooling]])</f>
        <v>#NAME?</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e">
        <f ca="1">Data_Completeness(LifeExpectancyData[[#This Row],[Life expectancy]:[Schooling]])</f>
        <v>#NAME?</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e">
        <f ca="1">Data_Completeness(LifeExpectancyData[[#This Row],[Life expectancy]:[Schooling]])</f>
        <v>#NAME?</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e">
        <f ca="1">Data_Completeness(LifeExpectancyData[[#This Row],[Life expectancy]:[Schooling]])</f>
        <v>#NAME?</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e">
        <f ca="1">Data_Completeness(LifeExpectancyData[[#This Row],[Life expectancy]:[Schooling]])</f>
        <v>#NAME?</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e">
        <f ca="1">Data_Completeness(LifeExpectancyData[[#This Row],[Life expectancy]:[Schooling]])</f>
        <v>#NAME?</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e">
        <f ca="1">Data_Completeness(LifeExpectancyData[[#This Row],[Life expectancy]:[Schooling]])</f>
        <v>#NAME?</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e">
        <f ca="1">Data_Completeness(LifeExpectancyData[[#This Row],[Life expectancy]:[Schooling]])</f>
        <v>#NAME?</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e">
        <f ca="1">Data_Completeness(LifeExpectancyData[[#This Row],[Life expectancy]:[Schooling]])</f>
        <v>#NAME?</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e">
        <f ca="1">Data_Completeness(LifeExpectancyData[[#This Row],[Life expectancy]:[Schooling]])</f>
        <v>#NAME?</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e">
        <f ca="1">Data_Completeness(LifeExpectancyData[[#This Row],[Life expectancy]:[Schooling]])</f>
        <v>#NAME?</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e">
        <f ca="1">Data_Completeness(LifeExpectancyData[[#This Row],[Life expectancy]:[Schooling]])</f>
        <v>#NAME?</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e">
        <f ca="1">Data_Completeness(LifeExpectancyData[[#This Row],[Life expectancy]:[Schooling]])</f>
        <v>#NAME?</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e">
        <f ca="1">Data_Completeness(LifeExpectancyData[[#This Row],[Life expectancy]:[Schooling]])</f>
        <v>#NAME?</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e">
        <f ca="1">Data_Completeness(LifeExpectancyData[[#This Row],[Life expectancy]:[Schooling]])</f>
        <v>#NAME?</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e">
        <f ca="1">Data_Completeness(LifeExpectancyData[[#This Row],[Life expectancy]:[Schooling]])</f>
        <v>#NAME?</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e">
        <f ca="1">Data_Completeness(LifeExpectancyData[[#This Row],[Life expectancy]:[Schooling]])</f>
        <v>#NAME?</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e">
        <f ca="1">Data_Completeness(LifeExpectancyData[[#This Row],[Life expectancy]:[Schooling]])</f>
        <v>#NAME?</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e">
        <f ca="1">Data_Completeness(LifeExpectancyData[[#This Row],[Life expectancy]:[Schooling]])</f>
        <v>#NAME?</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e">
        <f ca="1">Data_Completeness(LifeExpectancyData[[#This Row],[Life expectancy]:[Schooling]])</f>
        <v>#NAME?</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e">
        <f ca="1">Data_Completeness(LifeExpectancyData[[#This Row],[Life expectancy]:[Schooling]])</f>
        <v>#NAME?</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e">
        <f ca="1">Data_Completeness(LifeExpectancyData[[#This Row],[Life expectancy]:[Schooling]])</f>
        <v>#NAME?</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e">
        <f ca="1">Data_Completeness(LifeExpectancyData[[#This Row],[Life expectancy]:[Schooling]])</f>
        <v>#NAME?</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e">
        <f ca="1">Data_Completeness(LifeExpectancyData[[#This Row],[Life expectancy]:[Schooling]])</f>
        <v>#NAME?</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e">
        <f ca="1">Data_Completeness(LifeExpectancyData[[#This Row],[Life expectancy]:[Schooling]])</f>
        <v>#NAME?</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e">
        <f ca="1">Data_Completeness(LifeExpectancyData[[#This Row],[Life expectancy]:[Schooling]])</f>
        <v>#NAME?</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e">
        <f ca="1">Data_Completeness(LifeExpectancyData[[#This Row],[Life expectancy]:[Schooling]])</f>
        <v>#NAME?</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e">
        <f ca="1">Data_Completeness(LifeExpectancyData[[#This Row],[Life expectancy]:[Schooling]])</f>
        <v>#NAME?</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e">
        <f ca="1">Data_Completeness(LifeExpectancyData[[#This Row],[Life expectancy]:[Schooling]])</f>
        <v>#NAME?</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e">
        <f ca="1">Data_Completeness(LifeExpectancyData[[#This Row],[Life expectancy]:[Schooling]])</f>
        <v>#NAME?</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e">
        <f ca="1">Data_Completeness(LifeExpectancyData[[#This Row],[Life expectancy]:[Schooling]])</f>
        <v>#NAME?</v>
      </c>
    </row>
    <row r="1717" spans="1:23" x14ac:dyDescent="0.25">
      <c r="A1717" t="s">
        <v>566</v>
      </c>
      <c r="B1717">
        <v>2013</v>
      </c>
      <c r="C1717" t="s">
        <v>455</v>
      </c>
      <c r="F1717">
        <v>0</v>
      </c>
      <c r="G1717">
        <v>0.01</v>
      </c>
      <c r="H1717">
        <v>0</v>
      </c>
      <c r="I1717">
        <v>99</v>
      </c>
      <c r="J1717">
        <v>0</v>
      </c>
      <c r="L1717">
        <v>0</v>
      </c>
      <c r="M1717">
        <v>99</v>
      </c>
      <c r="N1717">
        <v>4.3</v>
      </c>
      <c r="O1717">
        <v>99</v>
      </c>
      <c r="P1717">
        <v>0.1</v>
      </c>
      <c r="W1717" t="e">
        <f ca="1">Data_Completeness(LifeExpectancyData[[#This Row],[Life expectancy]:[Schooling]])</f>
        <v>#NAME?</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e">
        <f ca="1">Data_Completeness(LifeExpectancyData[[#This Row],[Life expectancy]:[Schooling]])</f>
        <v>#NAME?</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e">
        <f ca="1">Data_Completeness(LifeExpectancyData[[#This Row],[Life expectancy]:[Schooling]])</f>
        <v>#NAME?</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e">
        <f ca="1">Data_Completeness(LifeExpectancyData[[#This Row],[Life expectancy]:[Schooling]])</f>
        <v>#NAME?</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e">
        <f ca="1">Data_Completeness(LifeExpectancyData[[#This Row],[Life expectancy]:[Schooling]])</f>
        <v>#NAME?</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e">
        <f ca="1">Data_Completeness(LifeExpectancyData[[#This Row],[Life expectancy]:[Schooling]])</f>
        <v>#NAME?</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e">
        <f ca="1">Data_Completeness(LifeExpectancyData[[#This Row],[Life expectancy]:[Schooling]])</f>
        <v>#NAME?</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e">
        <f ca="1">Data_Completeness(LifeExpectancyData[[#This Row],[Life expectancy]:[Schooling]])</f>
        <v>#NAME?</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e">
        <f ca="1">Data_Completeness(LifeExpectancyData[[#This Row],[Life expectancy]:[Schooling]])</f>
        <v>#NAME?</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e">
        <f ca="1">Data_Completeness(LifeExpectancyData[[#This Row],[Life expectancy]:[Schooling]])</f>
        <v>#NAME?</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e">
        <f ca="1">Data_Completeness(LifeExpectancyData[[#This Row],[Life expectancy]:[Schooling]])</f>
        <v>#NAME?</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e">
        <f ca="1">Data_Completeness(LifeExpectancyData[[#This Row],[Life expectancy]:[Schooling]])</f>
        <v>#NAME?</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e">
        <f ca="1">Data_Completeness(LifeExpectancyData[[#This Row],[Life expectancy]:[Schooling]])</f>
        <v>#NAME?</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e">
        <f ca="1">Data_Completeness(LifeExpectancyData[[#This Row],[Life expectancy]:[Schooling]])</f>
        <v>#NAME?</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e">
        <f ca="1">Data_Completeness(LifeExpectancyData[[#This Row],[Life expectancy]:[Schooling]])</f>
        <v>#NAME?</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e">
        <f ca="1">Data_Completeness(LifeExpectancyData[[#This Row],[Life expectancy]:[Schooling]])</f>
        <v>#NAME?</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e">
        <f ca="1">Data_Completeness(LifeExpectancyData[[#This Row],[Life expectancy]:[Schooling]])</f>
        <v>#NAME?</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e">
        <f ca="1">Data_Completeness(LifeExpectancyData[[#This Row],[Life expectancy]:[Schooling]])</f>
        <v>#NAME?</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e">
        <f ca="1">Data_Completeness(LifeExpectancyData[[#This Row],[Life expectancy]:[Schooling]])</f>
        <v>#NAME?</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e">
        <f ca="1">Data_Completeness(LifeExpectancyData[[#This Row],[Life expectancy]:[Schooling]])</f>
        <v>#NAME?</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e">
        <f ca="1">Data_Completeness(LifeExpectancyData[[#This Row],[Life expectancy]:[Schooling]])</f>
        <v>#NAME?</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e">
        <f ca="1">Data_Completeness(LifeExpectancyData[[#This Row],[Life expectancy]:[Schooling]])</f>
        <v>#NAME?</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e">
        <f ca="1">Data_Completeness(LifeExpectancyData[[#This Row],[Life expectancy]:[Schooling]])</f>
        <v>#NAME?</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e">
        <f ca="1">Data_Completeness(LifeExpectancyData[[#This Row],[Life expectancy]:[Schooling]])</f>
        <v>#NAME?</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e">
        <f ca="1">Data_Completeness(LifeExpectancyData[[#This Row],[Life expectancy]:[Schooling]])</f>
        <v>#NAME?</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e">
        <f ca="1">Data_Completeness(LifeExpectancyData[[#This Row],[Life expectancy]:[Schooling]])</f>
        <v>#NAME?</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e">
        <f ca="1">Data_Completeness(LifeExpectancyData[[#This Row],[Life expectancy]:[Schooling]])</f>
        <v>#NAME?</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e">
        <f ca="1">Data_Completeness(LifeExpectancyData[[#This Row],[Life expectancy]:[Schooling]])</f>
        <v>#NAME?</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e">
        <f ca="1">Data_Completeness(LifeExpectancyData[[#This Row],[Life expectancy]:[Schooling]])</f>
        <v>#NAME?</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e">
        <f ca="1">Data_Completeness(LifeExpectancyData[[#This Row],[Life expectancy]:[Schooling]])</f>
        <v>#NAME?</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e">
        <f ca="1">Data_Completeness(LifeExpectancyData[[#This Row],[Life expectancy]:[Schooling]])</f>
        <v>#NAME?</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e">
        <f ca="1">Data_Completeness(LifeExpectancyData[[#This Row],[Life expectancy]:[Schooling]])</f>
        <v>#NAME?</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e">
        <f ca="1">Data_Completeness(LifeExpectancyData[[#This Row],[Life expectancy]:[Schooling]])</f>
        <v>#NAME?</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e">
        <f ca="1">Data_Completeness(LifeExpectancyData[[#This Row],[Life expectancy]:[Schooling]])</f>
        <v>#NAME?</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e">
        <f ca="1">Data_Completeness(LifeExpectancyData[[#This Row],[Life expectancy]:[Schooling]])</f>
        <v>#NAME?</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e">
        <f ca="1">Data_Completeness(LifeExpectancyData[[#This Row],[Life expectancy]:[Schooling]])</f>
        <v>#NAME?</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e">
        <f ca="1">Data_Completeness(LifeExpectancyData[[#This Row],[Life expectancy]:[Schooling]])</f>
        <v>#NAME?</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e">
        <f ca="1">Data_Completeness(LifeExpectancyData[[#This Row],[Life expectancy]:[Schooling]])</f>
        <v>#NAME?</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e">
        <f ca="1">Data_Completeness(LifeExpectancyData[[#This Row],[Life expectancy]:[Schooling]])</f>
        <v>#NAME?</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e">
        <f ca="1">Data_Completeness(LifeExpectancyData[[#This Row],[Life expectancy]:[Schooling]])</f>
        <v>#NAME?</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e">
        <f ca="1">Data_Completeness(LifeExpectancyData[[#This Row],[Life expectancy]:[Schooling]])</f>
        <v>#NAME?</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e">
        <f ca="1">Data_Completeness(LifeExpectancyData[[#This Row],[Life expectancy]:[Schooling]])</f>
        <v>#NAME?</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e">
        <f ca="1">Data_Completeness(LifeExpectancyData[[#This Row],[Life expectancy]:[Schooling]])</f>
        <v>#NAME?</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e">
        <f ca="1">Data_Completeness(LifeExpectancyData[[#This Row],[Life expectancy]:[Schooling]])</f>
        <v>#NAME?</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e">
        <f ca="1">Data_Completeness(LifeExpectancyData[[#This Row],[Life expectancy]:[Schooling]])</f>
        <v>#NAME?</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e">
        <f ca="1">Data_Completeness(LifeExpectancyData[[#This Row],[Life expectancy]:[Schooling]])</f>
        <v>#NAME?</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e">
        <f ca="1">Data_Completeness(LifeExpectancyData[[#This Row],[Life expectancy]:[Schooling]])</f>
        <v>#NAME?</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e">
        <f ca="1">Data_Completeness(LifeExpectancyData[[#This Row],[Life expectancy]:[Schooling]])</f>
        <v>#NAME?</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e">
        <f ca="1">Data_Completeness(LifeExpectancyData[[#This Row],[Life expectancy]:[Schooling]])</f>
        <v>#NAME?</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e">
        <f ca="1">Data_Completeness(LifeExpectancyData[[#This Row],[Life expectancy]:[Schooling]])</f>
        <v>#NAME?</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e">
        <f ca="1">Data_Completeness(LifeExpectancyData[[#This Row],[Life expectancy]:[Schooling]])</f>
        <v>#NAME?</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e">
        <f ca="1">Data_Completeness(LifeExpectancyData[[#This Row],[Life expectancy]:[Schooling]])</f>
        <v>#NAME?</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e">
        <f ca="1">Data_Completeness(LifeExpectancyData[[#This Row],[Life expectancy]:[Schooling]])</f>
        <v>#NAME?</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e">
        <f ca="1">Data_Completeness(LifeExpectancyData[[#This Row],[Life expectancy]:[Schooling]])</f>
        <v>#NAME?</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e">
        <f ca="1">Data_Completeness(LifeExpectancyData[[#This Row],[Life expectancy]:[Schooling]])</f>
        <v>#NAME?</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e">
        <f ca="1">Data_Completeness(LifeExpectancyData[[#This Row],[Life expectancy]:[Schooling]])</f>
        <v>#NAME?</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e">
        <f ca="1">Data_Completeness(LifeExpectancyData[[#This Row],[Life expectancy]:[Schooling]])</f>
        <v>#NAME?</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e">
        <f ca="1">Data_Completeness(LifeExpectancyData[[#This Row],[Life expectancy]:[Schooling]])</f>
        <v>#NAME?</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e">
        <f ca="1">Data_Completeness(LifeExpectancyData[[#This Row],[Life expectancy]:[Schooling]])</f>
        <v>#NAME?</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e">
        <f ca="1">Data_Completeness(LifeExpectancyData[[#This Row],[Life expectancy]:[Schooling]])</f>
        <v>#NAME?</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e">
        <f ca="1">Data_Completeness(LifeExpectancyData[[#This Row],[Life expectancy]:[Schooling]])</f>
        <v>#NAME?</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e">
        <f ca="1">Data_Completeness(LifeExpectancyData[[#This Row],[Life expectancy]:[Schooling]])</f>
        <v>#NAME?</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e">
        <f ca="1">Data_Completeness(LifeExpectancyData[[#This Row],[Life expectancy]:[Schooling]])</f>
        <v>#NAME?</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e">
        <f ca="1">Data_Completeness(LifeExpectancyData[[#This Row],[Life expectancy]:[Schooling]])</f>
        <v>#NAME?</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e">
        <f ca="1">Data_Completeness(LifeExpectancyData[[#This Row],[Life expectancy]:[Schooling]])</f>
        <v>#NAME?</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e">
        <f ca="1">Data_Completeness(LifeExpectancyData[[#This Row],[Life expectancy]:[Schooling]])</f>
        <v>#NAME?</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e">
        <f ca="1">Data_Completeness(LifeExpectancyData[[#This Row],[Life expectancy]:[Schooling]])</f>
        <v>#NAME?</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e">
        <f ca="1">Data_Completeness(LifeExpectancyData[[#This Row],[Life expectancy]:[Schooling]])</f>
        <v>#NAME?</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e">
        <f ca="1">Data_Completeness(LifeExpectancyData[[#This Row],[Life expectancy]:[Schooling]])</f>
        <v>#NAME?</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e">
        <f ca="1">Data_Completeness(LifeExpectancyData[[#This Row],[Life expectancy]:[Schooling]])</f>
        <v>#NAME?</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e">
        <f ca="1">Data_Completeness(LifeExpectancyData[[#This Row],[Life expectancy]:[Schooling]])</f>
        <v>#NAME?</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e">
        <f ca="1">Data_Completeness(LifeExpectancyData[[#This Row],[Life expectancy]:[Schooling]])</f>
        <v>#NAME?</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e">
        <f ca="1">Data_Completeness(LifeExpectancyData[[#This Row],[Life expectancy]:[Schooling]])</f>
        <v>#NAME?</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e">
        <f ca="1">Data_Completeness(LifeExpectancyData[[#This Row],[Life expectancy]:[Schooling]])</f>
        <v>#NAME?</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e">
        <f ca="1">Data_Completeness(LifeExpectancyData[[#This Row],[Life expectancy]:[Schooling]])</f>
        <v>#NAME?</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e">
        <f ca="1">Data_Completeness(LifeExpectancyData[[#This Row],[Life expectancy]:[Schooling]])</f>
        <v>#NAME?</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e">
        <f ca="1">Data_Completeness(LifeExpectancyData[[#This Row],[Life expectancy]:[Schooling]])</f>
        <v>#NAME?</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e">
        <f ca="1">Data_Completeness(LifeExpectancyData[[#This Row],[Life expectancy]:[Schooling]])</f>
        <v>#NAME?</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e">
        <f ca="1">Data_Completeness(LifeExpectancyData[[#This Row],[Life expectancy]:[Schooling]])</f>
        <v>#NAME?</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e">
        <f ca="1">Data_Completeness(LifeExpectancyData[[#This Row],[Life expectancy]:[Schooling]])</f>
        <v>#NAME?</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e">
        <f ca="1">Data_Completeness(LifeExpectancyData[[#This Row],[Life expectancy]:[Schooling]])</f>
        <v>#NAME?</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e">
        <f ca="1">Data_Completeness(LifeExpectancyData[[#This Row],[Life expectancy]:[Schooling]])</f>
        <v>#NAME?</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e">
        <f ca="1">Data_Completeness(LifeExpectancyData[[#This Row],[Life expectancy]:[Schooling]])</f>
        <v>#NAME?</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e">
        <f ca="1">Data_Completeness(LifeExpectancyData[[#This Row],[Life expectancy]:[Schooling]])</f>
        <v>#NAME?</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e">
        <f ca="1">Data_Completeness(LifeExpectancyData[[#This Row],[Life expectancy]:[Schooling]])</f>
        <v>#NAME?</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e">
        <f ca="1">Data_Completeness(LifeExpectancyData[[#This Row],[Life expectancy]:[Schooling]])</f>
        <v>#NAME?</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e">
        <f ca="1">Data_Completeness(LifeExpectancyData[[#This Row],[Life expectancy]:[Schooling]])</f>
        <v>#NAME?</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e">
        <f ca="1">Data_Completeness(LifeExpectancyData[[#This Row],[Life expectancy]:[Schooling]])</f>
        <v>#NAME?</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e">
        <f ca="1">Data_Completeness(LifeExpectancyData[[#This Row],[Life expectancy]:[Schooling]])</f>
        <v>#NAME?</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e">
        <f ca="1">Data_Completeness(LifeExpectancyData[[#This Row],[Life expectancy]:[Schooling]])</f>
        <v>#NAME?</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e">
        <f ca="1">Data_Completeness(LifeExpectancyData[[#This Row],[Life expectancy]:[Schooling]])</f>
        <v>#NAME?</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e">
        <f ca="1">Data_Completeness(LifeExpectancyData[[#This Row],[Life expectancy]:[Schooling]])</f>
        <v>#NAME?</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e">
        <f ca="1">Data_Completeness(LifeExpectancyData[[#This Row],[Life expectancy]:[Schooling]])</f>
        <v>#NAME?</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e">
        <f ca="1">Data_Completeness(LifeExpectancyData[[#This Row],[Life expectancy]:[Schooling]])</f>
        <v>#NAME?</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e">
        <f ca="1">Data_Completeness(LifeExpectancyData[[#This Row],[Life expectancy]:[Schooling]])</f>
        <v>#NAME?</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e">
        <f ca="1">Data_Completeness(LifeExpectancyData[[#This Row],[Life expectancy]:[Schooling]])</f>
        <v>#NAME?</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e">
        <f ca="1">Data_Completeness(LifeExpectancyData[[#This Row],[Life expectancy]:[Schooling]])</f>
        <v>#NAME?</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e">
        <f ca="1">Data_Completeness(LifeExpectancyData[[#This Row],[Life expectancy]:[Schooling]])</f>
        <v>#NAME?</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e">
        <f ca="1">Data_Completeness(LifeExpectancyData[[#This Row],[Life expectancy]:[Schooling]])</f>
        <v>#NAME?</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e">
        <f ca="1">Data_Completeness(LifeExpectancyData[[#This Row],[Life expectancy]:[Schooling]])</f>
        <v>#NAME?</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e">
        <f ca="1">Data_Completeness(LifeExpectancyData[[#This Row],[Life expectancy]:[Schooling]])</f>
        <v>#NAME?</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e">
        <f ca="1">Data_Completeness(LifeExpectancyData[[#This Row],[Life expectancy]:[Schooling]])</f>
        <v>#NAME?</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e">
        <f ca="1">Data_Completeness(LifeExpectancyData[[#This Row],[Life expectancy]:[Schooling]])</f>
        <v>#NAME?</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e">
        <f ca="1">Data_Completeness(LifeExpectancyData[[#This Row],[Life expectancy]:[Schooling]])</f>
        <v>#NAME?</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e">
        <f ca="1">Data_Completeness(LifeExpectancyData[[#This Row],[Life expectancy]:[Schooling]])</f>
        <v>#NAME?</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e">
        <f ca="1">Data_Completeness(LifeExpectancyData[[#This Row],[Life expectancy]:[Schooling]])</f>
        <v>#NAME?</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e">
        <f ca="1">Data_Completeness(LifeExpectancyData[[#This Row],[Life expectancy]:[Schooling]])</f>
        <v>#NAME?</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e">
        <f ca="1">Data_Completeness(LifeExpectancyData[[#This Row],[Life expectancy]:[Schooling]])</f>
        <v>#NAME?</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e">
        <f ca="1">Data_Completeness(LifeExpectancyData[[#This Row],[Life expectancy]:[Schooling]])</f>
        <v>#NAME?</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e">
        <f ca="1">Data_Completeness(LifeExpectancyData[[#This Row],[Life expectancy]:[Schooling]])</f>
        <v>#NAME?</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e">
        <f ca="1">Data_Completeness(LifeExpectancyData[[#This Row],[Life expectancy]:[Schooling]])</f>
        <v>#NAME?</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e">
        <f ca="1">Data_Completeness(LifeExpectancyData[[#This Row],[Life expectancy]:[Schooling]])</f>
        <v>#NAME?</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e">
        <f ca="1">Data_Completeness(LifeExpectancyData[[#This Row],[Life expectancy]:[Schooling]])</f>
        <v>#NAME?</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e">
        <f ca="1">Data_Completeness(LifeExpectancyData[[#This Row],[Life expectancy]:[Schooling]])</f>
        <v>#NAME?</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e">
        <f ca="1">Data_Completeness(LifeExpectancyData[[#This Row],[Life expectancy]:[Schooling]])</f>
        <v>#NAME?</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e">
        <f ca="1">Data_Completeness(LifeExpectancyData[[#This Row],[Life expectancy]:[Schooling]])</f>
        <v>#NAME?</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e">
        <f ca="1">Data_Completeness(LifeExpectancyData[[#This Row],[Life expectancy]:[Schooling]])</f>
        <v>#NAME?</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e">
        <f ca="1">Data_Completeness(LifeExpectancyData[[#This Row],[Life expectancy]:[Schooling]])</f>
        <v>#NAME?</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e">
        <f ca="1">Data_Completeness(LifeExpectancyData[[#This Row],[Life expectancy]:[Schooling]])</f>
        <v>#NAME?</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e">
        <f ca="1">Data_Completeness(LifeExpectancyData[[#This Row],[Life expectancy]:[Schooling]])</f>
        <v>#NAME?</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e">
        <f ca="1">Data_Completeness(LifeExpectancyData[[#This Row],[Life expectancy]:[Schooling]])</f>
        <v>#NAME?</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e">
        <f ca="1">Data_Completeness(LifeExpectancyData[[#This Row],[Life expectancy]:[Schooling]])</f>
        <v>#NAME?</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e">
        <f ca="1">Data_Completeness(LifeExpectancyData[[#This Row],[Life expectancy]:[Schooling]])</f>
        <v>#NAME?</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e">
        <f ca="1">Data_Completeness(LifeExpectancyData[[#This Row],[Life expectancy]:[Schooling]])</f>
        <v>#NAME?</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e">
        <f ca="1">Data_Completeness(LifeExpectancyData[[#This Row],[Life expectancy]:[Schooling]])</f>
        <v>#NAME?</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e">
        <f ca="1">Data_Completeness(LifeExpectancyData[[#This Row],[Life expectancy]:[Schooling]])</f>
        <v>#NAME?</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e">
        <f ca="1">Data_Completeness(LifeExpectancyData[[#This Row],[Life expectancy]:[Schooling]])</f>
        <v>#NAME?</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e">
        <f ca="1">Data_Completeness(LifeExpectancyData[[#This Row],[Life expectancy]:[Schooling]])</f>
        <v>#NAME?</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e">
        <f ca="1">Data_Completeness(LifeExpectancyData[[#This Row],[Life expectancy]:[Schooling]])</f>
        <v>#NAME?</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e">
        <f ca="1">Data_Completeness(LifeExpectancyData[[#This Row],[Life expectancy]:[Schooling]])</f>
        <v>#NAME?</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e">
        <f ca="1">Data_Completeness(LifeExpectancyData[[#This Row],[Life expectancy]:[Schooling]])</f>
        <v>#NAME?</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e">
        <f ca="1">Data_Completeness(LifeExpectancyData[[#This Row],[Life expectancy]:[Schooling]])</f>
        <v>#NAME?</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e">
        <f ca="1">Data_Completeness(LifeExpectancyData[[#This Row],[Life expectancy]:[Schooling]])</f>
        <v>#NAME?</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e">
        <f ca="1">Data_Completeness(LifeExpectancyData[[#This Row],[Life expectancy]:[Schooling]])</f>
        <v>#NAME?</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e">
        <f ca="1">Data_Completeness(LifeExpectancyData[[#This Row],[Life expectancy]:[Schooling]])</f>
        <v>#NAME?</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e">
        <f ca="1">Data_Completeness(LifeExpectancyData[[#This Row],[Life expectancy]:[Schooling]])</f>
        <v>#NAME?</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e">
        <f ca="1">Data_Completeness(LifeExpectancyData[[#This Row],[Life expectancy]:[Schooling]])</f>
        <v>#NAME?</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e">
        <f ca="1">Data_Completeness(LifeExpectancyData[[#This Row],[Life expectancy]:[Schooling]])</f>
        <v>#NAME?</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e">
        <f ca="1">Data_Completeness(LifeExpectancyData[[#This Row],[Life expectancy]:[Schooling]])</f>
        <v>#NAME?</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e">
        <f ca="1">Data_Completeness(LifeExpectancyData[[#This Row],[Life expectancy]:[Schooling]])</f>
        <v>#NAME?</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e">
        <f ca="1">Data_Completeness(LifeExpectancyData[[#This Row],[Life expectancy]:[Schooling]])</f>
        <v>#NAME?</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e">
        <f ca="1">Data_Completeness(LifeExpectancyData[[#This Row],[Life expectancy]:[Schooling]])</f>
        <v>#NAME?</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e">
        <f ca="1">Data_Completeness(LifeExpectancyData[[#This Row],[Life expectancy]:[Schooling]])</f>
        <v>#NAME?</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e">
        <f ca="1">Data_Completeness(LifeExpectancyData[[#This Row],[Life expectancy]:[Schooling]])</f>
        <v>#NAME?</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e">
        <f ca="1">Data_Completeness(LifeExpectancyData[[#This Row],[Life expectancy]:[Schooling]])</f>
        <v>#NAME?</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e">
        <f ca="1">Data_Completeness(LifeExpectancyData[[#This Row],[Life expectancy]:[Schooling]])</f>
        <v>#NAME?</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e">
        <f ca="1">Data_Completeness(LifeExpectancyData[[#This Row],[Life expectancy]:[Schooling]])</f>
        <v>#NAME?</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e">
        <f ca="1">Data_Completeness(LifeExpectancyData[[#This Row],[Life expectancy]:[Schooling]])</f>
        <v>#NAME?</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e">
        <f ca="1">Data_Completeness(LifeExpectancyData[[#This Row],[Life expectancy]:[Schooling]])</f>
        <v>#NAME?</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e">
        <f ca="1">Data_Completeness(LifeExpectancyData[[#This Row],[Life expectancy]:[Schooling]])</f>
        <v>#NAME?</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e">
        <f ca="1">Data_Completeness(LifeExpectancyData[[#This Row],[Life expectancy]:[Schooling]])</f>
        <v>#NAME?</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e">
        <f ca="1">Data_Completeness(LifeExpectancyData[[#This Row],[Life expectancy]:[Schooling]])</f>
        <v>#NAME?</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e">
        <f ca="1">Data_Completeness(LifeExpectancyData[[#This Row],[Life expectancy]:[Schooling]])</f>
        <v>#NAME?</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e">
        <f ca="1">Data_Completeness(LifeExpectancyData[[#This Row],[Life expectancy]:[Schooling]])</f>
        <v>#NAME?</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e">
        <f ca="1">Data_Completeness(LifeExpectancyData[[#This Row],[Life expectancy]:[Schooling]])</f>
        <v>#NAME?</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e">
        <f ca="1">Data_Completeness(LifeExpectancyData[[#This Row],[Life expectancy]:[Schooling]])</f>
        <v>#NAME?</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e">
        <f ca="1">Data_Completeness(LifeExpectancyData[[#This Row],[Life expectancy]:[Schooling]])</f>
        <v>#NAME?</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e">
        <f ca="1">Data_Completeness(LifeExpectancyData[[#This Row],[Life expectancy]:[Schooling]])</f>
        <v>#NAME?</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e">
        <f ca="1">Data_Completeness(LifeExpectancyData[[#This Row],[Life expectancy]:[Schooling]])</f>
        <v>#NAME?</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e">
        <f ca="1">Data_Completeness(LifeExpectancyData[[#This Row],[Life expectancy]:[Schooling]])</f>
        <v>#NAME?</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e">
        <f ca="1">Data_Completeness(LifeExpectancyData[[#This Row],[Life expectancy]:[Schooling]])</f>
        <v>#NAME?</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e">
        <f ca="1">Data_Completeness(LifeExpectancyData[[#This Row],[Life expectancy]:[Schooling]])</f>
        <v>#NAME?</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e">
        <f ca="1">Data_Completeness(LifeExpectancyData[[#This Row],[Life expectancy]:[Schooling]])</f>
        <v>#NAME?</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e">
        <f ca="1">Data_Completeness(LifeExpectancyData[[#This Row],[Life expectancy]:[Schooling]])</f>
        <v>#NAME?</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e">
        <f ca="1">Data_Completeness(LifeExpectancyData[[#This Row],[Life expectancy]:[Schooling]])</f>
        <v>#NAME?</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e">
        <f ca="1">Data_Completeness(LifeExpectancyData[[#This Row],[Life expectancy]:[Schooling]])</f>
        <v>#NAME?</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e">
        <f ca="1">Data_Completeness(LifeExpectancyData[[#This Row],[Life expectancy]:[Schooling]])</f>
        <v>#NAME?</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e">
        <f ca="1">Data_Completeness(LifeExpectancyData[[#This Row],[Life expectancy]:[Schooling]])</f>
        <v>#NAME?</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e">
        <f ca="1">Data_Completeness(LifeExpectancyData[[#This Row],[Life expectancy]:[Schooling]])</f>
        <v>#NAME?</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e">
        <f ca="1">Data_Completeness(LifeExpectancyData[[#This Row],[Life expectancy]:[Schooling]])</f>
        <v>#NAME?</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e">
        <f ca="1">Data_Completeness(LifeExpectancyData[[#This Row],[Life expectancy]:[Schooling]])</f>
        <v>#NAME?</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e">
        <f ca="1">Data_Completeness(LifeExpectancyData[[#This Row],[Life expectancy]:[Schooling]])</f>
        <v>#NAME?</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e">
        <f ca="1">Data_Completeness(LifeExpectancyData[[#This Row],[Life expectancy]:[Schooling]])</f>
        <v>#NAME?</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e">
        <f ca="1">Data_Completeness(LifeExpectancyData[[#This Row],[Life expectancy]:[Schooling]])</f>
        <v>#NAME?</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e">
        <f ca="1">Data_Completeness(LifeExpectancyData[[#This Row],[Life expectancy]:[Schooling]])</f>
        <v>#NAME?</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e">
        <f ca="1">Data_Completeness(LifeExpectancyData[[#This Row],[Life expectancy]:[Schooling]])</f>
        <v>#NAME?</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e">
        <f ca="1">Data_Completeness(LifeExpectancyData[[#This Row],[Life expectancy]:[Schooling]])</f>
        <v>#NAME?</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e">
        <f ca="1">Data_Completeness(LifeExpectancyData[[#This Row],[Life expectancy]:[Schooling]])</f>
        <v>#NAME?</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e">
        <f ca="1">Data_Completeness(LifeExpectancyData[[#This Row],[Life expectancy]:[Schooling]])</f>
        <v>#NAME?</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e">
        <f ca="1">Data_Completeness(LifeExpectancyData[[#This Row],[Life expectancy]:[Schooling]])</f>
        <v>#NAME?</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e">
        <f ca="1">Data_Completeness(LifeExpectancyData[[#This Row],[Life expectancy]:[Schooling]])</f>
        <v>#NAME?</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e">
        <f ca="1">Data_Completeness(LifeExpectancyData[[#This Row],[Life expectancy]:[Schooling]])</f>
        <v>#NAME?</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e">
        <f ca="1">Data_Completeness(LifeExpectancyData[[#This Row],[Life expectancy]:[Schooling]])</f>
        <v>#NAME?</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e">
        <f ca="1">Data_Completeness(LifeExpectancyData[[#This Row],[Life expectancy]:[Schooling]])</f>
        <v>#NAME?</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e">
        <f ca="1">Data_Completeness(LifeExpectancyData[[#This Row],[Life expectancy]:[Schooling]])</f>
        <v>#NAME?</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e">
        <f ca="1">Data_Completeness(LifeExpectancyData[[#This Row],[Life expectancy]:[Schooling]])</f>
        <v>#NAME?</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e">
        <f ca="1">Data_Completeness(LifeExpectancyData[[#This Row],[Life expectancy]:[Schooling]])</f>
        <v>#NAME?</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e">
        <f ca="1">Data_Completeness(LifeExpectancyData[[#This Row],[Life expectancy]:[Schooling]])</f>
        <v>#NAME?</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e">
        <f ca="1">Data_Completeness(LifeExpectancyData[[#This Row],[Life expectancy]:[Schooling]])</f>
        <v>#NAME?</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e">
        <f ca="1">Data_Completeness(LifeExpectancyData[[#This Row],[Life expectancy]:[Schooling]])</f>
        <v>#NAME?</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e">
        <f ca="1">Data_Completeness(LifeExpectancyData[[#This Row],[Life expectancy]:[Schooling]])</f>
        <v>#NAME?</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e">
        <f ca="1">Data_Completeness(LifeExpectancyData[[#This Row],[Life expectancy]:[Schooling]])</f>
        <v>#NAME?</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e">
        <f ca="1">Data_Completeness(LifeExpectancyData[[#This Row],[Life expectancy]:[Schooling]])</f>
        <v>#NAME?</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e">
        <f ca="1">Data_Completeness(LifeExpectancyData[[#This Row],[Life expectancy]:[Schooling]])</f>
        <v>#NAME?</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e">
        <f ca="1">Data_Completeness(LifeExpectancyData[[#This Row],[Life expectancy]:[Schooling]])</f>
        <v>#NAME?</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e">
        <f ca="1">Data_Completeness(LifeExpectancyData[[#This Row],[Life expectancy]:[Schooling]])</f>
        <v>#NAME?</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e">
        <f ca="1">Data_Completeness(LifeExpectancyData[[#This Row],[Life expectancy]:[Schooling]])</f>
        <v>#NAME?</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e">
        <f ca="1">Data_Completeness(LifeExpectancyData[[#This Row],[Life expectancy]:[Schooling]])</f>
        <v>#NAME?</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e">
        <f ca="1">Data_Completeness(LifeExpectancyData[[#This Row],[Life expectancy]:[Schooling]])</f>
        <v>#NAME?</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e">
        <f ca="1">Data_Completeness(LifeExpectancyData[[#This Row],[Life expectancy]:[Schooling]])</f>
        <v>#NAME?</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e">
        <f ca="1">Data_Completeness(LifeExpectancyData[[#This Row],[Life expectancy]:[Schooling]])</f>
        <v>#NAME?</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e">
        <f ca="1">Data_Completeness(LifeExpectancyData[[#This Row],[Life expectancy]:[Schooling]])</f>
        <v>#NAME?</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e">
        <f ca="1">Data_Completeness(LifeExpectancyData[[#This Row],[Life expectancy]:[Schooling]])</f>
        <v>#NAME?</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e">
        <f ca="1">Data_Completeness(LifeExpectancyData[[#This Row],[Life expectancy]:[Schooling]])</f>
        <v>#NAME?</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e">
        <f ca="1">Data_Completeness(LifeExpectancyData[[#This Row],[Life expectancy]:[Schooling]])</f>
        <v>#NAME?</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e">
        <f ca="1">Data_Completeness(LifeExpectancyData[[#This Row],[Life expectancy]:[Schooling]])</f>
        <v>#NAME?</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e">
        <f ca="1">Data_Completeness(LifeExpectancyData[[#This Row],[Life expectancy]:[Schooling]])</f>
        <v>#NAME?</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e">
        <f ca="1">Data_Completeness(LifeExpectancyData[[#This Row],[Life expectancy]:[Schooling]])</f>
        <v>#NAME?</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e">
        <f ca="1">Data_Completeness(LifeExpectancyData[[#This Row],[Life expectancy]:[Schooling]])</f>
        <v>#NAME?</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e">
        <f ca="1">Data_Completeness(LifeExpectancyData[[#This Row],[Life expectancy]:[Schooling]])</f>
        <v>#NAME?</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e">
        <f ca="1">Data_Completeness(LifeExpectancyData[[#This Row],[Life expectancy]:[Schooling]])</f>
        <v>#NAME?</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e">
        <f ca="1">Data_Completeness(LifeExpectancyData[[#This Row],[Life expectancy]:[Schooling]])</f>
        <v>#NAME?</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e">
        <f ca="1">Data_Completeness(LifeExpectancyData[[#This Row],[Life expectancy]:[Schooling]])</f>
        <v>#NAME?</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e">
        <f ca="1">Data_Completeness(LifeExpectancyData[[#This Row],[Life expectancy]:[Schooling]])</f>
        <v>#NAME?</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e">
        <f ca="1">Data_Completeness(LifeExpectancyData[[#This Row],[Life expectancy]:[Schooling]])</f>
        <v>#NAME?</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e">
        <f ca="1">Data_Completeness(LifeExpectancyData[[#This Row],[Life expectancy]:[Schooling]])</f>
        <v>#NAME?</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e">
        <f ca="1">Data_Completeness(LifeExpectancyData[[#This Row],[Life expectancy]:[Schooling]])</f>
        <v>#NAME?</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e">
        <f ca="1">Data_Completeness(LifeExpectancyData[[#This Row],[Life expectancy]:[Schooling]])</f>
        <v>#NAME?</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e">
        <f ca="1">Data_Completeness(LifeExpectancyData[[#This Row],[Life expectancy]:[Schooling]])</f>
        <v>#NAME?</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e">
        <f ca="1">Data_Completeness(LifeExpectancyData[[#This Row],[Life expectancy]:[Schooling]])</f>
        <v>#NAME?</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e">
        <f ca="1">Data_Completeness(LifeExpectancyData[[#This Row],[Life expectancy]:[Schooling]])</f>
        <v>#NAME?</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e">
        <f ca="1">Data_Completeness(LifeExpectancyData[[#This Row],[Life expectancy]:[Schooling]])</f>
        <v>#NAME?</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e">
        <f ca="1">Data_Completeness(LifeExpectancyData[[#This Row],[Life expectancy]:[Schooling]])</f>
        <v>#NAME?</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e">
        <f ca="1">Data_Completeness(LifeExpectancyData[[#This Row],[Life expectancy]:[Schooling]])</f>
        <v>#NAME?</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e">
        <f ca="1">Data_Completeness(LifeExpectancyData[[#This Row],[Life expectancy]:[Schooling]])</f>
        <v>#NAME?</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e">
        <f ca="1">Data_Completeness(LifeExpectancyData[[#This Row],[Life expectancy]:[Schooling]])</f>
        <v>#NAME?</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e">
        <f ca="1">Data_Completeness(LifeExpectancyData[[#This Row],[Life expectancy]:[Schooling]])</f>
        <v>#NAME?</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e">
        <f ca="1">Data_Completeness(LifeExpectancyData[[#This Row],[Life expectancy]:[Schooling]])</f>
        <v>#NAME?</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e">
        <f ca="1">Data_Completeness(LifeExpectancyData[[#This Row],[Life expectancy]:[Schooling]])</f>
        <v>#NAME?</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e">
        <f ca="1">Data_Completeness(LifeExpectancyData[[#This Row],[Life expectancy]:[Schooling]])</f>
        <v>#NAME?</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e">
        <f ca="1">Data_Completeness(LifeExpectancyData[[#This Row],[Life expectancy]:[Schooling]])</f>
        <v>#NAME?</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e">
        <f ca="1">Data_Completeness(LifeExpectancyData[[#This Row],[Life expectancy]:[Schooling]])</f>
        <v>#NAME?</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e">
        <f ca="1">Data_Completeness(LifeExpectancyData[[#This Row],[Life expectancy]:[Schooling]])</f>
        <v>#NAME?</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e">
        <f ca="1">Data_Completeness(LifeExpectancyData[[#This Row],[Life expectancy]:[Schooling]])</f>
        <v>#NAME?</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e">
        <f ca="1">Data_Completeness(LifeExpectancyData[[#This Row],[Life expectancy]:[Schooling]])</f>
        <v>#NAME?</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e">
        <f ca="1">Data_Completeness(LifeExpectancyData[[#This Row],[Life expectancy]:[Schooling]])</f>
        <v>#NAME?</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e">
        <f ca="1">Data_Completeness(LifeExpectancyData[[#This Row],[Life expectancy]:[Schooling]])</f>
        <v>#NAME?</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e">
        <f ca="1">Data_Completeness(LifeExpectancyData[[#This Row],[Life expectancy]:[Schooling]])</f>
        <v>#NAME?</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e">
        <f ca="1">Data_Completeness(LifeExpectancyData[[#This Row],[Life expectancy]:[Schooling]])</f>
        <v>#NAME?</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e">
        <f ca="1">Data_Completeness(LifeExpectancyData[[#This Row],[Life expectancy]:[Schooling]])</f>
        <v>#NAME?</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e">
        <f ca="1">Data_Completeness(LifeExpectancyData[[#This Row],[Life expectancy]:[Schooling]])</f>
        <v>#NAME?</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e">
        <f ca="1">Data_Completeness(LifeExpectancyData[[#This Row],[Life expectancy]:[Schooling]])</f>
        <v>#NAME?</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e">
        <f ca="1">Data_Completeness(LifeExpectancyData[[#This Row],[Life expectancy]:[Schooling]])</f>
        <v>#NAME?</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e">
        <f ca="1">Data_Completeness(LifeExpectancyData[[#This Row],[Life expectancy]:[Schooling]])</f>
        <v>#NAME?</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e">
        <f ca="1">Data_Completeness(LifeExpectancyData[[#This Row],[Life expectancy]:[Schooling]])</f>
        <v>#NAME?</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e">
        <f ca="1">Data_Completeness(LifeExpectancyData[[#This Row],[Life expectancy]:[Schooling]])</f>
        <v>#NAME?</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e">
        <f ca="1">Data_Completeness(LifeExpectancyData[[#This Row],[Life expectancy]:[Schooling]])</f>
        <v>#NAME?</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e">
        <f ca="1">Data_Completeness(LifeExpectancyData[[#This Row],[Life expectancy]:[Schooling]])</f>
        <v>#NAME?</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e">
        <f ca="1">Data_Completeness(LifeExpectancyData[[#This Row],[Life expectancy]:[Schooling]])</f>
        <v>#NAME?</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e">
        <f ca="1">Data_Completeness(LifeExpectancyData[[#This Row],[Life expectancy]:[Schooling]])</f>
        <v>#NAME?</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e">
        <f ca="1">Data_Completeness(LifeExpectancyData[[#This Row],[Life expectancy]:[Schooling]])</f>
        <v>#NAME?</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e">
        <f ca="1">Data_Completeness(LifeExpectancyData[[#This Row],[Life expectancy]:[Schooling]])</f>
        <v>#NAME?</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e">
        <f ca="1">Data_Completeness(LifeExpectancyData[[#This Row],[Life expectancy]:[Schooling]])</f>
        <v>#NAME?</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e">
        <f ca="1">Data_Completeness(LifeExpectancyData[[#This Row],[Life expectancy]:[Schooling]])</f>
        <v>#NAME?</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e">
        <f ca="1">Data_Completeness(LifeExpectancyData[[#This Row],[Life expectancy]:[Schooling]])</f>
        <v>#NAME?</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e">
        <f ca="1">Data_Completeness(LifeExpectancyData[[#This Row],[Life expectancy]:[Schooling]])</f>
        <v>#NAME?</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e">
        <f ca="1">Data_Completeness(LifeExpectancyData[[#This Row],[Life expectancy]:[Schooling]])</f>
        <v>#NAME?</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e">
        <f ca="1">Data_Completeness(LifeExpectancyData[[#This Row],[Life expectancy]:[Schooling]])</f>
        <v>#NAME?</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e">
        <f ca="1">Data_Completeness(LifeExpectancyData[[#This Row],[Life expectancy]:[Schooling]])</f>
        <v>#NAME?</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e">
        <f ca="1">Data_Completeness(LifeExpectancyData[[#This Row],[Life expectancy]:[Schooling]])</f>
        <v>#NAME?</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e">
        <f ca="1">Data_Completeness(LifeExpectancyData[[#This Row],[Life expectancy]:[Schooling]])</f>
        <v>#NAME?</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e">
        <f ca="1">Data_Completeness(LifeExpectancyData[[#This Row],[Life expectancy]:[Schooling]])</f>
        <v>#NAME?</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e">
        <f ca="1">Data_Completeness(LifeExpectancyData[[#This Row],[Life expectancy]:[Schooling]])</f>
        <v>#NAME?</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e">
        <f ca="1">Data_Completeness(LifeExpectancyData[[#This Row],[Life expectancy]:[Schooling]])</f>
        <v>#NAME?</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e">
        <f ca="1">Data_Completeness(LifeExpectancyData[[#This Row],[Life expectancy]:[Schooling]])</f>
        <v>#NAME?</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e">
        <f ca="1">Data_Completeness(LifeExpectancyData[[#This Row],[Life expectancy]:[Schooling]])</f>
        <v>#NAME?</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e">
        <f ca="1">Data_Completeness(LifeExpectancyData[[#This Row],[Life expectancy]:[Schooling]])</f>
        <v>#NAME?</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e">
        <f ca="1">Data_Completeness(LifeExpectancyData[[#This Row],[Life expectancy]:[Schooling]])</f>
        <v>#NAME?</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e">
        <f ca="1">Data_Completeness(LifeExpectancyData[[#This Row],[Life expectancy]:[Schooling]])</f>
        <v>#NAME?</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e">
        <f ca="1">Data_Completeness(LifeExpectancyData[[#This Row],[Life expectancy]:[Schooling]])</f>
        <v>#NAME?</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e">
        <f ca="1">Data_Completeness(LifeExpectancyData[[#This Row],[Life expectancy]:[Schooling]])</f>
        <v>#NAME?</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e">
        <f ca="1">Data_Completeness(LifeExpectancyData[[#This Row],[Life expectancy]:[Schooling]])</f>
        <v>#NAME?</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e">
        <f ca="1">Data_Completeness(LifeExpectancyData[[#This Row],[Life expectancy]:[Schooling]])</f>
        <v>#NAME?</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e">
        <f ca="1">Data_Completeness(LifeExpectancyData[[#This Row],[Life expectancy]:[Schooling]])</f>
        <v>#NAME?</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e">
        <f ca="1">Data_Completeness(LifeExpectancyData[[#This Row],[Life expectancy]:[Schooling]])</f>
        <v>#NAME?</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e">
        <f ca="1">Data_Completeness(LifeExpectancyData[[#This Row],[Life expectancy]:[Schooling]])</f>
        <v>#NAME?</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e">
        <f ca="1">Data_Completeness(LifeExpectancyData[[#This Row],[Life expectancy]:[Schooling]])</f>
        <v>#NAME?</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e">
        <f ca="1">Data_Completeness(LifeExpectancyData[[#This Row],[Life expectancy]:[Schooling]])</f>
        <v>#NAME?</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e">
        <f ca="1">Data_Completeness(LifeExpectancyData[[#This Row],[Life expectancy]:[Schooling]])</f>
        <v>#NAME?</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e">
        <f ca="1">Data_Completeness(LifeExpectancyData[[#This Row],[Life expectancy]:[Schooling]])</f>
        <v>#NAME?</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e">
        <f ca="1">Data_Completeness(LifeExpectancyData[[#This Row],[Life expectancy]:[Schooling]])</f>
        <v>#NAME?</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e">
        <f ca="1">Data_Completeness(LifeExpectancyData[[#This Row],[Life expectancy]:[Schooling]])</f>
        <v>#NAME?</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e">
        <f ca="1">Data_Completeness(LifeExpectancyData[[#This Row],[Life expectancy]:[Schooling]])</f>
        <v>#NAME?</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e">
        <f ca="1">Data_Completeness(LifeExpectancyData[[#This Row],[Life expectancy]:[Schooling]])</f>
        <v>#NAME?</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e">
        <f ca="1">Data_Completeness(LifeExpectancyData[[#This Row],[Life expectancy]:[Schooling]])</f>
        <v>#NAME?</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e">
        <f ca="1">Data_Completeness(LifeExpectancyData[[#This Row],[Life expectancy]:[Schooling]])</f>
        <v>#NAME?</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e">
        <f ca="1">Data_Completeness(LifeExpectancyData[[#This Row],[Life expectancy]:[Schooling]])</f>
        <v>#NAME?</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e">
        <f ca="1">Data_Completeness(LifeExpectancyData[[#This Row],[Life expectancy]:[Schooling]])</f>
        <v>#NAME?</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e">
        <f ca="1">Data_Completeness(LifeExpectancyData[[#This Row],[Life expectancy]:[Schooling]])</f>
        <v>#NAME?</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e">
        <f ca="1">Data_Completeness(LifeExpectancyData[[#This Row],[Life expectancy]:[Schooling]])</f>
        <v>#NAME?</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e">
        <f ca="1">Data_Completeness(LifeExpectancyData[[#This Row],[Life expectancy]:[Schooling]])</f>
        <v>#NAME?</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e">
        <f ca="1">Data_Completeness(LifeExpectancyData[[#This Row],[Life expectancy]:[Schooling]])</f>
        <v>#NAME?</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e">
        <f ca="1">Data_Completeness(LifeExpectancyData[[#This Row],[Life expectancy]:[Schooling]])</f>
        <v>#NAME?</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e">
        <f ca="1">Data_Completeness(LifeExpectancyData[[#This Row],[Life expectancy]:[Schooling]])</f>
        <v>#NAME?</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e">
        <f ca="1">Data_Completeness(LifeExpectancyData[[#This Row],[Life expectancy]:[Schooling]])</f>
        <v>#NAME?</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e">
        <f ca="1">Data_Completeness(LifeExpectancyData[[#This Row],[Life expectancy]:[Schooling]])</f>
        <v>#NAME?</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e">
        <f ca="1">Data_Completeness(LifeExpectancyData[[#This Row],[Life expectancy]:[Schooling]])</f>
        <v>#NAME?</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e">
        <f ca="1">Data_Completeness(LifeExpectancyData[[#This Row],[Life expectancy]:[Schooling]])</f>
        <v>#NAME?</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e">
        <f ca="1">Data_Completeness(LifeExpectancyData[[#This Row],[Life expectancy]:[Schooling]])</f>
        <v>#NAME?</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e">
        <f ca="1">Data_Completeness(LifeExpectancyData[[#This Row],[Life expectancy]:[Schooling]])</f>
        <v>#NAME?</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e">
        <f ca="1">Data_Completeness(LifeExpectancyData[[#This Row],[Life expectancy]:[Schooling]])</f>
        <v>#NAME?</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e">
        <f ca="1">Data_Completeness(LifeExpectancyData[[#This Row],[Life expectancy]:[Schooling]])</f>
        <v>#NAME?</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e">
        <f ca="1">Data_Completeness(LifeExpectancyData[[#This Row],[Life expectancy]:[Schooling]])</f>
        <v>#NAME?</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e">
        <f ca="1">Data_Completeness(LifeExpectancyData[[#This Row],[Life expectancy]:[Schooling]])</f>
        <v>#NAME?</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e">
        <f ca="1">Data_Completeness(LifeExpectancyData[[#This Row],[Life expectancy]:[Schooling]])</f>
        <v>#NAME?</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e">
        <f ca="1">Data_Completeness(LifeExpectancyData[[#This Row],[Life expectancy]:[Schooling]])</f>
        <v>#NAME?</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e">
        <f ca="1">Data_Completeness(LifeExpectancyData[[#This Row],[Life expectancy]:[Schooling]])</f>
        <v>#NAME?</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e">
        <f ca="1">Data_Completeness(LifeExpectancyData[[#This Row],[Life expectancy]:[Schooling]])</f>
        <v>#NAME?</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e">
        <f ca="1">Data_Completeness(LifeExpectancyData[[#This Row],[Life expectancy]:[Schooling]])</f>
        <v>#NAME?</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e">
        <f ca="1">Data_Completeness(LifeExpectancyData[[#This Row],[Life expectancy]:[Schooling]])</f>
        <v>#NAME?</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e">
        <f ca="1">Data_Completeness(LifeExpectancyData[[#This Row],[Life expectancy]:[Schooling]])</f>
        <v>#NAME?</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e">
        <f ca="1">Data_Completeness(LifeExpectancyData[[#This Row],[Life expectancy]:[Schooling]])</f>
        <v>#NAME?</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e">
        <f ca="1">Data_Completeness(LifeExpectancyData[[#This Row],[Life expectancy]:[Schooling]])</f>
        <v>#NAME?</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e">
        <f ca="1">Data_Completeness(LifeExpectancyData[[#This Row],[Life expectancy]:[Schooling]])</f>
        <v>#NAME?</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e">
        <f ca="1">Data_Completeness(LifeExpectancyData[[#This Row],[Life expectancy]:[Schooling]])</f>
        <v>#NAME?</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e">
        <f ca="1">Data_Completeness(LifeExpectancyData[[#This Row],[Life expectancy]:[Schooling]])</f>
        <v>#NAME?</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e">
        <f ca="1">Data_Completeness(LifeExpectancyData[[#This Row],[Life expectancy]:[Schooling]])</f>
        <v>#NAME?</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e">
        <f ca="1">Data_Completeness(LifeExpectancyData[[#This Row],[Life expectancy]:[Schooling]])</f>
        <v>#NAME?</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e">
        <f ca="1">Data_Completeness(LifeExpectancyData[[#This Row],[Life expectancy]:[Schooling]])</f>
        <v>#NAME?</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e">
        <f ca="1">Data_Completeness(LifeExpectancyData[[#This Row],[Life expectancy]:[Schooling]])</f>
        <v>#NAME?</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e">
        <f ca="1">Data_Completeness(LifeExpectancyData[[#This Row],[Life expectancy]:[Schooling]])</f>
        <v>#NAME?</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e">
        <f ca="1">Data_Completeness(LifeExpectancyData[[#This Row],[Life expectancy]:[Schooling]])</f>
        <v>#NAME?</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e">
        <f ca="1">Data_Completeness(LifeExpectancyData[[#This Row],[Life expectancy]:[Schooling]])</f>
        <v>#NAME?</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e">
        <f ca="1">Data_Completeness(LifeExpectancyData[[#This Row],[Life expectancy]:[Schooling]])</f>
        <v>#NAME?</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e">
        <f ca="1">Data_Completeness(LifeExpectancyData[[#This Row],[Life expectancy]:[Schooling]])</f>
        <v>#NAME?</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e">
        <f ca="1">Data_Completeness(LifeExpectancyData[[#This Row],[Life expectancy]:[Schooling]])</f>
        <v>#NAME?</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e">
        <f ca="1">Data_Completeness(LifeExpectancyData[[#This Row],[Life expectancy]:[Schooling]])</f>
        <v>#NAME?</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e">
        <f ca="1">Data_Completeness(LifeExpectancyData[[#This Row],[Life expectancy]:[Schooling]])</f>
        <v>#NAME?</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e">
        <f ca="1">Data_Completeness(LifeExpectancyData[[#This Row],[Life expectancy]:[Schooling]])</f>
        <v>#NAME?</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e">
        <f ca="1">Data_Completeness(LifeExpectancyData[[#This Row],[Life expectancy]:[Schooling]])</f>
        <v>#NAME?</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e">
        <f ca="1">Data_Completeness(LifeExpectancyData[[#This Row],[Life expectancy]:[Schooling]])</f>
        <v>#NAME?</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e">
        <f ca="1">Data_Completeness(LifeExpectancyData[[#This Row],[Life expectancy]:[Schooling]])</f>
        <v>#NAME?</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e">
        <f ca="1">Data_Completeness(LifeExpectancyData[[#This Row],[Life expectancy]:[Schooling]])</f>
        <v>#NAME?</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e">
        <f ca="1">Data_Completeness(LifeExpectancyData[[#This Row],[Life expectancy]:[Schooling]])</f>
        <v>#NAME?</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e">
        <f ca="1">Data_Completeness(LifeExpectancyData[[#This Row],[Life expectancy]:[Schooling]])</f>
        <v>#NAME?</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e">
        <f ca="1">Data_Completeness(LifeExpectancyData[[#This Row],[Life expectancy]:[Schooling]])</f>
        <v>#NAME?</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e">
        <f ca="1">Data_Completeness(LifeExpectancyData[[#This Row],[Life expectancy]:[Schooling]])</f>
        <v>#NAME?</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e">
        <f ca="1">Data_Completeness(LifeExpectancyData[[#This Row],[Life expectancy]:[Schooling]])</f>
        <v>#NAME?</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e">
        <f ca="1">Data_Completeness(LifeExpectancyData[[#This Row],[Life expectancy]:[Schooling]])</f>
        <v>#NAME?</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e">
        <f ca="1">Data_Completeness(LifeExpectancyData[[#This Row],[Life expectancy]:[Schooling]])</f>
        <v>#NAME?</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e">
        <f ca="1">Data_Completeness(LifeExpectancyData[[#This Row],[Life expectancy]:[Schooling]])</f>
        <v>#NAME?</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e">
        <f ca="1">Data_Completeness(LifeExpectancyData[[#This Row],[Life expectancy]:[Schooling]])</f>
        <v>#NAME?</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e">
        <f ca="1">Data_Completeness(LifeExpectancyData[[#This Row],[Life expectancy]:[Schooling]])</f>
        <v>#NAME?</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e">
        <f ca="1">Data_Completeness(LifeExpectancyData[[#This Row],[Life expectancy]:[Schooling]])</f>
        <v>#NAME?</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e">
        <f ca="1">Data_Completeness(LifeExpectancyData[[#This Row],[Life expectancy]:[Schooling]])</f>
        <v>#NAME?</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e">
        <f ca="1">Data_Completeness(LifeExpectancyData[[#This Row],[Life expectancy]:[Schooling]])</f>
        <v>#NAME?</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e">
        <f ca="1">Data_Completeness(LifeExpectancyData[[#This Row],[Life expectancy]:[Schooling]])</f>
        <v>#NAME?</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e">
        <f ca="1">Data_Completeness(LifeExpectancyData[[#This Row],[Life expectancy]:[Schooling]])</f>
        <v>#NAME?</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e">
        <f ca="1">Data_Completeness(LifeExpectancyData[[#This Row],[Life expectancy]:[Schooling]])</f>
        <v>#NAME?</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e">
        <f ca="1">Data_Completeness(LifeExpectancyData[[#This Row],[Life expectancy]:[Schooling]])</f>
        <v>#NAME?</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e">
        <f ca="1">Data_Completeness(LifeExpectancyData[[#This Row],[Life expectancy]:[Schooling]])</f>
        <v>#NAME?</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e">
        <f ca="1">Data_Completeness(LifeExpectancyData[[#This Row],[Life expectancy]:[Schooling]])</f>
        <v>#NAME?</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e">
        <f ca="1">Data_Completeness(LifeExpectancyData[[#This Row],[Life expectancy]:[Schooling]])</f>
        <v>#NAME?</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e">
        <f ca="1">Data_Completeness(LifeExpectancyData[[#This Row],[Life expectancy]:[Schooling]])</f>
        <v>#NAME?</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e">
        <f ca="1">Data_Completeness(LifeExpectancyData[[#This Row],[Life expectancy]:[Schooling]])</f>
        <v>#NAME?</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e">
        <f ca="1">Data_Completeness(LifeExpectancyData[[#This Row],[Life expectancy]:[Schooling]])</f>
        <v>#NAME?</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e">
        <f ca="1">Data_Completeness(LifeExpectancyData[[#This Row],[Life expectancy]:[Schooling]])</f>
        <v>#NAME?</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e">
        <f ca="1">Data_Completeness(LifeExpectancyData[[#This Row],[Life expectancy]:[Schooling]])</f>
        <v>#NAME?</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e">
        <f ca="1">Data_Completeness(LifeExpectancyData[[#This Row],[Life expectancy]:[Schooling]])</f>
        <v>#NAME?</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e">
        <f ca="1">Data_Completeness(LifeExpectancyData[[#This Row],[Life expectancy]:[Schooling]])</f>
        <v>#NAME?</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e">
        <f ca="1">Data_Completeness(LifeExpectancyData[[#This Row],[Life expectancy]:[Schooling]])</f>
        <v>#NAME?</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e">
        <f ca="1">Data_Completeness(LifeExpectancyData[[#This Row],[Life expectancy]:[Schooling]])</f>
        <v>#NAME?</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e">
        <f ca="1">Data_Completeness(LifeExpectancyData[[#This Row],[Life expectancy]:[Schooling]])</f>
        <v>#NAME?</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e">
        <f ca="1">Data_Completeness(LifeExpectancyData[[#This Row],[Life expectancy]:[Schooling]])</f>
        <v>#NAME?</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e">
        <f ca="1">Data_Completeness(LifeExpectancyData[[#This Row],[Life expectancy]:[Schooling]])</f>
        <v>#NAME?</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e">
        <f ca="1">Data_Completeness(LifeExpectancyData[[#This Row],[Life expectancy]:[Schooling]])</f>
        <v>#NAME?</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e">
        <f ca="1">Data_Completeness(LifeExpectancyData[[#This Row],[Life expectancy]:[Schooling]])</f>
        <v>#NAME?</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e">
        <f ca="1">Data_Completeness(LifeExpectancyData[[#This Row],[Life expectancy]:[Schooling]])</f>
        <v>#NAME?</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e">
        <f ca="1">Data_Completeness(LifeExpectancyData[[#This Row],[Life expectancy]:[Schooling]])</f>
        <v>#NAME?</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e">
        <f ca="1">Data_Completeness(LifeExpectancyData[[#This Row],[Life expectancy]:[Schooling]])</f>
        <v>#NAME?</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e">
        <f ca="1">Data_Completeness(LifeExpectancyData[[#This Row],[Life expectancy]:[Schooling]])</f>
        <v>#NAME?</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e">
        <f ca="1">Data_Completeness(LifeExpectancyData[[#This Row],[Life expectancy]:[Schooling]])</f>
        <v>#NAME?</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e">
        <f ca="1">Data_Completeness(LifeExpectancyData[[#This Row],[Life expectancy]:[Schooling]])</f>
        <v>#NAME?</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e">
        <f ca="1">Data_Completeness(LifeExpectancyData[[#This Row],[Life expectancy]:[Schooling]])</f>
        <v>#NAME?</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e">
        <f ca="1">Data_Completeness(LifeExpectancyData[[#This Row],[Life expectancy]:[Schooling]])</f>
        <v>#NAME?</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e">
        <f ca="1">Data_Completeness(LifeExpectancyData[[#This Row],[Life expectancy]:[Schooling]])</f>
        <v>#NAME?</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e">
        <f ca="1">Data_Completeness(LifeExpectancyData[[#This Row],[Life expectancy]:[Schooling]])</f>
        <v>#NAME?</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e">
        <f ca="1">Data_Completeness(LifeExpectancyData[[#This Row],[Life expectancy]:[Schooling]])</f>
        <v>#NAME?</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e">
        <f ca="1">Data_Completeness(LifeExpectancyData[[#This Row],[Life expectancy]:[Schooling]])</f>
        <v>#NAME?</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e">
        <f ca="1">Data_Completeness(LifeExpectancyData[[#This Row],[Life expectancy]:[Schooling]])</f>
        <v>#NAME?</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e">
        <f ca="1">Data_Completeness(LifeExpectancyData[[#This Row],[Life expectancy]:[Schooling]])</f>
        <v>#NAME?</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e">
        <f ca="1">Data_Completeness(LifeExpectancyData[[#This Row],[Life expectancy]:[Schooling]])</f>
        <v>#NAME?</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e">
        <f ca="1">Data_Completeness(LifeExpectancyData[[#This Row],[Life expectancy]:[Schooling]])</f>
        <v>#NAME?</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e">
        <f ca="1">Data_Completeness(LifeExpectancyData[[#This Row],[Life expectancy]:[Schooling]])</f>
        <v>#NAME?</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e">
        <f ca="1">Data_Completeness(LifeExpectancyData[[#This Row],[Life expectancy]:[Schooling]])</f>
        <v>#NAME?</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e">
        <f ca="1">Data_Completeness(LifeExpectancyData[[#This Row],[Life expectancy]:[Schooling]])</f>
        <v>#NAME?</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e">
        <f ca="1">Data_Completeness(LifeExpectancyData[[#This Row],[Life expectancy]:[Schooling]])</f>
        <v>#NAME?</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e">
        <f ca="1">Data_Completeness(LifeExpectancyData[[#This Row],[Life expectancy]:[Schooling]])</f>
        <v>#NAME?</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e">
        <f ca="1">Data_Completeness(LifeExpectancyData[[#This Row],[Life expectancy]:[Schooling]])</f>
        <v>#NAME?</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e">
        <f ca="1">Data_Completeness(LifeExpectancyData[[#This Row],[Life expectancy]:[Schooling]])</f>
        <v>#NAME?</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e">
        <f ca="1">Data_Completeness(LifeExpectancyData[[#This Row],[Life expectancy]:[Schooling]])</f>
        <v>#NAME?</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e">
        <f ca="1">Data_Completeness(LifeExpectancyData[[#This Row],[Life expectancy]:[Schooling]])</f>
        <v>#NAME?</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e">
        <f ca="1">Data_Completeness(LifeExpectancyData[[#This Row],[Life expectancy]:[Schooling]])</f>
        <v>#NAME?</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e">
        <f ca="1">Data_Completeness(LifeExpectancyData[[#This Row],[Life expectancy]:[Schooling]])</f>
        <v>#NAME?</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e">
        <f ca="1">Data_Completeness(LifeExpectancyData[[#This Row],[Life expectancy]:[Schooling]])</f>
        <v>#NAME?</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e">
        <f ca="1">Data_Completeness(LifeExpectancyData[[#This Row],[Life expectancy]:[Schooling]])</f>
        <v>#NAME?</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e">
        <f ca="1">Data_Completeness(LifeExpectancyData[[#This Row],[Life expectancy]:[Schooling]])</f>
        <v>#NAME?</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e">
        <f ca="1">Data_Completeness(LifeExpectancyData[[#This Row],[Life expectancy]:[Schooling]])</f>
        <v>#NAME?</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e">
        <f ca="1">Data_Completeness(LifeExpectancyData[[#This Row],[Life expectancy]:[Schooling]])</f>
        <v>#NAME?</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e">
        <f ca="1">Data_Completeness(LifeExpectancyData[[#This Row],[Life expectancy]:[Schooling]])</f>
        <v>#NAME?</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e">
        <f ca="1">Data_Completeness(LifeExpectancyData[[#This Row],[Life expectancy]:[Schooling]])</f>
        <v>#NAME?</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e">
        <f ca="1">Data_Completeness(LifeExpectancyData[[#This Row],[Life expectancy]:[Schooling]])</f>
        <v>#NAME?</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e">
        <f ca="1">Data_Completeness(LifeExpectancyData[[#This Row],[Life expectancy]:[Schooling]])</f>
        <v>#NAME?</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e">
        <f ca="1">Data_Completeness(LifeExpectancyData[[#This Row],[Life expectancy]:[Schooling]])</f>
        <v>#NAME?</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e">
        <f ca="1">Data_Completeness(LifeExpectancyData[[#This Row],[Life expectancy]:[Schooling]])</f>
        <v>#NAME?</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e">
        <f ca="1">Data_Completeness(LifeExpectancyData[[#This Row],[Life expectancy]:[Schooling]])</f>
        <v>#NAME?</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e">
        <f ca="1">Data_Completeness(LifeExpectancyData[[#This Row],[Life expectancy]:[Schooling]])</f>
        <v>#NAME?</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e">
        <f ca="1">Data_Completeness(LifeExpectancyData[[#This Row],[Life expectancy]:[Schooling]])</f>
        <v>#NAME?</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e">
        <f ca="1">Data_Completeness(LifeExpectancyData[[#This Row],[Life expectancy]:[Schooling]])</f>
        <v>#NAME?</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e">
        <f ca="1">Data_Completeness(LifeExpectancyData[[#This Row],[Life expectancy]:[Schooling]])</f>
        <v>#NAME?</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e">
        <f ca="1">Data_Completeness(LifeExpectancyData[[#This Row],[Life expectancy]:[Schooling]])</f>
        <v>#NAME?</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e">
        <f ca="1">Data_Completeness(LifeExpectancyData[[#This Row],[Life expectancy]:[Schooling]])</f>
        <v>#NAME?</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e">
        <f ca="1">Data_Completeness(LifeExpectancyData[[#This Row],[Life expectancy]:[Schooling]])</f>
        <v>#NAME?</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e">
        <f ca="1">Data_Completeness(LifeExpectancyData[[#This Row],[Life expectancy]:[Schooling]])</f>
        <v>#NAME?</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e">
        <f ca="1">Data_Completeness(LifeExpectancyData[[#This Row],[Life expectancy]:[Schooling]])</f>
        <v>#NAME?</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e">
        <f ca="1">Data_Completeness(LifeExpectancyData[[#This Row],[Life expectancy]:[Schooling]])</f>
        <v>#NAME?</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e">
        <f ca="1">Data_Completeness(LifeExpectancyData[[#This Row],[Life expectancy]:[Schooling]])</f>
        <v>#NAME?</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e">
        <f ca="1">Data_Completeness(LifeExpectancyData[[#This Row],[Life expectancy]:[Schooling]])</f>
        <v>#NAME?</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e">
        <f ca="1">Data_Completeness(LifeExpectancyData[[#This Row],[Life expectancy]:[Schooling]])</f>
        <v>#NAME?</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e">
        <f ca="1">Data_Completeness(LifeExpectancyData[[#This Row],[Life expectancy]:[Schooling]])</f>
        <v>#NAME?</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e">
        <f ca="1">Data_Completeness(LifeExpectancyData[[#This Row],[Life expectancy]:[Schooling]])</f>
        <v>#NAME?</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e">
        <f ca="1">Data_Completeness(LifeExpectancyData[[#This Row],[Life expectancy]:[Schooling]])</f>
        <v>#NAME?</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e">
        <f ca="1">Data_Completeness(LifeExpectancyData[[#This Row],[Life expectancy]:[Schooling]])</f>
        <v>#NAME?</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e">
        <f ca="1">Data_Completeness(LifeExpectancyData[[#This Row],[Life expectancy]:[Schooling]])</f>
        <v>#NAME?</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e">
        <f ca="1">Data_Completeness(LifeExpectancyData[[#This Row],[Life expectancy]:[Schooling]])</f>
        <v>#NAME?</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e">
        <f ca="1">Data_Completeness(LifeExpectancyData[[#This Row],[Life expectancy]:[Schooling]])</f>
        <v>#NAME?</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e">
        <f ca="1">Data_Completeness(LifeExpectancyData[[#This Row],[Life expectancy]:[Schooling]])</f>
        <v>#NAME?</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e">
        <f ca="1">Data_Completeness(LifeExpectancyData[[#This Row],[Life expectancy]:[Schooling]])</f>
        <v>#NAME?</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e">
        <f ca="1">Data_Completeness(LifeExpectancyData[[#This Row],[Life expectancy]:[Schooling]])</f>
        <v>#NAME?</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e">
        <f ca="1">Data_Completeness(LifeExpectancyData[[#This Row],[Life expectancy]:[Schooling]])</f>
        <v>#NAME?</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e">
        <f ca="1">Data_Completeness(LifeExpectancyData[[#This Row],[Life expectancy]:[Schooling]])</f>
        <v>#NAME?</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e">
        <f ca="1">Data_Completeness(LifeExpectancyData[[#This Row],[Life expectancy]:[Schooling]])</f>
        <v>#NAME?</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e">
        <f ca="1">Data_Completeness(LifeExpectancyData[[#This Row],[Life expectancy]:[Schooling]])</f>
        <v>#NAME?</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e">
        <f ca="1">Data_Completeness(LifeExpectancyData[[#This Row],[Life expectancy]:[Schooling]])</f>
        <v>#NAME?</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e">
        <f ca="1">Data_Completeness(LifeExpectancyData[[#This Row],[Life expectancy]:[Schooling]])</f>
        <v>#NAME?</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e">
        <f ca="1">Data_Completeness(LifeExpectancyData[[#This Row],[Life expectancy]:[Schooling]])</f>
        <v>#NAME?</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e">
        <f ca="1">Data_Completeness(LifeExpectancyData[[#This Row],[Life expectancy]:[Schooling]])</f>
        <v>#NAME?</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e">
        <f ca="1">Data_Completeness(LifeExpectancyData[[#This Row],[Life expectancy]:[Schooling]])</f>
        <v>#NAME?</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e">
        <f ca="1">Data_Completeness(LifeExpectancyData[[#This Row],[Life expectancy]:[Schooling]])</f>
        <v>#NAME?</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e">
        <f ca="1">Data_Completeness(LifeExpectancyData[[#This Row],[Life expectancy]:[Schooling]])</f>
        <v>#NAME?</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e">
        <f ca="1">Data_Completeness(LifeExpectancyData[[#This Row],[Life expectancy]:[Schooling]])</f>
        <v>#NAME?</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e">
        <f ca="1">Data_Completeness(LifeExpectancyData[[#This Row],[Life expectancy]:[Schooling]])</f>
        <v>#NAME?</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e">
        <f ca="1">Data_Completeness(LifeExpectancyData[[#This Row],[Life expectancy]:[Schooling]])</f>
        <v>#NAME?</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e">
        <f ca="1">Data_Completeness(LifeExpectancyData[[#This Row],[Life expectancy]:[Schooling]])</f>
        <v>#NAME?</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e">
        <f ca="1">Data_Completeness(LifeExpectancyData[[#This Row],[Life expectancy]:[Schooling]])</f>
        <v>#NAME?</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e">
        <f ca="1">Data_Completeness(LifeExpectancyData[[#This Row],[Life expectancy]:[Schooling]])</f>
        <v>#NAME?</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e">
        <f ca="1">Data_Completeness(LifeExpectancyData[[#This Row],[Life expectancy]:[Schooling]])</f>
        <v>#NAME?</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e">
        <f ca="1">Data_Completeness(LifeExpectancyData[[#This Row],[Life expectancy]:[Schooling]])</f>
        <v>#NAME?</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e">
        <f ca="1">Data_Completeness(LifeExpectancyData[[#This Row],[Life expectancy]:[Schooling]])</f>
        <v>#NAME?</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e">
        <f ca="1">Data_Completeness(LifeExpectancyData[[#This Row],[Life expectancy]:[Schooling]])</f>
        <v>#NAME?</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e">
        <f ca="1">Data_Completeness(LifeExpectancyData[[#This Row],[Life expectancy]:[Schooling]])</f>
        <v>#NAME?</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e">
        <f ca="1">Data_Completeness(LifeExpectancyData[[#This Row],[Life expectancy]:[Schooling]])</f>
        <v>#NAME?</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e">
        <f ca="1">Data_Completeness(LifeExpectancyData[[#This Row],[Life expectancy]:[Schooling]])</f>
        <v>#NAME?</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e">
        <f ca="1">Data_Completeness(LifeExpectancyData[[#This Row],[Life expectancy]:[Schooling]])</f>
        <v>#NAME?</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e">
        <f ca="1">Data_Completeness(LifeExpectancyData[[#This Row],[Life expectancy]:[Schooling]])</f>
        <v>#NAME?</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e">
        <f ca="1">Data_Completeness(LifeExpectancyData[[#This Row],[Life expectancy]:[Schooling]])</f>
        <v>#NAME?</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e">
        <f ca="1">Data_Completeness(LifeExpectancyData[[#This Row],[Life expectancy]:[Schooling]])</f>
        <v>#NAME?</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e">
        <f ca="1">Data_Completeness(LifeExpectancyData[[#This Row],[Life expectancy]:[Schooling]])</f>
        <v>#NAME?</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e">
        <f ca="1">Data_Completeness(LifeExpectancyData[[#This Row],[Life expectancy]:[Schooling]])</f>
        <v>#NAME?</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e">
        <f ca="1">Data_Completeness(LifeExpectancyData[[#This Row],[Life expectancy]:[Schooling]])</f>
        <v>#NAME?</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e">
        <f ca="1">Data_Completeness(LifeExpectancyData[[#This Row],[Life expectancy]:[Schooling]])</f>
        <v>#NAME?</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e">
        <f ca="1">Data_Completeness(LifeExpectancyData[[#This Row],[Life expectancy]:[Schooling]])</f>
        <v>#NAME?</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e">
        <f ca="1">Data_Completeness(LifeExpectancyData[[#This Row],[Life expectancy]:[Schooling]])</f>
        <v>#NAME?</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e">
        <f ca="1">Data_Completeness(LifeExpectancyData[[#This Row],[Life expectancy]:[Schooling]])</f>
        <v>#NAME?</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e">
        <f ca="1">Data_Completeness(LifeExpectancyData[[#This Row],[Life expectancy]:[Schooling]])</f>
        <v>#NAME?</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e">
        <f ca="1">Data_Completeness(LifeExpectancyData[[#This Row],[Life expectancy]:[Schooling]])</f>
        <v>#NAME?</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e">
        <f ca="1">Data_Completeness(LifeExpectancyData[[#This Row],[Life expectancy]:[Schooling]])</f>
        <v>#NAME?</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e">
        <f ca="1">Data_Completeness(LifeExpectancyData[[#This Row],[Life expectancy]:[Schooling]])</f>
        <v>#NAME?</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e">
        <f ca="1">Data_Completeness(LifeExpectancyData[[#This Row],[Life expectancy]:[Schooling]])</f>
        <v>#NAME?</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e">
        <f ca="1">Data_Completeness(LifeExpectancyData[[#This Row],[Life expectancy]:[Schooling]])</f>
        <v>#NAME?</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e">
        <f ca="1">Data_Completeness(LifeExpectancyData[[#This Row],[Life expectancy]:[Schooling]])</f>
        <v>#NAME?</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e">
        <f ca="1">Data_Completeness(LifeExpectancyData[[#This Row],[Life expectancy]:[Schooling]])</f>
        <v>#NAME?</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e">
        <f ca="1">Data_Completeness(LifeExpectancyData[[#This Row],[Life expectancy]:[Schooling]])</f>
        <v>#NAME?</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e">
        <f ca="1">Data_Completeness(LifeExpectancyData[[#This Row],[Life expectancy]:[Schooling]])</f>
        <v>#NAME?</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e">
        <f ca="1">Data_Completeness(LifeExpectancyData[[#This Row],[Life expectancy]:[Schooling]])</f>
        <v>#NAME?</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e">
        <f ca="1">Data_Completeness(LifeExpectancyData[[#This Row],[Life expectancy]:[Schooling]])</f>
        <v>#NAME?</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e">
        <f ca="1">Data_Completeness(LifeExpectancyData[[#This Row],[Life expectancy]:[Schooling]])</f>
        <v>#NAME?</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e">
        <f ca="1">Data_Completeness(LifeExpectancyData[[#This Row],[Life expectancy]:[Schooling]])</f>
        <v>#NAME?</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e">
        <f ca="1">Data_Completeness(LifeExpectancyData[[#This Row],[Life expectancy]:[Schooling]])</f>
        <v>#NAME?</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e">
        <f ca="1">Data_Completeness(LifeExpectancyData[[#This Row],[Life expectancy]:[Schooling]])</f>
        <v>#NAME?</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e">
        <f ca="1">Data_Completeness(LifeExpectancyData[[#This Row],[Life expectancy]:[Schooling]])</f>
        <v>#NAME?</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e">
        <f ca="1">Data_Completeness(LifeExpectancyData[[#This Row],[Life expectancy]:[Schooling]])</f>
        <v>#NAME?</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e">
        <f ca="1">Data_Completeness(LifeExpectancyData[[#This Row],[Life expectancy]:[Schooling]])</f>
        <v>#NAME?</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e">
        <f ca="1">Data_Completeness(LifeExpectancyData[[#This Row],[Life expectancy]:[Schooling]])</f>
        <v>#NAME?</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e">
        <f ca="1">Data_Completeness(LifeExpectancyData[[#This Row],[Life expectancy]:[Schooling]])</f>
        <v>#NAME?</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e">
        <f ca="1">Data_Completeness(LifeExpectancyData[[#This Row],[Life expectancy]:[Schooling]])</f>
        <v>#NAME?</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e">
        <f ca="1">Data_Completeness(LifeExpectancyData[[#This Row],[Life expectancy]:[Schooling]])</f>
        <v>#NAME?</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e">
        <f ca="1">Data_Completeness(LifeExpectancyData[[#This Row],[Life expectancy]:[Schooling]])</f>
        <v>#NAME?</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e">
        <f ca="1">Data_Completeness(LifeExpectancyData[[#This Row],[Life expectancy]:[Schooling]])</f>
        <v>#NAME?</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e">
        <f ca="1">Data_Completeness(LifeExpectancyData[[#This Row],[Life expectancy]:[Schooling]])</f>
        <v>#NAME?</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e">
        <f ca="1">Data_Completeness(LifeExpectancyData[[#This Row],[Life expectancy]:[Schooling]])</f>
        <v>#NAME?</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e">
        <f ca="1">Data_Completeness(LifeExpectancyData[[#This Row],[Life expectancy]:[Schooling]])</f>
        <v>#NAME?</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e">
        <f ca="1">Data_Completeness(LifeExpectancyData[[#This Row],[Life expectancy]:[Schooling]])</f>
        <v>#NAME?</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e">
        <f ca="1">Data_Completeness(LifeExpectancyData[[#This Row],[Life expectancy]:[Schooling]])</f>
        <v>#NAME?</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e">
        <f ca="1">Data_Completeness(LifeExpectancyData[[#This Row],[Life expectancy]:[Schooling]])</f>
        <v>#NAME?</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e">
        <f ca="1">Data_Completeness(LifeExpectancyData[[#This Row],[Life expectancy]:[Schooling]])</f>
        <v>#NAME?</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e">
        <f ca="1">Data_Completeness(LifeExpectancyData[[#This Row],[Life expectancy]:[Schooling]])</f>
        <v>#NAME?</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e">
        <f ca="1">Data_Completeness(LifeExpectancyData[[#This Row],[Life expectancy]:[Schooling]])</f>
        <v>#NAME?</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e">
        <f ca="1">Data_Completeness(LifeExpectancyData[[#This Row],[Life expectancy]:[Schooling]])</f>
        <v>#NAME?</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e">
        <f ca="1">Data_Completeness(LifeExpectancyData[[#This Row],[Life expectancy]:[Schooling]])</f>
        <v>#NAME?</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e">
        <f ca="1">Data_Completeness(LifeExpectancyData[[#This Row],[Life expectancy]:[Schooling]])</f>
        <v>#NAME?</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e">
        <f ca="1">Data_Completeness(LifeExpectancyData[[#This Row],[Life expectancy]:[Schooling]])</f>
        <v>#NAME?</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e">
        <f ca="1">Data_Completeness(LifeExpectancyData[[#This Row],[Life expectancy]:[Schooling]])</f>
        <v>#NAME?</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e">
        <f ca="1">Data_Completeness(LifeExpectancyData[[#This Row],[Life expectancy]:[Schooling]])</f>
        <v>#NAME?</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e">
        <f ca="1">Data_Completeness(LifeExpectancyData[[#This Row],[Life expectancy]:[Schooling]])</f>
        <v>#NAME?</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e">
        <f ca="1">Data_Completeness(LifeExpectancyData[[#This Row],[Life expectancy]:[Schooling]])</f>
        <v>#NAME?</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e">
        <f ca="1">Data_Completeness(LifeExpectancyData[[#This Row],[Life expectancy]:[Schooling]])</f>
        <v>#NAME?</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e">
        <f ca="1">Data_Completeness(LifeExpectancyData[[#This Row],[Life expectancy]:[Schooling]])</f>
        <v>#NAME?</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e">
        <f ca="1">Data_Completeness(LifeExpectancyData[[#This Row],[Life expectancy]:[Schooling]])</f>
        <v>#NAME?</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e">
        <f ca="1">Data_Completeness(LifeExpectancyData[[#This Row],[Life expectancy]:[Schooling]])</f>
        <v>#NAME?</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e">
        <f ca="1">Data_Completeness(LifeExpectancyData[[#This Row],[Life expectancy]:[Schooling]])</f>
        <v>#NAME?</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e">
        <f ca="1">Data_Completeness(LifeExpectancyData[[#This Row],[Life expectancy]:[Schooling]])</f>
        <v>#NAME?</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e">
        <f ca="1">Data_Completeness(LifeExpectancyData[[#This Row],[Life expectancy]:[Schooling]])</f>
        <v>#NAME?</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e">
        <f ca="1">Data_Completeness(LifeExpectancyData[[#This Row],[Life expectancy]:[Schooling]])</f>
        <v>#NAME?</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e">
        <f ca="1">Data_Completeness(LifeExpectancyData[[#This Row],[Life expectancy]:[Schooling]])</f>
        <v>#NAME?</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e">
        <f ca="1">Data_Completeness(LifeExpectancyData[[#This Row],[Life expectancy]:[Schooling]])</f>
        <v>#NAME?</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e">
        <f ca="1">Data_Completeness(LifeExpectancyData[[#This Row],[Life expectancy]:[Schooling]])</f>
        <v>#NAME?</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e">
        <f ca="1">Data_Completeness(LifeExpectancyData[[#This Row],[Life expectancy]:[Schooling]])</f>
        <v>#NAME?</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e">
        <f ca="1">Data_Completeness(LifeExpectancyData[[#This Row],[Life expectancy]:[Schooling]])</f>
        <v>#NAME?</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e">
        <f ca="1">Data_Completeness(LifeExpectancyData[[#This Row],[Life expectancy]:[Schooling]])</f>
        <v>#NAME?</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e">
        <f ca="1">Data_Completeness(LifeExpectancyData[[#This Row],[Life expectancy]:[Schooling]])</f>
        <v>#NAME?</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e">
        <f ca="1">Data_Completeness(LifeExpectancyData[[#This Row],[Life expectancy]:[Schooling]])</f>
        <v>#NAME?</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e">
        <f ca="1">Data_Completeness(LifeExpectancyData[[#This Row],[Life expectancy]:[Schooling]])</f>
        <v>#NAME?</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e">
        <f ca="1">Data_Completeness(LifeExpectancyData[[#This Row],[Life expectancy]:[Schooling]])</f>
        <v>#NAME?</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e">
        <f ca="1">Data_Completeness(LifeExpectancyData[[#This Row],[Life expectancy]:[Schooling]])</f>
        <v>#NAME?</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e">
        <f ca="1">Data_Completeness(LifeExpectancyData[[#This Row],[Life expectancy]:[Schooling]])</f>
        <v>#NAME?</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e">
        <f ca="1">Data_Completeness(LifeExpectancyData[[#This Row],[Life expectancy]:[Schooling]])</f>
        <v>#NAME?</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e">
        <f ca="1">Data_Completeness(LifeExpectancyData[[#This Row],[Life expectancy]:[Schooling]])</f>
        <v>#NAME?</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e">
        <f ca="1">Data_Completeness(LifeExpectancyData[[#This Row],[Life expectancy]:[Schooling]])</f>
        <v>#NAME?</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e">
        <f ca="1">Data_Completeness(LifeExpectancyData[[#This Row],[Life expectancy]:[Schooling]])</f>
        <v>#NAME?</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e">
        <f ca="1">Data_Completeness(LifeExpectancyData[[#This Row],[Life expectancy]:[Schooling]])</f>
        <v>#NAME?</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e">
        <f ca="1">Data_Completeness(LifeExpectancyData[[#This Row],[Life expectancy]:[Schooling]])</f>
        <v>#NAME?</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e">
        <f ca="1">Data_Completeness(LifeExpectancyData[[#This Row],[Life expectancy]:[Schooling]])</f>
        <v>#NAME?</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e">
        <f ca="1">Data_Completeness(LifeExpectancyData[[#This Row],[Life expectancy]:[Schooling]])</f>
        <v>#NAME?</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e">
        <f ca="1">Data_Completeness(LifeExpectancyData[[#This Row],[Life expectancy]:[Schooling]])</f>
        <v>#NAME?</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e">
        <f ca="1">Data_Completeness(LifeExpectancyData[[#This Row],[Life expectancy]:[Schooling]])</f>
        <v>#NAME?</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e">
        <f ca="1">Data_Completeness(LifeExpectancyData[[#This Row],[Life expectancy]:[Schooling]])</f>
        <v>#NAME?</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e">
        <f ca="1">Data_Completeness(LifeExpectancyData[[#This Row],[Life expectancy]:[Schooling]])</f>
        <v>#NAME?</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e">
        <f ca="1">Data_Completeness(LifeExpectancyData[[#This Row],[Life expectancy]:[Schooling]])</f>
        <v>#NAME?</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e">
        <f ca="1">Data_Completeness(LifeExpectancyData[[#This Row],[Life expectancy]:[Schooling]])</f>
        <v>#NAME?</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e">
        <f ca="1">Data_Completeness(LifeExpectancyData[[#This Row],[Life expectancy]:[Schooling]])</f>
        <v>#NAME?</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e">
        <f ca="1">Data_Completeness(LifeExpectancyData[[#This Row],[Life expectancy]:[Schooling]])</f>
        <v>#NAME?</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e">
        <f ca="1">Data_Completeness(LifeExpectancyData[[#This Row],[Life expectancy]:[Schooling]])</f>
        <v>#NAME?</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e">
        <f ca="1">Data_Completeness(LifeExpectancyData[[#This Row],[Life expectancy]:[Schooling]])</f>
        <v>#NAME?</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e">
        <f ca="1">Data_Completeness(LifeExpectancyData[[#This Row],[Life expectancy]:[Schooling]])</f>
        <v>#NAME?</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e">
        <f ca="1">Data_Completeness(LifeExpectancyData[[#This Row],[Life expectancy]:[Schooling]])</f>
        <v>#NAME?</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e">
        <f ca="1">Data_Completeness(LifeExpectancyData[[#This Row],[Life expectancy]:[Schooling]])</f>
        <v>#NAME?</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e">
        <f ca="1">Data_Completeness(LifeExpectancyData[[#This Row],[Life expectancy]:[Schooling]])</f>
        <v>#NAME?</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e">
        <f ca="1">Data_Completeness(LifeExpectancyData[[#This Row],[Life expectancy]:[Schooling]])</f>
        <v>#NAME?</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e">
        <f ca="1">Data_Completeness(LifeExpectancyData[[#This Row],[Life expectancy]:[Schooling]])</f>
        <v>#NAME?</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e">
        <f ca="1">Data_Completeness(LifeExpectancyData[[#This Row],[Life expectancy]:[Schooling]])</f>
        <v>#NAME?</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e">
        <f ca="1">Data_Completeness(LifeExpectancyData[[#This Row],[Life expectancy]:[Schooling]])</f>
        <v>#NAME?</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e">
        <f ca="1">Data_Completeness(LifeExpectancyData[[#This Row],[Life expectancy]:[Schooling]])</f>
        <v>#NAME?</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e">
        <f ca="1">Data_Completeness(LifeExpectancyData[[#This Row],[Life expectancy]:[Schooling]])</f>
        <v>#NAME?</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e">
        <f ca="1">Data_Completeness(LifeExpectancyData[[#This Row],[Life expectancy]:[Schooling]])</f>
        <v>#NAME?</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e">
        <f ca="1">Data_Completeness(LifeExpectancyData[[#This Row],[Life expectancy]:[Schooling]])</f>
        <v>#NAME?</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e">
        <f ca="1">Data_Completeness(LifeExpectancyData[[#This Row],[Life expectancy]:[Schooling]])</f>
        <v>#NAME?</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e">
        <f ca="1">Data_Completeness(LifeExpectancyData[[#This Row],[Life expectancy]:[Schooling]])</f>
        <v>#NAME?</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e">
        <f ca="1">Data_Completeness(LifeExpectancyData[[#This Row],[Life expectancy]:[Schooling]])</f>
        <v>#NAME?</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e">
        <f ca="1">Data_Completeness(LifeExpectancyData[[#This Row],[Life expectancy]:[Schooling]])</f>
        <v>#NAME?</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e">
        <f ca="1">Data_Completeness(LifeExpectancyData[[#This Row],[Life expectancy]:[Schooling]])</f>
        <v>#NAME?</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e">
        <f ca="1">Data_Completeness(LifeExpectancyData[[#This Row],[Life expectancy]:[Schooling]])</f>
        <v>#NAME?</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e">
        <f ca="1">Data_Completeness(LifeExpectancyData[[#This Row],[Life expectancy]:[Schooling]])</f>
        <v>#NAME?</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e">
        <f ca="1">Data_Completeness(LifeExpectancyData[[#This Row],[Life expectancy]:[Schooling]])</f>
        <v>#NAME?</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e">
        <f ca="1">Data_Completeness(LifeExpectancyData[[#This Row],[Life expectancy]:[Schooling]])</f>
        <v>#NAME?</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e">
        <f ca="1">Data_Completeness(LifeExpectancyData[[#This Row],[Life expectancy]:[Schooling]])</f>
        <v>#NAME?</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e">
        <f ca="1">Data_Completeness(LifeExpectancyData[[#This Row],[Life expectancy]:[Schooling]])</f>
        <v>#NAME?</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e">
        <f ca="1">Data_Completeness(LifeExpectancyData[[#This Row],[Life expectancy]:[Schooling]])</f>
        <v>#NAME?</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e">
        <f ca="1">Data_Completeness(LifeExpectancyData[[#This Row],[Life expectancy]:[Schooling]])</f>
        <v>#NAME?</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e">
        <f ca="1">Data_Completeness(LifeExpectancyData[[#This Row],[Life expectancy]:[Schooling]])</f>
        <v>#NAME?</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e">
        <f ca="1">Data_Completeness(LifeExpectancyData[[#This Row],[Life expectancy]:[Schooling]])</f>
        <v>#NAME?</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e">
        <f ca="1">Data_Completeness(LifeExpectancyData[[#This Row],[Life expectancy]:[Schooling]])</f>
        <v>#NAME?</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e">
        <f ca="1">Data_Completeness(LifeExpectancyData[[#This Row],[Life expectancy]:[Schooling]])</f>
        <v>#NAME?</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e">
        <f ca="1">Data_Completeness(LifeExpectancyData[[#This Row],[Life expectancy]:[Schooling]])</f>
        <v>#NAME?</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e">
        <f ca="1">Data_Completeness(LifeExpectancyData[[#This Row],[Life expectancy]:[Schooling]])</f>
        <v>#NAME?</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e">
        <f ca="1">Data_Completeness(LifeExpectancyData[[#This Row],[Life expectancy]:[Schooling]])</f>
        <v>#NAME?</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e">
        <f ca="1">Data_Completeness(LifeExpectancyData[[#This Row],[Life expectancy]:[Schooling]])</f>
        <v>#NAME?</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e">
        <f ca="1">Data_Completeness(LifeExpectancyData[[#This Row],[Life expectancy]:[Schooling]])</f>
        <v>#NAME?</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e">
        <f ca="1">Data_Completeness(LifeExpectancyData[[#This Row],[Life expectancy]:[Schooling]])</f>
        <v>#NAME?</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e">
        <f ca="1">Data_Completeness(LifeExpectancyData[[#This Row],[Life expectancy]:[Schooling]])</f>
        <v>#NAME?</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e">
        <f ca="1">Data_Completeness(LifeExpectancyData[[#This Row],[Life expectancy]:[Schooling]])</f>
        <v>#NAME?</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e">
        <f ca="1">Data_Completeness(LifeExpectancyData[[#This Row],[Life expectancy]:[Schooling]])</f>
        <v>#NAME?</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e">
        <f ca="1">Data_Completeness(LifeExpectancyData[[#This Row],[Life expectancy]:[Schooling]])</f>
        <v>#NAME?</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e">
        <f ca="1">Data_Completeness(LifeExpectancyData[[#This Row],[Life expectancy]:[Schooling]])</f>
        <v>#NAME?</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e">
        <f ca="1">Data_Completeness(LifeExpectancyData[[#This Row],[Life expectancy]:[Schooling]])</f>
        <v>#NAME?</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e">
        <f ca="1">Data_Completeness(LifeExpectancyData[[#This Row],[Life expectancy]:[Schooling]])</f>
        <v>#NAME?</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e">
        <f ca="1">Data_Completeness(LifeExpectancyData[[#This Row],[Life expectancy]:[Schooling]])</f>
        <v>#NAME?</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e">
        <f ca="1">Data_Completeness(LifeExpectancyData[[#This Row],[Life expectancy]:[Schooling]])</f>
        <v>#NAME?</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e">
        <f ca="1">Data_Completeness(LifeExpectancyData[[#This Row],[Life expectancy]:[Schooling]])</f>
        <v>#NAME?</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e">
        <f ca="1">Data_Completeness(LifeExpectancyData[[#This Row],[Life expectancy]:[Schooling]])</f>
        <v>#NAME?</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e">
        <f ca="1">Data_Completeness(LifeExpectancyData[[#This Row],[Life expectancy]:[Schooling]])</f>
        <v>#NAME?</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e">
        <f ca="1">Data_Completeness(LifeExpectancyData[[#This Row],[Life expectancy]:[Schooling]])</f>
        <v>#NAME?</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e">
        <f ca="1">Data_Completeness(LifeExpectancyData[[#This Row],[Life expectancy]:[Schooling]])</f>
        <v>#NAME?</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e">
        <f ca="1">Data_Completeness(LifeExpectancyData[[#This Row],[Life expectancy]:[Schooling]])</f>
        <v>#NAME?</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e">
        <f ca="1">Data_Completeness(LifeExpectancyData[[#This Row],[Life expectancy]:[Schooling]])</f>
        <v>#NAME?</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e">
        <f ca="1">Data_Completeness(LifeExpectancyData[[#This Row],[Life expectancy]:[Schooling]])</f>
        <v>#NAME?</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e">
        <f ca="1">Data_Completeness(LifeExpectancyData[[#This Row],[Life expectancy]:[Schooling]])</f>
        <v>#NAME?</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e">
        <f ca="1">Data_Completeness(LifeExpectancyData[[#This Row],[Life expectancy]:[Schooling]])</f>
        <v>#NAME?</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e">
        <f ca="1">Data_Completeness(LifeExpectancyData[[#This Row],[Life expectancy]:[Schooling]])</f>
        <v>#NAME?</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e">
        <f ca="1">Data_Completeness(LifeExpectancyData[[#This Row],[Life expectancy]:[Schooling]])</f>
        <v>#NAME?</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e">
        <f ca="1">Data_Completeness(LifeExpectancyData[[#This Row],[Life expectancy]:[Schooling]])</f>
        <v>#NAME?</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e">
        <f ca="1">Data_Completeness(LifeExpectancyData[[#This Row],[Life expectancy]:[Schooling]])</f>
        <v>#NAME?</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e">
        <f ca="1">Data_Completeness(LifeExpectancyData[[#This Row],[Life expectancy]:[Schooling]])</f>
        <v>#NAME?</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e">
        <f ca="1">Data_Completeness(LifeExpectancyData[[#This Row],[Life expectancy]:[Schooling]])</f>
        <v>#NAME?</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e">
        <f ca="1">Data_Completeness(LifeExpectancyData[[#This Row],[Life expectancy]:[Schooling]])</f>
        <v>#NAME?</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e">
        <f ca="1">Data_Completeness(LifeExpectancyData[[#This Row],[Life expectancy]:[Schooling]])</f>
        <v>#NAME?</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e">
        <f ca="1">Data_Completeness(LifeExpectancyData[[#This Row],[Life expectancy]:[Schooling]])</f>
        <v>#NAME?</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e">
        <f ca="1">Data_Completeness(LifeExpectancyData[[#This Row],[Life expectancy]:[Schooling]])</f>
        <v>#NAME?</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e">
        <f ca="1">Data_Completeness(LifeExpectancyData[[#This Row],[Life expectancy]:[Schooling]])</f>
        <v>#NAME?</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e">
        <f ca="1">Data_Completeness(LifeExpectancyData[[#This Row],[Life expectancy]:[Schooling]])</f>
        <v>#NAME?</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e">
        <f ca="1">Data_Completeness(LifeExpectancyData[[#This Row],[Life expectancy]:[Schooling]])</f>
        <v>#NAME?</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e">
        <f ca="1">Data_Completeness(LifeExpectancyData[[#This Row],[Life expectancy]:[Schooling]])</f>
        <v>#NAME?</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e">
        <f ca="1">Data_Completeness(LifeExpectancyData[[#This Row],[Life expectancy]:[Schooling]])</f>
        <v>#NAME?</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e">
        <f ca="1">Data_Completeness(LifeExpectancyData[[#This Row],[Life expectancy]:[Schooling]])</f>
        <v>#NAME?</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e">
        <f ca="1">Data_Completeness(LifeExpectancyData[[#This Row],[Life expectancy]:[Schooling]])</f>
        <v>#NAME?</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e">
        <f ca="1">Data_Completeness(LifeExpectancyData[[#This Row],[Life expectancy]:[Schooling]])</f>
        <v>#NAME?</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e">
        <f ca="1">Data_Completeness(LifeExpectancyData[[#This Row],[Life expectancy]:[Schooling]])</f>
        <v>#NAME?</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e">
        <f ca="1">Data_Completeness(LifeExpectancyData[[#This Row],[Life expectancy]:[Schooling]])</f>
        <v>#NAME?</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e">
        <f ca="1">Data_Completeness(LifeExpectancyData[[#This Row],[Life expectancy]:[Schooling]])</f>
        <v>#NAME?</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e">
        <f ca="1">Data_Completeness(LifeExpectancyData[[#This Row],[Life expectancy]:[Schooling]])</f>
        <v>#NAME?</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e">
        <f ca="1">Data_Completeness(LifeExpectancyData[[#This Row],[Life expectancy]:[Schooling]])</f>
        <v>#NAME?</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e">
        <f ca="1">Data_Completeness(LifeExpectancyData[[#This Row],[Life expectancy]:[Schooling]])</f>
        <v>#NAME?</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e">
        <f ca="1">Data_Completeness(LifeExpectancyData[[#This Row],[Life expectancy]:[Schooling]])</f>
        <v>#NAME?</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e">
        <f ca="1">Data_Completeness(LifeExpectancyData[[#This Row],[Life expectancy]:[Schooling]])</f>
        <v>#NAME?</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e">
        <f ca="1">Data_Completeness(LifeExpectancyData[[#This Row],[Life expectancy]:[Schooling]])</f>
        <v>#NAME?</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e">
        <f ca="1">Data_Completeness(LifeExpectancyData[[#This Row],[Life expectancy]:[Schooling]])</f>
        <v>#NAME?</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e">
        <f ca="1">Data_Completeness(LifeExpectancyData[[#This Row],[Life expectancy]:[Schooling]])</f>
        <v>#NAME?</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e">
        <f ca="1">Data_Completeness(LifeExpectancyData[[#This Row],[Life expectancy]:[Schooling]])</f>
        <v>#NAME?</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e">
        <f ca="1">Data_Completeness(LifeExpectancyData[[#This Row],[Life expectancy]:[Schooling]])</f>
        <v>#NAME?</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e">
        <f ca="1">Data_Completeness(LifeExpectancyData[[#This Row],[Life expectancy]:[Schooling]])</f>
        <v>#NAME?</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e">
        <f ca="1">Data_Completeness(LifeExpectancyData[[#This Row],[Life expectancy]:[Schooling]])</f>
        <v>#NAME?</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e">
        <f ca="1">Data_Completeness(LifeExpectancyData[[#This Row],[Life expectancy]:[Schooling]])</f>
        <v>#NAME?</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e">
        <f ca="1">Data_Completeness(LifeExpectancyData[[#This Row],[Life expectancy]:[Schooling]])</f>
        <v>#NAME?</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e">
        <f ca="1">Data_Completeness(LifeExpectancyData[[#This Row],[Life expectancy]:[Schooling]])</f>
        <v>#NAME?</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e">
        <f ca="1">Data_Completeness(LifeExpectancyData[[#This Row],[Life expectancy]:[Schooling]])</f>
        <v>#NAME?</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e">
        <f ca="1">Data_Completeness(LifeExpectancyData[[#This Row],[Life expectancy]:[Schooling]])</f>
        <v>#NAME?</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e">
        <f ca="1">Data_Completeness(LifeExpectancyData[[#This Row],[Life expectancy]:[Schooling]])</f>
        <v>#NAME?</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e">
        <f ca="1">Data_Completeness(LifeExpectancyData[[#This Row],[Life expectancy]:[Schooling]])</f>
        <v>#NAME?</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e">
        <f ca="1">Data_Completeness(LifeExpectancyData[[#This Row],[Life expectancy]:[Schooling]])</f>
        <v>#NAME?</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e">
        <f ca="1">Data_Completeness(LifeExpectancyData[[#This Row],[Life expectancy]:[Schooling]])</f>
        <v>#NAME?</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e">
        <f ca="1">Data_Completeness(LifeExpectancyData[[#This Row],[Life expectancy]:[Schooling]])</f>
        <v>#NAME?</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e">
        <f ca="1">Data_Completeness(LifeExpectancyData[[#This Row],[Life expectancy]:[Schooling]])</f>
        <v>#NAME?</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e">
        <f ca="1">Data_Completeness(LifeExpectancyData[[#This Row],[Life expectancy]:[Schooling]])</f>
        <v>#NAME?</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e">
        <f ca="1">Data_Completeness(LifeExpectancyData[[#This Row],[Life expectancy]:[Schooling]])</f>
        <v>#NAME?</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e">
        <f ca="1">Data_Completeness(LifeExpectancyData[[#This Row],[Life expectancy]:[Schooling]])</f>
        <v>#NAME?</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e">
        <f ca="1">Data_Completeness(LifeExpectancyData[[#This Row],[Life expectancy]:[Schooling]])</f>
        <v>#NAME?</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e">
        <f ca="1">Data_Completeness(LifeExpectancyData[[#This Row],[Life expectancy]:[Schooling]])</f>
        <v>#NAME?</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e">
        <f ca="1">Data_Completeness(LifeExpectancyData[[#This Row],[Life expectancy]:[Schooling]])</f>
        <v>#NAME?</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e">
        <f ca="1">Data_Completeness(LifeExpectancyData[[#This Row],[Life expectancy]:[Schooling]])</f>
        <v>#NAME?</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e">
        <f ca="1">Data_Completeness(LifeExpectancyData[[#This Row],[Life expectancy]:[Schooling]])</f>
        <v>#NAME?</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e">
        <f ca="1">Data_Completeness(LifeExpectancyData[[#This Row],[Life expectancy]:[Schooling]])</f>
        <v>#NAME?</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e">
        <f ca="1">Data_Completeness(LifeExpectancyData[[#This Row],[Life expectancy]:[Schooling]])</f>
        <v>#NAME?</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e">
        <f ca="1">Data_Completeness(LifeExpectancyData[[#This Row],[Life expectancy]:[Schooling]])</f>
        <v>#NAME?</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e">
        <f ca="1">Data_Completeness(LifeExpectancyData[[#This Row],[Life expectancy]:[Schooling]])</f>
        <v>#NAME?</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e">
        <f ca="1">Data_Completeness(LifeExpectancyData[[#This Row],[Life expectancy]:[Schooling]])</f>
        <v>#NAME?</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e">
        <f ca="1">Data_Completeness(LifeExpectancyData[[#This Row],[Life expectancy]:[Schooling]])</f>
        <v>#NAME?</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e">
        <f ca="1">Data_Completeness(LifeExpectancyData[[#This Row],[Life expectancy]:[Schooling]])</f>
        <v>#NAME?</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e">
        <f ca="1">Data_Completeness(LifeExpectancyData[[#This Row],[Life expectancy]:[Schooling]])</f>
        <v>#NAME?</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e">
        <f ca="1">Data_Completeness(LifeExpectancyData[[#This Row],[Life expectancy]:[Schooling]])</f>
        <v>#NAME?</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e">
        <f ca="1">Data_Completeness(LifeExpectancyData[[#This Row],[Life expectancy]:[Schooling]])</f>
        <v>#NAME?</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e">
        <f ca="1">Data_Completeness(LifeExpectancyData[[#This Row],[Life expectancy]:[Schooling]])</f>
        <v>#NAME?</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e">
        <f ca="1">Data_Completeness(LifeExpectancyData[[#This Row],[Life expectancy]:[Schooling]])</f>
        <v>#NAME?</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e">
        <f ca="1">Data_Completeness(LifeExpectancyData[[#This Row],[Life expectancy]:[Schooling]])</f>
        <v>#NAME?</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e">
        <f ca="1">Data_Completeness(LifeExpectancyData[[#This Row],[Life expectancy]:[Schooling]])</f>
        <v>#NAME?</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e">
        <f ca="1">Data_Completeness(LifeExpectancyData[[#This Row],[Life expectancy]:[Schooling]])</f>
        <v>#NAME?</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e">
        <f ca="1">Data_Completeness(LifeExpectancyData[[#This Row],[Life expectancy]:[Schooling]])</f>
        <v>#NAME?</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e">
        <f ca="1">Data_Completeness(LifeExpectancyData[[#This Row],[Life expectancy]:[Schooling]])</f>
        <v>#NAME?</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e">
        <f ca="1">Data_Completeness(LifeExpectancyData[[#This Row],[Life expectancy]:[Schooling]])</f>
        <v>#NAME?</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e">
        <f ca="1">Data_Completeness(LifeExpectancyData[[#This Row],[Life expectancy]:[Schooling]])</f>
        <v>#NAME?</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e">
        <f ca="1">Data_Completeness(LifeExpectancyData[[#This Row],[Life expectancy]:[Schooling]])</f>
        <v>#NAME?</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e">
        <f ca="1">Data_Completeness(LifeExpectancyData[[#This Row],[Life expectancy]:[Schooling]])</f>
        <v>#NAME?</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e">
        <f ca="1">Data_Completeness(LifeExpectancyData[[#This Row],[Life expectancy]:[Schooling]])</f>
        <v>#NAME?</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e">
        <f ca="1">Data_Completeness(LifeExpectancyData[[#This Row],[Life expectancy]:[Schooling]])</f>
        <v>#NAME?</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e">
        <f ca="1">Data_Completeness(LifeExpectancyData[[#This Row],[Life expectancy]:[Schooling]])</f>
        <v>#NAME?</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e">
        <f ca="1">Data_Completeness(LifeExpectancyData[[#This Row],[Life expectancy]:[Schooling]])</f>
        <v>#NAME?</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e">
        <f ca="1">Data_Completeness(LifeExpectancyData[[#This Row],[Life expectancy]:[Schooling]])</f>
        <v>#NAME?</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e">
        <f ca="1">Data_Completeness(LifeExpectancyData[[#This Row],[Life expectancy]:[Schooling]])</f>
        <v>#NAME?</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e">
        <f ca="1">Data_Completeness(LifeExpectancyData[[#This Row],[Life expectancy]:[Schooling]])</f>
        <v>#NAME?</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e">
        <f ca="1">Data_Completeness(LifeExpectancyData[[#This Row],[Life expectancy]:[Schooling]])</f>
        <v>#NAME?</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e">
        <f ca="1">Data_Completeness(LifeExpectancyData[[#This Row],[Life expectancy]:[Schooling]])</f>
        <v>#NAME?</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e">
        <f ca="1">Data_Completeness(LifeExpectancyData[[#This Row],[Life expectancy]:[Schooling]])</f>
        <v>#NAME?</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e">
        <f ca="1">Data_Completeness(LifeExpectancyData[[#This Row],[Life expectancy]:[Schooling]])</f>
        <v>#NAME?</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e">
        <f ca="1">Data_Completeness(LifeExpectancyData[[#This Row],[Life expectancy]:[Schooling]])</f>
        <v>#NAME?</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e">
        <f ca="1">Data_Completeness(LifeExpectancyData[[#This Row],[Life expectancy]:[Schooling]])</f>
        <v>#NAME?</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e">
        <f ca="1">Data_Completeness(LifeExpectancyData[[#This Row],[Life expectancy]:[Schooling]])</f>
        <v>#NAME?</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e">
        <f ca="1">Data_Completeness(LifeExpectancyData[[#This Row],[Life expectancy]:[Schooling]])</f>
        <v>#NAME?</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e">
        <f ca="1">Data_Completeness(LifeExpectancyData[[#This Row],[Life expectancy]:[Schooling]])</f>
        <v>#NAME?</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e">
        <f ca="1">Data_Completeness(LifeExpectancyData[[#This Row],[Life expectancy]:[Schooling]])</f>
        <v>#NAME?</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e">
        <f ca="1">Data_Completeness(LifeExpectancyData[[#This Row],[Life expectancy]:[Schooling]])</f>
        <v>#NAME?</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e">
        <f ca="1">Data_Completeness(LifeExpectancyData[[#This Row],[Life expectancy]:[Schooling]])</f>
        <v>#NAME?</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e">
        <f ca="1">Data_Completeness(LifeExpectancyData[[#This Row],[Life expectancy]:[Schooling]])</f>
        <v>#NAME?</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e">
        <f ca="1">Data_Completeness(LifeExpectancyData[[#This Row],[Life expectancy]:[Schooling]])</f>
        <v>#NAME?</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e">
        <f ca="1">Data_Completeness(LifeExpectancyData[[#This Row],[Life expectancy]:[Schooling]])</f>
        <v>#NAME?</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e">
        <f ca="1">Data_Completeness(LifeExpectancyData[[#This Row],[Life expectancy]:[Schooling]])</f>
        <v>#NAME?</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e">
        <f ca="1">Data_Completeness(LifeExpectancyData[[#This Row],[Life expectancy]:[Schooling]])</f>
        <v>#NAME?</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e">
        <f ca="1">Data_Completeness(LifeExpectancyData[[#This Row],[Life expectancy]:[Schooling]])</f>
        <v>#NAME?</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e">
        <f ca="1">Data_Completeness(LifeExpectancyData[[#This Row],[Life expectancy]:[Schooling]])</f>
        <v>#NAME?</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e">
        <f ca="1">Data_Completeness(LifeExpectancyData[[#This Row],[Life expectancy]:[Schooling]])</f>
        <v>#NAME?</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e">
        <f ca="1">Data_Completeness(LifeExpectancyData[[#This Row],[Life expectancy]:[Schooling]])</f>
        <v>#NAME?</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e">
        <f ca="1">Data_Completeness(LifeExpectancyData[[#This Row],[Life expectancy]:[Schooling]])</f>
        <v>#NAME?</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e">
        <f ca="1">Data_Completeness(LifeExpectancyData[[#This Row],[Life expectancy]:[Schooling]])</f>
        <v>#NAME?</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e">
        <f ca="1">Data_Completeness(LifeExpectancyData[[#This Row],[Life expectancy]:[Schooling]])</f>
        <v>#NAME?</v>
      </c>
    </row>
    <row r="2419" spans="1:23" x14ac:dyDescent="0.25">
      <c r="A2419" t="s">
        <v>615</v>
      </c>
      <c r="B2419">
        <v>2007</v>
      </c>
      <c r="C2419" t="s">
        <v>455</v>
      </c>
      <c r="D2419">
        <v>53.1</v>
      </c>
      <c r="E2419">
        <v>381</v>
      </c>
      <c r="F2419">
        <v>27</v>
      </c>
      <c r="H2419">
        <v>0</v>
      </c>
      <c r="J2419">
        <v>0</v>
      </c>
      <c r="L2419">
        <v>43</v>
      </c>
      <c r="P2419">
        <v>4.2</v>
      </c>
      <c r="R2419">
        <v>88568</v>
      </c>
      <c r="U2419">
        <v>0</v>
      </c>
      <c r="V2419">
        <v>0</v>
      </c>
      <c r="W2419" t="e">
        <f ca="1">Data_Completeness(LifeExpectancyData[[#This Row],[Life expectancy]:[Schooling]])</f>
        <v>#NAME?</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e">
        <f ca="1">Data_Completeness(LifeExpectancyData[[#This Row],[Life expectancy]:[Schooling]])</f>
        <v>#NAME?</v>
      </c>
    </row>
    <row r="2421" spans="1:23" x14ac:dyDescent="0.25">
      <c r="A2421" t="s">
        <v>615</v>
      </c>
      <c r="B2421">
        <v>2005</v>
      </c>
      <c r="C2421" t="s">
        <v>455</v>
      </c>
      <c r="D2421">
        <v>51.9</v>
      </c>
      <c r="E2421">
        <v>383</v>
      </c>
      <c r="F2421">
        <v>28</v>
      </c>
      <c r="H2421">
        <v>0</v>
      </c>
      <c r="J2421">
        <v>0</v>
      </c>
      <c r="L2421">
        <v>44</v>
      </c>
      <c r="P2421">
        <v>3.9</v>
      </c>
      <c r="R2421">
        <v>818877</v>
      </c>
      <c r="U2421">
        <v>0</v>
      </c>
      <c r="V2421">
        <v>0</v>
      </c>
      <c r="W2421" t="e">
        <f ca="1">Data_Completeness(LifeExpectancyData[[#This Row],[Life expectancy]:[Schooling]])</f>
        <v>#NAME?</v>
      </c>
    </row>
    <row r="2422" spans="1:23" x14ac:dyDescent="0.25">
      <c r="A2422" t="s">
        <v>615</v>
      </c>
      <c r="B2422">
        <v>2004</v>
      </c>
      <c r="C2422" t="s">
        <v>455</v>
      </c>
      <c r="D2422">
        <v>51.4</v>
      </c>
      <c r="E2422">
        <v>383</v>
      </c>
      <c r="F2422">
        <v>29</v>
      </c>
      <c r="H2422">
        <v>0</v>
      </c>
      <c r="J2422">
        <v>0</v>
      </c>
      <c r="L2422">
        <v>45</v>
      </c>
      <c r="P2422">
        <v>3.8</v>
      </c>
      <c r="R2422">
        <v>7787655</v>
      </c>
      <c r="U2422">
        <v>0</v>
      </c>
      <c r="V2422">
        <v>0</v>
      </c>
      <c r="W2422" t="e">
        <f ca="1">Data_Completeness(LifeExpectancyData[[#This Row],[Life expectancy]:[Schooling]])</f>
        <v>#NAME?</v>
      </c>
    </row>
    <row r="2423" spans="1:23" x14ac:dyDescent="0.25">
      <c r="A2423" t="s">
        <v>615</v>
      </c>
      <c r="B2423">
        <v>2003</v>
      </c>
      <c r="C2423" t="s">
        <v>455</v>
      </c>
      <c r="D2423">
        <v>58</v>
      </c>
      <c r="E2423">
        <v>383</v>
      </c>
      <c r="F2423">
        <v>29</v>
      </c>
      <c r="H2423">
        <v>0</v>
      </c>
      <c r="J2423">
        <v>0</v>
      </c>
      <c r="L2423">
        <v>46</v>
      </c>
      <c r="P2423">
        <v>3.5</v>
      </c>
      <c r="R2423">
        <v>751642</v>
      </c>
      <c r="U2423">
        <v>0</v>
      </c>
      <c r="V2423">
        <v>0</v>
      </c>
      <c r="W2423" t="e">
        <f ca="1">Data_Completeness(LifeExpectancyData[[#This Row],[Life expectancy]:[Schooling]])</f>
        <v>#NAME?</v>
      </c>
    </row>
    <row r="2424" spans="1:23" x14ac:dyDescent="0.25">
      <c r="A2424" t="s">
        <v>615</v>
      </c>
      <c r="B2424">
        <v>2002</v>
      </c>
      <c r="C2424" t="s">
        <v>455</v>
      </c>
      <c r="D2424">
        <v>52</v>
      </c>
      <c r="E2424">
        <v>382</v>
      </c>
      <c r="F2424">
        <v>30</v>
      </c>
      <c r="H2424">
        <v>0</v>
      </c>
      <c r="J2424">
        <v>0</v>
      </c>
      <c r="L2424">
        <v>48</v>
      </c>
      <c r="P2424">
        <v>3.3</v>
      </c>
      <c r="R2424">
        <v>7237276</v>
      </c>
      <c r="U2424">
        <v>0</v>
      </c>
      <c r="V2424">
        <v>0</v>
      </c>
      <c r="W2424" t="e">
        <f ca="1">Data_Completeness(LifeExpectancyData[[#This Row],[Life expectancy]:[Schooling]])</f>
        <v>#NAME?</v>
      </c>
    </row>
    <row r="2425" spans="1:23" x14ac:dyDescent="0.25">
      <c r="A2425" t="s">
        <v>615</v>
      </c>
      <c r="B2425">
        <v>2001</v>
      </c>
      <c r="C2425" t="s">
        <v>455</v>
      </c>
      <c r="D2425">
        <v>49.6</v>
      </c>
      <c r="E2425">
        <v>381</v>
      </c>
      <c r="F2425">
        <v>30</v>
      </c>
      <c r="H2425">
        <v>0</v>
      </c>
      <c r="J2425">
        <v>0</v>
      </c>
      <c r="L2425">
        <v>49</v>
      </c>
      <c r="P2425">
        <v>3</v>
      </c>
      <c r="R2425">
        <v>6974442</v>
      </c>
      <c r="U2425">
        <v>0</v>
      </c>
      <c r="V2425">
        <v>0</v>
      </c>
      <c r="W2425" t="e">
        <f ca="1">Data_Completeness(LifeExpectancyData[[#This Row],[Life expectancy]:[Schooling]])</f>
        <v>#NAME?</v>
      </c>
    </row>
    <row r="2426" spans="1:23" x14ac:dyDescent="0.25">
      <c r="A2426" t="s">
        <v>615</v>
      </c>
      <c r="B2426">
        <v>2000</v>
      </c>
      <c r="C2426" t="s">
        <v>455</v>
      </c>
      <c r="D2426">
        <v>48.9</v>
      </c>
      <c r="E2426">
        <v>38</v>
      </c>
      <c r="F2426">
        <v>31</v>
      </c>
      <c r="H2426">
        <v>0</v>
      </c>
      <c r="J2426">
        <v>0</v>
      </c>
      <c r="L2426">
        <v>50</v>
      </c>
      <c r="P2426">
        <v>2.7</v>
      </c>
      <c r="R2426">
        <v>67656</v>
      </c>
      <c r="U2426">
        <v>0</v>
      </c>
      <c r="V2426">
        <v>0</v>
      </c>
      <c r="W2426" t="e">
        <f ca="1">Data_Completeness(LifeExpectancyData[[#This Row],[Life expectancy]:[Schooling]])</f>
        <v>#NAME?</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e">
        <f ca="1">Data_Completeness(LifeExpectancyData[[#This Row],[Life expectancy]:[Schooling]])</f>
        <v>#NAME?</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e">
        <f ca="1">Data_Completeness(LifeExpectancyData[[#This Row],[Life expectancy]:[Schooling]])</f>
        <v>#NAME?</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e">
        <f ca="1">Data_Completeness(LifeExpectancyData[[#This Row],[Life expectancy]:[Schooling]])</f>
        <v>#NAME?</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e">
        <f ca="1">Data_Completeness(LifeExpectancyData[[#This Row],[Life expectancy]:[Schooling]])</f>
        <v>#NAME?</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e">
        <f ca="1">Data_Completeness(LifeExpectancyData[[#This Row],[Life expectancy]:[Schooling]])</f>
        <v>#NAME?</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e">
        <f ca="1">Data_Completeness(LifeExpectancyData[[#This Row],[Life expectancy]:[Schooling]])</f>
        <v>#NAME?</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e">
        <f ca="1">Data_Completeness(LifeExpectancyData[[#This Row],[Life expectancy]:[Schooling]])</f>
        <v>#NAME?</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e">
        <f ca="1">Data_Completeness(LifeExpectancyData[[#This Row],[Life expectancy]:[Schooling]])</f>
        <v>#NAME?</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e">
        <f ca="1">Data_Completeness(LifeExpectancyData[[#This Row],[Life expectancy]:[Schooling]])</f>
        <v>#NAME?</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e">
        <f ca="1">Data_Completeness(LifeExpectancyData[[#This Row],[Life expectancy]:[Schooling]])</f>
        <v>#NAME?</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e">
        <f ca="1">Data_Completeness(LifeExpectancyData[[#This Row],[Life expectancy]:[Schooling]])</f>
        <v>#NAME?</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e">
        <f ca="1">Data_Completeness(LifeExpectancyData[[#This Row],[Life expectancy]:[Schooling]])</f>
        <v>#NAME?</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e">
        <f ca="1">Data_Completeness(LifeExpectancyData[[#This Row],[Life expectancy]:[Schooling]])</f>
        <v>#NAME?</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e">
        <f ca="1">Data_Completeness(LifeExpectancyData[[#This Row],[Life expectancy]:[Schooling]])</f>
        <v>#NAME?</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e">
        <f ca="1">Data_Completeness(LifeExpectancyData[[#This Row],[Life expectancy]:[Schooling]])</f>
        <v>#NAME?</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e">
        <f ca="1">Data_Completeness(LifeExpectancyData[[#This Row],[Life expectancy]:[Schooling]])</f>
        <v>#NAME?</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e">
        <f ca="1">Data_Completeness(LifeExpectancyData[[#This Row],[Life expectancy]:[Schooling]])</f>
        <v>#NAME?</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e">
        <f ca="1">Data_Completeness(LifeExpectancyData[[#This Row],[Life expectancy]:[Schooling]])</f>
        <v>#NAME?</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e">
        <f ca="1">Data_Completeness(LifeExpectancyData[[#This Row],[Life expectancy]:[Schooling]])</f>
        <v>#NAME?</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e">
        <f ca="1">Data_Completeness(LifeExpectancyData[[#This Row],[Life expectancy]:[Schooling]])</f>
        <v>#NAME?</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e">
        <f ca="1">Data_Completeness(LifeExpectancyData[[#This Row],[Life expectancy]:[Schooling]])</f>
        <v>#NAME?</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e">
        <f ca="1">Data_Completeness(LifeExpectancyData[[#This Row],[Life expectancy]:[Schooling]])</f>
        <v>#NAME?</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e">
        <f ca="1">Data_Completeness(LifeExpectancyData[[#This Row],[Life expectancy]:[Schooling]])</f>
        <v>#NAME?</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e">
        <f ca="1">Data_Completeness(LifeExpectancyData[[#This Row],[Life expectancy]:[Schooling]])</f>
        <v>#NAME?</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e">
        <f ca="1">Data_Completeness(LifeExpectancyData[[#This Row],[Life expectancy]:[Schooling]])</f>
        <v>#NAME?</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e">
        <f ca="1">Data_Completeness(LifeExpectancyData[[#This Row],[Life expectancy]:[Schooling]])</f>
        <v>#NAME?</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e">
        <f ca="1">Data_Completeness(LifeExpectancyData[[#This Row],[Life expectancy]:[Schooling]])</f>
        <v>#NAME?</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e">
        <f ca="1">Data_Completeness(LifeExpectancyData[[#This Row],[Life expectancy]:[Schooling]])</f>
        <v>#NAME?</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e">
        <f ca="1">Data_Completeness(LifeExpectancyData[[#This Row],[Life expectancy]:[Schooling]])</f>
        <v>#NAME?</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e">
        <f ca="1">Data_Completeness(LifeExpectancyData[[#This Row],[Life expectancy]:[Schooling]])</f>
        <v>#NAME?</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e">
        <f ca="1">Data_Completeness(LifeExpectancyData[[#This Row],[Life expectancy]:[Schooling]])</f>
        <v>#NAME?</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e">
        <f ca="1">Data_Completeness(LifeExpectancyData[[#This Row],[Life expectancy]:[Schooling]])</f>
        <v>#NAME?</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e">
        <f ca="1">Data_Completeness(LifeExpectancyData[[#This Row],[Life expectancy]:[Schooling]])</f>
        <v>#NAME?</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e">
        <f ca="1">Data_Completeness(LifeExpectancyData[[#This Row],[Life expectancy]:[Schooling]])</f>
        <v>#NAME?</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e">
        <f ca="1">Data_Completeness(LifeExpectancyData[[#This Row],[Life expectancy]:[Schooling]])</f>
        <v>#NAME?</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e">
        <f ca="1">Data_Completeness(LifeExpectancyData[[#This Row],[Life expectancy]:[Schooling]])</f>
        <v>#NAME?</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e">
        <f ca="1">Data_Completeness(LifeExpectancyData[[#This Row],[Life expectancy]:[Schooling]])</f>
        <v>#NAME?</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e">
        <f ca="1">Data_Completeness(LifeExpectancyData[[#This Row],[Life expectancy]:[Schooling]])</f>
        <v>#NAME?</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e">
        <f ca="1">Data_Completeness(LifeExpectancyData[[#This Row],[Life expectancy]:[Schooling]])</f>
        <v>#NAME?</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e">
        <f ca="1">Data_Completeness(LifeExpectancyData[[#This Row],[Life expectancy]:[Schooling]])</f>
        <v>#NAME?</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e">
        <f ca="1">Data_Completeness(LifeExpectancyData[[#This Row],[Life expectancy]:[Schooling]])</f>
        <v>#NAME?</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e">
        <f ca="1">Data_Completeness(LifeExpectancyData[[#This Row],[Life expectancy]:[Schooling]])</f>
        <v>#NAME?</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e">
        <f ca="1">Data_Completeness(LifeExpectancyData[[#This Row],[Life expectancy]:[Schooling]])</f>
        <v>#NAME?</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e">
        <f ca="1">Data_Completeness(LifeExpectancyData[[#This Row],[Life expectancy]:[Schooling]])</f>
        <v>#NAME?</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e">
        <f ca="1">Data_Completeness(LifeExpectancyData[[#This Row],[Life expectancy]:[Schooling]])</f>
        <v>#NAME?</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e">
        <f ca="1">Data_Completeness(LifeExpectancyData[[#This Row],[Life expectancy]:[Schooling]])</f>
        <v>#NAME?</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e">
        <f ca="1">Data_Completeness(LifeExpectancyData[[#This Row],[Life expectancy]:[Schooling]])</f>
        <v>#NAME?</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e">
        <f ca="1">Data_Completeness(LifeExpectancyData[[#This Row],[Life expectancy]:[Schooling]])</f>
        <v>#NAME?</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e">
        <f ca="1">Data_Completeness(LifeExpectancyData[[#This Row],[Life expectancy]:[Schooling]])</f>
        <v>#NAME?</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e">
        <f ca="1">Data_Completeness(LifeExpectancyData[[#This Row],[Life expectancy]:[Schooling]])</f>
        <v>#NAME?</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e">
        <f ca="1">Data_Completeness(LifeExpectancyData[[#This Row],[Life expectancy]:[Schooling]])</f>
        <v>#NAME?</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e">
        <f ca="1">Data_Completeness(LifeExpectancyData[[#This Row],[Life expectancy]:[Schooling]])</f>
        <v>#NAME?</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e">
        <f ca="1">Data_Completeness(LifeExpectancyData[[#This Row],[Life expectancy]:[Schooling]])</f>
        <v>#NAME?</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e">
        <f ca="1">Data_Completeness(LifeExpectancyData[[#This Row],[Life expectancy]:[Schooling]])</f>
        <v>#NAME?</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e">
        <f ca="1">Data_Completeness(LifeExpectancyData[[#This Row],[Life expectancy]:[Schooling]])</f>
        <v>#NAME?</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e">
        <f ca="1">Data_Completeness(LifeExpectancyData[[#This Row],[Life expectancy]:[Schooling]])</f>
        <v>#NAME?</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e">
        <f ca="1">Data_Completeness(LifeExpectancyData[[#This Row],[Life expectancy]:[Schooling]])</f>
        <v>#NAME?</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e">
        <f ca="1">Data_Completeness(LifeExpectancyData[[#This Row],[Life expectancy]:[Schooling]])</f>
        <v>#NAME?</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e">
        <f ca="1">Data_Completeness(LifeExpectancyData[[#This Row],[Life expectancy]:[Schooling]])</f>
        <v>#NAME?</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e">
        <f ca="1">Data_Completeness(LifeExpectancyData[[#This Row],[Life expectancy]:[Schooling]])</f>
        <v>#NAME?</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e">
        <f ca="1">Data_Completeness(LifeExpectancyData[[#This Row],[Life expectancy]:[Schooling]])</f>
        <v>#NAME?</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e">
        <f ca="1">Data_Completeness(LifeExpectancyData[[#This Row],[Life expectancy]:[Schooling]])</f>
        <v>#NAME?</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e">
        <f ca="1">Data_Completeness(LifeExpectancyData[[#This Row],[Life expectancy]:[Schooling]])</f>
        <v>#NAME?</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e">
        <f ca="1">Data_Completeness(LifeExpectancyData[[#This Row],[Life expectancy]:[Schooling]])</f>
        <v>#NAME?</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e">
        <f ca="1">Data_Completeness(LifeExpectancyData[[#This Row],[Life expectancy]:[Schooling]])</f>
        <v>#NAME?</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e">
        <f ca="1">Data_Completeness(LifeExpectancyData[[#This Row],[Life expectancy]:[Schooling]])</f>
        <v>#NAME?</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e">
        <f ca="1">Data_Completeness(LifeExpectancyData[[#This Row],[Life expectancy]:[Schooling]])</f>
        <v>#NAME?</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e">
        <f ca="1">Data_Completeness(LifeExpectancyData[[#This Row],[Life expectancy]:[Schooling]])</f>
        <v>#NAME?</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e">
        <f ca="1">Data_Completeness(LifeExpectancyData[[#This Row],[Life expectancy]:[Schooling]])</f>
        <v>#NAME?</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e">
        <f ca="1">Data_Completeness(LifeExpectancyData[[#This Row],[Life expectancy]:[Schooling]])</f>
        <v>#NAME?</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e">
        <f ca="1">Data_Completeness(LifeExpectancyData[[#This Row],[Life expectancy]:[Schooling]])</f>
        <v>#NAME?</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e">
        <f ca="1">Data_Completeness(LifeExpectancyData[[#This Row],[Life expectancy]:[Schooling]])</f>
        <v>#NAME?</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e">
        <f ca="1">Data_Completeness(LifeExpectancyData[[#This Row],[Life expectancy]:[Schooling]])</f>
        <v>#NAME?</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e">
        <f ca="1">Data_Completeness(LifeExpectancyData[[#This Row],[Life expectancy]:[Schooling]])</f>
        <v>#NAME?</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e">
        <f ca="1">Data_Completeness(LifeExpectancyData[[#This Row],[Life expectancy]:[Schooling]])</f>
        <v>#NAME?</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e">
        <f ca="1">Data_Completeness(LifeExpectancyData[[#This Row],[Life expectancy]:[Schooling]])</f>
        <v>#NAME?</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e">
        <f ca="1">Data_Completeness(LifeExpectancyData[[#This Row],[Life expectancy]:[Schooling]])</f>
        <v>#NAME?</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e">
        <f ca="1">Data_Completeness(LifeExpectancyData[[#This Row],[Life expectancy]:[Schooling]])</f>
        <v>#NAME?</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e">
        <f ca="1">Data_Completeness(LifeExpectancyData[[#This Row],[Life expectancy]:[Schooling]])</f>
        <v>#NAME?</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e">
        <f ca="1">Data_Completeness(LifeExpectancyData[[#This Row],[Life expectancy]:[Schooling]])</f>
        <v>#NAME?</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e">
        <f ca="1">Data_Completeness(LifeExpectancyData[[#This Row],[Life expectancy]:[Schooling]])</f>
        <v>#NAME?</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e">
        <f ca="1">Data_Completeness(LifeExpectancyData[[#This Row],[Life expectancy]:[Schooling]])</f>
        <v>#NAME?</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e">
        <f ca="1">Data_Completeness(LifeExpectancyData[[#This Row],[Life expectancy]:[Schooling]])</f>
        <v>#NAME?</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e">
        <f ca="1">Data_Completeness(LifeExpectancyData[[#This Row],[Life expectancy]:[Schooling]])</f>
        <v>#NAME?</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e">
        <f ca="1">Data_Completeness(LifeExpectancyData[[#This Row],[Life expectancy]:[Schooling]])</f>
        <v>#NAME?</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e">
        <f ca="1">Data_Completeness(LifeExpectancyData[[#This Row],[Life expectancy]:[Schooling]])</f>
        <v>#NAME?</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e">
        <f ca="1">Data_Completeness(LifeExpectancyData[[#This Row],[Life expectancy]:[Schooling]])</f>
        <v>#NAME?</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e">
        <f ca="1">Data_Completeness(LifeExpectancyData[[#This Row],[Life expectancy]:[Schooling]])</f>
        <v>#NAME?</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e">
        <f ca="1">Data_Completeness(LifeExpectancyData[[#This Row],[Life expectancy]:[Schooling]])</f>
        <v>#NAME?</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e">
        <f ca="1">Data_Completeness(LifeExpectancyData[[#This Row],[Life expectancy]:[Schooling]])</f>
        <v>#NAME?</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e">
        <f ca="1">Data_Completeness(LifeExpectancyData[[#This Row],[Life expectancy]:[Schooling]])</f>
        <v>#NAME?</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e">
        <f ca="1">Data_Completeness(LifeExpectancyData[[#This Row],[Life expectancy]:[Schooling]])</f>
        <v>#NAME?</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e">
        <f ca="1">Data_Completeness(LifeExpectancyData[[#This Row],[Life expectancy]:[Schooling]])</f>
        <v>#NAME?</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e">
        <f ca="1">Data_Completeness(LifeExpectancyData[[#This Row],[Life expectancy]:[Schooling]])</f>
        <v>#NAME?</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e">
        <f ca="1">Data_Completeness(LifeExpectancyData[[#This Row],[Life expectancy]:[Schooling]])</f>
        <v>#NAME?</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e">
        <f ca="1">Data_Completeness(LifeExpectancyData[[#This Row],[Life expectancy]:[Schooling]])</f>
        <v>#NAME?</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e">
        <f ca="1">Data_Completeness(LifeExpectancyData[[#This Row],[Life expectancy]:[Schooling]])</f>
        <v>#NAME?</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e">
        <f ca="1">Data_Completeness(LifeExpectancyData[[#This Row],[Life expectancy]:[Schooling]])</f>
        <v>#NAME?</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e">
        <f ca="1">Data_Completeness(LifeExpectancyData[[#This Row],[Life expectancy]:[Schooling]])</f>
        <v>#NAME?</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e">
        <f ca="1">Data_Completeness(LifeExpectancyData[[#This Row],[Life expectancy]:[Schooling]])</f>
        <v>#NAME?</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e">
        <f ca="1">Data_Completeness(LifeExpectancyData[[#This Row],[Life expectancy]:[Schooling]])</f>
        <v>#NAME?</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e">
        <f ca="1">Data_Completeness(LifeExpectancyData[[#This Row],[Life expectancy]:[Schooling]])</f>
        <v>#NAME?</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e">
        <f ca="1">Data_Completeness(LifeExpectancyData[[#This Row],[Life expectancy]:[Schooling]])</f>
        <v>#NAME?</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e">
        <f ca="1">Data_Completeness(LifeExpectancyData[[#This Row],[Life expectancy]:[Schooling]])</f>
        <v>#NAME?</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e">
        <f ca="1">Data_Completeness(LifeExpectancyData[[#This Row],[Life expectancy]:[Schooling]])</f>
        <v>#NAME?</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e">
        <f ca="1">Data_Completeness(LifeExpectancyData[[#This Row],[Life expectancy]:[Schooling]])</f>
        <v>#NAME?</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e">
        <f ca="1">Data_Completeness(LifeExpectancyData[[#This Row],[Life expectancy]:[Schooling]])</f>
        <v>#NAME?</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e">
        <f ca="1">Data_Completeness(LifeExpectancyData[[#This Row],[Life expectancy]:[Schooling]])</f>
        <v>#NAME?</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e">
        <f ca="1">Data_Completeness(LifeExpectancyData[[#This Row],[Life expectancy]:[Schooling]])</f>
        <v>#NAME?</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e">
        <f ca="1">Data_Completeness(LifeExpectancyData[[#This Row],[Life expectancy]:[Schooling]])</f>
        <v>#NAME?</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e">
        <f ca="1">Data_Completeness(LifeExpectancyData[[#This Row],[Life expectancy]:[Schooling]])</f>
        <v>#NAME?</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e">
        <f ca="1">Data_Completeness(LifeExpectancyData[[#This Row],[Life expectancy]:[Schooling]])</f>
        <v>#NAME?</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e">
        <f ca="1">Data_Completeness(LifeExpectancyData[[#This Row],[Life expectancy]:[Schooling]])</f>
        <v>#NAME?</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e">
        <f ca="1">Data_Completeness(LifeExpectancyData[[#This Row],[Life expectancy]:[Schooling]])</f>
        <v>#NAME?</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e">
        <f ca="1">Data_Completeness(LifeExpectancyData[[#This Row],[Life expectancy]:[Schooling]])</f>
        <v>#NAME?</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e">
        <f ca="1">Data_Completeness(LifeExpectancyData[[#This Row],[Life expectancy]:[Schooling]])</f>
        <v>#NAME?</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e">
        <f ca="1">Data_Completeness(LifeExpectancyData[[#This Row],[Life expectancy]:[Schooling]])</f>
        <v>#NAME?</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e">
        <f ca="1">Data_Completeness(LifeExpectancyData[[#This Row],[Life expectancy]:[Schooling]])</f>
        <v>#NAME?</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e">
        <f ca="1">Data_Completeness(LifeExpectancyData[[#This Row],[Life expectancy]:[Schooling]])</f>
        <v>#NAME?</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e">
        <f ca="1">Data_Completeness(LifeExpectancyData[[#This Row],[Life expectancy]:[Schooling]])</f>
        <v>#NAME?</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e">
        <f ca="1">Data_Completeness(LifeExpectancyData[[#This Row],[Life expectancy]:[Schooling]])</f>
        <v>#NAME?</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e">
        <f ca="1">Data_Completeness(LifeExpectancyData[[#This Row],[Life expectancy]:[Schooling]])</f>
        <v>#NAME?</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e">
        <f ca="1">Data_Completeness(LifeExpectancyData[[#This Row],[Life expectancy]:[Schooling]])</f>
        <v>#NAME?</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e">
        <f ca="1">Data_Completeness(LifeExpectancyData[[#This Row],[Life expectancy]:[Schooling]])</f>
        <v>#NAME?</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e">
        <f ca="1">Data_Completeness(LifeExpectancyData[[#This Row],[Life expectancy]:[Schooling]])</f>
        <v>#NAME?</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e">
        <f ca="1">Data_Completeness(LifeExpectancyData[[#This Row],[Life expectancy]:[Schooling]])</f>
        <v>#NAME?</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e">
        <f ca="1">Data_Completeness(LifeExpectancyData[[#This Row],[Life expectancy]:[Schooling]])</f>
        <v>#NAME?</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e">
        <f ca="1">Data_Completeness(LifeExpectancyData[[#This Row],[Life expectancy]:[Schooling]])</f>
        <v>#NAME?</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e">
        <f ca="1">Data_Completeness(LifeExpectancyData[[#This Row],[Life expectancy]:[Schooling]])</f>
        <v>#NAME?</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e">
        <f ca="1">Data_Completeness(LifeExpectancyData[[#This Row],[Life expectancy]:[Schooling]])</f>
        <v>#NAME?</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e">
        <f ca="1">Data_Completeness(LifeExpectancyData[[#This Row],[Life expectancy]:[Schooling]])</f>
        <v>#NAME?</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e">
        <f ca="1">Data_Completeness(LifeExpectancyData[[#This Row],[Life expectancy]:[Schooling]])</f>
        <v>#NAME?</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e">
        <f ca="1">Data_Completeness(LifeExpectancyData[[#This Row],[Life expectancy]:[Schooling]])</f>
        <v>#NAME?</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e">
        <f ca="1">Data_Completeness(LifeExpectancyData[[#This Row],[Life expectancy]:[Schooling]])</f>
        <v>#NAME?</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e">
        <f ca="1">Data_Completeness(LifeExpectancyData[[#This Row],[Life expectancy]:[Schooling]])</f>
        <v>#NAME?</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e">
        <f ca="1">Data_Completeness(LifeExpectancyData[[#This Row],[Life expectancy]:[Schooling]])</f>
        <v>#NAME?</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e">
        <f ca="1">Data_Completeness(LifeExpectancyData[[#This Row],[Life expectancy]:[Schooling]])</f>
        <v>#NAME?</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e">
        <f ca="1">Data_Completeness(LifeExpectancyData[[#This Row],[Life expectancy]:[Schooling]])</f>
        <v>#NAME?</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e">
        <f ca="1">Data_Completeness(LifeExpectancyData[[#This Row],[Life expectancy]:[Schooling]])</f>
        <v>#NAME?</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e">
        <f ca="1">Data_Completeness(LifeExpectancyData[[#This Row],[Life expectancy]:[Schooling]])</f>
        <v>#NAME?</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e">
        <f ca="1">Data_Completeness(LifeExpectancyData[[#This Row],[Life expectancy]:[Schooling]])</f>
        <v>#NAME?</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e">
        <f ca="1">Data_Completeness(LifeExpectancyData[[#This Row],[Life expectancy]:[Schooling]])</f>
        <v>#NAME?</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e">
        <f ca="1">Data_Completeness(LifeExpectancyData[[#This Row],[Life expectancy]:[Schooling]])</f>
        <v>#NAME?</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e">
        <f ca="1">Data_Completeness(LifeExpectancyData[[#This Row],[Life expectancy]:[Schooling]])</f>
        <v>#NAME?</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e">
        <f ca="1">Data_Completeness(LifeExpectancyData[[#This Row],[Life expectancy]:[Schooling]])</f>
        <v>#NAME?</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e">
        <f ca="1">Data_Completeness(LifeExpectancyData[[#This Row],[Life expectancy]:[Schooling]])</f>
        <v>#NAME?</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e">
        <f ca="1">Data_Completeness(LifeExpectancyData[[#This Row],[Life expectancy]:[Schooling]])</f>
        <v>#NAME?</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e">
        <f ca="1">Data_Completeness(LifeExpectancyData[[#This Row],[Life expectancy]:[Schooling]])</f>
        <v>#NAME?</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e">
        <f ca="1">Data_Completeness(LifeExpectancyData[[#This Row],[Life expectancy]:[Schooling]])</f>
        <v>#NAME?</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e">
        <f ca="1">Data_Completeness(LifeExpectancyData[[#This Row],[Life expectancy]:[Schooling]])</f>
        <v>#NAME?</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e">
        <f ca="1">Data_Completeness(LifeExpectancyData[[#This Row],[Life expectancy]:[Schooling]])</f>
        <v>#NAME?</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e">
        <f ca="1">Data_Completeness(LifeExpectancyData[[#This Row],[Life expectancy]:[Schooling]])</f>
        <v>#NAME?</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e">
        <f ca="1">Data_Completeness(LifeExpectancyData[[#This Row],[Life expectancy]:[Schooling]])</f>
        <v>#NAME?</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e">
        <f ca="1">Data_Completeness(LifeExpectancyData[[#This Row],[Life expectancy]:[Schooling]])</f>
        <v>#NAME?</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e">
        <f ca="1">Data_Completeness(LifeExpectancyData[[#This Row],[Life expectancy]:[Schooling]])</f>
        <v>#NAME?</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e">
        <f ca="1">Data_Completeness(LifeExpectancyData[[#This Row],[Life expectancy]:[Schooling]])</f>
        <v>#NAME?</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e">
        <f ca="1">Data_Completeness(LifeExpectancyData[[#This Row],[Life expectancy]:[Schooling]])</f>
        <v>#NAME?</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e">
        <f ca="1">Data_Completeness(LifeExpectancyData[[#This Row],[Life expectancy]:[Schooling]])</f>
        <v>#NAME?</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e">
        <f ca="1">Data_Completeness(LifeExpectancyData[[#This Row],[Life expectancy]:[Schooling]])</f>
        <v>#NAME?</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e">
        <f ca="1">Data_Completeness(LifeExpectancyData[[#This Row],[Life expectancy]:[Schooling]])</f>
        <v>#NAME?</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e">
        <f ca="1">Data_Completeness(LifeExpectancyData[[#This Row],[Life expectancy]:[Schooling]])</f>
        <v>#NAME?</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e">
        <f ca="1">Data_Completeness(LifeExpectancyData[[#This Row],[Life expectancy]:[Schooling]])</f>
        <v>#NAME?</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e">
        <f ca="1">Data_Completeness(LifeExpectancyData[[#This Row],[Life expectancy]:[Schooling]])</f>
        <v>#NAME?</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e">
        <f ca="1">Data_Completeness(LifeExpectancyData[[#This Row],[Life expectancy]:[Schooling]])</f>
        <v>#NAME?</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e">
        <f ca="1">Data_Completeness(LifeExpectancyData[[#This Row],[Life expectancy]:[Schooling]])</f>
        <v>#NAME?</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e">
        <f ca="1">Data_Completeness(LifeExpectancyData[[#This Row],[Life expectancy]:[Schooling]])</f>
        <v>#NAME?</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e">
        <f ca="1">Data_Completeness(LifeExpectancyData[[#This Row],[Life expectancy]:[Schooling]])</f>
        <v>#NAME?</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e">
        <f ca="1">Data_Completeness(LifeExpectancyData[[#This Row],[Life expectancy]:[Schooling]])</f>
        <v>#NAME?</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e">
        <f ca="1">Data_Completeness(LifeExpectancyData[[#This Row],[Life expectancy]:[Schooling]])</f>
        <v>#NAME?</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e">
        <f ca="1">Data_Completeness(LifeExpectancyData[[#This Row],[Life expectancy]:[Schooling]])</f>
        <v>#NAME?</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e">
        <f ca="1">Data_Completeness(LifeExpectancyData[[#This Row],[Life expectancy]:[Schooling]])</f>
        <v>#NAME?</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e">
        <f ca="1">Data_Completeness(LifeExpectancyData[[#This Row],[Life expectancy]:[Schooling]])</f>
        <v>#NAME?</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e">
        <f ca="1">Data_Completeness(LifeExpectancyData[[#This Row],[Life expectancy]:[Schooling]])</f>
        <v>#NAME?</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e">
        <f ca="1">Data_Completeness(LifeExpectancyData[[#This Row],[Life expectancy]:[Schooling]])</f>
        <v>#NAME?</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e">
        <f ca="1">Data_Completeness(LifeExpectancyData[[#This Row],[Life expectancy]:[Schooling]])</f>
        <v>#NAME?</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e">
        <f ca="1">Data_Completeness(LifeExpectancyData[[#This Row],[Life expectancy]:[Schooling]])</f>
        <v>#NAME?</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e">
        <f ca="1">Data_Completeness(LifeExpectancyData[[#This Row],[Life expectancy]:[Schooling]])</f>
        <v>#NAME?</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e">
        <f ca="1">Data_Completeness(LifeExpectancyData[[#This Row],[Life expectancy]:[Schooling]])</f>
        <v>#NAME?</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e">
        <f ca="1">Data_Completeness(LifeExpectancyData[[#This Row],[Life expectancy]:[Schooling]])</f>
        <v>#NAME?</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e">
        <f ca="1">Data_Completeness(LifeExpectancyData[[#This Row],[Life expectancy]:[Schooling]])</f>
        <v>#NAME?</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e">
        <f ca="1">Data_Completeness(LifeExpectancyData[[#This Row],[Life expectancy]:[Schooling]])</f>
        <v>#NAME?</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e">
        <f ca="1">Data_Completeness(LifeExpectancyData[[#This Row],[Life expectancy]:[Schooling]])</f>
        <v>#NAME?</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e">
        <f ca="1">Data_Completeness(LifeExpectancyData[[#This Row],[Life expectancy]:[Schooling]])</f>
        <v>#NAME?</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e">
        <f ca="1">Data_Completeness(LifeExpectancyData[[#This Row],[Life expectancy]:[Schooling]])</f>
        <v>#NAME?</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e">
        <f ca="1">Data_Completeness(LifeExpectancyData[[#This Row],[Life expectancy]:[Schooling]])</f>
        <v>#NAME?</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e">
        <f ca="1">Data_Completeness(LifeExpectancyData[[#This Row],[Life expectancy]:[Schooling]])</f>
        <v>#NAME?</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e">
        <f ca="1">Data_Completeness(LifeExpectancyData[[#This Row],[Life expectancy]:[Schooling]])</f>
        <v>#NAME?</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e">
        <f ca="1">Data_Completeness(LifeExpectancyData[[#This Row],[Life expectancy]:[Schooling]])</f>
        <v>#NAME?</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e">
        <f ca="1">Data_Completeness(LifeExpectancyData[[#This Row],[Life expectancy]:[Schooling]])</f>
        <v>#NAME?</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e">
        <f ca="1">Data_Completeness(LifeExpectancyData[[#This Row],[Life expectancy]:[Schooling]])</f>
        <v>#NAME?</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e">
        <f ca="1">Data_Completeness(LifeExpectancyData[[#This Row],[Life expectancy]:[Schooling]])</f>
        <v>#NAME?</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e">
        <f ca="1">Data_Completeness(LifeExpectancyData[[#This Row],[Life expectancy]:[Schooling]])</f>
        <v>#NAME?</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e">
        <f ca="1">Data_Completeness(LifeExpectancyData[[#This Row],[Life expectancy]:[Schooling]])</f>
        <v>#NAME?</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e">
        <f ca="1">Data_Completeness(LifeExpectancyData[[#This Row],[Life expectancy]:[Schooling]])</f>
        <v>#NAME?</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e">
        <f ca="1">Data_Completeness(LifeExpectancyData[[#This Row],[Life expectancy]:[Schooling]])</f>
        <v>#NAME?</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e">
        <f ca="1">Data_Completeness(LifeExpectancyData[[#This Row],[Life expectancy]:[Schooling]])</f>
        <v>#NAME?</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e">
        <f ca="1">Data_Completeness(LifeExpectancyData[[#This Row],[Life expectancy]:[Schooling]])</f>
        <v>#NAME?</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e">
        <f ca="1">Data_Completeness(LifeExpectancyData[[#This Row],[Life expectancy]:[Schooling]])</f>
        <v>#NAME?</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e">
        <f ca="1">Data_Completeness(LifeExpectancyData[[#This Row],[Life expectancy]:[Schooling]])</f>
        <v>#NAME?</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e">
        <f ca="1">Data_Completeness(LifeExpectancyData[[#This Row],[Life expectancy]:[Schooling]])</f>
        <v>#NAME?</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e">
        <f ca="1">Data_Completeness(LifeExpectancyData[[#This Row],[Life expectancy]:[Schooling]])</f>
        <v>#NAME?</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e">
        <f ca="1">Data_Completeness(LifeExpectancyData[[#This Row],[Life expectancy]:[Schooling]])</f>
        <v>#NAME?</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e">
        <f ca="1">Data_Completeness(LifeExpectancyData[[#This Row],[Life expectancy]:[Schooling]])</f>
        <v>#NAME?</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e">
        <f ca="1">Data_Completeness(LifeExpectancyData[[#This Row],[Life expectancy]:[Schooling]])</f>
        <v>#NAME?</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e">
        <f ca="1">Data_Completeness(LifeExpectancyData[[#This Row],[Life expectancy]:[Schooling]])</f>
        <v>#NAME?</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e">
        <f ca="1">Data_Completeness(LifeExpectancyData[[#This Row],[Life expectancy]:[Schooling]])</f>
        <v>#NAME?</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e">
        <f ca="1">Data_Completeness(LifeExpectancyData[[#This Row],[Life expectancy]:[Schooling]])</f>
        <v>#NAME?</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e">
        <f ca="1">Data_Completeness(LifeExpectancyData[[#This Row],[Life expectancy]:[Schooling]])</f>
        <v>#NAME?</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e">
        <f ca="1">Data_Completeness(LifeExpectancyData[[#This Row],[Life expectancy]:[Schooling]])</f>
        <v>#NAME?</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e">
        <f ca="1">Data_Completeness(LifeExpectancyData[[#This Row],[Life expectancy]:[Schooling]])</f>
        <v>#NAME?</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e">
        <f ca="1">Data_Completeness(LifeExpectancyData[[#This Row],[Life expectancy]:[Schooling]])</f>
        <v>#NAME?</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e">
        <f ca="1">Data_Completeness(LifeExpectancyData[[#This Row],[Life expectancy]:[Schooling]])</f>
        <v>#NAME?</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e">
        <f ca="1">Data_Completeness(LifeExpectancyData[[#This Row],[Life expectancy]:[Schooling]])</f>
        <v>#NAME?</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e">
        <f ca="1">Data_Completeness(LifeExpectancyData[[#This Row],[Life expectancy]:[Schooling]])</f>
        <v>#NAME?</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e">
        <f ca="1">Data_Completeness(LifeExpectancyData[[#This Row],[Life expectancy]:[Schooling]])</f>
        <v>#NAME?</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e">
        <f ca="1">Data_Completeness(LifeExpectancyData[[#This Row],[Life expectancy]:[Schooling]])</f>
        <v>#NAME?</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e">
        <f ca="1">Data_Completeness(LifeExpectancyData[[#This Row],[Life expectancy]:[Schooling]])</f>
        <v>#NAME?</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e">
        <f ca="1">Data_Completeness(LifeExpectancyData[[#This Row],[Life expectancy]:[Schooling]])</f>
        <v>#NAME?</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e">
        <f ca="1">Data_Completeness(LifeExpectancyData[[#This Row],[Life expectancy]:[Schooling]])</f>
        <v>#NAME?</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e">
        <f ca="1">Data_Completeness(LifeExpectancyData[[#This Row],[Life expectancy]:[Schooling]])</f>
        <v>#NAME?</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e">
        <f ca="1">Data_Completeness(LifeExpectancyData[[#This Row],[Life expectancy]:[Schooling]])</f>
        <v>#NAME?</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e">
        <f ca="1">Data_Completeness(LifeExpectancyData[[#This Row],[Life expectancy]:[Schooling]])</f>
        <v>#NAME?</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e">
        <f ca="1">Data_Completeness(LifeExpectancyData[[#This Row],[Life expectancy]:[Schooling]])</f>
        <v>#NAME?</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e">
        <f ca="1">Data_Completeness(LifeExpectancyData[[#This Row],[Life expectancy]:[Schooling]])</f>
        <v>#NAME?</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e">
        <f ca="1">Data_Completeness(LifeExpectancyData[[#This Row],[Life expectancy]:[Schooling]])</f>
        <v>#NAME?</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e">
        <f ca="1">Data_Completeness(LifeExpectancyData[[#This Row],[Life expectancy]:[Schooling]])</f>
        <v>#NAME?</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e">
        <f ca="1">Data_Completeness(LifeExpectancyData[[#This Row],[Life expectancy]:[Schooling]])</f>
        <v>#NAME?</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e">
        <f ca="1">Data_Completeness(LifeExpectancyData[[#This Row],[Life expectancy]:[Schooling]])</f>
        <v>#NAME?</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e">
        <f ca="1">Data_Completeness(LifeExpectancyData[[#This Row],[Life expectancy]:[Schooling]])</f>
        <v>#NAME?</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e">
        <f ca="1">Data_Completeness(LifeExpectancyData[[#This Row],[Life expectancy]:[Schooling]])</f>
        <v>#NAME?</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e">
        <f ca="1">Data_Completeness(LifeExpectancyData[[#This Row],[Life expectancy]:[Schooling]])</f>
        <v>#NAME?</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e">
        <f ca="1">Data_Completeness(LifeExpectancyData[[#This Row],[Life expectancy]:[Schooling]])</f>
        <v>#NAME?</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e">
        <f ca="1">Data_Completeness(LifeExpectancyData[[#This Row],[Life expectancy]:[Schooling]])</f>
        <v>#NAME?</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e">
        <f ca="1">Data_Completeness(LifeExpectancyData[[#This Row],[Life expectancy]:[Schooling]])</f>
        <v>#NAME?</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e">
        <f ca="1">Data_Completeness(LifeExpectancyData[[#This Row],[Life expectancy]:[Schooling]])</f>
        <v>#NAME?</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e">
        <f ca="1">Data_Completeness(LifeExpectancyData[[#This Row],[Life expectancy]:[Schooling]])</f>
        <v>#NAME?</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e">
        <f ca="1">Data_Completeness(LifeExpectancyData[[#This Row],[Life expectancy]:[Schooling]])</f>
        <v>#NAME?</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e">
        <f ca="1">Data_Completeness(LifeExpectancyData[[#This Row],[Life expectancy]:[Schooling]])</f>
        <v>#NAME?</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e">
        <f ca="1">Data_Completeness(LifeExpectancyData[[#This Row],[Life expectancy]:[Schooling]])</f>
        <v>#NAME?</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e">
        <f ca="1">Data_Completeness(LifeExpectancyData[[#This Row],[Life expectancy]:[Schooling]])</f>
        <v>#NAME?</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e">
        <f ca="1">Data_Completeness(LifeExpectancyData[[#This Row],[Life expectancy]:[Schooling]])</f>
        <v>#NAME?</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e">
        <f ca="1">Data_Completeness(LifeExpectancyData[[#This Row],[Life expectancy]:[Schooling]])</f>
        <v>#NAME?</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e">
        <f ca="1">Data_Completeness(LifeExpectancyData[[#This Row],[Life expectancy]:[Schooling]])</f>
        <v>#NAME?</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e">
        <f ca="1">Data_Completeness(LifeExpectancyData[[#This Row],[Life expectancy]:[Schooling]])</f>
        <v>#NAME?</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e">
        <f ca="1">Data_Completeness(LifeExpectancyData[[#This Row],[Life expectancy]:[Schooling]])</f>
        <v>#NAME?</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e">
        <f ca="1">Data_Completeness(LifeExpectancyData[[#This Row],[Life expectancy]:[Schooling]])</f>
        <v>#NAME?</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e">
        <f ca="1">Data_Completeness(LifeExpectancyData[[#This Row],[Life expectancy]:[Schooling]])</f>
        <v>#NAME?</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e">
        <f ca="1">Data_Completeness(LifeExpectancyData[[#This Row],[Life expectancy]:[Schooling]])</f>
        <v>#NAME?</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e">
        <f ca="1">Data_Completeness(LifeExpectancyData[[#This Row],[Life expectancy]:[Schooling]])</f>
        <v>#NAME?</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e">
        <f ca="1">Data_Completeness(LifeExpectancyData[[#This Row],[Life expectancy]:[Schooling]])</f>
        <v>#NAME?</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e">
        <f ca="1">Data_Completeness(LifeExpectancyData[[#This Row],[Life expectancy]:[Schooling]])</f>
        <v>#NAME?</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e">
        <f ca="1">Data_Completeness(LifeExpectancyData[[#This Row],[Life expectancy]:[Schooling]])</f>
        <v>#NAME?</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e">
        <f ca="1">Data_Completeness(LifeExpectancyData[[#This Row],[Life expectancy]:[Schooling]])</f>
        <v>#NAME?</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e">
        <f ca="1">Data_Completeness(LifeExpectancyData[[#This Row],[Life expectancy]:[Schooling]])</f>
        <v>#NAME?</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e">
        <f ca="1">Data_Completeness(LifeExpectancyData[[#This Row],[Life expectancy]:[Schooling]])</f>
        <v>#NAME?</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e">
        <f ca="1">Data_Completeness(LifeExpectancyData[[#This Row],[Life expectancy]:[Schooling]])</f>
        <v>#NAME?</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e">
        <f ca="1">Data_Completeness(LifeExpectancyData[[#This Row],[Life expectancy]:[Schooling]])</f>
        <v>#NAME?</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e">
        <f ca="1">Data_Completeness(LifeExpectancyData[[#This Row],[Life expectancy]:[Schooling]])</f>
        <v>#NAME?</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e">
        <f ca="1">Data_Completeness(LifeExpectancyData[[#This Row],[Life expectancy]:[Schooling]])</f>
        <v>#NAME?</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e">
        <f ca="1">Data_Completeness(LifeExpectancyData[[#This Row],[Life expectancy]:[Schooling]])</f>
        <v>#NAME?</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e">
        <f ca="1">Data_Completeness(LifeExpectancyData[[#This Row],[Life expectancy]:[Schooling]])</f>
        <v>#NAME?</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e">
        <f ca="1">Data_Completeness(LifeExpectancyData[[#This Row],[Life expectancy]:[Schooling]])</f>
        <v>#NAME?</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e">
        <f ca="1">Data_Completeness(LifeExpectancyData[[#This Row],[Life expectancy]:[Schooling]])</f>
        <v>#NAME?</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e">
        <f ca="1">Data_Completeness(LifeExpectancyData[[#This Row],[Life expectancy]:[Schooling]])</f>
        <v>#NAME?</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e">
        <f ca="1">Data_Completeness(LifeExpectancyData[[#This Row],[Life expectancy]:[Schooling]])</f>
        <v>#NAME?</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e">
        <f ca="1">Data_Completeness(LifeExpectancyData[[#This Row],[Life expectancy]:[Schooling]])</f>
        <v>#NAME?</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e">
        <f ca="1">Data_Completeness(LifeExpectancyData[[#This Row],[Life expectancy]:[Schooling]])</f>
        <v>#NAME?</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e">
        <f ca="1">Data_Completeness(LifeExpectancyData[[#This Row],[Life expectancy]:[Schooling]])</f>
        <v>#NAME?</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e">
        <f ca="1">Data_Completeness(LifeExpectancyData[[#This Row],[Life expectancy]:[Schooling]])</f>
        <v>#NAME?</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e">
        <f ca="1">Data_Completeness(LifeExpectancyData[[#This Row],[Life expectancy]:[Schooling]])</f>
        <v>#NAME?</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e">
        <f ca="1">Data_Completeness(LifeExpectancyData[[#This Row],[Life expectancy]:[Schooling]])</f>
        <v>#NAME?</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e">
        <f ca="1">Data_Completeness(LifeExpectancyData[[#This Row],[Life expectancy]:[Schooling]])</f>
        <v>#NAME?</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e">
        <f ca="1">Data_Completeness(LifeExpectancyData[[#This Row],[Life expectancy]:[Schooling]])</f>
        <v>#NAME?</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e">
        <f ca="1">Data_Completeness(LifeExpectancyData[[#This Row],[Life expectancy]:[Schooling]])</f>
        <v>#NAME?</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e">
        <f ca="1">Data_Completeness(LifeExpectancyData[[#This Row],[Life expectancy]:[Schooling]])</f>
        <v>#NAME?</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e">
        <f ca="1">Data_Completeness(LifeExpectancyData[[#This Row],[Life expectancy]:[Schooling]])</f>
        <v>#NAME?</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e">
        <f ca="1">Data_Completeness(LifeExpectancyData[[#This Row],[Life expectancy]:[Schooling]])</f>
        <v>#NAME?</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e">
        <f ca="1">Data_Completeness(LifeExpectancyData[[#This Row],[Life expectancy]:[Schooling]])</f>
        <v>#NAME?</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e">
        <f ca="1">Data_Completeness(LifeExpectancyData[[#This Row],[Life expectancy]:[Schooling]])</f>
        <v>#NAME?</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e">
        <f ca="1">Data_Completeness(LifeExpectancyData[[#This Row],[Life expectancy]:[Schooling]])</f>
        <v>#NAME?</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e">
        <f ca="1">Data_Completeness(LifeExpectancyData[[#This Row],[Life expectancy]:[Schooling]])</f>
        <v>#NAME?</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e">
        <f ca="1">Data_Completeness(LifeExpectancyData[[#This Row],[Life expectancy]:[Schooling]])</f>
        <v>#NAME?</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e">
        <f ca="1">Data_Completeness(LifeExpectancyData[[#This Row],[Life expectancy]:[Schooling]])</f>
        <v>#NAME?</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e">
        <f ca="1">Data_Completeness(LifeExpectancyData[[#This Row],[Life expectancy]:[Schooling]])</f>
        <v>#NAME?</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e">
        <f ca="1">Data_Completeness(LifeExpectancyData[[#This Row],[Life expectancy]:[Schooling]])</f>
        <v>#NAME?</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e">
        <f ca="1">Data_Completeness(LifeExpectancyData[[#This Row],[Life expectancy]:[Schooling]])</f>
        <v>#NAME?</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e">
        <f ca="1">Data_Completeness(LifeExpectancyData[[#This Row],[Life expectancy]:[Schooling]])</f>
        <v>#NAME?</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e">
        <f ca="1">Data_Completeness(LifeExpectancyData[[#This Row],[Life expectancy]:[Schooling]])</f>
        <v>#NAME?</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e">
        <f ca="1">Data_Completeness(LifeExpectancyData[[#This Row],[Life expectancy]:[Schooling]])</f>
        <v>#NAME?</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e">
        <f ca="1">Data_Completeness(LifeExpectancyData[[#This Row],[Life expectancy]:[Schooling]])</f>
        <v>#NAME?</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e">
        <f ca="1">Data_Completeness(LifeExpectancyData[[#This Row],[Life expectancy]:[Schooling]])</f>
        <v>#NAME?</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e">
        <f ca="1">Data_Completeness(LifeExpectancyData[[#This Row],[Life expectancy]:[Schooling]])</f>
        <v>#NAME?</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e">
        <f ca="1">Data_Completeness(LifeExpectancyData[[#This Row],[Life expectancy]:[Schooling]])</f>
        <v>#NAME?</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e">
        <f ca="1">Data_Completeness(LifeExpectancyData[[#This Row],[Life expectancy]:[Schooling]])</f>
        <v>#NAME?</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e">
        <f ca="1">Data_Completeness(LifeExpectancyData[[#This Row],[Life expectancy]:[Schooling]])</f>
        <v>#NAME?</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e">
        <f ca="1">Data_Completeness(LifeExpectancyData[[#This Row],[Life expectancy]:[Schooling]])</f>
        <v>#NAME?</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e">
        <f ca="1">Data_Completeness(LifeExpectancyData[[#This Row],[Life expectancy]:[Schooling]])</f>
        <v>#NAME?</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e">
        <f ca="1">Data_Completeness(LifeExpectancyData[[#This Row],[Life expectancy]:[Schooling]])</f>
        <v>#NAME?</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e">
        <f ca="1">Data_Completeness(LifeExpectancyData[[#This Row],[Life expectancy]:[Schooling]])</f>
        <v>#NAME?</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e">
        <f ca="1">Data_Completeness(LifeExpectancyData[[#This Row],[Life expectancy]:[Schooling]])</f>
        <v>#NAME?</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e">
        <f ca="1">Data_Completeness(LifeExpectancyData[[#This Row],[Life expectancy]:[Schooling]])</f>
        <v>#NAME?</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e">
        <f ca="1">Data_Completeness(LifeExpectancyData[[#This Row],[Life expectancy]:[Schooling]])</f>
        <v>#NAME?</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e">
        <f ca="1">Data_Completeness(LifeExpectancyData[[#This Row],[Life expectancy]:[Schooling]])</f>
        <v>#NAME?</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e">
        <f ca="1">Data_Completeness(LifeExpectancyData[[#This Row],[Life expectancy]:[Schooling]])</f>
        <v>#NAME?</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e">
        <f ca="1">Data_Completeness(LifeExpectancyData[[#This Row],[Life expectancy]:[Schooling]])</f>
        <v>#NAME?</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e">
        <f ca="1">Data_Completeness(LifeExpectancyData[[#This Row],[Life expectancy]:[Schooling]])</f>
        <v>#NAME?</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e">
        <f ca="1">Data_Completeness(LifeExpectancyData[[#This Row],[Life expectancy]:[Schooling]])</f>
        <v>#NAME?</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e">
        <f ca="1">Data_Completeness(LifeExpectancyData[[#This Row],[Life expectancy]:[Schooling]])</f>
        <v>#NAME?</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e">
        <f ca="1">Data_Completeness(LifeExpectancyData[[#This Row],[Life expectancy]:[Schooling]])</f>
        <v>#NAME?</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e">
        <f ca="1">Data_Completeness(LifeExpectancyData[[#This Row],[Life expectancy]:[Schooling]])</f>
        <v>#NAME?</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e">
        <f ca="1">Data_Completeness(LifeExpectancyData[[#This Row],[Life expectancy]:[Schooling]])</f>
        <v>#NAME?</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e">
        <f ca="1">Data_Completeness(LifeExpectancyData[[#This Row],[Life expectancy]:[Schooling]])</f>
        <v>#NAME?</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e">
        <f ca="1">Data_Completeness(LifeExpectancyData[[#This Row],[Life expectancy]:[Schooling]])</f>
        <v>#NAME?</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e">
        <f ca="1">Data_Completeness(LifeExpectancyData[[#This Row],[Life expectancy]:[Schooling]])</f>
        <v>#NAME?</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e">
        <f ca="1">Data_Completeness(LifeExpectancyData[[#This Row],[Life expectancy]:[Schooling]])</f>
        <v>#NAME?</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e">
        <f ca="1">Data_Completeness(LifeExpectancyData[[#This Row],[Life expectancy]:[Schooling]])</f>
        <v>#NAME?</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e">
        <f ca="1">Data_Completeness(LifeExpectancyData[[#This Row],[Life expectancy]:[Schooling]])</f>
        <v>#NAME?</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e">
        <f ca="1">Data_Completeness(LifeExpectancyData[[#This Row],[Life expectancy]:[Schooling]])</f>
        <v>#NAME?</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e">
        <f ca="1">Data_Completeness(LifeExpectancyData[[#This Row],[Life expectancy]:[Schooling]])</f>
        <v>#NAME?</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e">
        <f ca="1">Data_Completeness(LifeExpectancyData[[#This Row],[Life expectancy]:[Schooling]])</f>
        <v>#NAME?</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e">
        <f ca="1">Data_Completeness(LifeExpectancyData[[#This Row],[Life expectancy]:[Schooling]])</f>
        <v>#NAME?</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e">
        <f ca="1">Data_Completeness(LifeExpectancyData[[#This Row],[Life expectancy]:[Schooling]])</f>
        <v>#NAME?</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e">
        <f ca="1">Data_Completeness(LifeExpectancyData[[#This Row],[Life expectancy]:[Schooling]])</f>
        <v>#NAME?</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e">
        <f ca="1">Data_Completeness(LifeExpectancyData[[#This Row],[Life expectancy]:[Schooling]])</f>
        <v>#NAME?</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e">
        <f ca="1">Data_Completeness(LifeExpectancyData[[#This Row],[Life expectancy]:[Schooling]])</f>
        <v>#NAME?</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e">
        <f ca="1">Data_Completeness(LifeExpectancyData[[#This Row],[Life expectancy]:[Schooling]])</f>
        <v>#NAME?</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e">
        <f ca="1">Data_Completeness(LifeExpectancyData[[#This Row],[Life expectancy]:[Schooling]])</f>
        <v>#NAME?</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e">
        <f ca="1">Data_Completeness(LifeExpectancyData[[#This Row],[Life expectancy]:[Schooling]])</f>
        <v>#NAME?</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e">
        <f ca="1">Data_Completeness(LifeExpectancyData[[#This Row],[Life expectancy]:[Schooling]])</f>
        <v>#NAME?</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e">
        <f ca="1">Data_Completeness(LifeExpectancyData[[#This Row],[Life expectancy]:[Schooling]])</f>
        <v>#NAME?</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e">
        <f ca="1">Data_Completeness(LifeExpectancyData[[#This Row],[Life expectancy]:[Schooling]])</f>
        <v>#NAME?</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e">
        <f ca="1">Data_Completeness(LifeExpectancyData[[#This Row],[Life expectancy]:[Schooling]])</f>
        <v>#NAME?</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e">
        <f ca="1">Data_Completeness(LifeExpectancyData[[#This Row],[Life expectancy]:[Schooling]])</f>
        <v>#NAME?</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e">
        <f ca="1">Data_Completeness(LifeExpectancyData[[#This Row],[Life expectancy]:[Schooling]])</f>
        <v>#NAME?</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e">
        <f ca="1">Data_Completeness(LifeExpectancyData[[#This Row],[Life expectancy]:[Schooling]])</f>
        <v>#NAME?</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e">
        <f ca="1">Data_Completeness(LifeExpectancyData[[#This Row],[Life expectancy]:[Schooling]])</f>
        <v>#NAME?</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e">
        <f ca="1">Data_Completeness(LifeExpectancyData[[#This Row],[Life expectancy]:[Schooling]])</f>
        <v>#NAME?</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e">
        <f ca="1">Data_Completeness(LifeExpectancyData[[#This Row],[Life expectancy]:[Schooling]])</f>
        <v>#NAME?</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e">
        <f ca="1">Data_Completeness(LifeExpectancyData[[#This Row],[Life expectancy]:[Schooling]])</f>
        <v>#NAME?</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e">
        <f ca="1">Data_Completeness(LifeExpectancyData[[#This Row],[Life expectancy]:[Schooling]])</f>
        <v>#NAME?</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e">
        <f ca="1">Data_Completeness(LifeExpectancyData[[#This Row],[Life expectancy]:[Schooling]])</f>
        <v>#NAME?</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e">
        <f ca="1">Data_Completeness(LifeExpectancyData[[#This Row],[Life expectancy]:[Schooling]])</f>
        <v>#NAME?</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e">
        <f ca="1">Data_Completeness(LifeExpectancyData[[#This Row],[Life expectancy]:[Schooling]])</f>
        <v>#NAME?</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e">
        <f ca="1">Data_Completeness(LifeExpectancyData[[#This Row],[Life expectancy]:[Schooling]])</f>
        <v>#NAME?</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e">
        <f ca="1">Data_Completeness(LifeExpectancyData[[#This Row],[Life expectancy]:[Schooling]])</f>
        <v>#NAME?</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e">
        <f ca="1">Data_Completeness(LifeExpectancyData[[#This Row],[Life expectancy]:[Schooling]])</f>
        <v>#NAME?</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e">
        <f ca="1">Data_Completeness(LifeExpectancyData[[#This Row],[Life expectancy]:[Schooling]])</f>
        <v>#NAME?</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e">
        <f ca="1">Data_Completeness(LifeExpectancyData[[#This Row],[Life expectancy]:[Schooling]])</f>
        <v>#NAME?</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e">
        <f ca="1">Data_Completeness(LifeExpectancyData[[#This Row],[Life expectancy]:[Schooling]])</f>
        <v>#NAME?</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e">
        <f ca="1">Data_Completeness(LifeExpectancyData[[#This Row],[Life expectancy]:[Schooling]])</f>
        <v>#NAME?</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e">
        <f ca="1">Data_Completeness(LifeExpectancyData[[#This Row],[Life expectancy]:[Schooling]])</f>
        <v>#NAME?</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e">
        <f ca="1">Data_Completeness(LifeExpectancyData[[#This Row],[Life expectancy]:[Schooling]])</f>
        <v>#NAME?</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e">
        <f ca="1">Data_Completeness(LifeExpectancyData[[#This Row],[Life expectancy]:[Schooling]])</f>
        <v>#NAME?</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e">
        <f ca="1">Data_Completeness(LifeExpectancyData[[#This Row],[Life expectancy]:[Schooling]])</f>
        <v>#NAME?</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e">
        <f ca="1">Data_Completeness(LifeExpectancyData[[#This Row],[Life expectancy]:[Schooling]])</f>
        <v>#NAME?</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e">
        <f ca="1">Data_Completeness(LifeExpectancyData[[#This Row],[Life expectancy]:[Schooling]])</f>
        <v>#NAME?</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e">
        <f ca="1">Data_Completeness(LifeExpectancyData[[#This Row],[Life expectancy]:[Schooling]])</f>
        <v>#NAME?</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e">
        <f ca="1">Data_Completeness(LifeExpectancyData[[#This Row],[Life expectancy]:[Schooling]])</f>
        <v>#NAME?</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e">
        <f ca="1">Data_Completeness(LifeExpectancyData[[#This Row],[Life expectancy]:[Schooling]])</f>
        <v>#NAME?</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e">
        <f ca="1">Data_Completeness(LifeExpectancyData[[#This Row],[Life expectancy]:[Schooling]])</f>
        <v>#NAME?</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e">
        <f ca="1">Data_Completeness(LifeExpectancyData[[#This Row],[Life expectancy]:[Schooling]])</f>
        <v>#NAME?</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e">
        <f ca="1">Data_Completeness(LifeExpectancyData[[#This Row],[Life expectancy]:[Schooling]])</f>
        <v>#NAME?</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e">
        <f ca="1">Data_Completeness(LifeExpectancyData[[#This Row],[Life expectancy]:[Schooling]])</f>
        <v>#NAME?</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e">
        <f ca="1">Data_Completeness(LifeExpectancyData[[#This Row],[Life expectancy]:[Schooling]])</f>
        <v>#NAME?</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e">
        <f ca="1">Data_Completeness(LifeExpectancyData[[#This Row],[Life expectancy]:[Schooling]])</f>
        <v>#NAME?</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e">
        <f ca="1">Data_Completeness(LifeExpectancyData[[#This Row],[Life expectancy]:[Schooling]])</f>
        <v>#NAME?</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e">
        <f ca="1">Data_Completeness(LifeExpectancyData[[#This Row],[Life expectancy]:[Schooling]])</f>
        <v>#NAME?</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e">
        <f ca="1">Data_Completeness(LifeExpectancyData[[#This Row],[Life expectancy]:[Schooling]])</f>
        <v>#NAME?</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e">
        <f ca="1">Data_Completeness(LifeExpectancyData[[#This Row],[Life expectancy]:[Schooling]])</f>
        <v>#NAME?</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e">
        <f ca="1">Data_Completeness(LifeExpectancyData[[#This Row],[Life expectancy]:[Schooling]])</f>
        <v>#NAME?</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e">
        <f ca="1">Data_Completeness(LifeExpectancyData[[#This Row],[Life expectancy]:[Schooling]])</f>
        <v>#NAME?</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e">
        <f ca="1">Data_Completeness(LifeExpectancyData[[#This Row],[Life expectancy]:[Schooling]])</f>
        <v>#NAME?</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e">
        <f ca="1">Data_Completeness(LifeExpectancyData[[#This Row],[Life expectancy]:[Schooling]])</f>
        <v>#NAME?</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e">
        <f ca="1">Data_Completeness(LifeExpectancyData[[#This Row],[Life expectancy]:[Schooling]])</f>
        <v>#NAME?</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e">
        <f ca="1">Data_Completeness(LifeExpectancyData[[#This Row],[Life expectancy]:[Schooling]])</f>
        <v>#NAME?</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e">
        <f ca="1">Data_Completeness(LifeExpectancyData[[#This Row],[Life expectancy]:[Schooling]])</f>
        <v>#NAME?</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e">
        <f ca="1">Data_Completeness(LifeExpectancyData[[#This Row],[Life expectancy]:[Schooling]])</f>
        <v>#NAME?</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e">
        <f ca="1">Data_Completeness(LifeExpectancyData[[#This Row],[Life expectancy]:[Schooling]])</f>
        <v>#NAME?</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e">
        <f ca="1">Data_Completeness(LifeExpectancyData[[#This Row],[Life expectancy]:[Schooling]])</f>
        <v>#NAME?</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e">
        <f ca="1">Data_Completeness(LifeExpectancyData[[#This Row],[Life expectancy]:[Schooling]])</f>
        <v>#NAME?</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e">
        <f ca="1">Data_Completeness(LifeExpectancyData[[#This Row],[Life expectancy]:[Schooling]])</f>
        <v>#NAME?</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e">
        <f ca="1">Data_Completeness(LifeExpectancyData[[#This Row],[Life expectancy]:[Schooling]])</f>
        <v>#NAME?</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e">
        <f ca="1">Data_Completeness(LifeExpectancyData[[#This Row],[Life expectancy]:[Schooling]])</f>
        <v>#NAME?</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e">
        <f ca="1">Data_Completeness(LifeExpectancyData[[#This Row],[Life expectancy]:[Schooling]])</f>
        <v>#NAME?</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e">
        <f ca="1">Data_Completeness(LifeExpectancyData[[#This Row],[Life expectancy]:[Schooling]])</f>
        <v>#NAME?</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e">
        <f ca="1">Data_Completeness(LifeExpectancyData[[#This Row],[Life expectancy]:[Schooling]])</f>
        <v>#NAME?</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e">
        <f ca="1">Data_Completeness(LifeExpectancyData[[#This Row],[Life expectancy]:[Schooling]])</f>
        <v>#NAME?</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e">
        <f ca="1">Data_Completeness(LifeExpectancyData[[#This Row],[Life expectancy]:[Schooling]])</f>
        <v>#NAME?</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e">
        <f ca="1">Data_Completeness(LifeExpectancyData[[#This Row],[Life expectancy]:[Schooling]])</f>
        <v>#NAME?</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e">
        <f ca="1">Data_Completeness(LifeExpectancyData[[#This Row],[Life expectancy]:[Schooling]])</f>
        <v>#NAME?</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e">
        <f ca="1">Data_Completeness(LifeExpectancyData[[#This Row],[Life expectancy]:[Schooling]])</f>
        <v>#NAME?</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e">
        <f ca="1">Data_Completeness(LifeExpectancyData[[#This Row],[Life expectancy]:[Schooling]])</f>
        <v>#NAME?</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e">
        <f ca="1">Data_Completeness(LifeExpectancyData[[#This Row],[Life expectancy]:[Schooling]])</f>
        <v>#NAME?</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e">
        <f ca="1">Data_Completeness(LifeExpectancyData[[#This Row],[Life expectancy]:[Schooling]])</f>
        <v>#NAME?</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e">
        <f ca="1">Data_Completeness(LifeExpectancyData[[#This Row],[Life expectancy]:[Schooling]])</f>
        <v>#NAME?</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e">
        <f ca="1">Data_Completeness(LifeExpectancyData[[#This Row],[Life expectancy]:[Schooling]])</f>
        <v>#NAME?</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e">
        <f ca="1">Data_Completeness(LifeExpectancyData[[#This Row],[Life expectancy]:[Schooling]])</f>
        <v>#NAME?</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e">
        <f ca="1">Data_Completeness(LifeExpectancyData[[#This Row],[Life expectancy]:[Schooling]])</f>
        <v>#NAME?</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e">
        <f ca="1">Data_Completeness(LifeExpectancyData[[#This Row],[Life expectancy]:[Schooling]])</f>
        <v>#NAME?</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e">
        <f ca="1">Data_Completeness(LifeExpectancyData[[#This Row],[Life expectancy]:[Schooling]])</f>
        <v>#NAME?</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e">
        <f ca="1">Data_Completeness(LifeExpectancyData[[#This Row],[Life expectancy]:[Schooling]])</f>
        <v>#NAME?</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e">
        <f ca="1">Data_Completeness(LifeExpectancyData[[#This Row],[Life expectancy]:[Schooling]])</f>
        <v>#NAME?</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e">
        <f ca="1">Data_Completeness(LifeExpectancyData[[#This Row],[Life expectancy]:[Schooling]])</f>
        <v>#NAME?</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e">
        <f ca="1">Data_Completeness(LifeExpectancyData[[#This Row],[Life expectancy]:[Schooling]])</f>
        <v>#NAME?</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e">
        <f ca="1">Data_Completeness(LifeExpectancyData[[#This Row],[Life expectancy]:[Schooling]])</f>
        <v>#NAME?</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e">
        <f ca="1">Data_Completeness(LifeExpectancyData[[#This Row],[Life expectancy]:[Schooling]])</f>
        <v>#NAME?</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e">
        <f ca="1">Data_Completeness(LifeExpectancyData[[#This Row],[Life expectancy]:[Schooling]])</f>
        <v>#NAME?</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e">
        <f ca="1">Data_Completeness(LifeExpectancyData[[#This Row],[Life expectancy]:[Schooling]])</f>
        <v>#NAME?</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e">
        <f ca="1">Data_Completeness(LifeExpectancyData[[#This Row],[Life expectancy]:[Schooling]])</f>
        <v>#NAME?</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e">
        <f ca="1">Data_Completeness(LifeExpectancyData[[#This Row],[Life expectancy]:[Schooling]])</f>
        <v>#NAME?</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e">
        <f ca="1">Data_Completeness(LifeExpectancyData[[#This Row],[Life expectancy]:[Schooling]])</f>
        <v>#NAME?</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e">
        <f ca="1">Data_Completeness(LifeExpectancyData[[#This Row],[Life expectancy]:[Schooling]])</f>
        <v>#NAME?</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e">
        <f ca="1">Data_Completeness(LifeExpectancyData[[#This Row],[Life expectancy]:[Schooling]])</f>
        <v>#NAME?</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e">
        <f ca="1">Data_Completeness(LifeExpectancyData[[#This Row],[Life expectancy]:[Schooling]])</f>
        <v>#NAME?</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e">
        <f ca="1">Data_Completeness(LifeExpectancyData[[#This Row],[Life expectancy]:[Schooling]])</f>
        <v>#NAME?</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e">
        <f ca="1">Data_Completeness(LifeExpectancyData[[#This Row],[Life expectancy]:[Schooling]])</f>
        <v>#NAME?</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e">
        <f ca="1">Data_Completeness(LifeExpectancyData[[#This Row],[Life expectancy]:[Schooling]])</f>
        <v>#NAME?</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e">
        <f ca="1">Data_Completeness(LifeExpectancyData[[#This Row],[Life expectancy]:[Schooling]])</f>
        <v>#NAME?</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e">
        <f ca="1">Data_Completeness(LifeExpectancyData[[#This Row],[Life expectancy]:[Schooling]])</f>
        <v>#NAME?</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e">
        <f ca="1">Data_Completeness(LifeExpectancyData[[#This Row],[Life expectancy]:[Schooling]])</f>
        <v>#NAME?</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e">
        <f ca="1">Data_Completeness(LifeExpectancyData[[#This Row],[Life expectancy]:[Schooling]])</f>
        <v>#NAME?</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e">
        <f ca="1">Data_Completeness(LifeExpectancyData[[#This Row],[Life expectancy]:[Schooling]])</f>
        <v>#NAME?</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e">
        <f ca="1">Data_Completeness(LifeExpectancyData[[#This Row],[Life expectancy]:[Schooling]])</f>
        <v>#NAME?</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e">
        <f ca="1">Data_Completeness(LifeExpectancyData[[#This Row],[Life expectancy]:[Schooling]])</f>
        <v>#NAME?</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e">
        <f ca="1">Data_Completeness(LifeExpectancyData[[#This Row],[Life expectancy]:[Schooling]])</f>
        <v>#NAME?</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e">
        <f ca="1">Data_Completeness(LifeExpectancyData[[#This Row],[Life expectancy]:[Schooling]])</f>
        <v>#NAME?</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e">
        <f ca="1">Data_Completeness(LifeExpectancyData[[#This Row],[Life expectancy]:[Schooling]])</f>
        <v>#NAME?</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e">
        <f ca="1">Data_Completeness(LifeExpectancyData[[#This Row],[Life expectancy]:[Schooling]])</f>
        <v>#NAME?</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e">
        <f ca="1">Data_Completeness(LifeExpectancyData[[#This Row],[Life expectancy]:[Schooling]])</f>
        <v>#NAME?</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e">
        <f ca="1">Data_Completeness(LifeExpectancyData[[#This Row],[Life expectancy]:[Schooling]])</f>
        <v>#NAME?</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e">
        <f ca="1">Data_Completeness(LifeExpectancyData[[#This Row],[Life expectancy]:[Schooling]])</f>
        <v>#NAME?</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e">
        <f ca="1">Data_Completeness(LifeExpectancyData[[#This Row],[Life expectancy]:[Schooling]])</f>
        <v>#NAME?</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e">
        <f ca="1">Data_Completeness(LifeExpectancyData[[#This Row],[Life expectancy]:[Schooling]])</f>
        <v>#NAME?</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e">
        <f ca="1">Data_Completeness(LifeExpectancyData[[#This Row],[Life expectancy]:[Schooling]])</f>
        <v>#NAME?</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e">
        <f ca="1">Data_Completeness(LifeExpectancyData[[#This Row],[Life expectancy]:[Schooling]])</f>
        <v>#NAME?</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e">
        <f ca="1">Data_Completeness(LifeExpectancyData[[#This Row],[Life expectancy]:[Schooling]])</f>
        <v>#NAME?</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e">
        <f ca="1">Data_Completeness(LifeExpectancyData[[#This Row],[Life expectancy]:[Schooling]])</f>
        <v>#NAME?</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e">
        <f ca="1">Data_Completeness(LifeExpectancyData[[#This Row],[Life expectancy]:[Schooling]])</f>
        <v>#NAME?</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e">
        <f ca="1">Data_Completeness(LifeExpectancyData[[#This Row],[Life expectancy]:[Schooling]])</f>
        <v>#NAME?</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e">
        <f ca="1">Data_Completeness(LifeExpectancyData[[#This Row],[Life expectancy]:[Schooling]])</f>
        <v>#NAME?</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e">
        <f ca="1">Data_Completeness(LifeExpectancyData[[#This Row],[Life expectancy]:[Schooling]])</f>
        <v>#NAME?</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e">
        <f ca="1">Data_Completeness(LifeExpectancyData[[#This Row],[Life expectancy]:[Schooling]])</f>
        <v>#NAME?</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e">
        <f ca="1">Data_Completeness(LifeExpectancyData[[#This Row],[Life expectancy]:[Schooling]])</f>
        <v>#NAME?</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e">
        <f ca="1">Data_Completeness(LifeExpectancyData[[#This Row],[Life expectancy]:[Schooling]])</f>
        <v>#NAME?</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e">
        <f ca="1">Data_Completeness(LifeExpectancyData[[#This Row],[Life expectancy]:[Schooling]])</f>
        <v>#NAME?</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e">
        <f ca="1">Data_Completeness(LifeExpectancyData[[#This Row],[Life expectancy]:[Schooling]])</f>
        <v>#NAME?</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e">
        <f ca="1">Data_Completeness(LifeExpectancyData[[#This Row],[Life expectancy]:[Schooling]])</f>
        <v>#NAME?</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e">
        <f ca="1">Data_Completeness(LifeExpectancyData[[#This Row],[Life expectancy]:[Schooling]])</f>
        <v>#NAME?</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e">
        <f ca="1">Data_Completeness(LifeExpectancyData[[#This Row],[Life expectancy]:[Schooling]])</f>
        <v>#NAME?</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e">
        <f ca="1">Data_Completeness(LifeExpectancyData[[#This Row],[Life expectancy]:[Schooling]])</f>
        <v>#NAME?</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e">
        <f ca="1">Data_Completeness(LifeExpectancyData[[#This Row],[Life expectancy]:[Schooling]])</f>
        <v>#NAME?</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e">
        <f ca="1">Data_Completeness(LifeExpectancyData[[#This Row],[Life expectancy]:[Schooling]])</f>
        <v>#NAME?</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e">
        <f ca="1">Data_Completeness(LifeExpectancyData[[#This Row],[Life expectancy]:[Schooling]])</f>
        <v>#NAME?</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e">
        <f ca="1">Data_Completeness(LifeExpectancyData[[#This Row],[Life expectancy]:[Schooling]])</f>
        <v>#NAME?</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e">
        <f ca="1">Data_Completeness(LifeExpectancyData[[#This Row],[Life expectancy]:[Schooling]])</f>
        <v>#NAME?</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e">
        <f ca="1">Data_Completeness(LifeExpectancyData[[#This Row],[Life expectancy]:[Schooling]])</f>
        <v>#NAME?</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e">
        <f ca="1">Data_Completeness(LifeExpectancyData[[#This Row],[Life expectancy]:[Schooling]])</f>
        <v>#NAME?</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e">
        <f ca="1">Data_Completeness(LifeExpectancyData[[#This Row],[Life expectancy]:[Schooling]])</f>
        <v>#NAME?</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e">
        <f ca="1">Data_Completeness(LifeExpectancyData[[#This Row],[Life expectancy]:[Schooling]])</f>
        <v>#NAME?</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e">
        <f ca="1">Data_Completeness(LifeExpectancyData[[#This Row],[Life expectancy]:[Schooling]])</f>
        <v>#NAME?</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e">
        <f ca="1">Data_Completeness(LifeExpectancyData[[#This Row],[Life expectancy]:[Schooling]])</f>
        <v>#NAME?</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e">
        <f ca="1">Data_Completeness(LifeExpectancyData[[#This Row],[Life expectancy]:[Schooling]])</f>
        <v>#NAME?</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e">
        <f ca="1">Data_Completeness(LifeExpectancyData[[#This Row],[Life expectancy]:[Schooling]])</f>
        <v>#NAME?</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e">
        <f ca="1">Data_Completeness(LifeExpectancyData[[#This Row],[Life expectancy]:[Schooling]])</f>
        <v>#NAME?</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e">
        <f ca="1">Data_Completeness(LifeExpectancyData[[#This Row],[Life expectancy]:[Schooling]])</f>
        <v>#NAME?</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e">
        <f ca="1">Data_Completeness(LifeExpectancyData[[#This Row],[Life expectancy]:[Schooling]])</f>
        <v>#NAME?</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e">
        <f ca="1">Data_Completeness(LifeExpectancyData[[#This Row],[Life expectancy]:[Schooling]])</f>
        <v>#NAME?</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e">
        <f ca="1">Data_Completeness(LifeExpectancyData[[#This Row],[Life expectancy]:[Schooling]])</f>
        <v>#NAME?</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e">
        <f ca="1">Data_Completeness(LifeExpectancyData[[#This Row],[Life expectancy]:[Schooling]])</f>
        <v>#NAME?</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e">
        <f ca="1">Data_Completeness(LifeExpectancyData[[#This Row],[Life expectancy]:[Schooling]])</f>
        <v>#NAME?</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e">
        <f ca="1">Data_Completeness(LifeExpectancyData[[#This Row],[Life expectancy]:[Schooling]])</f>
        <v>#NAME?</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e">
        <f ca="1">Data_Completeness(LifeExpectancyData[[#This Row],[Life expectancy]:[Schooling]])</f>
        <v>#NAME?</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e">
        <f ca="1">Data_Completeness(LifeExpectancyData[[#This Row],[Life expectancy]:[Schooling]])</f>
        <v>#NAME?</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e">
        <f ca="1">Data_Completeness(LifeExpectancyData[[#This Row],[Life expectancy]:[Schooling]])</f>
        <v>#NAME?</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e">
        <f ca="1">Data_Completeness(LifeExpectancyData[[#This Row],[Life expectancy]:[Schooling]])</f>
        <v>#NAME?</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e">
        <f ca="1">Data_Completeness(LifeExpectancyData[[#This Row],[Life expectancy]:[Schooling]])</f>
        <v>#NAME?</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e">
        <f ca="1">Data_Completeness(LifeExpectancyData[[#This Row],[Life expectancy]:[Schooling]])</f>
        <v>#NAME?</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e">
        <f ca="1">Data_Completeness(LifeExpectancyData[[#This Row],[Life expectancy]:[Schooling]])</f>
        <v>#NAME?</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e">
        <f ca="1">Data_Completeness(LifeExpectancyData[[#This Row],[Life expectancy]:[Schooling]])</f>
        <v>#NAME?</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e">
        <f ca="1">Data_Completeness(LifeExpectancyData[[#This Row],[Life expectancy]:[Schooling]])</f>
        <v>#NAME?</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e">
        <f ca="1">Data_Completeness(LifeExpectancyData[[#This Row],[Life expectancy]:[Schooling]])</f>
        <v>#NAME?</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e">
        <f ca="1">Data_Completeness(LifeExpectancyData[[#This Row],[Life expectancy]:[Schooling]])</f>
        <v>#NAME?</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e">
        <f ca="1">Data_Completeness(LifeExpectancyData[[#This Row],[Life expectancy]:[Schooling]])</f>
        <v>#NAME?</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e">
        <f ca="1">Data_Completeness(LifeExpectancyData[[#This Row],[Life expectancy]:[Schooling]])</f>
        <v>#NAME?</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e">
        <f ca="1">Data_Completeness(LifeExpectancyData[[#This Row],[Life expectancy]:[Schooling]])</f>
        <v>#NAME?</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e">
        <f ca="1">Data_Completeness(LifeExpectancyData[[#This Row],[Life expectancy]:[Schooling]])</f>
        <v>#NAME?</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e">
        <f ca="1">Data_Completeness(LifeExpectancyData[[#This Row],[Life expectancy]:[Schooling]])</f>
        <v>#NAME?</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e">
        <f ca="1">Data_Completeness(LifeExpectancyData[[#This Row],[Life expectancy]:[Schooling]])</f>
        <v>#NAME?</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e">
        <f ca="1">Data_Completeness(LifeExpectancyData[[#This Row],[Life expectancy]:[Schooling]])</f>
        <v>#NAME?</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e">
        <f ca="1">Data_Completeness(LifeExpectancyData[[#This Row],[Life expectancy]:[Schooling]])</f>
        <v>#NAME?</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e">
        <f ca="1">Data_Completeness(LifeExpectancyData[[#This Row],[Life expectancy]:[Schooling]])</f>
        <v>#NAME?</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e">
        <f ca="1">Data_Completeness(LifeExpectancyData[[#This Row],[Life expectancy]:[Schooling]])</f>
        <v>#NAME?</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e">
        <f ca="1">Data_Completeness(LifeExpectancyData[[#This Row],[Life expectancy]:[Schooling]])</f>
        <v>#NAME?</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e">
        <f ca="1">Data_Completeness(LifeExpectancyData[[#This Row],[Life expectancy]:[Schooling]])</f>
        <v>#NAME?</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e">
        <f ca="1">Data_Completeness(LifeExpectancyData[[#This Row],[Life expectancy]:[Schooling]])</f>
        <v>#NAME?</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e">
        <f ca="1">Data_Completeness(LifeExpectancyData[[#This Row],[Life expectancy]:[Schooling]])</f>
        <v>#NAME?</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e">
        <f ca="1">Data_Completeness(LifeExpectancyData[[#This Row],[Life expectancy]:[Schooling]])</f>
        <v>#NAME?</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e">
        <f ca="1">Data_Completeness(LifeExpectancyData[[#This Row],[Life expectancy]:[Schooling]])</f>
        <v>#NAME?</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e">
        <f ca="1">Data_Completeness(LifeExpectancyData[[#This Row],[Life expectancy]:[Schooling]])</f>
        <v>#NAME?</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e">
        <f ca="1">Data_Completeness(LifeExpectancyData[[#This Row],[Life expectancy]:[Schooling]])</f>
        <v>#NAME?</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e">
        <f ca="1">Data_Completeness(LifeExpectancyData[[#This Row],[Life expectancy]:[Schooling]])</f>
        <v>#NAME?</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e">
        <f ca="1">Data_Completeness(LifeExpectancyData[[#This Row],[Life expectancy]:[Schooling]])</f>
        <v>#NAME?</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e">
        <f ca="1">Data_Completeness(LifeExpectancyData[[#This Row],[Life expectancy]:[Schooling]])</f>
        <v>#NAME?</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e">
        <f ca="1">Data_Completeness(LifeExpectancyData[[#This Row],[Life expectancy]:[Schooling]])</f>
        <v>#NAME?</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e">
        <f ca="1">Data_Completeness(LifeExpectancyData[[#This Row],[Life expectancy]:[Schooling]])</f>
        <v>#NAME?</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e">
        <f ca="1">Data_Completeness(LifeExpectancyData[[#This Row],[Life expectancy]:[Schooling]])</f>
        <v>#NAME?</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e">
        <f ca="1">Data_Completeness(LifeExpectancyData[[#This Row],[Life expectancy]:[Schooling]])</f>
        <v>#NAME?</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e">
        <f ca="1">Data_Completeness(LifeExpectancyData[[#This Row],[Life expectancy]:[Schooling]])</f>
        <v>#NAME?</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e">
        <f ca="1">Data_Completeness(LifeExpectancyData[[#This Row],[Life expectancy]:[Schooling]])</f>
        <v>#NAME?</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e">
        <f ca="1">Data_Completeness(LifeExpectancyData[[#This Row],[Life expectancy]:[Schooling]])</f>
        <v>#NAME?</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e">
        <f ca="1">Data_Completeness(LifeExpectancyData[[#This Row],[Life expectancy]:[Schooling]])</f>
        <v>#NAME?</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e">
        <f ca="1">Data_Completeness(LifeExpectancyData[[#This Row],[Life expectancy]:[Schooling]])</f>
        <v>#NAME?</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e">
        <f ca="1">Data_Completeness(LifeExpectancyData[[#This Row],[Life expectancy]:[Schooling]])</f>
        <v>#NAME?</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BB431-24D5-4889-A48C-8D6463F2A108}">
  <dimension ref="A1:BR29"/>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5" x14ac:dyDescent="0.25"/>
  <cols>
    <col min="1" max="1" width="14.7109375" customWidth="1"/>
    <col min="2" max="2" width="2.7109375" customWidth="1"/>
    <col min="3" max="3" width="16.7109375" customWidth="1"/>
    <col min="4" max="4" width="12.7109375" customWidth="1"/>
    <col min="5" max="5" width="2.7109375" customWidth="1"/>
    <col min="6" max="6" width="12.7109375" customWidth="1"/>
    <col min="7" max="7" width="10.7109375" customWidth="1"/>
    <col min="8" max="8" width="2.7109375" customWidth="1"/>
    <col min="9" max="9" width="12.7109375" customWidth="1"/>
    <col min="10" max="10" width="10.7109375" customWidth="1"/>
    <col min="11" max="11" width="2.7109375" customWidth="1"/>
    <col min="12" max="12" width="12.7109375" customWidth="1"/>
    <col min="13" max="13" width="10.7109375" customWidth="1"/>
    <col min="14" max="15" width="2.7109375" customWidth="1"/>
    <col min="16" max="16" width="14.7109375" customWidth="1"/>
    <col min="17" max="17" width="10.7109375" customWidth="1"/>
    <col min="18" max="18" width="12.7109375" customWidth="1"/>
    <col min="19" max="19" width="10.7109375" customWidth="1"/>
    <col min="20" max="20" width="12.7109375" customWidth="1"/>
    <col min="21" max="21" width="10.7109375" customWidth="1"/>
    <col min="22" max="23" width="12.7109375" customWidth="1"/>
    <col min="24" max="24" width="6.7109375" customWidth="1"/>
    <col min="25" max="26" width="12.7109375" customWidth="1"/>
    <col min="27" max="27" width="2.7109375" customWidth="1"/>
    <col min="28" max="28" width="12.7109375" customWidth="1"/>
    <col min="29" max="48" width="6.7109375" customWidth="1"/>
    <col min="49" max="49" width="2.7109375" customWidth="1"/>
    <col min="50" max="50" width="12.7109375" customWidth="1"/>
    <col min="51" max="70" width="6.7109375" customWidth="1"/>
  </cols>
  <sheetData>
    <row r="1" spans="1:70" ht="20.100000000000001" customHeight="1" x14ac:dyDescent="0.3">
      <c r="A1" s="4" t="s">
        <v>649</v>
      </c>
      <c r="F1" s="23" t="s">
        <v>663</v>
      </c>
      <c r="G1" s="23"/>
      <c r="H1" s="23"/>
      <c r="I1" s="23"/>
      <c r="J1" s="23"/>
      <c r="K1" s="23"/>
      <c r="L1" s="23"/>
      <c r="M1" s="23"/>
    </row>
    <row r="2" spans="1:70" ht="18" customHeight="1" x14ac:dyDescent="0.25">
      <c r="F2" s="23" t="s">
        <v>664</v>
      </c>
      <c r="G2" s="23"/>
      <c r="I2" s="23" t="s">
        <v>666</v>
      </c>
      <c r="J2" s="23"/>
      <c r="L2" s="23" t="s">
        <v>667</v>
      </c>
      <c r="M2" s="23"/>
      <c r="P2" s="23" t="s">
        <v>668</v>
      </c>
      <c r="Q2" s="23"/>
      <c r="R2" s="23"/>
      <c r="S2" s="23"/>
      <c r="T2" s="23"/>
      <c r="U2" s="23"/>
      <c r="V2" s="23"/>
      <c r="W2" s="23"/>
      <c r="X2" s="23"/>
      <c r="Y2" s="23"/>
      <c r="Z2" s="23"/>
    </row>
    <row r="3" spans="1:70" ht="18" customHeight="1" x14ac:dyDescent="0.25">
      <c r="A3" s="5" t="s">
        <v>650</v>
      </c>
      <c r="C3" s="14" t="s">
        <v>651</v>
      </c>
      <c r="D3" s="18"/>
      <c r="AB3" s="39" t="s">
        <v>686</v>
      </c>
      <c r="AC3" s="40"/>
      <c r="AD3" s="40"/>
      <c r="AE3" s="40"/>
      <c r="AF3" s="40"/>
      <c r="AG3" s="40"/>
      <c r="AH3" s="40"/>
      <c r="AI3" s="40"/>
      <c r="AJ3" s="40"/>
      <c r="AK3" s="40"/>
      <c r="AL3" s="40"/>
      <c r="AM3" s="40"/>
      <c r="AN3" s="40"/>
      <c r="AO3" s="40"/>
      <c r="AP3" s="40"/>
      <c r="AQ3" s="40"/>
      <c r="AR3" s="40"/>
      <c r="AS3" s="40"/>
      <c r="AT3" s="40"/>
      <c r="AU3" s="40"/>
      <c r="AV3" s="41"/>
      <c r="AX3" s="39" t="s">
        <v>692</v>
      </c>
      <c r="AY3" s="40"/>
      <c r="AZ3" s="40"/>
      <c r="BA3" s="40"/>
      <c r="BB3" s="40"/>
      <c r="BC3" s="40"/>
      <c r="BD3" s="40"/>
      <c r="BE3" s="40"/>
      <c r="BF3" s="40"/>
      <c r="BG3" s="40"/>
      <c r="BH3" s="40"/>
      <c r="BI3" s="40"/>
      <c r="BJ3" s="40"/>
      <c r="BK3" s="40"/>
      <c r="BL3" s="40"/>
      <c r="BM3" s="40"/>
      <c r="BN3" s="40"/>
      <c r="BO3" s="40"/>
      <c r="BP3" s="40"/>
      <c r="BQ3" s="40"/>
      <c r="BR3" s="41"/>
    </row>
    <row r="4" spans="1:70" ht="18" customHeight="1" x14ac:dyDescent="0.25">
      <c r="A4" t="str" cm="1">
        <f t="array" aca="1" ref="A4" ca="1">IFERROR(_xlfn._xlws.FILTER(LifeExpectancyData[Life expectancy],LifeExpectancyData[Full_Data]),"")</f>
        <v/>
      </c>
      <c r="C4" s="10" t="s">
        <v>653</v>
      </c>
      <c r="D4" s="19" t="e">
        <f ca="1">AVERAGE(UV_Data)</f>
        <v>#DIV/0!</v>
      </c>
      <c r="F4" s="6" t="s">
        <v>665</v>
      </c>
      <c r="G4" s="6" t="s">
        <v>661</v>
      </c>
      <c r="I4" s="6" t="s">
        <v>665</v>
      </c>
      <c r="J4" s="6" t="s">
        <v>661</v>
      </c>
      <c r="L4" s="6" t="s">
        <v>665</v>
      </c>
      <c r="M4" s="6" t="s">
        <v>661</v>
      </c>
      <c r="P4" s="26" t="s">
        <v>669</v>
      </c>
      <c r="Q4" s="27" t="s">
        <v>670</v>
      </c>
      <c r="R4" s="27" t="s">
        <v>652</v>
      </c>
      <c r="S4" s="27" t="s">
        <v>671</v>
      </c>
      <c r="T4" s="27" t="s">
        <v>652</v>
      </c>
      <c r="U4" s="27" t="s">
        <v>672</v>
      </c>
      <c r="V4" s="27" t="s">
        <v>652</v>
      </c>
      <c r="W4" s="27" t="s">
        <v>673</v>
      </c>
      <c r="X4" s="27" t="s">
        <v>674</v>
      </c>
      <c r="Y4" s="27" t="s">
        <v>80</v>
      </c>
      <c r="Z4" s="31" t="s">
        <v>85</v>
      </c>
      <c r="AB4" s="11" t="s">
        <v>687</v>
      </c>
      <c r="AC4" s="36">
        <v>0.5</v>
      </c>
      <c r="AD4" s="36">
        <v>10</v>
      </c>
      <c r="AE4" s="9"/>
      <c r="AF4" s="9"/>
      <c r="AG4" s="9"/>
      <c r="AH4" s="9"/>
      <c r="AI4" s="9"/>
      <c r="AJ4" s="9"/>
      <c r="AK4" s="9"/>
      <c r="AL4" s="9"/>
      <c r="AM4" s="9"/>
      <c r="AN4" s="9"/>
      <c r="AO4" s="9"/>
      <c r="AP4" s="9"/>
      <c r="AQ4" s="9"/>
      <c r="AR4" s="9"/>
      <c r="AS4" s="9"/>
      <c r="AT4" s="9"/>
      <c r="AU4" s="9"/>
      <c r="AV4" s="42"/>
      <c r="AX4" s="11" t="s">
        <v>687</v>
      </c>
      <c r="AY4" s="12">
        <f>MAX(0.001,$AC$7-($AD$4-$AC$4)/(20-1))</f>
        <v>1E-3</v>
      </c>
      <c r="AZ4" s="12">
        <f>$AC$7+($AD$4-$AC$4)/(20-1)</f>
        <v>1</v>
      </c>
      <c r="BA4" s="9"/>
      <c r="BB4" s="9"/>
      <c r="BC4" s="9"/>
      <c r="BD4" s="9"/>
      <c r="BE4" s="9"/>
      <c r="BF4" s="9"/>
      <c r="BG4" s="9"/>
      <c r="BH4" s="9"/>
      <c r="BI4" s="9"/>
      <c r="BJ4" s="9"/>
      <c r="BK4" s="9"/>
      <c r="BL4" s="9"/>
      <c r="BM4" s="9"/>
      <c r="BN4" s="9"/>
      <c r="BO4" s="9"/>
      <c r="BP4" s="9"/>
      <c r="BQ4" s="9"/>
      <c r="BR4" s="42"/>
    </row>
    <row r="5" spans="1:70" x14ac:dyDescent="0.25">
      <c r="C5" s="11" t="s">
        <v>654</v>
      </c>
      <c r="D5" s="20" t="e">
        <f ca="1">MEDIAN(UV_Data)</f>
        <v>#NUM!</v>
      </c>
      <c r="F5" s="24" t="e" cm="1">
        <f t="array" aca="1" ref="F5" ca="1">Bin_Edges(UV_Data,"Sturges")</f>
        <v>#NAME?</v>
      </c>
      <c r="G5" s="8" t="e" cm="1">
        <f t="array" aca="1" ref="G5" ca="1">Bin_Counts(UV_Data,_xlfn.ANCHORARRAY(F5))</f>
        <v>#NAME?</v>
      </c>
      <c r="I5" s="24" t="e" cm="1">
        <f t="array" aca="1" ref="I5" ca="1">Bin_Edges(UV_Data,"Scott")</f>
        <v>#NAME?</v>
      </c>
      <c r="J5" s="8" t="e" cm="1">
        <f t="array" aca="1" ref="J5" ca="1">Bin_Counts(UV_Data,_xlfn.ANCHORARRAY(I5))</f>
        <v>#NAME?</v>
      </c>
      <c r="L5" s="24" t="e" cm="1">
        <f t="array" aca="1" ref="L5" ca="1">Bin_Edges(UV_Data)</f>
        <v>#NAME?</v>
      </c>
      <c r="M5" s="8" t="e" cm="1">
        <f t="array" aca="1" ref="M5" ca="1">Bin_Counts(UV_Data,_xlfn.ANCHORARRAY(L5))</f>
        <v>#NAME?</v>
      </c>
      <c r="P5" s="11" t="s">
        <v>675</v>
      </c>
      <c r="Q5" s="9" t="s">
        <v>653</v>
      </c>
      <c r="R5" s="12" t="e">
        <f ca="1">AVERAGE(UV_Data)</f>
        <v>#DIV/0!</v>
      </c>
      <c r="S5" s="9" t="s">
        <v>656</v>
      </c>
      <c r="T5" s="12" t="e">
        <f ca="1">_xlfn.STDEV.S(UV_Data)</f>
        <v>#DIV/0!</v>
      </c>
      <c r="U5" s="9"/>
      <c r="V5" s="12"/>
      <c r="W5" s="25" t="e" cm="1">
        <f t="array" aca="1" ref="W5" ca="1">NLL_Normal(UV_Data,$R$5,$T$5)</f>
        <v>#NAME?</v>
      </c>
      <c r="X5" s="13">
        <v>2</v>
      </c>
      <c r="Y5" s="25" t="e" cm="1">
        <f t="array" aca="1" ref="Y5" ca="1">GoF_AIC($W$5,$X$5)</f>
        <v>#NAME?</v>
      </c>
      <c r="Z5" s="32" t="e" cm="1">
        <f t="array" aca="1" ref="Z5" ca="1">GoF_BIC($W$5,$X$5,UV_n)</f>
        <v>#NAME?</v>
      </c>
      <c r="AB5" s="11" t="s">
        <v>688</v>
      </c>
      <c r="AC5" s="36">
        <v>0.1</v>
      </c>
      <c r="AD5" s="36">
        <f ca="1">IFERROR(2*AVERAGE(UV_Data),10)</f>
        <v>10</v>
      </c>
      <c r="AE5" s="9"/>
      <c r="AF5" s="9"/>
      <c r="AG5" s="9"/>
      <c r="AH5" s="9"/>
      <c r="AI5" s="9"/>
      <c r="AJ5" s="9"/>
      <c r="AK5" s="9"/>
      <c r="AL5" s="9"/>
      <c r="AM5" s="9"/>
      <c r="AN5" s="9"/>
      <c r="AO5" s="9"/>
      <c r="AP5" s="9"/>
      <c r="AQ5" s="9"/>
      <c r="AR5" s="9"/>
      <c r="AS5" s="9"/>
      <c r="AT5" s="9"/>
      <c r="AU5" s="9"/>
      <c r="AV5" s="42"/>
      <c r="AX5" s="11" t="s">
        <v>688</v>
      </c>
      <c r="AY5" s="12">
        <f ca="1">MAX(0.001,$AE$7-($AD$5-$AC$5)/(20-1))</f>
        <v>1E-3</v>
      </c>
      <c r="AZ5" s="12">
        <f ca="1">$AE$7+($AD$5-$AC$5)/(20-1)</f>
        <v>0.62105263157894741</v>
      </c>
      <c r="BA5" s="9"/>
      <c r="BB5" s="9"/>
      <c r="BC5" s="9"/>
      <c r="BD5" s="9"/>
      <c r="BE5" s="9"/>
      <c r="BF5" s="9"/>
      <c r="BG5" s="9"/>
      <c r="BH5" s="9"/>
      <c r="BI5" s="9"/>
      <c r="BJ5" s="9"/>
      <c r="BK5" s="9"/>
      <c r="BL5" s="9"/>
      <c r="BM5" s="9"/>
      <c r="BN5" s="9"/>
      <c r="BO5" s="9"/>
      <c r="BP5" s="9"/>
      <c r="BQ5" s="9"/>
      <c r="BR5" s="42"/>
    </row>
    <row r="6" spans="1:70" x14ac:dyDescent="0.25">
      <c r="C6" s="11" t="s">
        <v>655</v>
      </c>
      <c r="D6" s="20" t="str">
        <f ca="1">IFERROR(_xlfn.MODE.SNGL(UV_Data),"N/A")</f>
        <v>N/A</v>
      </c>
      <c r="P6" s="11" t="s">
        <v>676</v>
      </c>
      <c r="Q6" s="9" t="s">
        <v>677</v>
      </c>
      <c r="R6" s="12" t="e" cm="1" vm="1">
        <f t="array" aca="1" ref="R6" ca="1">AVERAGE(LN(_xlfn._xlws.FILTER(UV_Data,ISNUMBER(UV_Data))))</f>
        <v>#VALUE!</v>
      </c>
      <c r="S6" s="9" t="s">
        <v>678</v>
      </c>
      <c r="T6" s="12" t="e" cm="1" vm="1">
        <f t="array" aca="1" ref="T6" ca="1">_xlfn.STDEV.S(LN(_xlfn._xlws.FILTER(UV_Data,ISNUMBER(UV_Data))))</f>
        <v>#VALUE!</v>
      </c>
      <c r="U6" s="9"/>
      <c r="V6" s="12"/>
      <c r="W6" s="25" t="e" cm="1">
        <f t="array" aca="1" ref="W6" ca="1">NLL_Lognormal(UV_Data,$R$6,$T$6)</f>
        <v>#NAME?</v>
      </c>
      <c r="X6" s="13">
        <v>2</v>
      </c>
      <c r="Y6" s="25" t="e" cm="1">
        <f t="array" aca="1" ref="Y6" ca="1">GoF_AIC($W$6,$X$6)</f>
        <v>#NAME?</v>
      </c>
      <c r="Z6" s="32" t="e" cm="1">
        <f t="array" aca="1" ref="Z6" ca="1">GoF_BIC($W$6,$X$6,UV_n)</f>
        <v>#NAME?</v>
      </c>
      <c r="AB6" s="11" t="s">
        <v>689</v>
      </c>
      <c r="AC6" s="25" t="str">
        <f>IF(COUNT(UV_WB_S1)=0,"—",MIN(UV_WB_S1))</f>
        <v>—</v>
      </c>
      <c r="AD6" s="9"/>
      <c r="AE6" s="9"/>
      <c r="AF6" s="9"/>
      <c r="AG6" s="9"/>
      <c r="AH6" s="9"/>
      <c r="AI6" s="9"/>
      <c r="AJ6" s="9"/>
      <c r="AK6" s="9"/>
      <c r="AL6" s="9"/>
      <c r="AM6" s="9"/>
      <c r="AN6" s="9"/>
      <c r="AO6" s="9"/>
      <c r="AP6" s="9"/>
      <c r="AQ6" s="9"/>
      <c r="AR6" s="9"/>
      <c r="AS6" s="9"/>
      <c r="AT6" s="9"/>
      <c r="AU6" s="9"/>
      <c r="AV6" s="42"/>
      <c r="AX6" s="11" t="s">
        <v>689</v>
      </c>
      <c r="AY6" s="25" t="str">
        <f>IF(COUNT(UV_WB_S2)=0,"—",MIN(UV_WB_S2))</f>
        <v>—</v>
      </c>
      <c r="AZ6" s="9"/>
      <c r="BA6" s="9"/>
      <c r="BB6" s="9"/>
      <c r="BC6" s="9"/>
      <c r="BD6" s="9"/>
      <c r="BE6" s="9"/>
      <c r="BF6" s="9"/>
      <c r="BG6" s="9"/>
      <c r="BH6" s="9"/>
      <c r="BI6" s="9"/>
      <c r="BJ6" s="9"/>
      <c r="BK6" s="9"/>
      <c r="BL6" s="9"/>
      <c r="BM6" s="9"/>
      <c r="BN6" s="9"/>
      <c r="BO6" s="9"/>
      <c r="BP6" s="9"/>
      <c r="BQ6" s="9"/>
      <c r="BR6" s="42"/>
    </row>
    <row r="7" spans="1:70" x14ac:dyDescent="0.25">
      <c r="C7" s="11" t="s">
        <v>656</v>
      </c>
      <c r="D7" s="20" t="e">
        <f ca="1">_xlfn.STDEV.S(UV_Data)</f>
        <v>#DIV/0!</v>
      </c>
      <c r="P7" s="11" t="s">
        <v>679</v>
      </c>
      <c r="Q7" s="9" t="s">
        <v>680</v>
      </c>
      <c r="R7" s="12" t="e">
        <f ca="1">1/AVERAGE(UV_Data)</f>
        <v>#DIV/0!</v>
      </c>
      <c r="S7" s="9"/>
      <c r="T7" s="12"/>
      <c r="U7" s="9"/>
      <c r="V7" s="12"/>
      <c r="W7" s="25" t="e" cm="1">
        <f t="array" aca="1" ref="W7" ca="1">NLL_Exponential(UV_Data,$R$7)</f>
        <v>#NAME?</v>
      </c>
      <c r="X7" s="13">
        <v>1</v>
      </c>
      <c r="Y7" s="25" t="e" cm="1">
        <f t="array" aca="1" ref="Y7" ca="1">GoF_AIC($W$7,$X$7)</f>
        <v>#NAME?</v>
      </c>
      <c r="Z7" s="32" t="e" cm="1">
        <f t="array" aca="1" ref="Z7" ca="1">GoF_BIC($W$7,$X$7,UV_n)</f>
        <v>#NAME?</v>
      </c>
      <c r="AB7" s="11" t="s">
        <v>690</v>
      </c>
      <c r="AC7" s="12" cm="1">
        <f t="array" ref="AC7">IFERROR(INDEX(_xlfn.ANCHORARRAY($AC$9),1,$AC$8),"—")</f>
        <v>0.5</v>
      </c>
      <c r="AD7" s="9" t="s">
        <v>691</v>
      </c>
      <c r="AE7" s="12" cm="1">
        <f t="array" aca="1" ref="AE7" ca="1">IFERROR(INDEX(_xlfn.ANCHORARRAY($AB$10),$AB$8),"—")</f>
        <v>0.1</v>
      </c>
      <c r="AF7" s="9"/>
      <c r="AG7" s="9"/>
      <c r="AH7" s="9"/>
      <c r="AI7" s="9"/>
      <c r="AJ7" s="9"/>
      <c r="AK7" s="9"/>
      <c r="AL7" s="9"/>
      <c r="AM7" s="9"/>
      <c r="AN7" s="9"/>
      <c r="AO7" s="9"/>
      <c r="AP7" s="9"/>
      <c r="AQ7" s="9"/>
      <c r="AR7" s="9"/>
      <c r="AS7" s="9"/>
      <c r="AT7" s="9"/>
      <c r="AU7" s="9"/>
      <c r="AV7" s="42"/>
      <c r="AX7" s="11" t="s">
        <v>690</v>
      </c>
      <c r="AY7" s="12" cm="1">
        <f t="array" ref="AY7">IFERROR(INDEX(_xlfn.ANCHORARRAY($AY$9),1,$AY$8),"—")</f>
        <v>1E-3</v>
      </c>
      <c r="AZ7" s="9" t="s">
        <v>691</v>
      </c>
      <c r="BA7" s="12" cm="1">
        <f t="array" aca="1" ref="BA7" ca="1">IFERROR(INDEX(_xlfn.ANCHORARRAY($AX$10),$AX$8),"—")</f>
        <v>1E-3</v>
      </c>
      <c r="BB7" s="9"/>
      <c r="BC7" s="9"/>
      <c r="BD7" s="9"/>
      <c r="BE7" s="9"/>
      <c r="BF7" s="9"/>
      <c r="BG7" s="9"/>
      <c r="BH7" s="9"/>
      <c r="BI7" s="9"/>
      <c r="BJ7" s="9"/>
      <c r="BK7" s="9"/>
      <c r="BL7" s="9"/>
      <c r="BM7" s="9"/>
      <c r="BN7" s="9"/>
      <c r="BO7" s="9"/>
      <c r="BP7" s="9"/>
      <c r="BQ7" s="9"/>
      <c r="BR7" s="42"/>
    </row>
    <row r="8" spans="1:70" x14ac:dyDescent="0.25">
      <c r="C8" s="11" t="s">
        <v>657</v>
      </c>
      <c r="D8" s="20" t="e">
        <f ca="1">_xlfn.VAR.S(UV_Data)</f>
        <v>#DIV/0!</v>
      </c>
      <c r="P8" s="11" t="s">
        <v>681</v>
      </c>
      <c r="Q8" s="9" t="s">
        <v>658</v>
      </c>
      <c r="R8" s="12">
        <f ca="1">MIN(UV_Data)-(MAX(UV_Data)-MIN(UV_Data))*0.001</f>
        <v>0</v>
      </c>
      <c r="S8" s="9" t="s">
        <v>655</v>
      </c>
      <c r="T8" s="12" t="e">
        <f ca="1">IFERROR(_xlfn.MODE.SNGL(UV_Data),MEDIAN(UV_Data))</f>
        <v>#NUM!</v>
      </c>
      <c r="U8" s="9" t="s">
        <v>659</v>
      </c>
      <c r="V8" s="12">
        <f ca="1">MAX(UV_Data)+(MAX(UV_Data)-MIN(UV_Data))*0.001</f>
        <v>0</v>
      </c>
      <c r="W8" s="25" t="e" cm="1">
        <f t="array" aca="1" ref="W8" ca="1">NLL_Triangular(UV_Data,$R$8,$T$8,$V$8)</f>
        <v>#NAME?</v>
      </c>
      <c r="X8" s="13">
        <v>3</v>
      </c>
      <c r="Y8" s="25" t="e" cm="1">
        <f t="array" aca="1" ref="Y8" ca="1">GoF_AIC($W$8,$X$8)</f>
        <v>#NAME?</v>
      </c>
      <c r="Z8" s="32" t="e" cm="1">
        <f t="array" aca="1" ref="Z8" ca="1">GoF_BIC($W$8,$X$8,UV_n)</f>
        <v>#NAME?</v>
      </c>
      <c r="AB8" s="11" cm="1">
        <f t="array" ref="AB8">IFERROR(MIN(IF(UV_WB_S1=MIN(UV_WB_S1),ROW(UV_WB_S1)-ROW($AB$9))),1)</f>
        <v>1</v>
      </c>
      <c r="AC8" s="9" cm="1">
        <f t="array" ref="AC8">IFERROR(MIN(IF(UV_WB_S1=MIN(UV_WB_S1),COLUMN(UV_WB_S1)-COLUMN($AB$9))),1)</f>
        <v>1</v>
      </c>
      <c r="AD8" s="9">
        <v>1</v>
      </c>
      <c r="AE8" s="9">
        <v>1</v>
      </c>
      <c r="AF8" s="9"/>
      <c r="AG8" s="9"/>
      <c r="AH8" s="9"/>
      <c r="AI8" s="9"/>
      <c r="AJ8" s="9"/>
      <c r="AK8" s="9"/>
      <c r="AL8" s="9"/>
      <c r="AM8" s="9"/>
      <c r="AN8" s="9"/>
      <c r="AO8" s="9"/>
      <c r="AP8" s="9"/>
      <c r="AQ8" s="9"/>
      <c r="AR8" s="9"/>
      <c r="AS8" s="9"/>
      <c r="AT8" s="9"/>
      <c r="AU8" s="9"/>
      <c r="AV8" s="42"/>
      <c r="AX8" s="11" cm="1">
        <f t="array" ref="AX8">IFERROR(MIN(IF(UV_WB_S2=MIN(UV_WB_S2),ROW(UV_WB_S2)-ROW($AX$9))),1)</f>
        <v>1</v>
      </c>
      <c r="AY8" s="9" cm="1">
        <f t="array" ref="AY8">IFERROR(MIN(IF(UV_WB_S2=MIN(UV_WB_S2),COLUMN(UV_WB_S2)-COLUMN($AX$9))),1)</f>
        <v>1</v>
      </c>
      <c r="AZ8" s="9">
        <v>1</v>
      </c>
      <c r="BA8" s="9">
        <v>1</v>
      </c>
      <c r="BB8" s="9"/>
      <c r="BC8" s="9"/>
      <c r="BD8" s="9"/>
      <c r="BE8" s="9"/>
      <c r="BF8" s="9"/>
      <c r="BG8" s="9"/>
      <c r="BH8" s="9"/>
      <c r="BI8" s="9"/>
      <c r="BJ8" s="9"/>
      <c r="BK8" s="9"/>
      <c r="BL8" s="9"/>
      <c r="BM8" s="9"/>
      <c r="BN8" s="9"/>
      <c r="BO8" s="9"/>
      <c r="BP8" s="9"/>
      <c r="BQ8" s="9"/>
      <c r="BR8" s="42"/>
    </row>
    <row r="9" spans="1:70" x14ac:dyDescent="0.25">
      <c r="C9" s="11" t="s">
        <v>658</v>
      </c>
      <c r="D9" s="20">
        <f ca="1">MIN(UV_Data)</f>
        <v>0</v>
      </c>
      <c r="P9" s="11" t="s">
        <v>682</v>
      </c>
      <c r="Q9" s="9" t="s">
        <v>658</v>
      </c>
      <c r="R9" s="12">
        <f ca="1">MIN(UV_Data)-(MAX(UV_Data)-MIN(UV_Data))*0.001</f>
        <v>0</v>
      </c>
      <c r="S9" s="9" t="s">
        <v>655</v>
      </c>
      <c r="T9" s="12" t="e">
        <f ca="1">IFERROR(_xlfn.MODE.SNGL(UV_Data),MEDIAN(UV_Data))</f>
        <v>#NUM!</v>
      </c>
      <c r="U9" s="9" t="s">
        <v>659</v>
      </c>
      <c r="V9" s="12">
        <f ca="1">MAX(UV_Data)+(MAX(UV_Data)-MIN(UV_Data))*0.001</f>
        <v>0</v>
      </c>
      <c r="W9" s="25" t="e" cm="1">
        <f t="array" aca="1" ref="W9" ca="1">NLL_BetaPERT(UV_Data,$R$9,$T$9,$V$9)</f>
        <v>#NAME?</v>
      </c>
      <c r="X9" s="13">
        <v>3</v>
      </c>
      <c r="Y9" s="25" t="e" cm="1">
        <f t="array" aca="1" ref="Y9" ca="1">GoF_AIC($W$9,$X$9)</f>
        <v>#NAME?</v>
      </c>
      <c r="Z9" s="32" t="e" cm="1">
        <f t="array" aca="1" ref="Z9" ca="1">GoF_BIC($W$9,$X$9,UV_n)</f>
        <v>#NAME?</v>
      </c>
      <c r="AB9" s="37" t="e" cm="1">
        <f t="array" aca="1" ref="AB9" ca="1">NLL_Weibull(UV_Data,$AD$8,$AE$8)</f>
        <v>#NAME?</v>
      </c>
      <c r="AC9" s="25" cm="1">
        <f t="array" ref="AC9:AV9">_xlfn.SEQUENCE(1,20,$AC$4,($AD$4-$AC$4)/(20-1))</f>
        <v>0.5</v>
      </c>
      <c r="AD9" s="9">
        <v>1</v>
      </c>
      <c r="AE9" s="9">
        <v>1.5</v>
      </c>
      <c r="AF9" s="9">
        <v>2</v>
      </c>
      <c r="AG9" s="9">
        <v>2.5</v>
      </c>
      <c r="AH9" s="9">
        <v>3</v>
      </c>
      <c r="AI9" s="9">
        <v>3.5</v>
      </c>
      <c r="AJ9" s="9">
        <v>4</v>
      </c>
      <c r="AK9" s="9">
        <v>4.5</v>
      </c>
      <c r="AL9" s="9">
        <v>5</v>
      </c>
      <c r="AM9" s="9">
        <v>5.5</v>
      </c>
      <c r="AN9" s="9">
        <v>6</v>
      </c>
      <c r="AO9" s="9">
        <v>6.5</v>
      </c>
      <c r="AP9" s="9">
        <v>7</v>
      </c>
      <c r="AQ9" s="9">
        <v>7.5</v>
      </c>
      <c r="AR9" s="9">
        <v>8</v>
      </c>
      <c r="AS9" s="9">
        <v>8.5</v>
      </c>
      <c r="AT9" s="9">
        <v>9</v>
      </c>
      <c r="AU9" s="9">
        <v>9.5</v>
      </c>
      <c r="AV9" s="42">
        <v>10</v>
      </c>
      <c r="AX9" s="37" t="e" cm="1">
        <f t="array" aca="1" ref="AX9" ca="1">NLL_Weibull(UV_Data,$AZ$8,$BA$8)</f>
        <v>#NAME?</v>
      </c>
      <c r="AY9" s="25" cm="1">
        <f t="array" ref="AY9:BR9">_xlfn.SEQUENCE(1,20,$AY$4,($AZ$4-$AY$4)/(20-1))</f>
        <v>1E-3</v>
      </c>
      <c r="AZ9" s="9">
        <v>5.3578947368421052E-2</v>
      </c>
      <c r="BA9" s="9">
        <v>0.1061578947368421</v>
      </c>
      <c r="BB9" s="9">
        <v>0.15873684210526315</v>
      </c>
      <c r="BC9" s="9">
        <v>0.21131578947368421</v>
      </c>
      <c r="BD9" s="9">
        <v>0.26389473684210524</v>
      </c>
      <c r="BE9" s="9">
        <v>0.3164736842105263</v>
      </c>
      <c r="BF9" s="9">
        <v>0.36905263157894735</v>
      </c>
      <c r="BG9" s="9">
        <v>0.42163157894736841</v>
      </c>
      <c r="BH9" s="9">
        <v>0.47421052631578947</v>
      </c>
      <c r="BI9" s="9">
        <v>0.52678947368421047</v>
      </c>
      <c r="BJ9" s="9">
        <v>0.57936842105263153</v>
      </c>
      <c r="BK9" s="9">
        <v>0.63194736842105259</v>
      </c>
      <c r="BL9" s="9">
        <v>0.68452631578947365</v>
      </c>
      <c r="BM9" s="9">
        <v>0.73710526315789471</v>
      </c>
      <c r="BN9" s="9">
        <v>0.78968421052631577</v>
      </c>
      <c r="BO9" s="9">
        <v>0.84226315789473682</v>
      </c>
      <c r="BP9" s="9">
        <v>0.89484210526315788</v>
      </c>
      <c r="BQ9" s="9">
        <v>0.94742105263157894</v>
      </c>
      <c r="BR9" s="42">
        <v>1</v>
      </c>
    </row>
    <row r="10" spans="1:70" x14ac:dyDescent="0.25">
      <c r="C10" s="11" t="s">
        <v>659</v>
      </c>
      <c r="D10" s="20">
        <f ca="1">MAX(UV_Data)</f>
        <v>0</v>
      </c>
      <c r="P10" s="16" t="s">
        <v>683</v>
      </c>
      <c r="Q10" s="28" t="s">
        <v>684</v>
      </c>
      <c r="R10" s="29">
        <f>$AY$7</f>
        <v>1E-3</v>
      </c>
      <c r="S10" s="28" t="s">
        <v>685</v>
      </c>
      <c r="T10" s="29">
        <f ca="1">$BA$7</f>
        <v>1E-3</v>
      </c>
      <c r="U10" s="28"/>
      <c r="V10" s="29"/>
      <c r="W10" s="30" t="e" cm="1">
        <f t="array" aca="1" ref="W10" ca="1">NLL_Weibull(UV_Data,$R$10,$T$10)</f>
        <v>#NAME?</v>
      </c>
      <c r="X10" s="17">
        <v>2</v>
      </c>
      <c r="Y10" s="30" t="e" cm="1">
        <f t="array" aca="1" ref="Y10" ca="1">GoF_AIC($W$10,$X$10)</f>
        <v>#NAME?</v>
      </c>
      <c r="Z10" s="33" t="e" cm="1">
        <f t="array" aca="1" ref="Z10" ca="1">GoF_BIC($W$10,$X$10,UV_n)</f>
        <v>#NAME?</v>
      </c>
      <c r="AB10" s="38" cm="1">
        <f t="array" aca="1" ref="AB10:AB29" ca="1">_xlfn.SEQUENCE(20,1,$AC$5,($AD$5-$AC$5)/(20-1))</f>
        <v>0.1</v>
      </c>
      <c r="AC10" s="25" t="e">
        <f t="dataTable" ref="AC10:AV29" dt2D="1" dtr="1" r1="AD8" r2="AE8" ca="1"/>
        <v>#NAME?</v>
      </c>
      <c r="AD10" s="25" t="e">
        <v>#NAME?</v>
      </c>
      <c r="AE10" s="25" t="e">
        <v>#NAME?</v>
      </c>
      <c r="AF10" s="25" t="e">
        <v>#NAME?</v>
      </c>
      <c r="AG10" s="25" t="e">
        <v>#NAME?</v>
      </c>
      <c r="AH10" s="25" t="e">
        <v>#NAME?</v>
      </c>
      <c r="AI10" s="25" t="e">
        <v>#NAME?</v>
      </c>
      <c r="AJ10" s="25" t="e">
        <v>#NAME?</v>
      </c>
      <c r="AK10" s="25" t="e">
        <v>#NAME?</v>
      </c>
      <c r="AL10" s="25" t="e">
        <v>#NAME?</v>
      </c>
      <c r="AM10" s="25" t="e">
        <v>#NAME?</v>
      </c>
      <c r="AN10" s="25" t="e">
        <v>#NAME?</v>
      </c>
      <c r="AO10" s="25" t="e">
        <v>#NAME?</v>
      </c>
      <c r="AP10" s="25" t="e">
        <v>#NAME?</v>
      </c>
      <c r="AQ10" s="25" t="e">
        <v>#NAME?</v>
      </c>
      <c r="AR10" s="25" t="e">
        <v>#NAME?</v>
      </c>
      <c r="AS10" s="25" t="e">
        <v>#NAME?</v>
      </c>
      <c r="AT10" s="25" t="e">
        <v>#NAME?</v>
      </c>
      <c r="AU10" s="25" t="e">
        <v>#NAME?</v>
      </c>
      <c r="AV10" s="32" t="e">
        <v>#NAME?</v>
      </c>
      <c r="AX10" s="38" cm="1">
        <f t="array" aca="1" ref="AX10:AX29" ca="1">_xlfn.SEQUENCE(20,1,$AY$5,($AZ$5-$AY$5)/(20-1))</f>
        <v>1E-3</v>
      </c>
      <c r="AY10" s="25" t="e">
        <f t="dataTable" ref="AY10:BR29" dt2D="1" dtr="1" r1="AZ8" r2="BA8" ca="1"/>
        <v>#NAME?</v>
      </c>
      <c r="AZ10" s="25" t="e">
        <v>#NAME?</v>
      </c>
      <c r="BA10" s="25" t="e">
        <v>#NAME?</v>
      </c>
      <c r="BB10" s="25" t="e">
        <v>#NAME?</v>
      </c>
      <c r="BC10" s="25" t="e">
        <v>#NAME?</v>
      </c>
      <c r="BD10" s="25" t="e">
        <v>#NAME?</v>
      </c>
      <c r="BE10" s="25" t="e">
        <v>#NAME?</v>
      </c>
      <c r="BF10" s="25" t="e">
        <v>#NAME?</v>
      </c>
      <c r="BG10" s="25" t="e">
        <v>#NAME?</v>
      </c>
      <c r="BH10" s="25" t="e">
        <v>#NAME?</v>
      </c>
      <c r="BI10" s="25" t="e">
        <v>#NAME?</v>
      </c>
      <c r="BJ10" s="25" t="e">
        <v>#NAME?</v>
      </c>
      <c r="BK10" s="25" t="e">
        <v>#NAME?</v>
      </c>
      <c r="BL10" s="25" t="e">
        <v>#NAME?</v>
      </c>
      <c r="BM10" s="25" t="e">
        <v>#NAME?</v>
      </c>
      <c r="BN10" s="25" t="e">
        <v>#NAME?</v>
      </c>
      <c r="BO10" s="25" t="e">
        <v>#NAME?</v>
      </c>
      <c r="BP10" s="25" t="e">
        <v>#NAME?</v>
      </c>
      <c r="BQ10" s="25" t="e">
        <v>#NAME?</v>
      </c>
      <c r="BR10" s="32" t="e">
        <v>#NAME?</v>
      </c>
    </row>
    <row r="11" spans="1:70" x14ac:dyDescent="0.25">
      <c r="C11" s="11" t="s">
        <v>660</v>
      </c>
      <c r="D11" s="20">
        <f ca="1">MAX(UV_Data)-MIN(UV_Data)</f>
        <v>0</v>
      </c>
      <c r="AB11" s="11">
        <f ca="1"/>
        <v>0.62105263157894741</v>
      </c>
      <c r="AC11" s="25" t="e">
        <v>#NAME?</v>
      </c>
      <c r="AD11" s="25" t="e">
        <v>#NAME?</v>
      </c>
      <c r="AE11" s="25" t="e">
        <v>#NAME?</v>
      </c>
      <c r="AF11" s="25" t="e">
        <v>#NAME?</v>
      </c>
      <c r="AG11" s="25" t="e">
        <v>#NAME?</v>
      </c>
      <c r="AH11" s="25" t="e">
        <v>#NAME?</v>
      </c>
      <c r="AI11" s="25" t="e">
        <v>#NAME?</v>
      </c>
      <c r="AJ11" s="25" t="e">
        <v>#NAME?</v>
      </c>
      <c r="AK11" s="25" t="e">
        <v>#NAME?</v>
      </c>
      <c r="AL11" s="25" t="e">
        <v>#NAME?</v>
      </c>
      <c r="AM11" s="25" t="e">
        <v>#NAME?</v>
      </c>
      <c r="AN11" s="25" t="e">
        <v>#NAME?</v>
      </c>
      <c r="AO11" s="25" t="e">
        <v>#NAME?</v>
      </c>
      <c r="AP11" s="25" t="e">
        <v>#NAME?</v>
      </c>
      <c r="AQ11" s="25" t="e">
        <v>#NAME?</v>
      </c>
      <c r="AR11" s="25" t="e">
        <v>#NAME?</v>
      </c>
      <c r="AS11" s="25" t="e">
        <v>#NAME?</v>
      </c>
      <c r="AT11" s="25" t="e">
        <v>#NAME?</v>
      </c>
      <c r="AU11" s="25" t="e">
        <v>#NAME?</v>
      </c>
      <c r="AV11" s="32" t="e">
        <v>#NAME?</v>
      </c>
      <c r="AX11" s="11">
        <f ca="1"/>
        <v>3.3634349030470918E-2</v>
      </c>
      <c r="AY11" s="25" t="e">
        <v>#NAME?</v>
      </c>
      <c r="AZ11" s="25" t="e">
        <v>#NAME?</v>
      </c>
      <c r="BA11" s="25" t="e">
        <v>#NAME?</v>
      </c>
      <c r="BB11" s="25" t="e">
        <v>#NAME?</v>
      </c>
      <c r="BC11" s="25" t="e">
        <v>#NAME?</v>
      </c>
      <c r="BD11" s="25" t="e">
        <v>#NAME?</v>
      </c>
      <c r="BE11" s="25" t="e">
        <v>#NAME?</v>
      </c>
      <c r="BF11" s="25" t="e">
        <v>#NAME?</v>
      </c>
      <c r="BG11" s="25" t="e">
        <v>#NAME?</v>
      </c>
      <c r="BH11" s="25" t="e">
        <v>#NAME?</v>
      </c>
      <c r="BI11" s="25" t="e">
        <v>#NAME?</v>
      </c>
      <c r="BJ11" s="25" t="e">
        <v>#NAME?</v>
      </c>
      <c r="BK11" s="25" t="e">
        <v>#NAME?</v>
      </c>
      <c r="BL11" s="25" t="e">
        <v>#NAME?</v>
      </c>
      <c r="BM11" s="25" t="e">
        <v>#NAME?</v>
      </c>
      <c r="BN11" s="25" t="e">
        <v>#NAME?</v>
      </c>
      <c r="BO11" s="25" t="e">
        <v>#NAME?</v>
      </c>
      <c r="BP11" s="25" t="e">
        <v>#NAME?</v>
      </c>
      <c r="BQ11" s="25" t="e">
        <v>#NAME?</v>
      </c>
      <c r="BR11" s="32" t="e">
        <v>#NAME?</v>
      </c>
    </row>
    <row r="12" spans="1:70" x14ac:dyDescent="0.25">
      <c r="C12" s="11" t="s">
        <v>299</v>
      </c>
      <c r="D12" s="20" t="e" cm="1">
        <f t="array" aca="1" ref="D12" ca="1">INDEX(Skewness(UV_Data),1)</f>
        <v>#NAME?</v>
      </c>
      <c r="AB12" s="11">
        <f ca="1"/>
        <v>1.142105263157895</v>
      </c>
      <c r="AC12" s="25" t="e">
        <v>#NAME?</v>
      </c>
      <c r="AD12" s="25" t="e">
        <v>#NAME?</v>
      </c>
      <c r="AE12" s="25" t="e">
        <v>#NAME?</v>
      </c>
      <c r="AF12" s="25" t="e">
        <v>#NAME?</v>
      </c>
      <c r="AG12" s="25" t="e">
        <v>#NAME?</v>
      </c>
      <c r="AH12" s="25" t="e">
        <v>#NAME?</v>
      </c>
      <c r="AI12" s="25" t="e">
        <v>#NAME?</v>
      </c>
      <c r="AJ12" s="25" t="e">
        <v>#NAME?</v>
      </c>
      <c r="AK12" s="25" t="e">
        <v>#NAME?</v>
      </c>
      <c r="AL12" s="25" t="e">
        <v>#NAME?</v>
      </c>
      <c r="AM12" s="25" t="e">
        <v>#NAME?</v>
      </c>
      <c r="AN12" s="25" t="e">
        <v>#NAME?</v>
      </c>
      <c r="AO12" s="25" t="e">
        <v>#NAME?</v>
      </c>
      <c r="AP12" s="25" t="e">
        <v>#NAME?</v>
      </c>
      <c r="AQ12" s="25" t="e">
        <v>#NAME?</v>
      </c>
      <c r="AR12" s="25" t="e">
        <v>#NAME?</v>
      </c>
      <c r="AS12" s="25" t="e">
        <v>#NAME?</v>
      </c>
      <c r="AT12" s="25" t="e">
        <v>#NAME?</v>
      </c>
      <c r="AU12" s="25" t="e">
        <v>#NAME?</v>
      </c>
      <c r="AV12" s="32" t="e">
        <v>#NAME?</v>
      </c>
      <c r="AX12" s="11">
        <f ca="1"/>
        <v>6.6268698060941836E-2</v>
      </c>
      <c r="AY12" s="25" t="e">
        <v>#NAME?</v>
      </c>
      <c r="AZ12" s="25" t="e">
        <v>#NAME?</v>
      </c>
      <c r="BA12" s="25" t="e">
        <v>#NAME?</v>
      </c>
      <c r="BB12" s="25" t="e">
        <v>#NAME?</v>
      </c>
      <c r="BC12" s="25" t="e">
        <v>#NAME?</v>
      </c>
      <c r="BD12" s="25" t="e">
        <v>#NAME?</v>
      </c>
      <c r="BE12" s="25" t="e">
        <v>#NAME?</v>
      </c>
      <c r="BF12" s="25" t="e">
        <v>#NAME?</v>
      </c>
      <c r="BG12" s="25" t="e">
        <v>#NAME?</v>
      </c>
      <c r="BH12" s="25" t="e">
        <v>#NAME?</v>
      </c>
      <c r="BI12" s="25" t="e">
        <v>#NAME?</v>
      </c>
      <c r="BJ12" s="25" t="e">
        <v>#NAME?</v>
      </c>
      <c r="BK12" s="25" t="e">
        <v>#NAME?</v>
      </c>
      <c r="BL12" s="25" t="e">
        <v>#NAME?</v>
      </c>
      <c r="BM12" s="25" t="e">
        <v>#NAME?</v>
      </c>
      <c r="BN12" s="25" t="e">
        <v>#NAME?</v>
      </c>
      <c r="BO12" s="25" t="e">
        <v>#NAME?</v>
      </c>
      <c r="BP12" s="25" t="e">
        <v>#NAME?</v>
      </c>
      <c r="BQ12" s="25" t="e">
        <v>#NAME?</v>
      </c>
      <c r="BR12" s="32" t="e">
        <v>#NAME?</v>
      </c>
    </row>
    <row r="13" spans="1:70" x14ac:dyDescent="0.25">
      <c r="C13" s="11" t="s">
        <v>305</v>
      </c>
      <c r="D13" s="20" t="e" cm="1">
        <f t="array" aca="1" ref="D13" ca="1">INDEX(Kurtosis(UV_Data),1)</f>
        <v>#NAME?</v>
      </c>
      <c r="AB13" s="11">
        <f ca="1"/>
        <v>1.6631578947368424</v>
      </c>
      <c r="AC13" s="25" t="e">
        <v>#NAME?</v>
      </c>
      <c r="AD13" s="25" t="e">
        <v>#NAME?</v>
      </c>
      <c r="AE13" s="25" t="e">
        <v>#NAME?</v>
      </c>
      <c r="AF13" s="25" t="e">
        <v>#NAME?</v>
      </c>
      <c r="AG13" s="25" t="e">
        <v>#NAME?</v>
      </c>
      <c r="AH13" s="25" t="e">
        <v>#NAME?</v>
      </c>
      <c r="AI13" s="25" t="e">
        <v>#NAME?</v>
      </c>
      <c r="AJ13" s="25" t="e">
        <v>#NAME?</v>
      </c>
      <c r="AK13" s="25" t="e">
        <v>#NAME?</v>
      </c>
      <c r="AL13" s="25" t="e">
        <v>#NAME?</v>
      </c>
      <c r="AM13" s="25" t="e">
        <v>#NAME?</v>
      </c>
      <c r="AN13" s="25" t="e">
        <v>#NAME?</v>
      </c>
      <c r="AO13" s="25" t="e">
        <v>#NAME?</v>
      </c>
      <c r="AP13" s="25" t="e">
        <v>#NAME?</v>
      </c>
      <c r="AQ13" s="25" t="e">
        <v>#NAME?</v>
      </c>
      <c r="AR13" s="25" t="e">
        <v>#NAME?</v>
      </c>
      <c r="AS13" s="25" t="e">
        <v>#NAME?</v>
      </c>
      <c r="AT13" s="25" t="e">
        <v>#NAME?</v>
      </c>
      <c r="AU13" s="25" t="e">
        <v>#NAME?</v>
      </c>
      <c r="AV13" s="32" t="e">
        <v>#NAME?</v>
      </c>
      <c r="AX13" s="11">
        <f ca="1"/>
        <v>9.890304709141276E-2</v>
      </c>
      <c r="AY13" s="25" t="e">
        <v>#NAME?</v>
      </c>
      <c r="AZ13" s="25" t="e">
        <v>#NAME?</v>
      </c>
      <c r="BA13" s="25" t="e">
        <v>#NAME?</v>
      </c>
      <c r="BB13" s="25" t="e">
        <v>#NAME?</v>
      </c>
      <c r="BC13" s="25" t="e">
        <v>#NAME?</v>
      </c>
      <c r="BD13" s="25" t="e">
        <v>#NAME?</v>
      </c>
      <c r="BE13" s="25" t="e">
        <v>#NAME?</v>
      </c>
      <c r="BF13" s="25" t="e">
        <v>#NAME?</v>
      </c>
      <c r="BG13" s="25" t="e">
        <v>#NAME?</v>
      </c>
      <c r="BH13" s="25" t="e">
        <v>#NAME?</v>
      </c>
      <c r="BI13" s="25" t="e">
        <v>#NAME?</v>
      </c>
      <c r="BJ13" s="25" t="e">
        <v>#NAME?</v>
      </c>
      <c r="BK13" s="25" t="e">
        <v>#NAME?</v>
      </c>
      <c r="BL13" s="25" t="e">
        <v>#NAME?</v>
      </c>
      <c r="BM13" s="25" t="e">
        <v>#NAME?</v>
      </c>
      <c r="BN13" s="25" t="e">
        <v>#NAME?</v>
      </c>
      <c r="BO13" s="25" t="e">
        <v>#NAME?</v>
      </c>
      <c r="BP13" s="25" t="e">
        <v>#NAME?</v>
      </c>
      <c r="BQ13" s="25" t="e">
        <v>#NAME?</v>
      </c>
      <c r="BR13" s="32" t="e">
        <v>#NAME?</v>
      </c>
    </row>
    <row r="14" spans="1:70" x14ac:dyDescent="0.25">
      <c r="C14" s="11" t="s">
        <v>661</v>
      </c>
      <c r="D14" s="21">
        <f ca="1">COUNT(UV_Data)</f>
        <v>0</v>
      </c>
      <c r="AB14" s="11">
        <f ca="1"/>
        <v>2.1842105263157898</v>
      </c>
      <c r="AC14" s="25" t="e">
        <v>#NAME?</v>
      </c>
      <c r="AD14" s="25" t="e">
        <v>#NAME?</v>
      </c>
      <c r="AE14" s="25" t="e">
        <v>#NAME?</v>
      </c>
      <c r="AF14" s="25" t="e">
        <v>#NAME?</v>
      </c>
      <c r="AG14" s="25" t="e">
        <v>#NAME?</v>
      </c>
      <c r="AH14" s="25" t="e">
        <v>#NAME?</v>
      </c>
      <c r="AI14" s="25" t="e">
        <v>#NAME?</v>
      </c>
      <c r="AJ14" s="25" t="e">
        <v>#NAME?</v>
      </c>
      <c r="AK14" s="25" t="e">
        <v>#NAME?</v>
      </c>
      <c r="AL14" s="25" t="e">
        <v>#NAME?</v>
      </c>
      <c r="AM14" s="25" t="e">
        <v>#NAME?</v>
      </c>
      <c r="AN14" s="25" t="e">
        <v>#NAME?</v>
      </c>
      <c r="AO14" s="25" t="e">
        <v>#NAME?</v>
      </c>
      <c r="AP14" s="25" t="e">
        <v>#NAME?</v>
      </c>
      <c r="AQ14" s="25" t="e">
        <v>#NAME?</v>
      </c>
      <c r="AR14" s="25" t="e">
        <v>#NAME?</v>
      </c>
      <c r="AS14" s="25" t="e">
        <v>#NAME?</v>
      </c>
      <c r="AT14" s="25" t="e">
        <v>#NAME?</v>
      </c>
      <c r="AU14" s="25" t="e">
        <v>#NAME?</v>
      </c>
      <c r="AV14" s="32" t="e">
        <v>#NAME?</v>
      </c>
      <c r="AX14" s="11">
        <f ca="1"/>
        <v>0.13153739612188367</v>
      </c>
      <c r="AY14" s="25" t="e">
        <v>#NAME?</v>
      </c>
      <c r="AZ14" s="25" t="e">
        <v>#NAME?</v>
      </c>
      <c r="BA14" s="25" t="e">
        <v>#NAME?</v>
      </c>
      <c r="BB14" s="25" t="e">
        <v>#NAME?</v>
      </c>
      <c r="BC14" s="25" t="e">
        <v>#NAME?</v>
      </c>
      <c r="BD14" s="25" t="e">
        <v>#NAME?</v>
      </c>
      <c r="BE14" s="25" t="e">
        <v>#NAME?</v>
      </c>
      <c r="BF14" s="25" t="e">
        <v>#NAME?</v>
      </c>
      <c r="BG14" s="25" t="e">
        <v>#NAME?</v>
      </c>
      <c r="BH14" s="25" t="e">
        <v>#NAME?</v>
      </c>
      <c r="BI14" s="25" t="e">
        <v>#NAME?</v>
      </c>
      <c r="BJ14" s="25" t="e">
        <v>#NAME?</v>
      </c>
      <c r="BK14" s="25" t="e">
        <v>#NAME?</v>
      </c>
      <c r="BL14" s="25" t="e">
        <v>#NAME?</v>
      </c>
      <c r="BM14" s="25" t="e">
        <v>#NAME?</v>
      </c>
      <c r="BN14" s="25" t="e">
        <v>#NAME?</v>
      </c>
      <c r="BO14" s="25" t="e">
        <v>#NAME?</v>
      </c>
      <c r="BP14" s="25" t="e">
        <v>#NAME?</v>
      </c>
      <c r="BQ14" s="25" t="e">
        <v>#NAME?</v>
      </c>
      <c r="BR14" s="32" t="e">
        <v>#NAME?</v>
      </c>
    </row>
    <row r="15" spans="1:70" x14ac:dyDescent="0.25">
      <c r="C15" s="16" t="s">
        <v>662</v>
      </c>
      <c r="D15" s="22" t="e" cm="1">
        <f t="array" aca="1" ref="D15" ca="1">Missing_Count(UV_Data)</f>
        <v>#NAME?</v>
      </c>
      <c r="AB15" s="11">
        <f ca="1"/>
        <v>2.7052631578947373</v>
      </c>
      <c r="AC15" s="25" t="e">
        <v>#NAME?</v>
      </c>
      <c r="AD15" s="25" t="e">
        <v>#NAME?</v>
      </c>
      <c r="AE15" s="25" t="e">
        <v>#NAME?</v>
      </c>
      <c r="AF15" s="25" t="e">
        <v>#NAME?</v>
      </c>
      <c r="AG15" s="25" t="e">
        <v>#NAME?</v>
      </c>
      <c r="AH15" s="25" t="e">
        <v>#NAME?</v>
      </c>
      <c r="AI15" s="25" t="e">
        <v>#NAME?</v>
      </c>
      <c r="AJ15" s="25" t="e">
        <v>#NAME?</v>
      </c>
      <c r="AK15" s="25" t="e">
        <v>#NAME?</v>
      </c>
      <c r="AL15" s="25" t="e">
        <v>#NAME?</v>
      </c>
      <c r="AM15" s="25" t="e">
        <v>#NAME?</v>
      </c>
      <c r="AN15" s="25" t="e">
        <v>#NAME?</v>
      </c>
      <c r="AO15" s="25" t="e">
        <v>#NAME?</v>
      </c>
      <c r="AP15" s="25" t="e">
        <v>#NAME?</v>
      </c>
      <c r="AQ15" s="25" t="e">
        <v>#NAME?</v>
      </c>
      <c r="AR15" s="25" t="e">
        <v>#NAME?</v>
      </c>
      <c r="AS15" s="25" t="e">
        <v>#NAME?</v>
      </c>
      <c r="AT15" s="25" t="e">
        <v>#NAME?</v>
      </c>
      <c r="AU15" s="25" t="e">
        <v>#NAME?</v>
      </c>
      <c r="AV15" s="32" t="e">
        <v>#NAME?</v>
      </c>
      <c r="AX15" s="11">
        <f ca="1"/>
        <v>0.16417174515235458</v>
      </c>
      <c r="AY15" s="25" t="e">
        <v>#NAME?</v>
      </c>
      <c r="AZ15" s="25" t="e">
        <v>#NAME?</v>
      </c>
      <c r="BA15" s="25" t="e">
        <v>#NAME?</v>
      </c>
      <c r="BB15" s="25" t="e">
        <v>#NAME?</v>
      </c>
      <c r="BC15" s="25" t="e">
        <v>#NAME?</v>
      </c>
      <c r="BD15" s="25" t="e">
        <v>#NAME?</v>
      </c>
      <c r="BE15" s="25" t="e">
        <v>#NAME?</v>
      </c>
      <c r="BF15" s="25" t="e">
        <v>#NAME?</v>
      </c>
      <c r="BG15" s="25" t="e">
        <v>#NAME?</v>
      </c>
      <c r="BH15" s="25" t="e">
        <v>#NAME?</v>
      </c>
      <c r="BI15" s="25" t="e">
        <v>#NAME?</v>
      </c>
      <c r="BJ15" s="25" t="e">
        <v>#NAME?</v>
      </c>
      <c r="BK15" s="25" t="e">
        <v>#NAME?</v>
      </c>
      <c r="BL15" s="25" t="e">
        <v>#NAME?</v>
      </c>
      <c r="BM15" s="25" t="e">
        <v>#NAME?</v>
      </c>
      <c r="BN15" s="25" t="e">
        <v>#NAME?</v>
      </c>
      <c r="BO15" s="25" t="e">
        <v>#NAME?</v>
      </c>
      <c r="BP15" s="25" t="e">
        <v>#NAME?</v>
      </c>
      <c r="BQ15" s="25" t="e">
        <v>#NAME?</v>
      </c>
      <c r="BR15" s="32" t="e">
        <v>#NAME?</v>
      </c>
    </row>
    <row r="16" spans="1:70" x14ac:dyDescent="0.25">
      <c r="AB16" s="11">
        <f ca="1"/>
        <v>3.2263157894736847</v>
      </c>
      <c r="AC16" s="25" t="e">
        <v>#NAME?</v>
      </c>
      <c r="AD16" s="25" t="e">
        <v>#NAME?</v>
      </c>
      <c r="AE16" s="25" t="e">
        <v>#NAME?</v>
      </c>
      <c r="AF16" s="25" t="e">
        <v>#NAME?</v>
      </c>
      <c r="AG16" s="25" t="e">
        <v>#NAME?</v>
      </c>
      <c r="AH16" s="25" t="e">
        <v>#NAME?</v>
      </c>
      <c r="AI16" s="25" t="e">
        <v>#NAME?</v>
      </c>
      <c r="AJ16" s="25" t="e">
        <v>#NAME?</v>
      </c>
      <c r="AK16" s="25" t="e">
        <v>#NAME?</v>
      </c>
      <c r="AL16" s="25" t="e">
        <v>#NAME?</v>
      </c>
      <c r="AM16" s="25" t="e">
        <v>#NAME?</v>
      </c>
      <c r="AN16" s="25" t="e">
        <v>#NAME?</v>
      </c>
      <c r="AO16" s="25" t="e">
        <v>#NAME?</v>
      </c>
      <c r="AP16" s="25" t="e">
        <v>#NAME?</v>
      </c>
      <c r="AQ16" s="25" t="e">
        <v>#NAME?</v>
      </c>
      <c r="AR16" s="25" t="e">
        <v>#NAME?</v>
      </c>
      <c r="AS16" s="25" t="e">
        <v>#NAME?</v>
      </c>
      <c r="AT16" s="25" t="e">
        <v>#NAME?</v>
      </c>
      <c r="AU16" s="25" t="e">
        <v>#NAME?</v>
      </c>
      <c r="AV16" s="32" t="e">
        <v>#NAME?</v>
      </c>
      <c r="AX16" s="11">
        <f ca="1"/>
        <v>0.19680609418282549</v>
      </c>
      <c r="AY16" s="25" t="e">
        <v>#NAME?</v>
      </c>
      <c r="AZ16" s="25" t="e">
        <v>#NAME?</v>
      </c>
      <c r="BA16" s="25" t="e">
        <v>#NAME?</v>
      </c>
      <c r="BB16" s="25" t="e">
        <v>#NAME?</v>
      </c>
      <c r="BC16" s="25" t="e">
        <v>#NAME?</v>
      </c>
      <c r="BD16" s="25" t="e">
        <v>#NAME?</v>
      </c>
      <c r="BE16" s="25" t="e">
        <v>#NAME?</v>
      </c>
      <c r="BF16" s="25" t="e">
        <v>#NAME?</v>
      </c>
      <c r="BG16" s="25" t="e">
        <v>#NAME?</v>
      </c>
      <c r="BH16" s="25" t="e">
        <v>#NAME?</v>
      </c>
      <c r="BI16" s="25" t="e">
        <v>#NAME?</v>
      </c>
      <c r="BJ16" s="25" t="e">
        <v>#NAME?</v>
      </c>
      <c r="BK16" s="25" t="e">
        <v>#NAME?</v>
      </c>
      <c r="BL16" s="25" t="e">
        <v>#NAME?</v>
      </c>
      <c r="BM16" s="25" t="e">
        <v>#NAME?</v>
      </c>
      <c r="BN16" s="25" t="e">
        <v>#NAME?</v>
      </c>
      <c r="BO16" s="25" t="e">
        <v>#NAME?</v>
      </c>
      <c r="BP16" s="25" t="e">
        <v>#NAME?</v>
      </c>
      <c r="BQ16" s="25" t="e">
        <v>#NAME?</v>
      </c>
      <c r="BR16" s="32" t="e">
        <v>#NAME?</v>
      </c>
    </row>
    <row r="17" spans="28:70" x14ac:dyDescent="0.25">
      <c r="AB17" s="11">
        <f ca="1"/>
        <v>3.7473684210526321</v>
      </c>
      <c r="AC17" s="25" t="e">
        <v>#NAME?</v>
      </c>
      <c r="AD17" s="25" t="e">
        <v>#NAME?</v>
      </c>
      <c r="AE17" s="25" t="e">
        <v>#NAME?</v>
      </c>
      <c r="AF17" s="25" t="e">
        <v>#NAME?</v>
      </c>
      <c r="AG17" s="25" t="e">
        <v>#NAME?</v>
      </c>
      <c r="AH17" s="25" t="e">
        <v>#NAME?</v>
      </c>
      <c r="AI17" s="25" t="e">
        <v>#NAME?</v>
      </c>
      <c r="AJ17" s="25" t="e">
        <v>#NAME?</v>
      </c>
      <c r="AK17" s="25" t="e">
        <v>#NAME?</v>
      </c>
      <c r="AL17" s="25" t="e">
        <v>#NAME?</v>
      </c>
      <c r="AM17" s="25" t="e">
        <v>#NAME?</v>
      </c>
      <c r="AN17" s="25" t="e">
        <v>#NAME?</v>
      </c>
      <c r="AO17" s="25" t="e">
        <v>#NAME?</v>
      </c>
      <c r="AP17" s="25" t="e">
        <v>#NAME?</v>
      </c>
      <c r="AQ17" s="25" t="e">
        <v>#NAME?</v>
      </c>
      <c r="AR17" s="25" t="e">
        <v>#NAME?</v>
      </c>
      <c r="AS17" s="25" t="e">
        <v>#NAME?</v>
      </c>
      <c r="AT17" s="25" t="e">
        <v>#NAME?</v>
      </c>
      <c r="AU17" s="25" t="e">
        <v>#NAME?</v>
      </c>
      <c r="AV17" s="32" t="e">
        <v>#NAME?</v>
      </c>
      <c r="AX17" s="11">
        <f ca="1"/>
        <v>0.2294404432132964</v>
      </c>
      <c r="AY17" s="25" t="e">
        <v>#NAME?</v>
      </c>
      <c r="AZ17" s="25" t="e">
        <v>#NAME?</v>
      </c>
      <c r="BA17" s="25" t="e">
        <v>#NAME?</v>
      </c>
      <c r="BB17" s="25" t="e">
        <v>#NAME?</v>
      </c>
      <c r="BC17" s="25" t="e">
        <v>#NAME?</v>
      </c>
      <c r="BD17" s="25" t="e">
        <v>#NAME?</v>
      </c>
      <c r="BE17" s="25" t="e">
        <v>#NAME?</v>
      </c>
      <c r="BF17" s="25" t="e">
        <v>#NAME?</v>
      </c>
      <c r="BG17" s="25" t="e">
        <v>#NAME?</v>
      </c>
      <c r="BH17" s="25" t="e">
        <v>#NAME?</v>
      </c>
      <c r="BI17" s="25" t="e">
        <v>#NAME?</v>
      </c>
      <c r="BJ17" s="25" t="e">
        <v>#NAME?</v>
      </c>
      <c r="BK17" s="25" t="e">
        <v>#NAME?</v>
      </c>
      <c r="BL17" s="25" t="e">
        <v>#NAME?</v>
      </c>
      <c r="BM17" s="25" t="e">
        <v>#NAME?</v>
      </c>
      <c r="BN17" s="25" t="e">
        <v>#NAME?</v>
      </c>
      <c r="BO17" s="25" t="e">
        <v>#NAME?</v>
      </c>
      <c r="BP17" s="25" t="e">
        <v>#NAME?</v>
      </c>
      <c r="BQ17" s="25" t="e">
        <v>#NAME?</v>
      </c>
      <c r="BR17" s="32" t="e">
        <v>#NAME?</v>
      </c>
    </row>
    <row r="18" spans="28:70" x14ac:dyDescent="0.25">
      <c r="AB18" s="11">
        <f ca="1"/>
        <v>4.2684210526315791</v>
      </c>
      <c r="AC18" s="25" t="e">
        <v>#NAME?</v>
      </c>
      <c r="AD18" s="25" t="e">
        <v>#NAME?</v>
      </c>
      <c r="AE18" s="25" t="e">
        <v>#NAME?</v>
      </c>
      <c r="AF18" s="25" t="e">
        <v>#NAME?</v>
      </c>
      <c r="AG18" s="25" t="e">
        <v>#NAME?</v>
      </c>
      <c r="AH18" s="25" t="e">
        <v>#NAME?</v>
      </c>
      <c r="AI18" s="25" t="e">
        <v>#NAME?</v>
      </c>
      <c r="AJ18" s="25" t="e">
        <v>#NAME?</v>
      </c>
      <c r="AK18" s="25" t="e">
        <v>#NAME?</v>
      </c>
      <c r="AL18" s="25" t="e">
        <v>#NAME?</v>
      </c>
      <c r="AM18" s="25" t="e">
        <v>#NAME?</v>
      </c>
      <c r="AN18" s="25" t="e">
        <v>#NAME?</v>
      </c>
      <c r="AO18" s="25" t="e">
        <v>#NAME?</v>
      </c>
      <c r="AP18" s="25" t="e">
        <v>#NAME?</v>
      </c>
      <c r="AQ18" s="25" t="e">
        <v>#NAME?</v>
      </c>
      <c r="AR18" s="25" t="e">
        <v>#NAME?</v>
      </c>
      <c r="AS18" s="25" t="e">
        <v>#NAME?</v>
      </c>
      <c r="AT18" s="25" t="e">
        <v>#NAME?</v>
      </c>
      <c r="AU18" s="25" t="e">
        <v>#NAME?</v>
      </c>
      <c r="AV18" s="32" t="e">
        <v>#NAME?</v>
      </c>
      <c r="AX18" s="11">
        <f ca="1"/>
        <v>0.26207479224376734</v>
      </c>
      <c r="AY18" s="25" t="e">
        <v>#NAME?</v>
      </c>
      <c r="AZ18" s="25" t="e">
        <v>#NAME?</v>
      </c>
      <c r="BA18" s="25" t="e">
        <v>#NAME?</v>
      </c>
      <c r="BB18" s="25" t="e">
        <v>#NAME?</v>
      </c>
      <c r="BC18" s="25" t="e">
        <v>#NAME?</v>
      </c>
      <c r="BD18" s="25" t="e">
        <v>#NAME?</v>
      </c>
      <c r="BE18" s="25" t="e">
        <v>#NAME?</v>
      </c>
      <c r="BF18" s="25" t="e">
        <v>#NAME?</v>
      </c>
      <c r="BG18" s="25" t="e">
        <v>#NAME?</v>
      </c>
      <c r="BH18" s="25" t="e">
        <v>#NAME?</v>
      </c>
      <c r="BI18" s="25" t="e">
        <v>#NAME?</v>
      </c>
      <c r="BJ18" s="25" t="e">
        <v>#NAME?</v>
      </c>
      <c r="BK18" s="25" t="e">
        <v>#NAME?</v>
      </c>
      <c r="BL18" s="25" t="e">
        <v>#NAME?</v>
      </c>
      <c r="BM18" s="25" t="e">
        <v>#NAME?</v>
      </c>
      <c r="BN18" s="25" t="e">
        <v>#NAME?</v>
      </c>
      <c r="BO18" s="25" t="e">
        <v>#NAME?</v>
      </c>
      <c r="BP18" s="25" t="e">
        <v>#NAME?</v>
      </c>
      <c r="BQ18" s="25" t="e">
        <v>#NAME?</v>
      </c>
      <c r="BR18" s="32" t="e">
        <v>#NAME?</v>
      </c>
    </row>
    <row r="19" spans="28:70" x14ac:dyDescent="0.25">
      <c r="AB19" s="11">
        <f ca="1"/>
        <v>4.7894736842105265</v>
      </c>
      <c r="AC19" s="25" t="e">
        <v>#NAME?</v>
      </c>
      <c r="AD19" s="25" t="e">
        <v>#NAME?</v>
      </c>
      <c r="AE19" s="25" t="e">
        <v>#NAME?</v>
      </c>
      <c r="AF19" s="25" t="e">
        <v>#NAME?</v>
      </c>
      <c r="AG19" s="25" t="e">
        <v>#NAME?</v>
      </c>
      <c r="AH19" s="25" t="e">
        <v>#NAME?</v>
      </c>
      <c r="AI19" s="25" t="e">
        <v>#NAME?</v>
      </c>
      <c r="AJ19" s="25" t="e">
        <v>#NAME?</v>
      </c>
      <c r="AK19" s="25" t="e">
        <v>#NAME?</v>
      </c>
      <c r="AL19" s="25" t="e">
        <v>#NAME?</v>
      </c>
      <c r="AM19" s="25" t="e">
        <v>#NAME?</v>
      </c>
      <c r="AN19" s="25" t="e">
        <v>#NAME?</v>
      </c>
      <c r="AO19" s="25" t="e">
        <v>#NAME?</v>
      </c>
      <c r="AP19" s="25" t="e">
        <v>#NAME?</v>
      </c>
      <c r="AQ19" s="25" t="e">
        <v>#NAME?</v>
      </c>
      <c r="AR19" s="25" t="e">
        <v>#NAME?</v>
      </c>
      <c r="AS19" s="25" t="e">
        <v>#NAME?</v>
      </c>
      <c r="AT19" s="25" t="e">
        <v>#NAME?</v>
      </c>
      <c r="AU19" s="25" t="e">
        <v>#NAME?</v>
      </c>
      <c r="AV19" s="32" t="e">
        <v>#NAME?</v>
      </c>
      <c r="AX19" s="11">
        <f ca="1"/>
        <v>0.29470914127423825</v>
      </c>
      <c r="AY19" s="25" t="e">
        <v>#NAME?</v>
      </c>
      <c r="AZ19" s="25" t="e">
        <v>#NAME?</v>
      </c>
      <c r="BA19" s="25" t="e">
        <v>#NAME?</v>
      </c>
      <c r="BB19" s="25" t="e">
        <v>#NAME?</v>
      </c>
      <c r="BC19" s="25" t="e">
        <v>#NAME?</v>
      </c>
      <c r="BD19" s="25" t="e">
        <v>#NAME?</v>
      </c>
      <c r="BE19" s="25" t="e">
        <v>#NAME?</v>
      </c>
      <c r="BF19" s="25" t="e">
        <v>#NAME?</v>
      </c>
      <c r="BG19" s="25" t="e">
        <v>#NAME?</v>
      </c>
      <c r="BH19" s="25" t="e">
        <v>#NAME?</v>
      </c>
      <c r="BI19" s="25" t="e">
        <v>#NAME?</v>
      </c>
      <c r="BJ19" s="25" t="e">
        <v>#NAME?</v>
      </c>
      <c r="BK19" s="25" t="e">
        <v>#NAME?</v>
      </c>
      <c r="BL19" s="25" t="e">
        <v>#NAME?</v>
      </c>
      <c r="BM19" s="25" t="e">
        <v>#NAME?</v>
      </c>
      <c r="BN19" s="25" t="e">
        <v>#NAME?</v>
      </c>
      <c r="BO19" s="25" t="e">
        <v>#NAME?</v>
      </c>
      <c r="BP19" s="25" t="e">
        <v>#NAME?</v>
      </c>
      <c r="BQ19" s="25" t="e">
        <v>#NAME?</v>
      </c>
      <c r="BR19" s="32" t="e">
        <v>#NAME?</v>
      </c>
    </row>
    <row r="20" spans="28:70" x14ac:dyDescent="0.25">
      <c r="AB20" s="11">
        <f ca="1"/>
        <v>5.310526315789474</v>
      </c>
      <c r="AC20" s="25" t="e">
        <v>#NAME?</v>
      </c>
      <c r="AD20" s="25" t="e">
        <v>#NAME?</v>
      </c>
      <c r="AE20" s="25" t="e">
        <v>#NAME?</v>
      </c>
      <c r="AF20" s="25" t="e">
        <v>#NAME?</v>
      </c>
      <c r="AG20" s="25" t="e">
        <v>#NAME?</v>
      </c>
      <c r="AH20" s="25" t="e">
        <v>#NAME?</v>
      </c>
      <c r="AI20" s="25" t="e">
        <v>#NAME?</v>
      </c>
      <c r="AJ20" s="25" t="e">
        <v>#NAME?</v>
      </c>
      <c r="AK20" s="25" t="e">
        <v>#NAME?</v>
      </c>
      <c r="AL20" s="25" t="e">
        <v>#NAME?</v>
      </c>
      <c r="AM20" s="25" t="e">
        <v>#NAME?</v>
      </c>
      <c r="AN20" s="25" t="e">
        <v>#NAME?</v>
      </c>
      <c r="AO20" s="25" t="e">
        <v>#NAME?</v>
      </c>
      <c r="AP20" s="25" t="e">
        <v>#NAME?</v>
      </c>
      <c r="AQ20" s="25" t="e">
        <v>#NAME?</v>
      </c>
      <c r="AR20" s="25" t="e">
        <v>#NAME?</v>
      </c>
      <c r="AS20" s="25" t="e">
        <v>#NAME?</v>
      </c>
      <c r="AT20" s="25" t="e">
        <v>#NAME?</v>
      </c>
      <c r="AU20" s="25" t="e">
        <v>#NAME?</v>
      </c>
      <c r="AV20" s="32" t="e">
        <v>#NAME?</v>
      </c>
      <c r="AX20" s="11">
        <f ca="1"/>
        <v>0.32734349030470916</v>
      </c>
      <c r="AY20" s="25" t="e">
        <v>#NAME?</v>
      </c>
      <c r="AZ20" s="25" t="e">
        <v>#NAME?</v>
      </c>
      <c r="BA20" s="25" t="e">
        <v>#NAME?</v>
      </c>
      <c r="BB20" s="25" t="e">
        <v>#NAME?</v>
      </c>
      <c r="BC20" s="25" t="e">
        <v>#NAME?</v>
      </c>
      <c r="BD20" s="25" t="e">
        <v>#NAME?</v>
      </c>
      <c r="BE20" s="25" t="e">
        <v>#NAME?</v>
      </c>
      <c r="BF20" s="25" t="e">
        <v>#NAME?</v>
      </c>
      <c r="BG20" s="25" t="e">
        <v>#NAME?</v>
      </c>
      <c r="BH20" s="25" t="e">
        <v>#NAME?</v>
      </c>
      <c r="BI20" s="25" t="e">
        <v>#NAME?</v>
      </c>
      <c r="BJ20" s="25" t="e">
        <v>#NAME?</v>
      </c>
      <c r="BK20" s="25" t="e">
        <v>#NAME?</v>
      </c>
      <c r="BL20" s="25" t="e">
        <v>#NAME?</v>
      </c>
      <c r="BM20" s="25" t="e">
        <v>#NAME?</v>
      </c>
      <c r="BN20" s="25" t="e">
        <v>#NAME?</v>
      </c>
      <c r="BO20" s="25" t="e">
        <v>#NAME?</v>
      </c>
      <c r="BP20" s="25" t="e">
        <v>#NAME?</v>
      </c>
      <c r="BQ20" s="25" t="e">
        <v>#NAME?</v>
      </c>
      <c r="BR20" s="32" t="e">
        <v>#NAME?</v>
      </c>
    </row>
    <row r="21" spans="28:70" x14ac:dyDescent="0.25">
      <c r="AB21" s="11">
        <f ca="1"/>
        <v>5.8315789473684214</v>
      </c>
      <c r="AC21" s="25" t="e">
        <v>#NAME?</v>
      </c>
      <c r="AD21" s="25" t="e">
        <v>#NAME?</v>
      </c>
      <c r="AE21" s="25" t="e">
        <v>#NAME?</v>
      </c>
      <c r="AF21" s="25" t="e">
        <v>#NAME?</v>
      </c>
      <c r="AG21" s="25" t="e">
        <v>#NAME?</v>
      </c>
      <c r="AH21" s="25" t="e">
        <v>#NAME?</v>
      </c>
      <c r="AI21" s="25" t="e">
        <v>#NAME?</v>
      </c>
      <c r="AJ21" s="25" t="e">
        <v>#NAME?</v>
      </c>
      <c r="AK21" s="25" t="e">
        <v>#NAME?</v>
      </c>
      <c r="AL21" s="25" t="e">
        <v>#NAME?</v>
      </c>
      <c r="AM21" s="25" t="e">
        <v>#NAME?</v>
      </c>
      <c r="AN21" s="25" t="e">
        <v>#NAME?</v>
      </c>
      <c r="AO21" s="25" t="e">
        <v>#NAME?</v>
      </c>
      <c r="AP21" s="25" t="e">
        <v>#NAME?</v>
      </c>
      <c r="AQ21" s="25" t="e">
        <v>#NAME?</v>
      </c>
      <c r="AR21" s="25" t="e">
        <v>#NAME?</v>
      </c>
      <c r="AS21" s="25" t="e">
        <v>#NAME?</v>
      </c>
      <c r="AT21" s="25" t="e">
        <v>#NAME?</v>
      </c>
      <c r="AU21" s="25" t="e">
        <v>#NAME?</v>
      </c>
      <c r="AV21" s="32" t="e">
        <v>#NAME?</v>
      </c>
      <c r="AX21" s="11">
        <f ca="1"/>
        <v>0.35997783933518007</v>
      </c>
      <c r="AY21" s="25" t="e">
        <v>#NAME?</v>
      </c>
      <c r="AZ21" s="25" t="e">
        <v>#NAME?</v>
      </c>
      <c r="BA21" s="25" t="e">
        <v>#NAME?</v>
      </c>
      <c r="BB21" s="25" t="e">
        <v>#NAME?</v>
      </c>
      <c r="BC21" s="25" t="e">
        <v>#NAME?</v>
      </c>
      <c r="BD21" s="25" t="e">
        <v>#NAME?</v>
      </c>
      <c r="BE21" s="25" t="e">
        <v>#NAME?</v>
      </c>
      <c r="BF21" s="25" t="e">
        <v>#NAME?</v>
      </c>
      <c r="BG21" s="25" t="e">
        <v>#NAME?</v>
      </c>
      <c r="BH21" s="25" t="e">
        <v>#NAME?</v>
      </c>
      <c r="BI21" s="25" t="e">
        <v>#NAME?</v>
      </c>
      <c r="BJ21" s="25" t="e">
        <v>#NAME?</v>
      </c>
      <c r="BK21" s="25" t="e">
        <v>#NAME?</v>
      </c>
      <c r="BL21" s="25" t="e">
        <v>#NAME?</v>
      </c>
      <c r="BM21" s="25" t="e">
        <v>#NAME?</v>
      </c>
      <c r="BN21" s="25" t="e">
        <v>#NAME?</v>
      </c>
      <c r="BO21" s="25" t="e">
        <v>#NAME?</v>
      </c>
      <c r="BP21" s="25" t="e">
        <v>#NAME?</v>
      </c>
      <c r="BQ21" s="25" t="e">
        <v>#NAME?</v>
      </c>
      <c r="BR21" s="32" t="e">
        <v>#NAME?</v>
      </c>
    </row>
    <row r="22" spans="28:70" x14ac:dyDescent="0.25">
      <c r="AB22" s="11">
        <f ca="1"/>
        <v>6.3526315789473689</v>
      </c>
      <c r="AC22" s="25" t="e">
        <v>#NAME?</v>
      </c>
      <c r="AD22" s="25" t="e">
        <v>#NAME?</v>
      </c>
      <c r="AE22" s="25" t="e">
        <v>#NAME?</v>
      </c>
      <c r="AF22" s="25" t="e">
        <v>#NAME?</v>
      </c>
      <c r="AG22" s="25" t="e">
        <v>#NAME?</v>
      </c>
      <c r="AH22" s="25" t="e">
        <v>#NAME?</v>
      </c>
      <c r="AI22" s="25" t="e">
        <v>#NAME?</v>
      </c>
      <c r="AJ22" s="25" t="e">
        <v>#NAME?</v>
      </c>
      <c r="AK22" s="25" t="e">
        <v>#NAME?</v>
      </c>
      <c r="AL22" s="25" t="e">
        <v>#NAME?</v>
      </c>
      <c r="AM22" s="25" t="e">
        <v>#NAME?</v>
      </c>
      <c r="AN22" s="25" t="e">
        <v>#NAME?</v>
      </c>
      <c r="AO22" s="25" t="e">
        <v>#NAME?</v>
      </c>
      <c r="AP22" s="25" t="e">
        <v>#NAME?</v>
      </c>
      <c r="AQ22" s="25" t="e">
        <v>#NAME?</v>
      </c>
      <c r="AR22" s="25" t="e">
        <v>#NAME?</v>
      </c>
      <c r="AS22" s="25" t="e">
        <v>#NAME?</v>
      </c>
      <c r="AT22" s="25" t="e">
        <v>#NAME?</v>
      </c>
      <c r="AU22" s="25" t="e">
        <v>#NAME?</v>
      </c>
      <c r="AV22" s="32" t="e">
        <v>#NAME?</v>
      </c>
      <c r="AX22" s="11">
        <f ca="1"/>
        <v>0.39261218836565098</v>
      </c>
      <c r="AY22" s="25" t="e">
        <v>#NAME?</v>
      </c>
      <c r="AZ22" s="25" t="e">
        <v>#NAME?</v>
      </c>
      <c r="BA22" s="25" t="e">
        <v>#NAME?</v>
      </c>
      <c r="BB22" s="25" t="e">
        <v>#NAME?</v>
      </c>
      <c r="BC22" s="25" t="e">
        <v>#NAME?</v>
      </c>
      <c r="BD22" s="25" t="e">
        <v>#NAME?</v>
      </c>
      <c r="BE22" s="25" t="e">
        <v>#NAME?</v>
      </c>
      <c r="BF22" s="25" t="e">
        <v>#NAME?</v>
      </c>
      <c r="BG22" s="25" t="e">
        <v>#NAME?</v>
      </c>
      <c r="BH22" s="25" t="e">
        <v>#NAME?</v>
      </c>
      <c r="BI22" s="25" t="e">
        <v>#NAME?</v>
      </c>
      <c r="BJ22" s="25" t="e">
        <v>#NAME?</v>
      </c>
      <c r="BK22" s="25" t="e">
        <v>#NAME?</v>
      </c>
      <c r="BL22" s="25" t="e">
        <v>#NAME?</v>
      </c>
      <c r="BM22" s="25" t="e">
        <v>#NAME?</v>
      </c>
      <c r="BN22" s="25" t="e">
        <v>#NAME?</v>
      </c>
      <c r="BO22" s="25" t="e">
        <v>#NAME?</v>
      </c>
      <c r="BP22" s="25" t="e">
        <v>#NAME?</v>
      </c>
      <c r="BQ22" s="25" t="e">
        <v>#NAME?</v>
      </c>
      <c r="BR22" s="32" t="e">
        <v>#NAME?</v>
      </c>
    </row>
    <row r="23" spans="28:70" x14ac:dyDescent="0.25">
      <c r="AB23" s="11">
        <f ca="1"/>
        <v>6.8736842105263163</v>
      </c>
      <c r="AC23" s="25" t="e">
        <v>#NAME?</v>
      </c>
      <c r="AD23" s="25" t="e">
        <v>#NAME?</v>
      </c>
      <c r="AE23" s="25" t="e">
        <v>#NAME?</v>
      </c>
      <c r="AF23" s="25" t="e">
        <v>#NAME?</v>
      </c>
      <c r="AG23" s="25" t="e">
        <v>#NAME?</v>
      </c>
      <c r="AH23" s="25" t="e">
        <v>#NAME?</v>
      </c>
      <c r="AI23" s="25" t="e">
        <v>#NAME?</v>
      </c>
      <c r="AJ23" s="25" t="e">
        <v>#NAME?</v>
      </c>
      <c r="AK23" s="25" t="e">
        <v>#NAME?</v>
      </c>
      <c r="AL23" s="25" t="e">
        <v>#NAME?</v>
      </c>
      <c r="AM23" s="25" t="e">
        <v>#NAME?</v>
      </c>
      <c r="AN23" s="25" t="e">
        <v>#NAME?</v>
      </c>
      <c r="AO23" s="25" t="e">
        <v>#NAME?</v>
      </c>
      <c r="AP23" s="25" t="e">
        <v>#NAME?</v>
      </c>
      <c r="AQ23" s="25" t="e">
        <v>#NAME?</v>
      </c>
      <c r="AR23" s="25" t="e">
        <v>#NAME?</v>
      </c>
      <c r="AS23" s="25" t="e">
        <v>#NAME?</v>
      </c>
      <c r="AT23" s="25" t="e">
        <v>#NAME?</v>
      </c>
      <c r="AU23" s="25" t="e">
        <v>#NAME?</v>
      </c>
      <c r="AV23" s="32" t="e">
        <v>#NAME?</v>
      </c>
      <c r="AX23" s="11">
        <f ca="1"/>
        <v>0.42524653739612189</v>
      </c>
      <c r="AY23" s="25" t="e">
        <v>#NAME?</v>
      </c>
      <c r="AZ23" s="25" t="e">
        <v>#NAME?</v>
      </c>
      <c r="BA23" s="25" t="e">
        <v>#NAME?</v>
      </c>
      <c r="BB23" s="25" t="e">
        <v>#NAME?</v>
      </c>
      <c r="BC23" s="25" t="e">
        <v>#NAME?</v>
      </c>
      <c r="BD23" s="25" t="e">
        <v>#NAME?</v>
      </c>
      <c r="BE23" s="25" t="e">
        <v>#NAME?</v>
      </c>
      <c r="BF23" s="25" t="e">
        <v>#NAME?</v>
      </c>
      <c r="BG23" s="25" t="e">
        <v>#NAME?</v>
      </c>
      <c r="BH23" s="25" t="e">
        <v>#NAME?</v>
      </c>
      <c r="BI23" s="25" t="e">
        <v>#NAME?</v>
      </c>
      <c r="BJ23" s="25" t="e">
        <v>#NAME?</v>
      </c>
      <c r="BK23" s="25" t="e">
        <v>#NAME?</v>
      </c>
      <c r="BL23" s="25" t="e">
        <v>#NAME?</v>
      </c>
      <c r="BM23" s="25" t="e">
        <v>#NAME?</v>
      </c>
      <c r="BN23" s="25" t="e">
        <v>#NAME?</v>
      </c>
      <c r="BO23" s="25" t="e">
        <v>#NAME?</v>
      </c>
      <c r="BP23" s="25" t="e">
        <v>#NAME?</v>
      </c>
      <c r="BQ23" s="25" t="e">
        <v>#NAME?</v>
      </c>
      <c r="BR23" s="32" t="e">
        <v>#NAME?</v>
      </c>
    </row>
    <row r="24" spans="28:70" x14ac:dyDescent="0.25">
      <c r="AB24" s="11">
        <f ca="1"/>
        <v>7.3947368421052637</v>
      </c>
      <c r="AC24" s="25" t="e">
        <v>#NAME?</v>
      </c>
      <c r="AD24" s="25" t="e">
        <v>#NAME?</v>
      </c>
      <c r="AE24" s="25" t="e">
        <v>#NAME?</v>
      </c>
      <c r="AF24" s="25" t="e">
        <v>#NAME?</v>
      </c>
      <c r="AG24" s="25" t="e">
        <v>#NAME?</v>
      </c>
      <c r="AH24" s="25" t="e">
        <v>#NAME?</v>
      </c>
      <c r="AI24" s="25" t="e">
        <v>#NAME?</v>
      </c>
      <c r="AJ24" s="25" t="e">
        <v>#NAME?</v>
      </c>
      <c r="AK24" s="25" t="e">
        <v>#NAME?</v>
      </c>
      <c r="AL24" s="25" t="e">
        <v>#NAME?</v>
      </c>
      <c r="AM24" s="25" t="e">
        <v>#NAME?</v>
      </c>
      <c r="AN24" s="25" t="e">
        <v>#NAME?</v>
      </c>
      <c r="AO24" s="25" t="e">
        <v>#NAME?</v>
      </c>
      <c r="AP24" s="25" t="e">
        <v>#NAME?</v>
      </c>
      <c r="AQ24" s="25" t="e">
        <v>#NAME?</v>
      </c>
      <c r="AR24" s="25" t="e">
        <v>#NAME?</v>
      </c>
      <c r="AS24" s="25" t="e">
        <v>#NAME?</v>
      </c>
      <c r="AT24" s="25" t="e">
        <v>#NAME?</v>
      </c>
      <c r="AU24" s="25" t="e">
        <v>#NAME?</v>
      </c>
      <c r="AV24" s="32" t="e">
        <v>#NAME?</v>
      </c>
      <c r="AX24" s="11">
        <f ca="1"/>
        <v>0.4578808864265928</v>
      </c>
      <c r="AY24" s="25" t="e">
        <v>#NAME?</v>
      </c>
      <c r="AZ24" s="25" t="e">
        <v>#NAME?</v>
      </c>
      <c r="BA24" s="25" t="e">
        <v>#NAME?</v>
      </c>
      <c r="BB24" s="25" t="e">
        <v>#NAME?</v>
      </c>
      <c r="BC24" s="25" t="e">
        <v>#NAME?</v>
      </c>
      <c r="BD24" s="25" t="e">
        <v>#NAME?</v>
      </c>
      <c r="BE24" s="25" t="e">
        <v>#NAME?</v>
      </c>
      <c r="BF24" s="25" t="e">
        <v>#NAME?</v>
      </c>
      <c r="BG24" s="25" t="e">
        <v>#NAME?</v>
      </c>
      <c r="BH24" s="25" t="e">
        <v>#NAME?</v>
      </c>
      <c r="BI24" s="25" t="e">
        <v>#NAME?</v>
      </c>
      <c r="BJ24" s="25" t="e">
        <v>#NAME?</v>
      </c>
      <c r="BK24" s="25" t="e">
        <v>#NAME?</v>
      </c>
      <c r="BL24" s="25" t="e">
        <v>#NAME?</v>
      </c>
      <c r="BM24" s="25" t="e">
        <v>#NAME?</v>
      </c>
      <c r="BN24" s="25" t="e">
        <v>#NAME?</v>
      </c>
      <c r="BO24" s="25" t="e">
        <v>#NAME?</v>
      </c>
      <c r="BP24" s="25" t="e">
        <v>#NAME?</v>
      </c>
      <c r="BQ24" s="25" t="e">
        <v>#NAME?</v>
      </c>
      <c r="BR24" s="32" t="e">
        <v>#NAME?</v>
      </c>
    </row>
    <row r="25" spans="28:70" x14ac:dyDescent="0.25">
      <c r="AB25" s="11">
        <f ca="1"/>
        <v>7.9157894736842112</v>
      </c>
      <c r="AC25" s="25" t="e">
        <v>#NAME?</v>
      </c>
      <c r="AD25" s="25" t="e">
        <v>#NAME?</v>
      </c>
      <c r="AE25" s="25" t="e">
        <v>#NAME?</v>
      </c>
      <c r="AF25" s="25" t="e">
        <v>#NAME?</v>
      </c>
      <c r="AG25" s="25" t="e">
        <v>#NAME?</v>
      </c>
      <c r="AH25" s="25" t="e">
        <v>#NAME?</v>
      </c>
      <c r="AI25" s="25" t="e">
        <v>#NAME?</v>
      </c>
      <c r="AJ25" s="25" t="e">
        <v>#NAME?</v>
      </c>
      <c r="AK25" s="25" t="e">
        <v>#NAME?</v>
      </c>
      <c r="AL25" s="25" t="e">
        <v>#NAME?</v>
      </c>
      <c r="AM25" s="25" t="e">
        <v>#NAME?</v>
      </c>
      <c r="AN25" s="25" t="e">
        <v>#NAME?</v>
      </c>
      <c r="AO25" s="25" t="e">
        <v>#NAME?</v>
      </c>
      <c r="AP25" s="25" t="e">
        <v>#NAME?</v>
      </c>
      <c r="AQ25" s="25" t="e">
        <v>#NAME?</v>
      </c>
      <c r="AR25" s="25" t="e">
        <v>#NAME?</v>
      </c>
      <c r="AS25" s="25" t="e">
        <v>#NAME?</v>
      </c>
      <c r="AT25" s="25" t="e">
        <v>#NAME?</v>
      </c>
      <c r="AU25" s="25" t="e">
        <v>#NAME?</v>
      </c>
      <c r="AV25" s="32" t="e">
        <v>#NAME?</v>
      </c>
      <c r="AX25" s="11">
        <f ca="1"/>
        <v>0.49051523545706371</v>
      </c>
      <c r="AY25" s="25" t="e">
        <v>#NAME?</v>
      </c>
      <c r="AZ25" s="25" t="e">
        <v>#NAME?</v>
      </c>
      <c r="BA25" s="25" t="e">
        <v>#NAME?</v>
      </c>
      <c r="BB25" s="25" t="e">
        <v>#NAME?</v>
      </c>
      <c r="BC25" s="25" t="e">
        <v>#NAME?</v>
      </c>
      <c r="BD25" s="25" t="e">
        <v>#NAME?</v>
      </c>
      <c r="BE25" s="25" t="e">
        <v>#NAME?</v>
      </c>
      <c r="BF25" s="25" t="e">
        <v>#NAME?</v>
      </c>
      <c r="BG25" s="25" t="e">
        <v>#NAME?</v>
      </c>
      <c r="BH25" s="25" t="e">
        <v>#NAME?</v>
      </c>
      <c r="BI25" s="25" t="e">
        <v>#NAME?</v>
      </c>
      <c r="BJ25" s="25" t="e">
        <v>#NAME?</v>
      </c>
      <c r="BK25" s="25" t="e">
        <v>#NAME?</v>
      </c>
      <c r="BL25" s="25" t="e">
        <v>#NAME?</v>
      </c>
      <c r="BM25" s="25" t="e">
        <v>#NAME?</v>
      </c>
      <c r="BN25" s="25" t="e">
        <v>#NAME?</v>
      </c>
      <c r="BO25" s="25" t="e">
        <v>#NAME?</v>
      </c>
      <c r="BP25" s="25" t="e">
        <v>#NAME?</v>
      </c>
      <c r="BQ25" s="25" t="e">
        <v>#NAME?</v>
      </c>
      <c r="BR25" s="32" t="e">
        <v>#NAME?</v>
      </c>
    </row>
    <row r="26" spans="28:70" x14ac:dyDescent="0.25">
      <c r="AB26" s="11">
        <f ca="1"/>
        <v>8.4368421052631586</v>
      </c>
      <c r="AC26" s="25" t="e">
        <v>#NAME?</v>
      </c>
      <c r="AD26" s="25" t="e">
        <v>#NAME?</v>
      </c>
      <c r="AE26" s="25" t="e">
        <v>#NAME?</v>
      </c>
      <c r="AF26" s="25" t="e">
        <v>#NAME?</v>
      </c>
      <c r="AG26" s="25" t="e">
        <v>#NAME?</v>
      </c>
      <c r="AH26" s="25" t="e">
        <v>#NAME?</v>
      </c>
      <c r="AI26" s="25" t="e">
        <v>#NAME?</v>
      </c>
      <c r="AJ26" s="25" t="e">
        <v>#NAME?</v>
      </c>
      <c r="AK26" s="25" t="e">
        <v>#NAME?</v>
      </c>
      <c r="AL26" s="25" t="e">
        <v>#NAME?</v>
      </c>
      <c r="AM26" s="25" t="e">
        <v>#NAME?</v>
      </c>
      <c r="AN26" s="25" t="e">
        <v>#NAME?</v>
      </c>
      <c r="AO26" s="25" t="e">
        <v>#NAME?</v>
      </c>
      <c r="AP26" s="25" t="e">
        <v>#NAME?</v>
      </c>
      <c r="AQ26" s="25" t="e">
        <v>#NAME?</v>
      </c>
      <c r="AR26" s="25" t="e">
        <v>#NAME?</v>
      </c>
      <c r="AS26" s="25" t="e">
        <v>#NAME?</v>
      </c>
      <c r="AT26" s="25" t="e">
        <v>#NAME?</v>
      </c>
      <c r="AU26" s="25" t="e">
        <v>#NAME?</v>
      </c>
      <c r="AV26" s="32" t="e">
        <v>#NAME?</v>
      </c>
      <c r="AX26" s="11">
        <f ca="1"/>
        <v>0.52314958448753468</v>
      </c>
      <c r="AY26" s="25" t="e">
        <v>#NAME?</v>
      </c>
      <c r="AZ26" s="25" t="e">
        <v>#NAME?</v>
      </c>
      <c r="BA26" s="25" t="e">
        <v>#NAME?</v>
      </c>
      <c r="BB26" s="25" t="e">
        <v>#NAME?</v>
      </c>
      <c r="BC26" s="25" t="e">
        <v>#NAME?</v>
      </c>
      <c r="BD26" s="25" t="e">
        <v>#NAME?</v>
      </c>
      <c r="BE26" s="25" t="e">
        <v>#NAME?</v>
      </c>
      <c r="BF26" s="25" t="e">
        <v>#NAME?</v>
      </c>
      <c r="BG26" s="25" t="e">
        <v>#NAME?</v>
      </c>
      <c r="BH26" s="25" t="e">
        <v>#NAME?</v>
      </c>
      <c r="BI26" s="25" t="e">
        <v>#NAME?</v>
      </c>
      <c r="BJ26" s="25" t="e">
        <v>#NAME?</v>
      </c>
      <c r="BK26" s="25" t="e">
        <v>#NAME?</v>
      </c>
      <c r="BL26" s="25" t="e">
        <v>#NAME?</v>
      </c>
      <c r="BM26" s="25" t="e">
        <v>#NAME?</v>
      </c>
      <c r="BN26" s="25" t="e">
        <v>#NAME?</v>
      </c>
      <c r="BO26" s="25" t="e">
        <v>#NAME?</v>
      </c>
      <c r="BP26" s="25" t="e">
        <v>#NAME?</v>
      </c>
      <c r="BQ26" s="25" t="e">
        <v>#NAME?</v>
      </c>
      <c r="BR26" s="32" t="e">
        <v>#NAME?</v>
      </c>
    </row>
    <row r="27" spans="28:70" x14ac:dyDescent="0.25">
      <c r="AB27" s="11">
        <f ca="1"/>
        <v>8.9578947368421069</v>
      </c>
      <c r="AC27" s="25" t="e">
        <v>#NAME?</v>
      </c>
      <c r="AD27" s="25" t="e">
        <v>#NAME?</v>
      </c>
      <c r="AE27" s="25" t="e">
        <v>#NAME?</v>
      </c>
      <c r="AF27" s="25" t="e">
        <v>#NAME?</v>
      </c>
      <c r="AG27" s="25" t="e">
        <v>#NAME?</v>
      </c>
      <c r="AH27" s="25" t="e">
        <v>#NAME?</v>
      </c>
      <c r="AI27" s="25" t="e">
        <v>#NAME?</v>
      </c>
      <c r="AJ27" s="25" t="e">
        <v>#NAME?</v>
      </c>
      <c r="AK27" s="25" t="e">
        <v>#NAME?</v>
      </c>
      <c r="AL27" s="25" t="e">
        <v>#NAME?</v>
      </c>
      <c r="AM27" s="25" t="e">
        <v>#NAME?</v>
      </c>
      <c r="AN27" s="25" t="e">
        <v>#NAME?</v>
      </c>
      <c r="AO27" s="25" t="e">
        <v>#NAME?</v>
      </c>
      <c r="AP27" s="25" t="e">
        <v>#NAME?</v>
      </c>
      <c r="AQ27" s="25" t="e">
        <v>#NAME?</v>
      </c>
      <c r="AR27" s="25" t="e">
        <v>#NAME?</v>
      </c>
      <c r="AS27" s="25" t="e">
        <v>#NAME?</v>
      </c>
      <c r="AT27" s="25" t="e">
        <v>#NAME?</v>
      </c>
      <c r="AU27" s="25" t="e">
        <v>#NAME?</v>
      </c>
      <c r="AV27" s="32" t="e">
        <v>#NAME?</v>
      </c>
      <c r="AX27" s="11">
        <f ca="1"/>
        <v>0.55578393351800559</v>
      </c>
      <c r="AY27" s="25" t="e">
        <v>#NAME?</v>
      </c>
      <c r="AZ27" s="25" t="e">
        <v>#NAME?</v>
      </c>
      <c r="BA27" s="25" t="e">
        <v>#NAME?</v>
      </c>
      <c r="BB27" s="25" t="e">
        <v>#NAME?</v>
      </c>
      <c r="BC27" s="25" t="e">
        <v>#NAME?</v>
      </c>
      <c r="BD27" s="25" t="e">
        <v>#NAME?</v>
      </c>
      <c r="BE27" s="25" t="e">
        <v>#NAME?</v>
      </c>
      <c r="BF27" s="25" t="e">
        <v>#NAME?</v>
      </c>
      <c r="BG27" s="25" t="e">
        <v>#NAME?</v>
      </c>
      <c r="BH27" s="25" t="e">
        <v>#NAME?</v>
      </c>
      <c r="BI27" s="25" t="e">
        <v>#NAME?</v>
      </c>
      <c r="BJ27" s="25" t="e">
        <v>#NAME?</v>
      </c>
      <c r="BK27" s="25" t="e">
        <v>#NAME?</v>
      </c>
      <c r="BL27" s="25" t="e">
        <v>#NAME?</v>
      </c>
      <c r="BM27" s="25" t="e">
        <v>#NAME?</v>
      </c>
      <c r="BN27" s="25" t="e">
        <v>#NAME?</v>
      </c>
      <c r="BO27" s="25" t="e">
        <v>#NAME?</v>
      </c>
      <c r="BP27" s="25" t="e">
        <v>#NAME?</v>
      </c>
      <c r="BQ27" s="25" t="e">
        <v>#NAME?</v>
      </c>
      <c r="BR27" s="32" t="e">
        <v>#NAME?</v>
      </c>
    </row>
    <row r="28" spans="28:70" x14ac:dyDescent="0.25">
      <c r="AB28" s="11">
        <f ca="1"/>
        <v>9.4789473684210535</v>
      </c>
      <c r="AC28" s="25" t="e">
        <v>#NAME?</v>
      </c>
      <c r="AD28" s="25" t="e">
        <v>#NAME?</v>
      </c>
      <c r="AE28" s="25" t="e">
        <v>#NAME?</v>
      </c>
      <c r="AF28" s="25" t="e">
        <v>#NAME?</v>
      </c>
      <c r="AG28" s="25" t="e">
        <v>#NAME?</v>
      </c>
      <c r="AH28" s="25" t="e">
        <v>#NAME?</v>
      </c>
      <c r="AI28" s="25" t="e">
        <v>#NAME?</v>
      </c>
      <c r="AJ28" s="25" t="e">
        <v>#NAME?</v>
      </c>
      <c r="AK28" s="25" t="e">
        <v>#NAME?</v>
      </c>
      <c r="AL28" s="25" t="e">
        <v>#NAME?</v>
      </c>
      <c r="AM28" s="25" t="e">
        <v>#NAME?</v>
      </c>
      <c r="AN28" s="25" t="e">
        <v>#NAME?</v>
      </c>
      <c r="AO28" s="25" t="e">
        <v>#NAME?</v>
      </c>
      <c r="AP28" s="25" t="e">
        <v>#NAME?</v>
      </c>
      <c r="AQ28" s="25" t="e">
        <v>#NAME?</v>
      </c>
      <c r="AR28" s="25" t="e">
        <v>#NAME?</v>
      </c>
      <c r="AS28" s="25" t="e">
        <v>#NAME?</v>
      </c>
      <c r="AT28" s="25" t="e">
        <v>#NAME?</v>
      </c>
      <c r="AU28" s="25" t="e">
        <v>#NAME?</v>
      </c>
      <c r="AV28" s="32" t="e">
        <v>#NAME?</v>
      </c>
      <c r="AX28" s="11">
        <f ca="1"/>
        <v>0.5884182825484765</v>
      </c>
      <c r="AY28" s="25" t="e">
        <v>#NAME?</v>
      </c>
      <c r="AZ28" s="25" t="e">
        <v>#NAME?</v>
      </c>
      <c r="BA28" s="25" t="e">
        <v>#NAME?</v>
      </c>
      <c r="BB28" s="25" t="e">
        <v>#NAME?</v>
      </c>
      <c r="BC28" s="25" t="e">
        <v>#NAME?</v>
      </c>
      <c r="BD28" s="25" t="e">
        <v>#NAME?</v>
      </c>
      <c r="BE28" s="25" t="e">
        <v>#NAME?</v>
      </c>
      <c r="BF28" s="25" t="e">
        <v>#NAME?</v>
      </c>
      <c r="BG28" s="25" t="e">
        <v>#NAME?</v>
      </c>
      <c r="BH28" s="25" t="e">
        <v>#NAME?</v>
      </c>
      <c r="BI28" s="25" t="e">
        <v>#NAME?</v>
      </c>
      <c r="BJ28" s="25" t="e">
        <v>#NAME?</v>
      </c>
      <c r="BK28" s="25" t="e">
        <v>#NAME?</v>
      </c>
      <c r="BL28" s="25" t="e">
        <v>#NAME?</v>
      </c>
      <c r="BM28" s="25" t="e">
        <v>#NAME?</v>
      </c>
      <c r="BN28" s="25" t="e">
        <v>#NAME?</v>
      </c>
      <c r="BO28" s="25" t="e">
        <v>#NAME?</v>
      </c>
      <c r="BP28" s="25" t="e">
        <v>#NAME?</v>
      </c>
      <c r="BQ28" s="25" t="e">
        <v>#NAME?</v>
      </c>
      <c r="BR28" s="32" t="e">
        <v>#NAME?</v>
      </c>
    </row>
    <row r="29" spans="28:70" x14ac:dyDescent="0.25">
      <c r="AB29" s="16">
        <f ca="1"/>
        <v>10</v>
      </c>
      <c r="AC29" s="30" t="e">
        <v>#NAME?</v>
      </c>
      <c r="AD29" s="30" t="e">
        <v>#NAME?</v>
      </c>
      <c r="AE29" s="30" t="e">
        <v>#NAME?</v>
      </c>
      <c r="AF29" s="30" t="e">
        <v>#NAME?</v>
      </c>
      <c r="AG29" s="30" t="e">
        <v>#NAME?</v>
      </c>
      <c r="AH29" s="30" t="e">
        <v>#NAME?</v>
      </c>
      <c r="AI29" s="30" t="e">
        <v>#NAME?</v>
      </c>
      <c r="AJ29" s="30" t="e">
        <v>#NAME?</v>
      </c>
      <c r="AK29" s="30" t="e">
        <v>#NAME?</v>
      </c>
      <c r="AL29" s="30" t="e">
        <v>#NAME?</v>
      </c>
      <c r="AM29" s="30" t="e">
        <v>#NAME?</v>
      </c>
      <c r="AN29" s="30" t="e">
        <v>#NAME?</v>
      </c>
      <c r="AO29" s="30" t="e">
        <v>#NAME?</v>
      </c>
      <c r="AP29" s="30" t="e">
        <v>#NAME?</v>
      </c>
      <c r="AQ29" s="30" t="e">
        <v>#NAME?</v>
      </c>
      <c r="AR29" s="30" t="e">
        <v>#NAME?</v>
      </c>
      <c r="AS29" s="30" t="e">
        <v>#NAME?</v>
      </c>
      <c r="AT29" s="30" t="e">
        <v>#NAME?</v>
      </c>
      <c r="AU29" s="30" t="e">
        <v>#NAME?</v>
      </c>
      <c r="AV29" s="33" t="e">
        <v>#NAME?</v>
      </c>
      <c r="AX29" s="16">
        <f ca="1"/>
        <v>0.62105263157894741</v>
      </c>
      <c r="AY29" s="30" t="e">
        <v>#NAME?</v>
      </c>
      <c r="AZ29" s="30" t="e">
        <v>#NAME?</v>
      </c>
      <c r="BA29" s="30" t="e">
        <v>#NAME?</v>
      </c>
      <c r="BB29" s="30" t="e">
        <v>#NAME?</v>
      </c>
      <c r="BC29" s="30" t="e">
        <v>#NAME?</v>
      </c>
      <c r="BD29" s="30" t="e">
        <v>#NAME?</v>
      </c>
      <c r="BE29" s="30" t="e">
        <v>#NAME?</v>
      </c>
      <c r="BF29" s="30" t="e">
        <v>#NAME?</v>
      </c>
      <c r="BG29" s="30" t="e">
        <v>#NAME?</v>
      </c>
      <c r="BH29" s="30" t="e">
        <v>#NAME?</v>
      </c>
      <c r="BI29" s="30" t="e">
        <v>#NAME?</v>
      </c>
      <c r="BJ29" s="30" t="e">
        <v>#NAME?</v>
      </c>
      <c r="BK29" s="30" t="e">
        <v>#NAME?</v>
      </c>
      <c r="BL29" s="30" t="e">
        <v>#NAME?</v>
      </c>
      <c r="BM29" s="30" t="e">
        <v>#NAME?</v>
      </c>
      <c r="BN29" s="30" t="e">
        <v>#NAME?</v>
      </c>
      <c r="BO29" s="30" t="e">
        <v>#NAME?</v>
      </c>
      <c r="BP29" s="30" t="e">
        <v>#NAME?</v>
      </c>
      <c r="BQ29" s="30" t="e">
        <v>#NAME?</v>
      </c>
      <c r="BR29" s="33" t="e">
        <v>#NAME?</v>
      </c>
    </row>
  </sheetData>
  <mergeCells count="7">
    <mergeCell ref="AX3:BR3"/>
    <mergeCell ref="F1:M1"/>
    <mergeCell ref="F2:G2"/>
    <mergeCell ref="I2:J2"/>
    <mergeCell ref="L2:M2"/>
    <mergeCell ref="P2:Z2"/>
    <mergeCell ref="AB3:AV3"/>
  </mergeCells>
  <conditionalFormatting sqref="P5:Z10">
    <cfRule type="expression" dxfId="24" priority="1" stopIfTrue="1">
      <formula>$Y5=MIN($Y$5:$Y$10)</formula>
    </cfRule>
  </conditionalFormatting>
  <conditionalFormatting sqref="AC7">
    <cfRule type="expression" dxfId="23" priority="2" stopIfTrue="1">
      <formula>OR($AC$8=1,$AC$8=20)</formula>
    </cfRule>
  </conditionalFormatting>
  <conditionalFormatting sqref="AE7">
    <cfRule type="expression" dxfId="22" priority="3" stopIfTrue="1">
      <formula>OR($AB$8=1,$AB$8=20)</formula>
    </cfRule>
  </conditionalFormatting>
  <conditionalFormatting sqref="AC10:AV29">
    <cfRule type="colorScale" priority="4">
      <colorScale>
        <cfvo type="min"/>
        <cfvo type="percentile" val="50"/>
        <cfvo type="max"/>
        <color rgb="FF7BBE63"/>
        <color rgb="FF84EBFF"/>
        <color rgb="FF6B69F8"/>
      </colorScale>
    </cfRule>
  </conditionalFormatting>
  <conditionalFormatting sqref="AY7">
    <cfRule type="expression" dxfId="21" priority="5" stopIfTrue="1">
      <formula>OR($AY$8=1,$AY$8=20)</formula>
    </cfRule>
  </conditionalFormatting>
  <conditionalFormatting sqref="BA7">
    <cfRule type="expression" dxfId="20" priority="6" stopIfTrue="1">
      <formula>OR($AX$8=1,$AX$8=20)</formula>
    </cfRule>
  </conditionalFormatting>
  <conditionalFormatting sqref="AY10:BR29">
    <cfRule type="colorScale" priority="7">
      <colorScale>
        <cfvo type="min"/>
        <cfvo type="percentile" val="50"/>
        <cfvo type="max"/>
        <color rgb="FF7BBE63"/>
        <color rgb="FF84EBFF"/>
        <color rgb="FF6B69F8"/>
      </colorScale>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8EDCB-C5ED-4D2A-B703-1FBFD2B7689E}">
  <dimension ref="A1:A13"/>
  <sheetViews>
    <sheetView workbookViewId="0"/>
  </sheetViews>
  <sheetFormatPr defaultRowHeight="15" x14ac:dyDescent="0.25"/>
  <cols>
    <col min="1" max="1" width="110.7109375" customWidth="1"/>
  </cols>
  <sheetData>
    <row r="1" spans="1:1" x14ac:dyDescent="0.25">
      <c r="A1" s="5" t="s">
        <v>693</v>
      </c>
    </row>
    <row r="2" spans="1:1" ht="45" x14ac:dyDescent="0.25">
      <c r="A2" s="2" t="s">
        <v>694</v>
      </c>
    </row>
    <row r="3" spans="1:1" ht="30" x14ac:dyDescent="0.25">
      <c r="A3" s="2" t="s">
        <v>695</v>
      </c>
    </row>
    <row r="4" spans="1:1" ht="30" x14ac:dyDescent="0.25">
      <c r="A4" s="2" t="s">
        <v>696</v>
      </c>
    </row>
    <row r="6" spans="1:1" x14ac:dyDescent="0.25">
      <c r="A6" s="5" t="s">
        <v>697</v>
      </c>
    </row>
    <row r="7" spans="1:1" ht="30" x14ac:dyDescent="0.25">
      <c r="A7" s="2" t="s">
        <v>698</v>
      </c>
    </row>
    <row r="8" spans="1:1" x14ac:dyDescent="0.25">
      <c r="A8" s="2" t="s">
        <v>699</v>
      </c>
    </row>
    <row r="9" spans="1:1" x14ac:dyDescent="0.25">
      <c r="A9" s="5" t="s">
        <v>700</v>
      </c>
    </row>
    <row r="10" spans="1:1" ht="120" x14ac:dyDescent="0.25">
      <c r="A10" s="2" t="s">
        <v>701</v>
      </c>
    </row>
    <row r="12" spans="1:1" x14ac:dyDescent="0.25">
      <c r="A12" s="5" t="s">
        <v>702</v>
      </c>
    </row>
    <row r="13" spans="1:1" ht="105" x14ac:dyDescent="0.25">
      <c r="A13" s="2" t="s">
        <v>703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4D384-2438-46ED-9B29-2E82123294FD}">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704</v>
      </c>
      <c r="B1" s="43"/>
      <c r="C1" s="43"/>
      <c r="D1" s="43"/>
    </row>
    <row r="2" spans="1:4" ht="90" x14ac:dyDescent="0.25">
      <c r="A2" s="2" t="s">
        <v>705</v>
      </c>
    </row>
    <row r="4" spans="1:4" x14ac:dyDescent="0.25">
      <c r="A4" s="44" t="s">
        <v>706</v>
      </c>
      <c r="B4" s="45"/>
      <c r="C4" s="45"/>
      <c r="D4" s="45"/>
    </row>
    <row r="5" spans="1:4" x14ac:dyDescent="0.25">
      <c r="A5" s="46" t="s">
        <v>707</v>
      </c>
      <c r="B5" s="46" t="s">
        <v>708</v>
      </c>
      <c r="C5" s="46" t="s">
        <v>709</v>
      </c>
      <c r="D5" s="46" t="s">
        <v>710</v>
      </c>
    </row>
    <row r="6" spans="1:4" ht="45" x14ac:dyDescent="0.25">
      <c r="A6" s="2" t="s">
        <v>711</v>
      </c>
      <c r="B6" s="2" t="s">
        <v>712</v>
      </c>
      <c r="C6" s="2" t="s">
        <v>211</v>
      </c>
      <c r="D6" s="2" t="s">
        <v>713</v>
      </c>
    </row>
    <row r="7" spans="1:4" ht="60" x14ac:dyDescent="0.25">
      <c r="A7" s="2" t="s">
        <v>714</v>
      </c>
      <c r="B7" s="2" t="s">
        <v>715</v>
      </c>
      <c r="C7" s="2" t="s">
        <v>716</v>
      </c>
      <c r="D7" s="2" t="s">
        <v>717</v>
      </c>
    </row>
    <row r="8" spans="1:4" ht="45" x14ac:dyDescent="0.25">
      <c r="A8" s="2" t="s">
        <v>718</v>
      </c>
      <c r="B8" s="2" t="s">
        <v>712</v>
      </c>
      <c r="C8" s="2" t="s">
        <v>719</v>
      </c>
      <c r="D8" s="2" t="s">
        <v>720</v>
      </c>
    </row>
    <row r="10" spans="1:4" x14ac:dyDescent="0.25">
      <c r="A10" s="44" t="s">
        <v>721</v>
      </c>
      <c r="B10" s="45"/>
      <c r="C10" s="45"/>
      <c r="D10" s="45"/>
    </row>
    <row r="11" spans="1:4" x14ac:dyDescent="0.25">
      <c r="A11" s="46" t="s">
        <v>707</v>
      </c>
      <c r="B11" s="46" t="s">
        <v>708</v>
      </c>
      <c r="C11" s="46" t="s">
        <v>709</v>
      </c>
      <c r="D11" s="46" t="s">
        <v>710</v>
      </c>
    </row>
    <row r="12" spans="1:4" ht="60" x14ac:dyDescent="0.25">
      <c r="A12" s="2" t="s">
        <v>722</v>
      </c>
      <c r="B12" s="2" t="s">
        <v>712</v>
      </c>
      <c r="C12" s="2" t="s">
        <v>723</v>
      </c>
      <c r="D12" s="2" t="s">
        <v>724</v>
      </c>
    </row>
    <row r="13" spans="1:4" ht="180" x14ac:dyDescent="0.25">
      <c r="A13" s="2" t="s">
        <v>725</v>
      </c>
      <c r="B13" s="2" t="s">
        <v>726</v>
      </c>
      <c r="C13" s="2" t="s">
        <v>725</v>
      </c>
      <c r="D13" s="2" t="s">
        <v>727</v>
      </c>
    </row>
    <row r="14" spans="1:4" ht="60" x14ac:dyDescent="0.25">
      <c r="A14" s="2" t="s">
        <v>728</v>
      </c>
      <c r="B14" s="2" t="s">
        <v>729</v>
      </c>
      <c r="C14" s="2" t="s">
        <v>730</v>
      </c>
      <c r="D14" s="2" t="s">
        <v>731</v>
      </c>
    </row>
    <row r="15" spans="1:4" ht="75" x14ac:dyDescent="0.25">
      <c r="A15" s="2" t="s">
        <v>732</v>
      </c>
      <c r="B15" s="2" t="s">
        <v>726</v>
      </c>
      <c r="C15" s="2" t="s">
        <v>733</v>
      </c>
      <c r="D15" s="2" t="s">
        <v>734</v>
      </c>
    </row>
    <row r="17" spans="1:4" x14ac:dyDescent="0.25">
      <c r="A17" s="44" t="s">
        <v>735</v>
      </c>
      <c r="B17" s="45"/>
      <c r="C17" s="45"/>
      <c r="D17" s="45"/>
    </row>
    <row r="18" spans="1:4" x14ac:dyDescent="0.25">
      <c r="A18" s="46" t="s">
        <v>736</v>
      </c>
      <c r="B18" s="46" t="s">
        <v>737</v>
      </c>
      <c r="C18" s="46" t="s">
        <v>738</v>
      </c>
      <c r="D18" s="46" t="s">
        <v>739</v>
      </c>
    </row>
    <row r="19" spans="1:4" ht="30" x14ac:dyDescent="0.25">
      <c r="A19" s="2" t="s">
        <v>740</v>
      </c>
      <c r="B19" s="2" t="s">
        <v>741</v>
      </c>
      <c r="C19" s="2" t="s">
        <v>742</v>
      </c>
      <c r="D19" s="2" t="s">
        <v>743</v>
      </c>
    </row>
    <row r="20" spans="1:4" ht="30" x14ac:dyDescent="0.25">
      <c r="A20" s="2" t="s">
        <v>157</v>
      </c>
      <c r="B20" s="2" t="s">
        <v>744</v>
      </c>
      <c r="C20" s="2" t="s">
        <v>745</v>
      </c>
      <c r="D20" s="2" t="s">
        <v>746</v>
      </c>
    </row>
    <row r="21" spans="1:4" x14ac:dyDescent="0.25">
      <c r="A21" s="2" t="s">
        <v>747</v>
      </c>
      <c r="B21" s="2" t="s">
        <v>748</v>
      </c>
      <c r="C21" s="2" t="s">
        <v>749</v>
      </c>
      <c r="D21" s="2" t="s">
        <v>750</v>
      </c>
    </row>
    <row r="22" spans="1:4" ht="30" x14ac:dyDescent="0.25">
      <c r="A22" s="2" t="s">
        <v>751</v>
      </c>
      <c r="B22" s="2" t="s">
        <v>752</v>
      </c>
      <c r="C22" s="2" t="s">
        <v>753</v>
      </c>
      <c r="D22" s="2" t="s">
        <v>754</v>
      </c>
    </row>
    <row r="23" spans="1:4" x14ac:dyDescent="0.25">
      <c r="A23" s="2" t="s">
        <v>755</v>
      </c>
      <c r="B23" s="2" t="s">
        <v>756</v>
      </c>
      <c r="C23" s="2" t="s">
        <v>749</v>
      </c>
      <c r="D23" s="2" t="s">
        <v>757</v>
      </c>
    </row>
    <row r="24" spans="1:4" x14ac:dyDescent="0.25">
      <c r="A24" s="2" t="s">
        <v>758</v>
      </c>
      <c r="B24" s="2" t="s">
        <v>759</v>
      </c>
      <c r="C24" s="2" t="s">
        <v>749</v>
      </c>
      <c r="D24" s="2" t="s">
        <v>760</v>
      </c>
    </row>
    <row r="25" spans="1:4" x14ac:dyDescent="0.25">
      <c r="A25" s="2" t="s">
        <v>729</v>
      </c>
      <c r="B25" s="2" t="s">
        <v>761</v>
      </c>
      <c r="C25" s="2" t="s">
        <v>749</v>
      </c>
      <c r="D25" s="2" t="s">
        <v>762</v>
      </c>
    </row>
    <row r="26" spans="1:4" ht="30" x14ac:dyDescent="0.25">
      <c r="A26" s="2" t="s">
        <v>730</v>
      </c>
      <c r="B26" s="2" t="s">
        <v>763</v>
      </c>
      <c r="C26" s="2" t="s">
        <v>764</v>
      </c>
      <c r="D26" s="2" t="s">
        <v>765</v>
      </c>
    </row>
    <row r="27" spans="1:4" x14ac:dyDescent="0.25">
      <c r="A27" s="2" t="s">
        <v>725</v>
      </c>
      <c r="B27" s="2" t="s">
        <v>766</v>
      </c>
      <c r="C27" s="2" t="s">
        <v>767</v>
      </c>
      <c r="D27" s="2" t="s">
        <v>768</v>
      </c>
    </row>
    <row r="28" spans="1:4" ht="30" x14ac:dyDescent="0.25">
      <c r="A28" s="2" t="s">
        <v>722</v>
      </c>
      <c r="B28" s="2" t="s">
        <v>769</v>
      </c>
      <c r="C28" s="2" t="s">
        <v>770</v>
      </c>
      <c r="D28" s="2" t="s">
        <v>771</v>
      </c>
    </row>
    <row r="29" spans="1:4" x14ac:dyDescent="0.25">
      <c r="A29" s="2" t="s">
        <v>772</v>
      </c>
      <c r="B29" s="2" t="s">
        <v>773</v>
      </c>
      <c r="C29" s="2" t="s">
        <v>774</v>
      </c>
      <c r="D29" s="2" t="s">
        <v>775</v>
      </c>
    </row>
    <row r="31" spans="1:4" x14ac:dyDescent="0.25">
      <c r="A31" s="44" t="s">
        <v>776</v>
      </c>
      <c r="B31" s="45"/>
      <c r="C31" s="45"/>
    </row>
    <row r="32" spans="1:4" x14ac:dyDescent="0.25">
      <c r="A32" s="46" t="s">
        <v>777</v>
      </c>
      <c r="B32" s="46" t="s">
        <v>778</v>
      </c>
      <c r="C32" s="46" t="s">
        <v>779</v>
      </c>
    </row>
    <row r="33" spans="1:3" ht="120" x14ac:dyDescent="0.25">
      <c r="A33" s="2" t="s">
        <v>780</v>
      </c>
      <c r="B33" s="2" t="s">
        <v>781</v>
      </c>
      <c r="C33" s="2" t="s">
        <v>782</v>
      </c>
    </row>
    <row r="34" spans="1:3" ht="105" x14ac:dyDescent="0.25">
      <c r="A34" s="2" t="s">
        <v>783</v>
      </c>
      <c r="B34" s="2" t="s">
        <v>784</v>
      </c>
      <c r="C34" s="2" t="s">
        <v>785</v>
      </c>
    </row>
    <row r="35" spans="1:3" ht="120" x14ac:dyDescent="0.25">
      <c r="A35" s="2" t="s">
        <v>786</v>
      </c>
      <c r="B35" s="2" t="s">
        <v>787</v>
      </c>
      <c r="C35" s="2" t="s">
        <v>788</v>
      </c>
    </row>
    <row r="36" spans="1:3" ht="240" x14ac:dyDescent="0.25">
      <c r="A36" s="2" t="s">
        <v>789</v>
      </c>
      <c r="B36" s="2" t="s">
        <v>790</v>
      </c>
      <c r="C36" s="2" t="s">
        <v>791</v>
      </c>
    </row>
    <row r="37" spans="1:3" ht="150" x14ac:dyDescent="0.25">
      <c r="A37" s="2" t="s">
        <v>792</v>
      </c>
      <c r="B37" s="2" t="s">
        <v>793</v>
      </c>
      <c r="C37" s="2" t="s">
        <v>794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3A9B4-4575-434A-B800-4F8FD7DDC487}">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795</v>
      </c>
      <c r="B1" s="43"/>
      <c r="C1" s="43"/>
    </row>
    <row r="2" spans="1:3" x14ac:dyDescent="0.25">
      <c r="A2" s="46" t="s">
        <v>796</v>
      </c>
      <c r="B2" s="46" t="s">
        <v>797</v>
      </c>
      <c r="C2" s="46" t="s">
        <v>798</v>
      </c>
    </row>
    <row r="3" spans="1:3" ht="105" x14ac:dyDescent="0.25">
      <c r="A3" t="s">
        <v>799</v>
      </c>
      <c r="B3" s="47">
        <v>46189</v>
      </c>
      <c r="C3" s="2" t="s">
        <v>800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E81EC-BB72-4C26-BBB1-B843F5521E63}">
  <dimension ref="A1:AH39"/>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801</v>
      </c>
      <c r="B1" s="3" t="s">
        <v>802</v>
      </c>
      <c r="D1" s="5" t="s">
        <v>804</v>
      </c>
      <c r="L1" s="5" t="s">
        <v>807</v>
      </c>
      <c r="U1" s="14" t="s">
        <v>831</v>
      </c>
      <c r="V1" s="18"/>
      <c r="X1" s="5" t="s">
        <v>841</v>
      </c>
    </row>
    <row r="2" spans="1:34" ht="60" x14ac:dyDescent="0.25">
      <c r="A2" s="2" t="s">
        <v>803</v>
      </c>
      <c r="B2" s="57" t="b">
        <v>1</v>
      </c>
      <c r="C2" s="2"/>
      <c r="D2" s="58"/>
      <c r="E2" s="58" t="s">
        <v>805</v>
      </c>
      <c r="F2" s="58" t="s">
        <v>806</v>
      </c>
      <c r="G2" s="58" t="s">
        <v>299</v>
      </c>
      <c r="H2" s="58" t="s">
        <v>305</v>
      </c>
      <c r="I2" s="58" t="s">
        <v>151</v>
      </c>
      <c r="J2" s="58" t="s">
        <v>157</v>
      </c>
      <c r="K2" s="2"/>
      <c r="L2" s="2"/>
      <c r="M2" s="2"/>
      <c r="N2" s="2"/>
      <c r="O2" s="2"/>
      <c r="P2" s="2"/>
      <c r="Q2" s="2"/>
      <c r="R2" s="2"/>
      <c r="S2" s="2"/>
      <c r="T2" s="2"/>
      <c r="U2" s="59" t="s">
        <v>832</v>
      </c>
      <c r="V2" s="60"/>
      <c r="W2" s="2"/>
      <c r="X2" s="58" t="s">
        <v>719</v>
      </c>
      <c r="Y2" s="61" t="s">
        <v>712</v>
      </c>
      <c r="Z2" s="61" t="s">
        <v>211</v>
      </c>
      <c r="AA2" s="61" t="s">
        <v>842</v>
      </c>
      <c r="AB2" s="61" t="s">
        <v>843</v>
      </c>
      <c r="AC2" s="61" t="s">
        <v>730</v>
      </c>
      <c r="AD2" s="61" t="s">
        <v>725</v>
      </c>
      <c r="AE2" s="61" t="s">
        <v>844</v>
      </c>
      <c r="AF2" s="61" t="s">
        <v>716</v>
      </c>
      <c r="AG2" s="61" t="s">
        <v>722</v>
      </c>
      <c r="AH2" s="61" t="s">
        <v>772</v>
      </c>
    </row>
    <row r="3" spans="1:34" x14ac:dyDescent="0.25">
      <c r="A3" t="str" cm="1">
        <f t="array" aca="1" ref="A3:A20" ca="1">Coefficient_Name_Col(All_Xs)</f>
        <v>Adult Mortality</v>
      </c>
      <c r="B3" s="34" t="b">
        <v>1</v>
      </c>
      <c r="D3" t="str" cm="1">
        <f t="array" aca="1" ref="D3:D20" ca="1">Coefficient_Name_Col(All_Xs,Ind_Var_Include)</f>
        <v>Adult Mortality</v>
      </c>
      <c r="E3" s="24" t="e" cm="1">
        <f t="array" aca="1" ref="E3" ca="1">Pearson_R(x_s,y,Regression_Sample_Include)</f>
        <v>#NAME?</v>
      </c>
      <c r="F3" s="24" t="e" cm="1">
        <f t="array" aca="1" ref="F3" ca="1">Spearman_R(x_s,y,Regression_Sample_Include)</f>
        <v>#NAME?</v>
      </c>
      <c r="G3" s="24" t="e" cm="1">
        <f t="array" aca="1" ref="G3" ca="1">Skewness(x_s,Regression_Sample_Include)</f>
        <v>#NAME?</v>
      </c>
      <c r="H3" s="24" t="e" cm="1">
        <f t="array" aca="1" ref="H3" ca="1">Kurtosis(x_s,Regression_Sample_Include)</f>
        <v>#NAME?</v>
      </c>
      <c r="I3" s="24" t="e" cm="1">
        <f t="array" aca="1" ref="I3" ca="1">VIF(x_s,Allow_Intercept,Regression_Sample_Include)</f>
        <v>#NAME?</v>
      </c>
      <c r="J3" s="24" t="e" cm="1">
        <f t="array" aca="1" ref="J3" ca="1">Tolerance(x_s,Allow_Intercept,Regression_Sample_Include)</f>
        <v>#NAME?</v>
      </c>
      <c r="L3" s="14" t="s">
        <v>808</v>
      </c>
      <c r="M3" s="18"/>
      <c r="O3" s="14" t="s">
        <v>813</v>
      </c>
      <c r="P3" s="18"/>
      <c r="U3" s="11" t="s">
        <v>833</v>
      </c>
      <c r="V3" s="20" t="e" cm="1">
        <f t="array" aca="1" ref="V3" ca="1">Prediction_Interval(x_s,y,pred_input,Allow_Intercept,Regression_Sample_Include,alpha)</f>
        <v>#NAME?</v>
      </c>
      <c r="X3" t="e" cm="1">
        <f t="array" aca="1" ref="X3" ca="1">Dependent_Var(y,Regression_Sample_Include)</f>
        <v>#NAME?</v>
      </c>
      <c r="Y3" s="7" t="e" cm="1">
        <f t="array" aca="1" ref="Y3" ca="1">Predictions(x_s,y,Allow_Intercept,Regression_Sample_Include)</f>
        <v>#NAME?</v>
      </c>
      <c r="Z3" s="7" t="e" cm="1">
        <f t="array" aca="1" ref="Z3" ca="1">Residuals(x_s,y,Allow_Intercept,Regression_Sample_Include)</f>
        <v>#NAME?</v>
      </c>
      <c r="AA3" s="7" t="e" cm="1">
        <f t="array" aca="1" ref="AA3" ca="1">Dependent_Var(y,Regression_Sample_Include)-LOOCV_prediction(x_s,y,Allow_Intercept,Regression_Sample_Include)</f>
        <v>#NAME?</v>
      </c>
      <c r="AB3" s="7" t="e" cm="1">
        <f t="array" aca="1" ref="AB3" ca="1">Hat_diagonal(x_s,Allow_Intercept,Regression_Sample_Include)</f>
        <v>#NAME?</v>
      </c>
      <c r="AC3" s="7" t="e" cm="1">
        <f t="array" aca="1" ref="AC3" ca="1">Studentized_Residuals(x_s,y,Allow_Intercept,Regression_Sample_Include)</f>
        <v>#NAME?</v>
      </c>
      <c r="AD3" s="7" t="e" cm="1">
        <f t="array" aca="1" ref="AD3" ca="1">Cooks_Distance(x_s,y,Allow_Intercept,Regression_Sample_Include)</f>
        <v>#NAME?</v>
      </c>
      <c r="AE3" s="7" t="e" cm="1">
        <f t="array" aca="1" ref="AE3" ca="1">_xlfn._xlws.SORT(Normal_Scores(y,Regression_Sample_Include))</f>
        <v>#NAME?</v>
      </c>
      <c r="AF3" s="7" t="e" cm="1">
        <f t="array" aca="1" ref="AF3" ca="1">Studentized_Residuals_Ranked(x_s,y,Allow_Intercept,Regression_Sample_Include)</f>
        <v>#NAME?</v>
      </c>
      <c r="AG3" s="7" t="e" cm="1">
        <f t="array" aca="1" ref="AG3" ca="1">SQRT(ABS(Studentized_Residuals(x_s,y,Allow_Intercept,Regression_Sample_Include)))</f>
        <v>#NAME?</v>
      </c>
      <c r="AH3" s="7" t="e" cm="1">
        <f t="array" aca="1" ref="AH3" ca="1">Residuals(x_s,y,Allow_Intercept,Regression_Sample_Include)/(1-Hat_diagonal(x_s,Allow_Intercept,Regression_Sample_Include))</f>
        <v>#NAME?</v>
      </c>
    </row>
    <row r="4" spans="1:34" x14ac:dyDescent="0.25">
      <c r="A4" t="str">
        <f ca="1"/>
        <v>infant deaths</v>
      </c>
      <c r="B4" s="34" t="b">
        <v>1</v>
      </c>
      <c r="D4" t="str">
        <f ca="1"/>
        <v>infant deaths</v>
      </c>
      <c r="E4" s="24"/>
      <c r="F4" s="24"/>
      <c r="G4" s="24"/>
      <c r="H4" s="24"/>
      <c r="I4" s="24"/>
      <c r="J4" s="24"/>
      <c r="L4" s="11" t="s">
        <v>809</v>
      </c>
      <c r="M4" s="20" t="e" cm="1">
        <f t="array" aca="1" ref="M4" ca="1">Multiple_R(x_s,y,Allow_Intercept,Regression_Sample_Include)</f>
        <v>#NAME?</v>
      </c>
      <c r="O4" s="11" t="s">
        <v>75</v>
      </c>
      <c r="P4" s="20" t="e" cm="1">
        <f t="array" aca="1" ref="P4" ca="1">PRESS(x_s,y,Allow_Intercept,Regression_Sample_Include)</f>
        <v>#NAME?</v>
      </c>
      <c r="U4" s="11" t="s">
        <v>834</v>
      </c>
      <c r="V4" s="20"/>
    </row>
    <row r="5" spans="1:34" x14ac:dyDescent="0.25">
      <c r="A5" t="str">
        <f ca="1"/>
        <v>Alcohol</v>
      </c>
      <c r="B5" s="34" t="b">
        <v>1</v>
      </c>
      <c r="D5" t="str">
        <f ca="1"/>
        <v>Alcohol</v>
      </c>
      <c r="E5" s="24"/>
      <c r="F5" s="24"/>
      <c r="G5" s="24"/>
      <c r="H5" s="24"/>
      <c r="I5" s="24"/>
      <c r="J5" s="24"/>
      <c r="L5" s="11" t="s">
        <v>810</v>
      </c>
      <c r="M5" s="20" t="e" cm="1">
        <f t="array" aca="1" ref="M5" ca="1">R_squared(x_s,y,Allow_Intercept,Regression_Sample_Include)</f>
        <v>#NAME?</v>
      </c>
      <c r="O5" s="11" t="s">
        <v>747</v>
      </c>
      <c r="P5" s="20" t="e" cm="1">
        <f t="array" aca="1" ref="P5" ca="1">1-PRESS(x_s,y,Allow_Intercept,Regression_Sample_Include)/SS_Total(y,Allow_Intercept,Regression_Sample_Include)</f>
        <v>#NAME?</v>
      </c>
      <c r="U5" s="11" t="s">
        <v>835</v>
      </c>
      <c r="V5" s="20"/>
    </row>
    <row r="6" spans="1:34" x14ac:dyDescent="0.25">
      <c r="A6" t="str">
        <f ca="1"/>
        <v>percentage expenditure</v>
      </c>
      <c r="B6" s="34" t="b">
        <v>1</v>
      </c>
      <c r="D6" t="str">
        <f ca="1"/>
        <v>percentage expenditure</v>
      </c>
      <c r="E6" s="24"/>
      <c r="F6" s="24"/>
      <c r="G6" s="24"/>
      <c r="H6" s="24"/>
      <c r="I6" s="24"/>
      <c r="J6" s="24"/>
      <c r="L6" s="11" t="s">
        <v>811</v>
      </c>
      <c r="M6" s="20" t="e" cm="1">
        <f t="array" aca="1" ref="M6" ca="1">Adjusted_R2(x_s,y,Allow_Intercept,Regression_Sample_Include)</f>
        <v>#NAME?</v>
      </c>
      <c r="O6" s="11" t="s">
        <v>814</v>
      </c>
      <c r="P6" s="20" t="e" cm="1">
        <f t="array" aca="1" ref="P6" ca="1">(DF_Regression(x_s)+IF(Allow_Intercept,1,0))/Observations(y,Regression_Sample_Include)</f>
        <v>#NAME?</v>
      </c>
      <c r="U6" s="11" t="s">
        <v>828</v>
      </c>
      <c r="V6" s="20"/>
    </row>
    <row r="7" spans="1:34" x14ac:dyDescent="0.25">
      <c r="A7" t="str">
        <f ca="1"/>
        <v>Hepatitis B</v>
      </c>
      <c r="B7" s="34" t="b">
        <v>1</v>
      </c>
      <c r="D7" t="str">
        <f ca="1"/>
        <v>Hepatitis B</v>
      </c>
      <c r="E7" s="24"/>
      <c r="F7" s="24"/>
      <c r="G7" s="24"/>
      <c r="H7" s="24"/>
      <c r="I7" s="24"/>
      <c r="J7" s="24"/>
      <c r="L7" s="11" t="s">
        <v>812</v>
      </c>
      <c r="M7" s="20" t="e" cm="1">
        <f t="array" aca="1" ref="M7" ca="1">SE_Regression(x_s,y,Allow_Intercept,Regression_Sample_Include)</f>
        <v>#NAME?</v>
      </c>
      <c r="O7" s="11" t="s">
        <v>80</v>
      </c>
      <c r="P7" s="20" t="e" cm="1">
        <f t="array" aca="1" ref="P7" ca="1">AIC(x_s,y,Allow_Intercept,Regression_Sample_Include)</f>
        <v>#NAME?</v>
      </c>
      <c r="U7" s="11" t="s">
        <v>829</v>
      </c>
      <c r="V7" s="20"/>
    </row>
    <row r="8" spans="1:34" x14ac:dyDescent="0.25">
      <c r="A8" t="str">
        <f ca="1"/>
        <v>Measles</v>
      </c>
      <c r="B8" s="34" t="b">
        <v>1</v>
      </c>
      <c r="D8" t="str">
        <f ca="1"/>
        <v>Measles</v>
      </c>
      <c r="E8" s="24"/>
      <c r="F8" s="24"/>
      <c r="G8" s="24"/>
      <c r="H8" s="24"/>
      <c r="I8" s="24"/>
      <c r="J8" s="24"/>
      <c r="L8" s="16" t="s">
        <v>6</v>
      </c>
      <c r="M8" s="22" t="e" cm="1">
        <f t="array" aca="1" ref="M8" ca="1">Observations(y,Regression_Sample_Include)</f>
        <v>#NAME?</v>
      </c>
      <c r="O8" s="11" t="s">
        <v>85</v>
      </c>
      <c r="P8" s="20" t="e" cm="1">
        <f t="array" aca="1" ref="P8" ca="1">BIC(x_s,y,Allow_Intercept,Regression_Sample_Include)</f>
        <v>#NAME?</v>
      </c>
      <c r="U8" s="16" t="s">
        <v>836</v>
      </c>
      <c r="V8" s="48"/>
    </row>
    <row r="9" spans="1:34" x14ac:dyDescent="0.25">
      <c r="A9" t="str">
        <f ca="1"/>
        <v>BMI</v>
      </c>
      <c r="B9" s="34" t="b">
        <v>1</v>
      </c>
      <c r="D9" t="str">
        <f ca="1"/>
        <v>BMI</v>
      </c>
      <c r="E9" s="24"/>
      <c r="F9" s="24"/>
      <c r="G9" s="24"/>
      <c r="H9" s="24"/>
      <c r="I9" s="24"/>
      <c r="J9" s="24"/>
      <c r="O9" s="11" t="s">
        <v>90</v>
      </c>
      <c r="P9" s="20" t="e" cm="1">
        <f t="array" aca="1" ref="P9" ca="1">AICc(x_s,y,Allow_Intercept,Regression_Sample_Include)</f>
        <v>#NAME?</v>
      </c>
    </row>
    <row r="10" spans="1:34" x14ac:dyDescent="0.25">
      <c r="A10" t="str">
        <f ca="1"/>
        <v>under-five deaths</v>
      </c>
      <c r="B10" s="34" t="b">
        <v>1</v>
      </c>
      <c r="D10" t="str">
        <f ca="1"/>
        <v>under-five deaths</v>
      </c>
      <c r="E10" s="24"/>
      <c r="F10" s="24"/>
      <c r="G10" s="24"/>
      <c r="H10" s="24"/>
      <c r="I10" s="24"/>
      <c r="J10" s="24"/>
      <c r="O10" s="16" t="s">
        <v>751</v>
      </c>
      <c r="P10" s="48" t="e" cm="1">
        <f t="array" aca="1" ref="P10" ca="1">QQ_Correlation(x_s,y,Allow_Intercept,Regression_Sample_Include)</f>
        <v>#NAME?</v>
      </c>
      <c r="U10" s="5" t="s">
        <v>837</v>
      </c>
    </row>
    <row r="11" spans="1:34" x14ac:dyDescent="0.25">
      <c r="A11" t="str">
        <f ca="1"/>
        <v>Polio</v>
      </c>
      <c r="B11" s="34" t="b">
        <v>1</v>
      </c>
      <c r="D11" t="str">
        <f ca="1"/>
        <v>Polio</v>
      </c>
      <c r="E11" s="24"/>
      <c r="F11" s="24"/>
      <c r="G11" s="24"/>
      <c r="H11" s="24"/>
      <c r="I11" s="24"/>
      <c r="J11" s="24"/>
      <c r="U11" s="3" t="s">
        <v>838</v>
      </c>
      <c r="V11" s="3" t="s">
        <v>839</v>
      </c>
    </row>
    <row r="12" spans="1:34" x14ac:dyDescent="0.25">
      <c r="A12" t="str">
        <f ca="1"/>
        <v>Total expenditure</v>
      </c>
      <c r="B12" s="34" t="b">
        <v>1</v>
      </c>
      <c r="D12" t="str">
        <f ca="1"/>
        <v>Total expenditure</v>
      </c>
      <c r="E12" s="24"/>
      <c r="F12" s="24"/>
      <c r="G12" s="24"/>
      <c r="H12" s="24"/>
      <c r="I12" s="24"/>
      <c r="J12" s="24"/>
      <c r="L12" s="3" t="s">
        <v>815</v>
      </c>
      <c r="M12" s="34">
        <v>0.05</v>
      </c>
      <c r="U12" t="s">
        <v>840</v>
      </c>
      <c r="V12" s="34">
        <f>IF(Allow_Intercept,1,0)</f>
        <v>1</v>
      </c>
    </row>
    <row r="13" spans="1:34" x14ac:dyDescent="0.25">
      <c r="A13" t="str">
        <f ca="1"/>
        <v>Diphtheria</v>
      </c>
      <c r="B13" s="34" t="b">
        <v>1</v>
      </c>
      <c r="D13" t="str">
        <f ca="1"/>
        <v>Diphtheria</v>
      </c>
      <c r="E13" s="24"/>
      <c r="F13" s="24"/>
      <c r="G13" s="24"/>
      <c r="H13" s="24"/>
      <c r="I13" s="24"/>
      <c r="J13" s="24"/>
      <c r="L13" s="14" t="s">
        <v>816</v>
      </c>
      <c r="M13" s="15"/>
      <c r="N13" s="15"/>
      <c r="O13" s="15"/>
      <c r="P13" s="15"/>
      <c r="Q13" s="18"/>
      <c r="U13" t="str" cm="1">
        <f t="array" aca="1" ref="U13:U30" ca="1">Coefficient_Name_Col(All_Xs)</f>
        <v>Adult Mortality</v>
      </c>
      <c r="V13" s="35" t="e" cm="1">
        <f t="array" aca="1" ref="V13" ca="1">AVERAGEIF(Regression_Sample_Include,TRUE,INDEX(All_Xs,,1))</f>
        <v>#DIV/0!</v>
      </c>
    </row>
    <row r="14" spans="1:34" x14ac:dyDescent="0.25">
      <c r="A14" t="str">
        <f ca="1"/>
        <v>HIV/AIDS</v>
      </c>
      <c r="B14" s="34" t="b">
        <v>1</v>
      </c>
      <c r="D14" t="str">
        <f ca="1"/>
        <v>HIV/AIDS</v>
      </c>
      <c r="E14" s="24"/>
      <c r="F14" s="24"/>
      <c r="G14" s="24"/>
      <c r="H14" s="24"/>
      <c r="I14" s="24"/>
      <c r="J14" s="24"/>
      <c r="L14" s="50"/>
      <c r="M14" s="51" t="s">
        <v>817</v>
      </c>
      <c r="N14" s="51" t="s">
        <v>818</v>
      </c>
      <c r="O14" s="51" t="s">
        <v>819</v>
      </c>
      <c r="P14" s="51" t="s">
        <v>820</v>
      </c>
      <c r="Q14" s="54" t="s">
        <v>755</v>
      </c>
      <c r="U14" t="str">
        <f ca="1"/>
        <v>infant deaths</v>
      </c>
      <c r="V14" s="35" t="e" cm="1">
        <f t="array" aca="1" ref="V14" ca="1">AVERAGEIF(Regression_Sample_Include,TRUE,INDEX(All_Xs,,2))</f>
        <v>#DIV/0!</v>
      </c>
    </row>
    <row r="15" spans="1:34" x14ac:dyDescent="0.25">
      <c r="A15" t="str">
        <f ca="1"/>
        <v>GDP</v>
      </c>
      <c r="B15" s="34" t="b">
        <v>1</v>
      </c>
      <c r="D15" t="str">
        <f ca="1"/>
        <v>GDP</v>
      </c>
      <c r="E15" s="24"/>
      <c r="F15" s="24"/>
      <c r="G15" s="24"/>
      <c r="H15" s="24"/>
      <c r="I15" s="24"/>
      <c r="J15" s="24"/>
      <c r="L15" s="11" t="s">
        <v>821</v>
      </c>
      <c r="M15" s="13" t="e" cm="1">
        <f t="array" aca="1" ref="M15" ca="1">DF_Regression(x_s)</f>
        <v>#NAME?</v>
      </c>
      <c r="N15" s="52" t="e" cm="1">
        <f t="array" aca="1" ref="N15" ca="1">SS_Regression(x_s,y,Allow_Intercept,Regression_Sample_Include)</f>
        <v>#NAME?</v>
      </c>
      <c r="O15" s="52" t="e" cm="1">
        <f t="array" aca="1" ref="O15" ca="1">MS_Regression(x_s,y,Allow_Intercept,Regression_Sample_Include)</f>
        <v>#NAME?</v>
      </c>
      <c r="P15" s="52" t="e" cm="1">
        <f t="array" aca="1" ref="P15" ca="1">F_Stat(x_s,y,Allow_Intercept,Regression_Sample_Include)</f>
        <v>#NAME?</v>
      </c>
      <c r="Q15" s="55" t="e" cm="1">
        <f t="array" aca="1" ref="Q15" ca="1">P_Value_F(x_s,y,Allow_Intercept,Regression_Sample_Include)</f>
        <v>#NAME?</v>
      </c>
      <c r="U15" t="str">
        <f ca="1"/>
        <v>Alcohol</v>
      </c>
      <c r="V15" s="35" t="e" cm="1">
        <f t="array" aca="1" ref="V15" ca="1">AVERAGEIF(Regression_Sample_Include,TRUE,INDEX(All_Xs,,3))</f>
        <v>#DIV/0!</v>
      </c>
    </row>
    <row r="16" spans="1:34" x14ac:dyDescent="0.25">
      <c r="A16" t="str">
        <f ca="1"/>
        <v>Population</v>
      </c>
      <c r="B16" s="34" t="b">
        <v>1</v>
      </c>
      <c r="D16" t="str">
        <f ca="1"/>
        <v>Population</v>
      </c>
      <c r="E16" s="24"/>
      <c r="F16" s="24"/>
      <c r="G16" s="24"/>
      <c r="H16" s="24"/>
      <c r="I16" s="24"/>
      <c r="J16" s="24"/>
      <c r="L16" s="11" t="s">
        <v>822</v>
      </c>
      <c r="M16" s="13" t="e" cm="1">
        <f t="array" aca="1" ref="M16" ca="1">DF_Residual(x_s,y,Allow_Intercept,Regression_Sample_Include)</f>
        <v>#NAME?</v>
      </c>
      <c r="N16" s="52" t="e" cm="1">
        <f t="array" aca="1" ref="N16" ca="1">SS_Residual(x_s,y,Allow_Intercept,Regression_Sample_Include)</f>
        <v>#NAME?</v>
      </c>
      <c r="O16" s="52" t="e" cm="1">
        <f t="array" aca="1" ref="O16" ca="1">MS_Residual(x_s,y,Allow_Intercept,Regression_Sample_Include)</f>
        <v>#NAME?</v>
      </c>
      <c r="P16" s="9"/>
      <c r="Q16" s="42"/>
      <c r="U16" t="str">
        <f ca="1"/>
        <v>percentage expenditure</v>
      </c>
      <c r="V16" s="35" t="e" cm="1">
        <f t="array" aca="1" ref="V16" ca="1">AVERAGEIF(Regression_Sample_Include,TRUE,INDEX(All_Xs,,4))</f>
        <v>#DIV/0!</v>
      </c>
    </row>
    <row r="17" spans="1:22" x14ac:dyDescent="0.25">
      <c r="A17" t="str">
        <f ca="1"/>
        <v>thinness 1-19 years</v>
      </c>
      <c r="B17" s="34" t="b">
        <v>1</v>
      </c>
      <c r="D17" t="str">
        <f ca="1"/>
        <v>thinness 1-19 years</v>
      </c>
      <c r="E17" s="24"/>
      <c r="F17" s="24"/>
      <c r="G17" s="24"/>
      <c r="H17" s="24"/>
      <c r="I17" s="24"/>
      <c r="J17" s="24"/>
      <c r="L17" s="16" t="s">
        <v>823</v>
      </c>
      <c r="M17" s="17" t="e" cm="1">
        <f t="array" aca="1" ref="M17" ca="1">DF_Total(y,Allow_Intercept,Regression_Sample_Include)</f>
        <v>#NAME?</v>
      </c>
      <c r="N17" s="53" t="e" cm="1">
        <f t="array" aca="1" ref="N17" ca="1">SS_Total(y,Allow_Intercept,Regression_Sample_Include)</f>
        <v>#NAME?</v>
      </c>
      <c r="O17" s="28"/>
      <c r="P17" s="28"/>
      <c r="Q17" s="56"/>
      <c r="U17" t="str">
        <f ca="1"/>
        <v>Hepatitis B</v>
      </c>
      <c r="V17" s="35" t="e" cm="1">
        <f t="array" aca="1" ref="V17" ca="1">AVERAGEIF(Regression_Sample_Include,TRUE,INDEX(All_Xs,,5))</f>
        <v>#DIV/0!</v>
      </c>
    </row>
    <row r="18" spans="1:22" x14ac:dyDescent="0.25">
      <c r="A18" t="str">
        <f ca="1"/>
        <v>thinness 5-9 years</v>
      </c>
      <c r="B18" s="34" t="b">
        <v>1</v>
      </c>
      <c r="D18" t="str">
        <f ca="1"/>
        <v>thinness 5-9 years</v>
      </c>
      <c r="E18" s="24"/>
      <c r="F18" s="24"/>
      <c r="G18" s="24"/>
      <c r="H18" s="24"/>
      <c r="I18" s="24"/>
      <c r="J18" s="24"/>
      <c r="U18" t="str">
        <f ca="1"/>
        <v>Measles</v>
      </c>
      <c r="V18" s="35" t="e" cm="1">
        <f t="array" aca="1" ref="V18" ca="1">AVERAGEIF(Regression_Sample_Include,TRUE,INDEX(All_Xs,,6))</f>
        <v>#DIV/0!</v>
      </c>
    </row>
    <row r="19" spans="1:22" x14ac:dyDescent="0.25">
      <c r="A19" t="str">
        <f ca="1"/>
        <v>Income composition of resources</v>
      </c>
      <c r="B19" s="34" t="b">
        <v>1</v>
      </c>
      <c r="D19" t="str">
        <f ca="1"/>
        <v>Income composition of resources</v>
      </c>
      <c r="E19" s="24"/>
      <c r="F19" s="24"/>
      <c r="G19" s="24"/>
      <c r="H19" s="24"/>
      <c r="I19" s="24"/>
      <c r="J19" s="24"/>
      <c r="L19" s="5" t="s">
        <v>824</v>
      </c>
      <c r="U19" t="str">
        <f ca="1"/>
        <v>BMI</v>
      </c>
      <c r="V19" s="35" t="e" cm="1">
        <f t="array" aca="1" ref="V19" ca="1">AVERAGEIF(Regression_Sample_Include,TRUE,INDEX(All_Xs,,7))</f>
        <v>#DIV/0!</v>
      </c>
    </row>
    <row r="20" spans="1:22" x14ac:dyDescent="0.25">
      <c r="A20" t="str">
        <f ca="1"/>
        <v>Schooling</v>
      </c>
      <c r="B20" s="34" t="b">
        <v>1</v>
      </c>
      <c r="D20" t="str">
        <f ca="1"/>
        <v>Schooling</v>
      </c>
      <c r="E20" s="24"/>
      <c r="F20" s="24"/>
      <c r="G20" s="24"/>
      <c r="H20" s="24"/>
      <c r="I20" s="24"/>
      <c r="J20" s="24"/>
      <c r="L20" s="3"/>
      <c r="M20" s="3" t="s">
        <v>105</v>
      </c>
      <c r="N20" s="3" t="s">
        <v>825</v>
      </c>
      <c r="O20" s="3" t="s">
        <v>826</v>
      </c>
      <c r="P20" s="3" t="s">
        <v>827</v>
      </c>
      <c r="Q20" s="3" t="s">
        <v>828</v>
      </c>
      <c r="R20" s="3" t="s">
        <v>829</v>
      </c>
      <c r="S20" s="3" t="s">
        <v>830</v>
      </c>
      <c r="U20" t="str">
        <f ca="1"/>
        <v>under-five deaths</v>
      </c>
      <c r="V20" s="35" t="e" cm="1">
        <f t="array" aca="1" ref="V20" ca="1">AVERAGEIF(Regression_Sample_Include,TRUE,INDEX(All_Xs,,8))</f>
        <v>#DIV/0!</v>
      </c>
    </row>
    <row r="21" spans="1:22" x14ac:dyDescent="0.25">
      <c r="L21" t="str" cm="1">
        <f t="array" aca="1" ref="L21:L39" ca="1">IF(Allow_Intercept,_xlfn.VSTACK("Intercept",Coefficient_Name_Col(All_Xs,Ind_Var_Include)),_xlfn.VSTACK("",Coefficient_Name_Col(All_Xs,Ind_Var_Include)))</f>
        <v>Intercept</v>
      </c>
      <c r="M21" s="7" t="e" cm="1">
        <f t="array" aca="1" ref="M21" ca="1">IF(Allow_Intercept,Coefficients(x_s,y,Allow_Intercept,Regression_Sample_Include),_xlfn.VSTACK("",Coefficients(x_s,y,Allow_Intercept,Regression_Sample_Include)))</f>
        <v>#NAME?</v>
      </c>
      <c r="N21" s="7" t="e" cm="1">
        <f t="array" aca="1" ref="N21" ca="1">IF(Allow_Intercept,SE_Coefficients(x_s,y,Allow_Intercept,Regression_Sample_Include),_xlfn.VSTACK("",SE_Coefficients(x_s,y,Allow_Intercept,Regression_Sample_Include)))</f>
        <v>#NAME?</v>
      </c>
      <c r="O21" s="7" t="e" cm="1">
        <f t="array" aca="1" ref="O21" ca="1">IF(Allow_Intercept,T_Stats(x_s,y,Allow_Intercept,Regression_Sample_Include),_xlfn.VSTACK("",T_Stats(x_s,y,Allow_Intercept,Regression_Sample_Include)))</f>
        <v>#NAME?</v>
      </c>
      <c r="P21" s="49" t="e" cm="1">
        <f t="array" aca="1" ref="P21" ca="1">IF(Allow_Intercept,P_Values(x_s,y,Allow_Intercept,Regression_Sample_Include),_xlfn.VSTACK("",P_Values(x_s,y,Allow_Intercept,Regression_Sample_Include)))</f>
        <v>#NAME?</v>
      </c>
      <c r="Q21" s="7" t="e" cm="1">
        <f t="array" aca="1" ref="Q21" ca="1">IF(Allow_Intercept,CI_Lower(x_s,y,Allow_Intercept,Regression_Sample_Include),_xlfn.VSTACK("",CI_Lower(x_s,y,Allow_Intercept,Regression_Sample_Include)))</f>
        <v>#NAME?</v>
      </c>
      <c r="R21" s="7" t="e" cm="1">
        <f t="array" aca="1" ref="R21" ca="1">IF(Allow_Intercept,CI_Upper(x_s,y,Allow_Intercept,Regression_Sample_Include),_xlfn.VSTACK("",CI_Upper(x_s,y,Allow_Intercept,Regression_Sample_Include)))</f>
        <v>#NAME?</v>
      </c>
      <c r="S21" s="7" t="e" cm="1">
        <f t="array" aca="1" ref="S21" ca="1">_xlfn.VSTACK("",Beta_Weights(x_s,y,Allow_Intercept,Regression_Sample_Include))</f>
        <v>#NAME?</v>
      </c>
      <c r="U21" t="str">
        <f ca="1"/>
        <v>Polio</v>
      </c>
      <c r="V21" s="35" t="e" cm="1">
        <f t="array" aca="1" ref="V21" ca="1">AVERAGEIF(Regression_Sample_Include,TRUE,INDEX(All_Xs,,9))</f>
        <v>#DIV/0!</v>
      </c>
    </row>
    <row r="22" spans="1:22" x14ac:dyDescent="0.25">
      <c r="L22" t="str">
        <f ca="1"/>
        <v>Adult Mortality</v>
      </c>
      <c r="M22" s="7"/>
      <c r="N22" s="7"/>
      <c r="O22" s="7"/>
      <c r="P22" s="49"/>
      <c r="Q22" s="7"/>
      <c r="R22" s="7"/>
      <c r="S22" s="7"/>
      <c r="U22" t="str">
        <f ca="1"/>
        <v>Total expenditure</v>
      </c>
      <c r="V22" s="35" t="e" cm="1">
        <f t="array" aca="1" ref="V22" ca="1">AVERAGEIF(Regression_Sample_Include,TRUE,INDEX(All_Xs,,10))</f>
        <v>#DIV/0!</v>
      </c>
    </row>
    <row r="23" spans="1:22" x14ac:dyDescent="0.25">
      <c r="L23" t="str">
        <f ca="1"/>
        <v>infant deaths</v>
      </c>
      <c r="M23" s="7"/>
      <c r="N23" s="7"/>
      <c r="O23" s="7"/>
      <c r="P23" s="49"/>
      <c r="Q23" s="7"/>
      <c r="R23" s="7"/>
      <c r="S23" s="7"/>
      <c r="U23" t="str">
        <f ca="1"/>
        <v>Diphtheria</v>
      </c>
      <c r="V23" s="35" t="e" cm="1">
        <f t="array" aca="1" ref="V23" ca="1">AVERAGEIF(Regression_Sample_Include,TRUE,INDEX(All_Xs,,11))</f>
        <v>#DIV/0!</v>
      </c>
    </row>
    <row r="24" spans="1:22" x14ac:dyDescent="0.25">
      <c r="L24" t="str">
        <f ca="1"/>
        <v>Alcohol</v>
      </c>
      <c r="M24" s="7"/>
      <c r="N24" s="7"/>
      <c r="O24" s="7"/>
      <c r="P24" s="49"/>
      <c r="Q24" s="7"/>
      <c r="R24" s="7"/>
      <c r="S24" s="7"/>
      <c r="U24" t="str">
        <f ca="1"/>
        <v>HIV/AIDS</v>
      </c>
      <c r="V24" s="35" t="e" cm="1">
        <f t="array" aca="1" ref="V24" ca="1">AVERAGEIF(Regression_Sample_Include,TRUE,INDEX(All_Xs,,12))</f>
        <v>#DIV/0!</v>
      </c>
    </row>
    <row r="25" spans="1:22" x14ac:dyDescent="0.25">
      <c r="L25" t="str">
        <f ca="1"/>
        <v>percentage expenditure</v>
      </c>
      <c r="M25" s="7"/>
      <c r="N25" s="7"/>
      <c r="O25" s="7"/>
      <c r="P25" s="49"/>
      <c r="Q25" s="7"/>
      <c r="R25" s="7"/>
      <c r="S25" s="7"/>
      <c r="U25" t="str">
        <f ca="1"/>
        <v>GDP</v>
      </c>
      <c r="V25" s="35" t="e" cm="1">
        <f t="array" aca="1" ref="V25" ca="1">AVERAGEIF(Regression_Sample_Include,TRUE,INDEX(All_Xs,,13))</f>
        <v>#DIV/0!</v>
      </c>
    </row>
    <row r="26" spans="1:22" x14ac:dyDescent="0.25">
      <c r="L26" t="str">
        <f ca="1"/>
        <v>Hepatitis B</v>
      </c>
      <c r="M26" s="7"/>
      <c r="N26" s="7"/>
      <c r="O26" s="7"/>
      <c r="P26" s="49"/>
      <c r="Q26" s="7"/>
      <c r="R26" s="7"/>
      <c r="S26" s="7"/>
      <c r="U26" t="str">
        <f ca="1"/>
        <v>Population</v>
      </c>
      <c r="V26" s="35" t="e" cm="1">
        <f t="array" aca="1" ref="V26" ca="1">AVERAGEIF(Regression_Sample_Include,TRUE,INDEX(All_Xs,,14))</f>
        <v>#DIV/0!</v>
      </c>
    </row>
    <row r="27" spans="1:22" x14ac:dyDescent="0.25">
      <c r="L27" t="str">
        <f ca="1"/>
        <v>Measles</v>
      </c>
      <c r="M27" s="7"/>
      <c r="N27" s="7"/>
      <c r="O27" s="7"/>
      <c r="P27" s="49"/>
      <c r="Q27" s="7"/>
      <c r="R27" s="7"/>
      <c r="S27" s="7"/>
      <c r="U27" t="str">
        <f ca="1"/>
        <v>thinness 1-19 years</v>
      </c>
      <c r="V27" s="35" t="e" cm="1">
        <f t="array" aca="1" ref="V27" ca="1">AVERAGEIF(Regression_Sample_Include,TRUE,INDEX(All_Xs,,15))</f>
        <v>#DIV/0!</v>
      </c>
    </row>
    <row r="28" spans="1:22" x14ac:dyDescent="0.25">
      <c r="L28" t="str">
        <f ca="1"/>
        <v>BMI</v>
      </c>
      <c r="M28" s="7"/>
      <c r="N28" s="7"/>
      <c r="O28" s="7"/>
      <c r="P28" s="49"/>
      <c r="Q28" s="7"/>
      <c r="R28" s="7"/>
      <c r="S28" s="7"/>
      <c r="U28" t="str">
        <f ca="1"/>
        <v>thinness 5-9 years</v>
      </c>
      <c r="V28" s="35" t="e" cm="1">
        <f t="array" aca="1" ref="V28" ca="1">AVERAGEIF(Regression_Sample_Include,TRUE,INDEX(All_Xs,,16))</f>
        <v>#DIV/0!</v>
      </c>
    </row>
    <row r="29" spans="1:22" x14ac:dyDescent="0.25">
      <c r="L29" t="str">
        <f ca="1"/>
        <v>under-five deaths</v>
      </c>
      <c r="M29" s="7"/>
      <c r="N29" s="7"/>
      <c r="O29" s="7"/>
      <c r="P29" s="49"/>
      <c r="Q29" s="7"/>
      <c r="R29" s="7"/>
      <c r="S29" s="7"/>
      <c r="U29" t="str">
        <f ca="1"/>
        <v>Income composition of resources</v>
      </c>
      <c r="V29" s="35" t="e" cm="1">
        <f t="array" aca="1" ref="V29" ca="1">AVERAGEIF(Regression_Sample_Include,TRUE,INDEX(All_Xs,,17))</f>
        <v>#DIV/0!</v>
      </c>
    </row>
    <row r="30" spans="1:22" x14ac:dyDescent="0.25">
      <c r="L30" t="str">
        <f ca="1"/>
        <v>Polio</v>
      </c>
      <c r="M30" s="7"/>
      <c r="N30" s="7"/>
      <c r="O30" s="7"/>
      <c r="P30" s="49"/>
      <c r="Q30" s="7"/>
      <c r="R30" s="7"/>
      <c r="S30" s="7"/>
      <c r="U30" t="str">
        <f ca="1"/>
        <v>Schooling</v>
      </c>
      <c r="V30" s="35" t="e" cm="1">
        <f t="array" aca="1" ref="V30" ca="1">AVERAGEIF(Regression_Sample_Include,TRUE,INDEX(All_Xs,,18))</f>
        <v>#DIV/0!</v>
      </c>
    </row>
    <row r="31" spans="1:22" x14ac:dyDescent="0.25">
      <c r="L31" t="str">
        <f ca="1"/>
        <v>Total expenditure</v>
      </c>
      <c r="M31" s="7"/>
      <c r="N31" s="7"/>
      <c r="O31" s="7"/>
      <c r="P31" s="49"/>
      <c r="Q31" s="7"/>
      <c r="R31" s="7"/>
      <c r="S31" s="7"/>
    </row>
    <row r="32" spans="1:22" x14ac:dyDescent="0.25">
      <c r="L32" t="str">
        <f ca="1"/>
        <v>Diphtheria</v>
      </c>
      <c r="M32" s="7"/>
      <c r="N32" s="7"/>
      <c r="O32" s="7"/>
      <c r="P32" s="49"/>
      <c r="Q32" s="7"/>
      <c r="R32" s="7"/>
      <c r="S32" s="7"/>
    </row>
    <row r="33" spans="12:19" x14ac:dyDescent="0.25">
      <c r="L33" t="str">
        <f ca="1"/>
        <v>HIV/AIDS</v>
      </c>
      <c r="M33" s="7"/>
      <c r="N33" s="7"/>
      <c r="O33" s="7"/>
      <c r="P33" s="49"/>
      <c r="Q33" s="7"/>
      <c r="R33" s="7"/>
      <c r="S33" s="7"/>
    </row>
    <row r="34" spans="12:19" x14ac:dyDescent="0.25">
      <c r="L34" t="str">
        <f ca="1"/>
        <v>GDP</v>
      </c>
      <c r="M34" s="7"/>
      <c r="N34" s="7"/>
      <c r="O34" s="7"/>
      <c r="P34" s="49"/>
      <c r="Q34" s="7"/>
      <c r="R34" s="7"/>
      <c r="S34" s="7"/>
    </row>
    <row r="35" spans="12:19" x14ac:dyDescent="0.25">
      <c r="L35" t="str">
        <f ca="1"/>
        <v>Population</v>
      </c>
      <c r="M35" s="7"/>
      <c r="N35" s="7"/>
      <c r="O35" s="7"/>
      <c r="P35" s="49"/>
      <c r="Q35" s="7"/>
      <c r="R35" s="7"/>
      <c r="S35" s="7"/>
    </row>
    <row r="36" spans="12:19" x14ac:dyDescent="0.25">
      <c r="L36" t="str">
        <f ca="1"/>
        <v>thinness 1-19 years</v>
      </c>
      <c r="M36" s="7"/>
      <c r="N36" s="7"/>
      <c r="O36" s="7"/>
      <c r="P36" s="49"/>
      <c r="Q36" s="7"/>
      <c r="R36" s="7"/>
      <c r="S36" s="7"/>
    </row>
    <row r="37" spans="12:19" x14ac:dyDescent="0.25">
      <c r="L37" t="str">
        <f ca="1"/>
        <v>thinness 5-9 years</v>
      </c>
      <c r="M37" s="7"/>
      <c r="N37" s="7"/>
      <c r="O37" s="7"/>
      <c r="P37" s="49"/>
      <c r="Q37" s="7"/>
      <c r="R37" s="7"/>
      <c r="S37" s="7"/>
    </row>
    <row r="38" spans="12:19" x14ac:dyDescent="0.25">
      <c r="L38" t="str">
        <f ca="1"/>
        <v>Income composition of resources</v>
      </c>
      <c r="M38" s="7"/>
      <c r="N38" s="7"/>
      <c r="O38" s="7"/>
      <c r="P38" s="49"/>
      <c r="Q38" s="7"/>
      <c r="R38" s="7"/>
      <c r="S38" s="7"/>
    </row>
    <row r="39" spans="12:19" x14ac:dyDescent="0.25">
      <c r="L39" t="str">
        <f ca="1"/>
        <v>Schooling</v>
      </c>
      <c r="M39" s="7"/>
      <c r="N39" s="7"/>
      <c r="O39" s="7"/>
      <c r="P39" s="49"/>
      <c r="Q39" s="7"/>
      <c r="R39" s="7"/>
      <c r="S39" s="7"/>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05E83C11-C704-4BEC-82A7-4F7503118862}">
      <formula1>"TRUE,FALSE"</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Univariate</vt:lpstr>
      <vt:lpstr>Regression Instructions</vt:lpstr>
      <vt:lpstr>Diagnostic Guide</vt:lpstr>
      <vt:lpstr>Version History</vt:lpstr>
      <vt:lpstr>Regression</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2026-06-21T14:54:47Z</dcterms:created>
  <dcterms:modified xsi:type="dcterms:W3CDTF">2026-06-21T14:55:00Z</dcterms:modified>
</cp:coreProperties>
</file>