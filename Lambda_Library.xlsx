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FBE89669-4186-4BBD-A077-E4E877B4E065}" xr6:coauthVersionLast="47" xr6:coauthVersionMax="47" xr10:uidLastSave="{00000000-0000-0000-0000-000000000000}"/>
  <bookViews>
    <workbookView xWindow="-120" yWindow="-120" windowWidth="29040" windowHeight="15720" activeTab="5" xr2:uid="{92D0E1A5-8335-431C-B56C-E9E74C0E0410}"/>
  </bookViews>
  <sheets>
    <sheet name="Mileage Data" sheetId="12" r:id="rId1"/>
    <sheet name="Life Expectancy Data" sheetId="2" r:id="rId2"/>
    <sheet name="Production Lots" sheetId="13" r:id="rId3"/>
    <sheet name="Version History" sheetId="6" r:id="rId4"/>
    <sheet name="Regression Instructions" sheetId="34" r:id="rId5"/>
    <sheet name="Regression" sheetId="7" r:id="rId6"/>
    <sheet name="Diagnostic Guide" sheetId="35"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1-(1-R_Squared(_xlpm.X_s,_xlpm.Y,_xlpm.allow_arg,_xlpm.filt_arg))*Total_Degrees_Of_Freedom(_xlpm.Y,_xlpm.allow_arg,_xlpm.filt_arg)/Residual_Degrees_Of_Freedom(_xlpm.X_s,_xlpm.Y,_xlpm.allow_arg,_xlpm.filt_arg,_xlpm.absorbed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+2*_xlpm.p))</definedName>
    <definedName name="AICc" comment="AIC with a small-sample correction (+2p(p+1)/(n−p−1)). Preferred when n/p &lt; 40; converges to AIC as n → ∞.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fidence_Interval_Upper" comment="Upp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hdrs,_xlfn.TOROW(Regression!Header_Names),_xlpm.built,_xlfn.REDUCE("",_xlfn.SEQUENCE(_xlpm.n_c),_xlfn.LAMBDA(_xlpm.acc,_xlpm.j,IF(OR(INDEX(_xlpm.rl,_xlpm.j)&lt;&gt;"Predictor (x)",INDEX(_xlpm.inc,_xlpm.j)&lt;&gt;TRUE),_xlpm.acc,_xlfn.LET(_xlpm.h,INDEX(_xlpm.hdrs,1,_xlpm.j),IF(INDEX(_xlpm.typ,_xlpm.j)&lt;&gt;"Categorical",_xlfn.HSTACK(_xlpm.acc,IF(INDEX(_xlpm.trn,_xlpm.j)="Log","Ln("&amp;_xlpm.h&amp;")",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built,_xlfn.REDUCE("",_xlfn.SEQUENCE(_xlpm.n_c),_xlfn.LAMBDA(_xlpm.acc,_xlpm.j,IF(OR(INDEX(_xlpm.rl,_xlpm.j)&lt;&gt;"Predictor (x)",INDEX(_xlpm.inc,_xlpm.j)&lt;&gt;TRUE),_xlpm.acc,_xlfn.LET(_xlpm.t,IF(INDEX(_xlpm.trn,_xlpm.j)="Log","Log","None"),IF(INDEX(_xlpm.typ,_xlpm.j)&lt;&gt;"Categorical",_xlfn.HSTACK(_xlpm.acc,_xlpm.t),_xlfn.LET(_xlpm.col,INDEX(Regression!Source_Data,0,_xlpm.j),_xlpm.d,INDEX(_xlpm.refs,_xlpm.j),_xlpm.r,IF(LEN(_xlpm.d&amp;"")=0,"",_xlpm.d),_xlpm.lv,Dummy_Levels(_xlpm.col,_xlpm.r,Regression!Sample_Include()),IF(ISNA(INDEX(_xlpm.lv,1,1)),_xlpm.acc,_xlfn.HSTACK(_xlpm.acc,_xlfn.EXPAND("None",1,COLUMNS(_xlpm.lv),"None"))))))))),_xlfn.DROP(_xlpm.built,,1)))</definedName>
    <definedName name="Cooks_Distance" comment="Influence measure Dᵢ = rᵢ²·hᵢ / ((1−hᵢ)·p). Values &gt; 4/n or &gt; 1 flag influential row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r,Studentized_Residuals(_xlpm.X_s,_xlpm.Y,_xlpm.allow_arg,_xlpm.filt_arg,_xlpm.absorbed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 = MS_Regression / MS_Residual. Optional DF_Absorbed (default 0) corrects only the denominator df under Fixed Effects — the numerator df is unaffected.">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gression(_xlpm.X_s,_xlpm.Y,_xlpm.allow_arg,_xlpm.filt_arg)/Regression_Degrees_Of_Freedom(_xlpm.X_s)/(SS_Residual(_xlpm.X_s,_xlpm.Y,_xlpm.allow_arg,_xlpm.filt_arg)/Residual_Degrees_Of_Freedom(_xlpm.X_s,_xlpm.Y,_xlpm.allow_arg,_xlpm.filt_arg,_xlpm.absorbed_arg))))</definedName>
    <definedName name="F_Statistic_P_Value" comment="Right-tail p-value for the overall F-test. Optional DF_Absorbed (default 0) corrects both F_Statistic and its denominator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F.DIST.RT(F_Statistic(_xlpm.X_s,_xlpm.Y,_xlpm.allow_arg,_xlpm.filt_arg,_xlpm.absorbed_arg),Regression_Degrees_Of_Freedom(_xlpm.X_s),Residual_Degrees_Of_Freedom(_xlpm.X_s,_xlpm.Y,_xlpm.allow_arg,_xlpm.filt_arg,_xlpm.absorbed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X_s,_xlpm.Y,_xlpm.X_new,_xlpm.group,_xlpm.selected_group,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within,_xlfn.LET(_xlpm.n_x,COLUMNS(_xlpm.X_s),_xlpm.seed,_xlfn.SEQUENCE(ROWS(_xlpm.X_s),1,0,0),_xlpm.built,_xlfn.REDUCE(_xlpm.seed,_xlfn.SEQUENCE(_xlpm.n_x),_xlfn.LAMBDA(_xlpm.acc,_xlpm.j,_xlfn.HSTACK(_xlpm.acc,Demean_By(INDEX(_xlpm.X_s,0,_xlpm.j),_xlpm.group,_xlpm.filt_arg)))),_xlfn.DROP(_xlpm.built,,1)),_xlpm.y_within,Demean_By(_xlpm.Y,_xlpm.group,_xlpm.filt_arg),_xlpm.beta_full,Coefficients(_xlpm.x_within,_xlpm.y_within,_xlpm.allow_arg,_xlpm.filt_arg),_xlpm.beta,IF(_xlpm.allow_arg,_xlfn.DROP(_xlpm.beta_full,1),_xlpm.beta_full),_xlpm.s,SE_Regression(_xlpm.x_within,_xlpm.y_within,_xlpm.allow_arg,_xlpm.filt_arg,_xlpm.absorbed_arg),_xlpm.df,Residual_Degrees_Of_Freedom(_xlpm.x_within,_xlpm.y_within,_xlpm.allow_arg,_xlpm.filt_arg,_xlpm.absorbed_arg),_xlpm.t_crit,_xlfn.T.INV.2T(_xlpm.alpha_arg,_xlpm.df),_xlpm.X_design,Design_Matrix(_xlpm.x_within,FALSE,_xlpm.filt_arg),_xlpm.XtX_inv,Gram_Inverse(_xlpm.X_design),_xlpm.xbar_i,TRANSPOSE(_xlfn.BYCOL(_xlpm.X_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v2.7+)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sidual(_xlpm.X_s,_xlpm.Y,_xlpm.allow_arg,_xlpm.filt_arg)/Residual_Degrees_Of_Freedom(_xlpm.X_s,_xlpm.Y,_xlpm.allow_arg,_xlpm.filt_arg,_xlpm.absorbed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Optional DF_Absorbed (default 0) corrects both the t-stat's SE and the test's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T.DIST.2T(ABS(T_Statistics(_xlpm.X_s,_xlpm.Y,_xlpm.allow_arg,_xlpm.filt_arg,_xlpm.absorbed_arg)),Residual_Degrees_Of_Freedom(_xlpm.X_s,_xlpm.Y,_xlpm.allow_arg,_xlpm.filt_arg,_xlpm.absorbed_arg))))</definedName>
    <definedName name="Partial_Correlation" comment="Sign-preserving partial correlation between Y and each predictor after removing all other predictor effects. Range [−1,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SQRT(_xlpm.t^2+_xlpm.df)))</definedName>
    <definedName name="Partial_R_Squared" comment="Unique proportion of residual variance explained by each predictor after controlling for all others. Range [0,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s,_xlpm.Y,_xlpm.X_new,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design,Design_Matrix(_xlpm.X_s,_xlpm.allow_arg,_xlpm.filt_arg),_xlpm.beta,Coefficients(_xlpm.X_s,_xlpm.Y,_xlpm.allow_arg,_xlpm.filt_arg),_xlpm.s,SE_Regression(_xlpm.X_s,_xlpm.Y,_xlpm.allow_arg,_xlpm.filt_arg,_xlpm.absorbed_arg),_xlpm.df,Residual_Degrees_Of_Freedom(_xlpm.X_s,_xlpm.Y,_xlpm.allow_arg,_xlpm.filt_arg,_xlpm.absorbed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sr,Scaled_Residuals_Ranked(_xlpm.X_s,_xlpm.Y,_xlpm.allow_arg,_xlpm.filt_arg,_xlpm.absorbed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CookDistFlag" comment="Cook's Distance chart: flagged-point overlay for data labels (D &gt; 4/n or D &gt; 0.9)" localSheetId="5">OFFSET(Regression!$AV$2,1,0,MAX(IFERROR(Regression!$Y$8,1),1),1)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ObsLabel" comment="Cook's Distance chart: observation identifier for flagged-point data labels" localSheetId="5">OFFSET(Regression!$AK$2,1,0,MAX(IFERROR(Regression!$Y$8,1),1),1)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s,_xlpm.Y,_xlop.Allow_Intercept,_xlop.Include,_xlop.DF_Absorbed,_xlfn.LET(_xlpm.allow_arg,IF(_xlfn.ISOMITTED(_xlpm.Allow_Intercept),TRUE,_xlpm.Allow_Intercept),_xlpm.filt_arg,IF(_xlfn.ISOMITTED(_xlpm.Include),TRUE,_xlpm.Include),_xlpm.absorbed_arg,IF(_xlfn.ISOMITTED(_xlpm.DF_Absorbed),0,_xlpm.DF_Absorbed),Total_Degrees_Of_Freedom(_xlpm.Y,_xlpm.allow_arg,_xlpm.filt_arg)-Regression_Degrees_Of_Freedom(_xlpm.X_s)-_xlpm.absorbed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Residuals(_xlpm.X_s,_xlpm.Y,_xlpm.allow_arg,_xlpm.filt_arg)/SE_Regression(_xlpm.X_s,_xlpm.Y,_xlpm.allow_arg,_xlpm.filt_arg,_xlpm.absorbed_arg)))</definedName>
    <definedName name="Scaled_Residuals_Ranked" comment="Scaled residuals sorted ascending. Paired with Normal_Scores for a standar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caled_Residuals(_xlpm.X_s,_xlpm.Y,_xlpm.allow_arg,_xlpm.filt_arg,_xlpm.absorbed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ls,LINEST(_xlfn._xlws.FILTER(_xlpm.Y,_xlpm.filt_arg),_xlfn._xlws.FILTER(_xlpm.X_s,_xlpm.filt_arg),_xlpm.allow_arg,TRUE),_xlpm.ses,INDEX(_xlpm.ls,2),_xlpm.k,COLUMNS(_xlpm.X_s),_xlpm.naive_df,Residual_Degrees_Of_Freedom(_xlpm.X_s,_xlpm.Y,_xlpm.allow_arg,_xlpm.filt_arg),_xlpm.true_df,_xlpm.naive_df-_xlpm.absorbed_arg,_xlpm.scale,SQRT(_xlpm.naive_df/_xlpm.true_df),TRANSPOSE(IF(_xlpm.allow_arg,_xlfn.HSTACK(INDEX(_xlpm.ses,1,_xlpm.k+1),_xlfn.CHOOSECOLS(_xlpm.ses,_xlfn.SEQUENCE(1,_xlpm.k,_xlpm.k,-1))),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QRT(SS_Residual(_xlpm.X_s,_xlpm.Y,_xlpm.allow_arg,_xlpm.filt_arg)/Residual_Degrees_Of_Freedom(_xlpm.X_s,_xlpm.Y,_xlpm.allow_arg,_xlpm.filt_arg,_xlpm.absorbed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Values beyond ±2 flag outliers; ±3 are probable outliers. #N/A when s = 0 or hᵢ = 1. Optional DF_Absorbed (default 0) corrects 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e,Residuals(_xlpm.X_s,_xlpm.Y,_xlpm.allow_arg,_xlpm.filt_arg),_xlpm.se,SE_Regression(_xlpm.X_s,_xlpm.Y,_xlpm.allow_arg,_xlpm.filt_arg,_xlpm.absorbed_arg),_xlpm.h,Hat_Diagonal(_xlpm.X_s,_xlpm.allow_arg,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tudentized_Residuals(_xlpm.X_s,_xlpm.Y,_xlpm.allow_arg,_xlpm.filt_arg,_xlpm.absorbed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Coefficients(_xlpm.X_s,_xlpm.Y,_xlpm.allow_arg,_xlpm.filt_arg)/SE_Coefficients(_xlpm.X_s,_xlpm.Y,_xlpm.allow_arg,_xlpm.filt_arg,_xlpm.absorbed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_xlfn.LAMBDA(IFERROR(COLUMNS(Regression!X_s()),0)=0)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E21" i="7" l="1" a="1"/>
  <c r="AD21" i="7" a="1"/>
  <c r="AC21" i="7" a="1"/>
  <c r="AB21" i="7" a="1"/>
  <c r="AA21" i="7" a="1"/>
  <c r="Z21" i="7" a="1"/>
  <c r="Y21" i="7" a="1"/>
  <c r="X21" i="7" a="1"/>
  <c r="AI19" i="7" a="1"/>
  <c r="AG19" i="7" a="1"/>
  <c r="Z17" i="7" a="1"/>
  <c r="Y17" i="7" a="1"/>
  <c r="AA16" i="7" a="1"/>
  <c r="Z16" i="7" a="1"/>
  <c r="Y16" i="7" a="1"/>
  <c r="AC15" i="7" a="1"/>
  <c r="AB15" i="7" a="1"/>
  <c r="AA15" i="7" a="1"/>
  <c r="Z15" i="7" a="1"/>
  <c r="Y15" i="7" a="1"/>
  <c r="L15" i="7"/>
  <c r="K15" i="7"/>
  <c r="J15" i="7"/>
  <c r="L14" i="7"/>
  <c r="K14" i="7"/>
  <c r="J14" i="7"/>
  <c r="L13" i="7"/>
  <c r="K13" i="7"/>
  <c r="J13" i="7"/>
  <c r="AH12" i="7"/>
  <c r="AB12" i="7" a="1"/>
  <c r="L12" i="7"/>
  <c r="K12" i="7"/>
  <c r="J12" i="7"/>
  <c r="AB11" i="7" a="1"/>
  <c r="L11" i="7"/>
  <c r="K11" i="7"/>
  <c r="J11" i="7"/>
  <c r="AB10" i="7" a="1"/>
  <c r="L10" i="7"/>
  <c r="K10" i="7"/>
  <c r="J10" i="7"/>
  <c r="AB9" i="7" a="1"/>
  <c r="L9" i="7"/>
  <c r="K9" i="7"/>
  <c r="J9" i="7"/>
  <c r="AB8" i="7" a="1"/>
  <c r="Y8" i="7" a="1"/>
  <c r="L8" i="7"/>
  <c r="K8" i="7"/>
  <c r="J8" i="7"/>
  <c r="AB7" i="7" a="1"/>
  <c r="Y7" i="7" a="1"/>
  <c r="L7" i="7"/>
  <c r="K7" i="7"/>
  <c r="J7" i="7"/>
  <c r="AB6" i="7" a="1"/>
  <c r="Y6" i="7" a="1"/>
  <c r="L6" i="7"/>
  <c r="K6" i="7"/>
  <c r="J6" i="7"/>
  <c r="AB5" i="7" a="1"/>
  <c r="Y5" i="7" a="1"/>
  <c r="L5" i="7"/>
  <c r="K5" i="7"/>
  <c r="J5" i="7"/>
  <c r="AB4" i="7" a="1"/>
  <c r="Y4" i="7" a="1"/>
  <c r="L4" i="7"/>
  <c r="K4" i="7"/>
  <c r="J4" i="7"/>
  <c r="A4" i="7" a="1"/>
  <c r="AU3" i="7" a="1"/>
  <c r="AT3" i="7" a="1"/>
  <c r="AS3" i="7" a="1"/>
  <c r="AR3" i="7" a="1"/>
  <c r="AQ3" i="7" a="1"/>
  <c r="AV3" i="7" s="1" a="1"/>
  <c r="AP3" i="7" a="1"/>
  <c r="AO3" i="7" a="1"/>
  <c r="AN3" i="7" a="1"/>
  <c r="AM3" i="7" a="1"/>
  <c r="AL3" i="7" a="1"/>
  <c r="AK3" i="7" a="1"/>
  <c r="V3" i="7" a="1"/>
  <c r="U3" i="7" a="1"/>
  <c r="T3" i="7" a="1"/>
  <c r="S3" i="7" a="1"/>
  <c r="R3" i="7" a="1"/>
  <c r="Q3" i="7" a="1"/>
  <c r="P3" i="7" a="1"/>
  <c r="AV2" i="7" a="1"/>
  <c r="AU2" i="7" a="1"/>
  <c r="AT2" i="7" a="1"/>
  <c r="AS2" i="7" a="1"/>
  <c r="AR2" i="7" a="1"/>
  <c r="AQ2" i="7" a="1"/>
  <c r="AP2" i="7" a="1"/>
  <c r="AO2" i="7" a="1"/>
  <c r="AN2" i="7" a="1"/>
  <c r="AM2" i="7" a="1"/>
  <c r="AL2" i="7" a="1"/>
  <c r="AC2" i="7" a="1"/>
  <c r="M2" i="7" a="1"/>
  <c r="L2" i="7" a="1"/>
  <c r="K2" i="7" a="1"/>
  <c r="J2" i="7" a="1"/>
  <c r="I2" i="7" a="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H62" i="7" l="1" a="1"/>
  <c r="AH61" i="7" a="1"/>
  <c r="AH60" i="7" a="1"/>
  <c r="AH59" i="7" a="1"/>
  <c r="AH58" i="7" a="1"/>
  <c r="AH57" i="7" a="1"/>
  <c r="AH56" i="7" a="1"/>
  <c r="AH55" i="7" a="1"/>
  <c r="AH54" i="7" a="1"/>
  <c r="AH53" i="7" a="1"/>
  <c r="AH52" i="7" a="1"/>
  <c r="AH51" i="7" a="1"/>
  <c r="AH50" i="7" a="1"/>
  <c r="AH49" i="7" a="1"/>
  <c r="AH48" i="7" a="1"/>
  <c r="AH47" i="7" a="1"/>
  <c r="AH46" i="7" a="1"/>
  <c r="AH45" i="7" a="1"/>
  <c r="AH44" i="7" a="1"/>
  <c r="AH43" i="7" a="1"/>
  <c r="AH42" i="7" a="1"/>
  <c r="AH41" i="7" a="1"/>
  <c r="AH40" i="7" a="1"/>
  <c r="AH39" i="7" a="1"/>
  <c r="AH38" i="7" a="1"/>
  <c r="AH37" i="7" a="1"/>
  <c r="AH36" i="7" a="1"/>
  <c r="AH35" i="7" a="1"/>
  <c r="AH34" i="7" a="1"/>
  <c r="AH33" i="7" a="1"/>
  <c r="AH32" i="7" a="1"/>
  <c r="AH31" i="7" a="1"/>
  <c r="AH30" i="7" a="1"/>
  <c r="AH29" i="7" a="1"/>
  <c r="AH28" i="7" a="1"/>
  <c r="AH27" i="7" a="1"/>
  <c r="AH26" i="7" a="1"/>
  <c r="AH25" i="7" a="1"/>
  <c r="AH24" i="7" a="1"/>
  <c r="AH23" i="7" a="1"/>
  <c r="AH22" i="7" a="1"/>
  <c r="AH21" i="7" a="1"/>
  <c r="AH19" i="7" a="1"/>
  <c r="AH3" i="7" s="1" a="1"/>
  <c r="AH20" i="7" a="1"/>
  <c r="AH13" i="7" a="1"/>
  <c r="AH14"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CF1178AE-0C2F-4F83-A463-6B416A0FF860}">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DFE4F24F-1EEF-4CB0-A5DD-3A1B7FA98B8C}">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C8522C48-0530-4F48-97C4-311D5FF5359C}">
      <text>
        <r>
          <rPr>
            <b/>
            <sz val="9"/>
            <color indexed="81"/>
            <rFont val="Tahoma"/>
            <family val="2"/>
          </rPr>
          <t>Shows whether the data have a longer tail on one side. Positive means a longer right tail; negative means a longer left tail.</t>
        </r>
      </text>
    </comment>
    <comment ref="T2" authorId="0" shapeId="0" xr:uid="{8F93F73C-A4BB-4A92-A7D9-BE36A2538CF1}">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58F8AE2C-36D7-4711-B820-FD38C3B6D119}">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2AB23ED8-6F90-44BA-A596-205AB71D59AE}">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AFDC1EB1-4A89-4F7E-A537-EB789DB25C71}">
      <text>
        <r>
          <rPr>
            <b/>
            <sz val="9"/>
            <color indexed="81"/>
            <rFont val="Tahoma"/>
            <family val="2"/>
          </rPr>
          <t>The actual observed outcome values.</t>
        </r>
      </text>
    </comment>
    <comment ref="AM2" authorId="0" shapeId="0" xr:uid="{E5F60074-EE3B-479A-9AF2-EC9506E7C3D0}">
      <text>
        <r>
          <rPr>
            <b/>
            <sz val="9"/>
            <color indexed="81"/>
            <rFont val="Tahoma"/>
            <family val="2"/>
          </rPr>
          <t>The fitted outcome values produced by the model. When the Response's Transform is Log, this is in log space — it is not back-transformed to the response's original units.</t>
        </r>
      </text>
    </comment>
    <comment ref="AN2" authorId="0" shapeId="0" xr:uid="{FF2B538B-DE88-4DB0-9806-4F75EEF16521}">
      <text>
        <r>
          <rPr>
            <b/>
            <sz val="9"/>
            <color indexed="81"/>
            <rFont val="Tahoma"/>
            <family val="2"/>
          </rPr>
          <t>Actual Y minus predicted Y. Positive means the row came in above the model's prediction; negative means below.</t>
        </r>
      </text>
    </comment>
    <comment ref="AO2" authorId="0" shapeId="0" xr:uid="{3F96E567-FDA6-41E0-9F46-13FBAB8917C9}">
      <text>
        <r>
          <rPr>
            <b/>
            <sz val="9"/>
            <color indexed="81"/>
            <rFont val="Tahoma"/>
            <family val="2"/>
          </rPr>
          <t>Leverage. It shows how unusual a row's predictor values are relative to the rest of the data.</t>
        </r>
      </text>
    </comment>
    <comment ref="AP2" authorId="0" shapeId="0" xr:uid="{FE0DE58F-09D5-4F9E-A2D9-BFB0D482202B}">
      <text>
        <r>
          <rPr>
            <b/>
            <sz val="9"/>
            <color indexed="81"/>
            <rFont val="Tahoma"/>
            <family val="2"/>
          </rPr>
          <t>Residuals scaled to account for overall error size and leverage, making outliers easier to compare fairly.</t>
        </r>
      </text>
    </comment>
    <comment ref="AQ2" authorId="0" shapeId="0" xr:uid="{CB9D5C54-B9C3-43D4-860D-EDBC777686CA}">
      <text>
        <r>
          <rPr>
            <b/>
            <sz val="9"/>
            <color indexed="81"/>
            <rFont val="Tahoma"/>
            <family val="2"/>
          </rPr>
          <t>How much a single row can pull the fitted coefficients and predictions around.</t>
        </r>
      </text>
    </comment>
    <comment ref="AR2" authorId="0" shapeId="0" xr:uid="{0120A4A6-39EA-46A3-8302-5473F65BFD8E}">
      <text>
        <r>
          <rPr>
            <b/>
            <sz val="9"/>
            <color indexed="81"/>
            <rFont val="Tahoma"/>
            <family val="2"/>
          </rPr>
          <t>Expected bell-curve quantiles used for the Q-Q comparison.</t>
        </r>
      </text>
    </comment>
    <comment ref="AS2" authorId="0" shapeId="0" xr:uid="{E388D4B8-1B87-44BC-804D-0CC513F49685}">
      <text>
        <r>
          <rPr>
            <b/>
            <sz val="9"/>
            <color indexed="81"/>
            <rFont val="Tahoma"/>
            <family val="2"/>
          </rPr>
          <t>Studentized residuals sorted from smallest to largest for the Q-Q plot.</t>
        </r>
      </text>
    </comment>
    <comment ref="AT2" authorId="0" shapeId="0" xr:uid="{63B78E67-16A2-4D14-B21F-D890E912A34D}">
      <text>
        <r>
          <rPr>
            <b/>
            <sz val="9"/>
            <color indexed="81"/>
            <rFont val="Tahoma"/>
            <family val="2"/>
          </rPr>
          <t>The square root of the absolute studentized residual. A flat pattern suggests stable error spread.</t>
        </r>
      </text>
    </comment>
    <comment ref="AU2" authorId="0" shapeId="0" xr:uid="{2249145A-DF56-418C-96F5-01FC9D1465D1}">
      <text>
        <r>
          <rPr>
            <b/>
            <sz val="9"/>
            <color indexed="81"/>
            <rFont val="Tahoma"/>
            <family val="2"/>
          </rPr>
          <t>The prediction error for a row when that row is left out of the fitting step (the leave-one-out / LOOCV residual). Summing its squares gives PRESS.</t>
        </r>
      </text>
    </comment>
    <comment ref="AG3" authorId="0" shapeId="0" xr:uid="{9B227A61-C50B-4D61-9650-C2A415C8B3FF}">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F4" authorId="0" shapeId="0" xr:uid="{5E317463-92D3-4CC9-8824-D680FEA3C8CE}">
      <text>
        <r>
          <rPr>
            <b/>
            <sz val="9"/>
            <color indexed="81"/>
            <rFont val="Tahoma"/>
            <family val="2"/>
          </rPr>
          <t>Reserved for a future release — not yet used by any formula.</t>
        </r>
      </text>
    </comment>
    <comment ref="G4" authorId="0" shapeId="0" xr:uid="{53C749C1-A31B-431E-A5E5-FFC838E1F23B}">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4" authorId="0" shapeId="0" xr:uid="{2029B47B-6769-4E7B-87B8-E78B7A608535}">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6363E58A-887C-4CE3-BF3D-3576DD705464}">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47CA5FE8-316E-4BBF-B986-36EAC63676E2}">
      <text>
        <r>
          <rPr>
            <b/>
            <sz val="9"/>
            <color indexed="81"/>
            <rFont val="Tahoma"/>
            <family val="2"/>
          </rPr>
          <t>How closely the model's predicted Y values track the actual Y values overall.</t>
        </r>
      </text>
    </comment>
    <comment ref="AA4" authorId="0" shapeId="0" xr:uid="{1B1E38B7-99F6-4D7F-8C7D-9A0979E6D7F9}">
      <text>
        <r>
          <rPr>
            <b/>
            <sz val="9"/>
            <color indexed="81"/>
            <rFont val="Tahoma"/>
            <family val="2"/>
          </rPr>
          <t>A leave-one-out prediction error score. Lower is better because it means the model predicts unseen rows more accurately.</t>
        </r>
      </text>
    </comment>
    <comment ref="AG4" authorId="0" shapeId="0" xr:uid="{26A9D997-E3F2-466F-9E39-62FE0ECF9DAA}">
      <text>
        <r>
          <rPr>
            <b/>
            <sz val="9"/>
            <color indexed="81"/>
            <rFont val="Tahoma"/>
            <family val="2"/>
          </rPr>
          <t>The standard error for a new prediction. It reflects both model uncertainty and ordinary row-to-row noise.</t>
        </r>
      </text>
    </comment>
    <comment ref="X5" authorId="0" shapeId="0" xr:uid="{61D2A39D-0BA0-4196-84BC-F96197CA563D}">
      <text>
        <r>
          <rPr>
            <b/>
            <sz val="9"/>
            <color indexed="81"/>
            <rFont val="Tahoma"/>
            <family val="2"/>
          </rPr>
          <t>The share of the outcome's variation explained by the model.</t>
        </r>
      </text>
    </comment>
    <comment ref="AA5" authorId="0" shapeId="0" xr:uid="{04CD07BD-2BEF-4E35-B267-725EF0B141DC}">
      <text>
        <r>
          <rPr>
            <b/>
            <sz val="9"/>
            <color indexed="81"/>
            <rFont val="Tahoma"/>
            <family val="2"/>
          </rPr>
          <t>An out-of-sample version of R Square based on leave-one-out prediction. Negative values mean the model predicts worse than just using the average Y.</t>
        </r>
      </text>
    </comment>
    <comment ref="AG5" authorId="0" shapeId="0" xr:uid="{5CC9C172-B5DB-4C4F-BD76-F753FAE5D06C}">
      <text>
        <r>
          <rPr>
            <b/>
            <sz val="9"/>
            <color indexed="81"/>
            <rFont val="Tahoma"/>
            <family val="2"/>
          </rPr>
          <t>The t-distribution cutoff at the chosen confidence level. Multiply by SE Prediction to get the prediction interval half-width.</t>
        </r>
      </text>
    </comment>
    <comment ref="X6" authorId="0" shapeId="0" xr:uid="{0EE271F8-A72F-4804-9970-471677AFEAAA}">
      <text>
        <r>
          <rPr>
            <b/>
            <sz val="9"/>
            <color indexed="81"/>
            <rFont val="Tahoma"/>
            <family val="2"/>
          </rPr>
          <t>R Square with a penalty for adding predictors that do not help enough.</t>
        </r>
      </text>
    </comment>
    <comment ref="AA6" authorId="0" shapeId="0" xr:uid="{8A68933B-2F98-41F1-9DA1-E4EDFBA0241C}">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E0CD7428-5E2C-4582-8CBD-F66A1D928D68}">
      <text>
        <r>
          <rPr>
            <b/>
            <sz val="9"/>
            <color indexed="81"/>
            <rFont val="Tahoma"/>
            <family val="2"/>
          </rPr>
          <t>The lower bound of the 95% confidence interval.</t>
        </r>
      </text>
    </comment>
    <comment ref="X7" authorId="0" shapeId="0" xr:uid="{2FC80E6B-EC29-48C6-9777-3428B17C37EC}">
      <text>
        <r>
          <rPr>
            <b/>
            <sz val="9"/>
            <color indexed="81"/>
            <rFont val="Tahoma"/>
            <family val="2"/>
          </rPr>
          <t>The typical size of the model's prediction errors, measured in the same units as Y.</t>
        </r>
      </text>
    </comment>
    <comment ref="AA7" authorId="0" shapeId="0" xr:uid="{C32A1382-42A6-40D8-A31C-339C13B789EE}">
      <text>
        <r>
          <rPr>
            <b/>
            <sz val="9"/>
            <color indexed="81"/>
            <rFont val="Tahoma"/>
            <family val="2"/>
          </rPr>
          <t>A model-comparison score that balances fit against complexity. Lower is better when comparing models on the same data.</t>
        </r>
      </text>
    </comment>
    <comment ref="AG7" authorId="0" shapeId="0" xr:uid="{46333458-06C9-4F51-8033-71C952DDCB61}">
      <text>
        <r>
          <rPr>
            <b/>
            <sz val="9"/>
            <color indexed="81"/>
            <rFont val="Tahoma"/>
            <family val="2"/>
          </rPr>
          <t>The upper bound of the 95% confidence interval.</t>
        </r>
      </text>
    </comment>
    <comment ref="X8" authorId="0" shapeId="0" xr:uid="{99EDA49C-0C24-49B4-84CE-7AD42083BBEC}">
      <text>
        <r>
          <rPr>
            <b/>
            <sz val="9"/>
            <color indexed="81"/>
            <rFont val="Tahoma"/>
            <family val="2"/>
          </rPr>
          <t>The number of rows actually used in the regression after filtering.</t>
        </r>
      </text>
    </comment>
    <comment ref="AA8" authorId="0" shapeId="0" xr:uid="{9A516A8D-00F0-4368-A7C5-E5F2CA13B19B}">
      <text>
        <r>
          <rPr>
            <b/>
            <sz val="9"/>
            <color indexed="81"/>
            <rFont val="Tahoma"/>
            <family val="2"/>
          </rPr>
          <t>Another model-comparison score like AIC, but it penalizes extra predictors more strongly.</t>
        </r>
      </text>
    </comment>
    <comment ref="AG8" authorId="0" shapeId="0" xr:uid="{550CB826-DB1D-4374-977E-EE14D88C13CB}">
      <text>
        <r>
          <rPr>
            <b/>
            <sz val="9"/>
            <color indexed="81"/>
            <rFont val="Tahoma"/>
            <family val="2"/>
          </rPr>
          <t>The probability level associated with the interval. With alpha 0.05, this is 95%.</t>
        </r>
      </text>
    </comment>
    <comment ref="AA9" authorId="0" shapeId="0" xr:uid="{B8CDA830-EF2E-4894-B7DB-D255A024F691}">
      <text>
        <r>
          <rPr>
            <b/>
            <sz val="9"/>
            <color indexed="81"/>
            <rFont val="Tahoma"/>
            <family val="2"/>
          </rPr>
          <t>AIC with an extra correction for small samples.</t>
        </r>
      </text>
    </comment>
    <comment ref="AA10" authorId="0" shapeId="0" xr:uid="{40653DF9-A9B6-43C6-B4C0-9D63B263C0BE}">
      <text>
        <r>
          <rPr>
            <b/>
            <sz val="9"/>
            <color indexed="81"/>
            <rFont val="Tahoma"/>
            <family val="2"/>
          </rPr>
          <t>A numeric check of how close the residuals are to a normal bell shape. Values closer to 1 are better.</t>
        </r>
      </text>
    </comment>
    <comment ref="AA11" authorId="0" shapeId="0" xr:uid="{5215793F-9180-4AF5-B89F-652CFED3FD90}">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BF9D9131-2D85-4E56-A6D8-F0A8F1F83E95}">
      <text>
        <r>
          <rPr>
            <b/>
            <sz val="9"/>
            <color indexed="81"/>
            <rFont val="Tahoma"/>
            <family val="2"/>
          </rPr>
          <t>The cutoff for statistical significance. At 0.05, results with p-values below 0.05 are treated as statistically significant.</t>
        </r>
      </text>
    </comment>
    <comment ref="AA12" authorId="0" shapeId="0" xr:uid="{A8914A98-52DE-4BFC-8F1F-29576ECCB4CA}">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444DA51B-9ED9-4426-B716-981CB5AF7AED}">
      <text>
        <r>
          <rPr>
            <b/>
            <sz val="9"/>
            <color indexed="81"/>
            <rFont val="Tahoma"/>
            <family val="2"/>
          </rPr>
          <t>The number of independent data points available to estimate each part of the model — total rows minus one for each estimated parameter.</t>
        </r>
      </text>
    </comment>
    <comment ref="Z14" authorId="0" shapeId="0" xr:uid="{AFA39322-2B81-4EDF-91E7-C4ADAD1E6339}">
      <text>
        <r>
          <rPr>
            <b/>
            <sz val="9"/>
            <color indexed="81"/>
            <rFont val="Tahoma"/>
            <family val="2"/>
          </rPr>
          <t>The total variation attributed to that source — regression, residual, or total. The raw material from which MS and F are calculated.</t>
        </r>
      </text>
    </comment>
    <comment ref="AA14" authorId="0" shapeId="0" xr:uid="{E98C99F2-A6B4-4308-AF71-23E454EE8752}">
      <text>
        <r>
          <rPr>
            <b/>
            <sz val="9"/>
            <color indexed="81"/>
            <rFont val="Tahoma"/>
            <family val="2"/>
          </rPr>
          <t>Sum of squares averaged over its degrees of freedom — a per-unit measure of variation for that source.</t>
        </r>
      </text>
    </comment>
    <comment ref="AB14" authorId="0" shapeId="0" xr:uid="{636851B0-5D13-42B7-87BE-34A1B2B2EED6}">
      <text>
        <r>
          <rPr>
            <b/>
            <sz val="9"/>
            <color indexed="81"/>
            <rFont val="Tahoma"/>
            <family val="2"/>
          </rPr>
          <t>The model-vs-noise ratio used in the overall regression significance test.</t>
        </r>
      </text>
    </comment>
    <comment ref="AC14" authorId="0" shapeId="0" xr:uid="{81FE65F7-1A12-4E1F-AD40-1FAE4DE6BBEF}">
      <text>
        <r>
          <rPr>
            <b/>
            <sz val="9"/>
            <color indexed="81"/>
            <rFont val="Tahoma"/>
            <family val="2"/>
          </rPr>
          <t>The p-value for the overall F test. Small values mean the model as a whole is unlikely to be pure noise.</t>
        </r>
      </text>
    </comment>
    <comment ref="X15" authorId="0" shapeId="0" xr:uid="{51485DE2-76D6-4FA2-B511-5A12C85928C5}">
      <text>
        <r>
          <rPr>
            <b/>
            <sz val="9"/>
            <color indexed="81"/>
            <rFont val="Tahoma"/>
            <family val="2"/>
          </rPr>
          <t>The variation explained by the predictors taken together.</t>
        </r>
      </text>
    </comment>
    <comment ref="X16" authorId="0" shapeId="0" xr:uid="{EF7EE922-8367-445F-92BF-97E4D88CE1C3}">
      <text>
        <r>
          <rPr>
            <b/>
            <sz val="9"/>
            <color indexed="81"/>
            <rFont val="Tahoma"/>
            <family val="2"/>
          </rPr>
          <t>The variation the model does not explain.</t>
        </r>
      </text>
    </comment>
    <comment ref="X17" authorId="0" shapeId="0" xr:uid="{709E2980-82F1-4144-84C6-4788E0CAD6FB}">
      <text>
        <r>
          <rPr>
            <b/>
            <sz val="9"/>
            <color indexed="81"/>
            <rFont val="Tahoma"/>
            <family val="2"/>
          </rPr>
          <t>All variation in the outcome before splitting it into explained and unexplained parts.</t>
        </r>
      </text>
    </comment>
    <comment ref="AI17" authorId="0" shapeId="0" xr:uid="{3CDBC097-4B2D-4588-B1C7-B6C29F1BB9C7}">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Y20" authorId="0" shapeId="0" xr:uid="{4F426004-6A45-49D9-A286-68637262DE3F}">
      <text>
        <r>
          <rPr>
            <b/>
            <sz val="9"/>
            <color indexed="81"/>
            <rFont val="Tahoma"/>
            <family val="2"/>
          </rPr>
          <t>The fitted weights used to turn predictor values into predictions.</t>
        </r>
      </text>
    </comment>
    <comment ref="Z20" authorId="0" shapeId="0" xr:uid="{81737923-EA57-4972-9FBF-2EF68F0A08FF}">
      <text>
        <r>
          <rPr>
            <b/>
            <sz val="9"/>
            <color indexed="81"/>
            <rFont val="Tahoma"/>
            <family val="2"/>
          </rPr>
          <t>How uncertain each coefficient estimate is.</t>
        </r>
      </text>
    </comment>
    <comment ref="AA20" authorId="0" shapeId="0" xr:uid="{20E5611B-07FF-42EA-B9ED-1F1C0354E7DB}">
      <text>
        <r>
          <rPr>
            <b/>
            <sz val="9"/>
            <color indexed="81"/>
            <rFont val="Tahoma"/>
            <family val="2"/>
          </rPr>
          <t>How many standard errors the coefficient is away from zero.</t>
        </r>
      </text>
    </comment>
    <comment ref="AB20" authorId="0" shapeId="0" xr:uid="{91C7783B-79B3-4F38-8306-59D4213AF979}">
      <text>
        <r>
          <rPr>
            <b/>
            <sz val="9"/>
            <color indexed="81"/>
            <rFont val="Tahoma"/>
            <family val="2"/>
          </rPr>
          <t>How surprising this coefficient would be if its true effect were zero. Smaller values mean stronger evidence of a real effect.</t>
        </r>
      </text>
    </comment>
    <comment ref="AC20" authorId="0" shapeId="0" xr:uid="{17F33E03-FB0F-44D3-86CD-BA926029F237}">
      <text>
        <r>
          <rPr>
            <b/>
            <sz val="9"/>
            <color indexed="81"/>
            <rFont val="Tahoma"/>
            <family val="2"/>
          </rPr>
          <t>The lower bound of the 95% confidence interval.</t>
        </r>
      </text>
    </comment>
    <comment ref="AD20" authorId="0" shapeId="0" xr:uid="{BEF93DE7-5AD4-4573-BD6D-0AC7D1BFEDB1}">
      <text>
        <r>
          <rPr>
            <b/>
            <sz val="9"/>
            <color indexed="81"/>
            <rFont val="Tahoma"/>
            <family val="2"/>
          </rPr>
          <t>The upper bound of the 95% confidence interval.</t>
        </r>
      </text>
    </comment>
    <comment ref="AE20" authorId="0" shapeId="0" xr:uid="{E6395E16-B177-4A55-8EE6-2F2633AE1889}">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<sst xmlns="http://schemas.openxmlformats.org/spreadsheetml/2006/main" count="8750" uniqueCount="1842">
  <si>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</si>
  <si>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</si>
  <si>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</si>
  <si>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</si>
  <si>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</si>
  <si>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</si>
  <si>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</si>
  <si>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</si>
  <si>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</si>
  <si>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</si>
  <si>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</si>
  <si>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</si>
  <si>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</si>
  <si>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</si>
  <si>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</si>
  <si>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</si>
  <si>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</si>
  <si>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</si>
  <si>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</si>
  <si>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</si>
  <si>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</si>
  <si>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</si>
  <si>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</si>
  <si>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</si>
  <si>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</si>
  <si>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</si>
  <si>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</si>
  <si>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</si>
  <si>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</si>
  <si>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</si>
  <si>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</si>
  <si>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</si>
  <si>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</si>
  <si>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</si>
  <si>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</si>
  <si>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</si>
  <si>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</si>
  <si>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</si>
  <si>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</si>
  <si>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</si>
  <si>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</si>
  <si>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</si>
  <si>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</si>
  <si>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</si>
  <si>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</si>
  <si>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</si>
  <si>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</si>
  <si>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</si>
  <si>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</si>
  <si>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</si>
  <si>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</si>
  <si>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</si>
  <si>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</si>
  <si>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</si>
  <si>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</si>
  <si>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</si>
  <si>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</si>
  <si>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</si>
  <si>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</si>
  <si>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</si>
  <si>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</si>
  <si>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</si>
  <si>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</si>
  <si>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</si>
  <si>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</si>
  <si>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</si>
  <si>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</si>
  <si>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</si>
  <si>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</si>
  <si>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</si>
  <si>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</si>
  <si>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</si>
  <si>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</si>
  <si>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</si>
  <si>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</si>
  <si>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</si>
  <si>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</si>
  <si>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</si>
  <si>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</si>
  <si>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</si>
  <si>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</si>
  <si>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</si>
  <si>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</si>
  <si>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</si>
  <si>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</si>
  <si>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</si>
  <si>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</si>
  <si>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</si>
  <si>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</si>
  <si>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</si>
  <si>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</si>
  <si>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</si>
  <si>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</si>
  <si>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</si>
  <si>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</si>
  <si>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</si>
  <si>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</si>
  <si>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</si>
  <si>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</si>
  <si>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</si>
  <si>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</si>
  <si>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</si>
  <si>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</si>
  <si>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</si>
  <si>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</si>
  <si>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</si>
  <si>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</si>
  <si>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</si>
  <si>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</si>
  <si>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</si>
  <si>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</si>
  <si>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</si>
  <si>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</si>
  <si>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</si>
  <si>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</si>
  <si>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</si>
  <si>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</si>
  <si>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</si>
  <si>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</si>
  <si>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</si>
  <si>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</si>
  <si>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</si>
  <si>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</si>
  <si>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</si>
  <si>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</si>
  <si>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</si>
  <si>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</si>
  <si>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</si>
  <si>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</si>
  <si>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</si>
  <si>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</si>
  <si>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</si>
  <si>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</si>
  <si>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</si>
  <si>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</si>
  <si>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</si>
  <si>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</si>
  <si>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</si>
  <si>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</si>
  <si>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</si>
  <si>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</si>
  <si>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</si>
  <si>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</si>
  <si>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</si>
  <si>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</si>
  <si>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</si>
  <si>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</si>
  <si>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</si>
  <si>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</si>
  <si>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</si>
  <si>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</si>
  <si>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</si>
  <si>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</si>
  <si>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</si>
  <si>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</si>
  <si>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</si>
  <si>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</si>
  <si>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</si>
  <si>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</si>
  <si>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</si>
  <si>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</si>
  <si>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</si>
  <si>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</si>
  <si>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</si>
  <si>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</si>
  <si>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</si>
  <si>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</si>
  <si>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</si>
  <si>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</si>
  <si>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</si>
  <si>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</si>
  <si>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</si>
  <si>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</si>
  <si>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</si>
  <si>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</si>
  <si>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</si>
  <si>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</si>
  <si>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</si>
  <si>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</si>
  <si>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</si>
  <si>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</si>
  <si>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</si>
  <si>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</si>
  <si>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</si>
  <si>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</si>
  <si>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</si>
  <si>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</si>
  <si>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</si>
  <si>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</si>
  <si>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</si>
  <si>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</si>
  <si>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</si>
  <si>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</si>
  <si>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</si>
  <si>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</si>
  <si>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</si>
  <si>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</si>
  <si>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</si>
  <si>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</si>
  <si>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</si>
  <si>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</si>
  <si>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</si>
  <si>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</si>
  <si>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</si>
  <si>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</si>
  <si>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</si>
  <si>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</si>
  <si>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</si>
  <si>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</si>
  <si>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</si>
  <si>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</si>
  <si>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</si>
  <si>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</si>
  <si>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</si>
  <si>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</si>
  <si>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</si>
  <si>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</si>
  <si>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</si>
  <si>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</si>
  <si>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</si>
  <si>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</si>
  <si>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</si>
  <si>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</si>
  <si>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</si>
  <si>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</si>
  <si>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</si>
  <si>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</si>
  <si>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</si>
  <si>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</si>
  <si>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</si>
  <si>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</si>
  <si>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</si>
  <si>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</si>
  <si>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</si>
  <si>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</si>
  <si>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</si>
  <si>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</si>
  <si>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</si>
  <si>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</si>
  <si>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</si>
  <si>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</si>
  <si>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</si>
  <si>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</si>
  <si>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</si>
  <si>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</si>
  <si>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</si>
  <si>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</si>
  <si>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</si>
  <si>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</si>
  <si>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</si>
  <si>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</si>
  <si>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</si>
  <si>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</si>
  <si>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</si>
  <si>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</si>
  <si>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</si>
  <si>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</si>
  <si>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</si>
  <si>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</si>
  <si>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</si>
  <si>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</si>
  <si>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</si>
  <si>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</si>
  <si>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</si>
  <si>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</si>
  <si>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</si>
  <si>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</si>
  <si>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</si>
  <si>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</si>
  <si>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</si>
  <si>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</si>
  <si>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</si>
  <si>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</si>
  <si>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</si>
  <si>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</si>
  <si>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</si>
  <si>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</si>
  <si>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</si>
  <si>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</si>
  <si>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</si>
  <si>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</si>
  <si>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</si>
  <si>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</si>
  <si>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</si>
  <si>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</si>
  <si>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</si>
  <si>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</si>
  <si>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</si>
  <si>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</si>
  <si>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</si>
  <si>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</si>
  <si>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</si>
  <si>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</si>
  <si>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</si>
  <si>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</si>
  <si>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</si>
  <si>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</si>
  <si>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</si>
  <si>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</si>
  <si>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</si>
  <si>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</si>
  <si>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</si>
  <si>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</si>
  <si>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</si>
  <si>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</si>
  <si>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</si>
  <si>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</si>
  <si>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</si>
  <si>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</si>
  <si>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</si>
  <si>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</si>
  <si>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</si>
  <si>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</si>
  <si>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</si>
  <si>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</si>
  <si>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</si>
  <si>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</si>
  <si>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</si>
  <si>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</si>
  <si>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</si>
  <si>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</si>
  <si>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</si>
  <si>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</si>
  <si>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</si>
  <si>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</si>
  <si>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</si>
  <si>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</si>
  <si>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</si>
  <si>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</si>
  <si>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</si>
  <si>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</si>
  <si>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</si>
  <si>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</si>
  <si>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</si>
  <si>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</si>
  <si>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</si>
  <si>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</si>
  <si>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</si>
  <si>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</si>
  <si>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</si>
  <si>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</si>
  <si>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</si>
  <si>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</si>
  <si>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</si>
  <si>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</si>
  <si>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</si>
  <si>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</si>
  <si>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</si>
  <si>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</si>
  <si>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</si>
  <si>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</si>
  <si>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</si>
  <si>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</si>
  <si>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</si>
  <si>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</si>
  <si>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</si>
  <si>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</si>
  <si>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</si>
  <si>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</si>
  <si>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</si>
  <si>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</si>
  <si>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</si>
  <si>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</si>
  <si>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</si>
  <si>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</si>
  <si>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</si>
  <si>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</si>
  <si>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</si>
  <si>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</si>
  <si>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</si>
  <si>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</si>
  <si>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</si>
  <si>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</si>
  <si>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</si>
  <si>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</si>
  <si>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</si>
  <si>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</si>
  <si>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</si>
  <si>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</si>
  <si>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</si>
  <si>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</si>
  <si>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</si>
  <si>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</si>
  <si>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</si>
  <si>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</si>
  <si>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</si>
  <si>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</si>
  <si>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</si>
  <si>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</si>
  <si>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</si>
  <si>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</si>
  <si>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</si>
  <si>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</si>
  <si>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</si>
  <si>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</si>
  <si>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</si>
  <si>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</si>
  <si>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</si>
  <si>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</si>
  <si>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</si>
  <si>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</si>
  <si>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</si>
  <si>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</si>
  <si>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</si>
  <si>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</si>
  <si>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</si>
  <si>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</si>
  <si>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</si>
  <si>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</si>
  <si>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</si>
  <si>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</si>
  <si>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</si>
  <si>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</si>
  <si>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</si>
  <si>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</si>
  <si>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</si>
  <si>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</si>
  <si>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</si>
  <si>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</si>
  <si>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</si>
  <si>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</si>
  <si>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</si>
  <si>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</si>
  <si>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</si>
  <si>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</si>
  <si>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</si>
  <si>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</si>
  <si>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</si>
  <si>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</si>
  <si>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</si>
  <si>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</si>
  <si>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</si>
  <si>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</si>
  <si>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</si>
  <si>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</si>
  <si>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</si>
  <si>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</si>
  <si>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</si>
  <si>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</si>
  <si>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</si>
  <si>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</si>
  <si>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</si>
  <si>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</si>
  <si>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</si>
  <si>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</si>
  <si>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</si>
  <si>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</si>
  <si>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</si>
  <si>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</si>
  <si>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</si>
  <si>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</si>
  <si>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</si>
  <si>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</si>
  <si>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</si>
  <si>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</si>
  <si>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</si>
  <si>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</si>
  <si>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</si>
  <si>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</si>
  <si>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</si>
  <si>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</si>
  <si>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</si>
  <si>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</si>
  <si>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</si>
  <si>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</si>
  <si>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</si>
  <si>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</si>
  <si>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</si>
  <si>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</si>
  <si>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</si>
  <si>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</si>
  <si>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</si>
  <si>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</si>
  <si>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</si>
  <si>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</si>
  <si>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</si>
  <si>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</si>
  <si>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</si>
  <si>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</si>
  <si>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</si>
  <si>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</si>
  <si>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</si>
  <si>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</si>
  <si>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</si>
  <si>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</si>
  <si>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</si>
  <si>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</si>
  <si>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</si>
  <si>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</si>
  <si>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</si>
  <si>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</si>
  <si>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</si>
  <si>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</si>
  <si>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</si>
  <si>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</si>
  <si>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</si>
  <si>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</si>
  <si>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</si>
  <si>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</si>
  <si>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</si>
  <si>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</si>
  <si>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</si>
  <si>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</si>
  <si>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</si>
  <si>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</si>
  <si>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</si>
  <si>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</si>
  <si>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</si>
  <si>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</si>
  <si>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</si>
  <si>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</si>
  <si>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</si>
  <si>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</si>
  <si>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</si>
  <si>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</si>
  <si>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</si>
  <si>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</si>
  <si>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</si>
  <si>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</si>
  <si>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</si>
  <si>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</si>
  <si>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</si>
  <si>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</si>
  <si>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</si>
  <si>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</si>
  <si>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</si>
  <si>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</si>
  <si>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</si>
  <si>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</si>
  <si>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</si>
  <si>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</si>
  <si>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</si>
  <si>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</si>
  <si>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</si>
  <si>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</si>
  <si>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</si>
  <si>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</si>
  <si>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</si>
  <si>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</si>
  <si>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</si>
  <si>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</si>
  <si>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</si>
  <si>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</si>
  <si>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</si>
  <si>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</si>
  <si>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</si>
  <si>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</si>
  <si>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</si>
  <si>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</si>
  <si>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</si>
  <si>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</si>
  <si>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</si>
  <si>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</si>
  <si>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</si>
  <si>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</si>
  <si>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</si>
  <si>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</si>
  <si>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</si>
  <si>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</si>
  <si>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</si>
  <si>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</si>
  <si>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</si>
  <si>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</si>
  <si>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</si>
  <si>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</si>
  <si>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</si>
  <si>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</si>
  <si>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</si>
  <si>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</si>
  <si>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</si>
  <si>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</si>
  <si>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</si>
  <si>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</si>
  <si>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</si>
  <si>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</si>
  <si>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</si>
  <si>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</si>
  <si>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</si>
  <si>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</si>
  <si>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</si>
  <si>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</si>
  <si>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</si>
  <si>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</si>
  <si>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</si>
  <si>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</si>
  <si>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</si>
  <si>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</si>
  <si>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</si>
  <si>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</si>
  <si>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</si>
  <si>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</si>
  <si>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</si>
  <si>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</si>
  <si>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</si>
  <si>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</si>
  <si>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</si>
  <si>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</si>
  <si>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</si>
  <si>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</si>
  <si>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</si>
  <si>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</si>
  <si>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</si>
  <si>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</si>
  <si>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</si>
  <si>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</si>
  <si>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</si>
  <si>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</si>
  <si>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</si>
  <si>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</si>
  <si>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</si>
  <si>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</si>
  <si>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</si>
  <si>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</si>
  <si>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</si>
  <si>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</si>
  <si>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</si>
  <si>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</si>
  <si>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</si>
  <si>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</si>
  <si>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</si>
  <si>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</si>
  <si>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</si>
  <si>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</si>
  <si>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</si>
  <si>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</si>
  <si>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</si>
  <si>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</si>
  <si>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</si>
  <si>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</si>
  <si>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</si>
  <si>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</si>
  <si>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</si>
  <si>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</si>
  <si>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</si>
  <si>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</si>
  <si>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</si>
  <si>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</si>
  <si>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</si>
  <si>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</si>
  <si>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</si>
  <si>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</si>
  <si>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</si>
  <si>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</si>
  <si>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</si>
  <si>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</si>
  <si>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</si>
  <si>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</si>
  <si>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</si>
  <si>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</si>
  <si>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</si>
  <si>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</si>
  <si>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</si>
  <si>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</si>
  <si>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</si>
  <si>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</si>
  <si>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</si>
  <si>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</si>
  <si>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</si>
  <si>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</si>
  <si>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</si>
  <si>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</si>
  <si>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</si>
  <si>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</si>
  <si>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</si>
  <si>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</si>
  <si>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</si>
  <si>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</si>
  <si>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</si>
  <si>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</si>
  <si>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</si>
  <si>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</si>
  <si>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</si>
  <si>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</si>
  <si>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</si>
  <si>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</si>
  <si>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</si>
  <si>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</si>
  <si>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</si>
  <si>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</si>
  <si>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</si>
  <si>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</si>
  <si>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</si>
  <si>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</si>
  <si>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</si>
  <si>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</si>
  <si>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</si>
  <si>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</si>
  <si>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</si>
  <si>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</si>
  <si>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</si>
  <si>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</si>
  <si>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</si>
  <si>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</si>
  <si>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</si>
  <si>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</si>
  <si>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</si>
  <si>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</si>
  <si>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</si>
  <si>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</si>
  <si>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</si>
  <si>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</si>
  <si>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</si>
  <si>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</si>
  <si>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</si>
  <si>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</si>
  <si>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</si>
  <si>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</si>
  <si>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</si>
  <si>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</si>
  <si>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</si>
  <si>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</si>
  <si>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</si>
  <si>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</si>
  <si>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</si>
  <si>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</si>
  <si>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</si>
  <si>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</si>
  <si>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</si>
  <si>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</si>
  <si>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</si>
  <si>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</si>
  <si>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</si>
  <si>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</si>
  <si>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</si>
  <si>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</si>
  <si>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</si>
  <si>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</si>
  <si>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</si>
  <si>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</si>
  <si>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</si>
  <si>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</si>
  <si>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</si>
  <si>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</si>
  <si>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</si>
  <si>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</si>
  <si>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</si>
  <si>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</si>
  <si>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</si>
  <si>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</si>
  <si>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</si>
  <si>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</si>
  <si>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</si>
  <si>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</si>
  <si>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</si>
  <si>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</si>
  <si>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</si>
  <si>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</si>
  <si>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</si>
  <si>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</si>
  <si>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</si>
  <si>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</si>
  <si>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</si>
  <si>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</si>
  <si>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</si>
  <si>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</si>
  <si>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</si>
  <si>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</si>
  <si>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</si>
  <si>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</si>
  <si>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</si>
  <si>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</si>
  <si>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</si>
  <si>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</si>
  <si>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</si>
  <si>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</si>
  <si>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</si>
  <si>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</si>
  <si>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</si>
  <si>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</si>
  <si>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</si>
  <si>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</si>
  <si>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</si>
  <si>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</si>
  <si>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</si>
  <si>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</si>
  <si>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</si>
  <si>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</si>
  <si>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</si>
  <si>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T_Statistics</t>
  </si>
  <si>
    <t>Confidence_Interval_Lower</t>
  </si>
  <si>
    <t>Confidence_Interval_Upper</t>
  </si>
  <si>
    <t>Partial_R_Squared</t>
  </si>
  <si>
    <t>=LAMBDA(X_s, [Allow_Intercept], [Include],
  LET(
    filt_arg, IF(ISOMITTED(Include), TRUE, Include),
    k,        COLUMNS(X_s),
    IF(k = 1,
      1,
      LET(
        col_idx, SEQUENCE(1, k),
        R2_vec,  MAKEARRAY(k, 1, LAMBDA(j, _,
          R_Squared(
            CHOOSECOLS(X_s, FILTER(col_idx, col_idx &lt;&gt; j)),
            CHOOSECOLS(X_s, j),
            TRUE,
            filt_arg
          )
        )),
        1 / (1 - R2_vec)
      )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</si>
  <si>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</si>
  <si>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</si>
  <si>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</si>
  <si>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</si>
  <si>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</si>
  <si>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</si>
  <si>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</si>
  <si>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</si>
  <si>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</si>
  <si>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</si>
  <si>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</si>
  <si>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</si>
  <si>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</si>
  <si>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</si>
  <si>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</si>
  <si>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</si>
  <si>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</si>
  <si>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</si>
  <si>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</si>
  <si>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</si>
  <si>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</si>
  <si>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</si>
  <si>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</si>
  <si>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</si>
  <si>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</si>
  <si>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</si>
  <si>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</si>
  <si>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</si>
  <si>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</si>
  <si>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</si>
  <si>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</si>
  <si>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</si>
  <si>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</si>
  <si>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</si>
  <si>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</si>
  <si>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</si>
  <si>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</si>
  <si>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</si>
  <si>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</si>
  <si>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</si>
  <si>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</si>
  <si>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</si>
  <si>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</si>
  <si>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</si>
  <si>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</si>
  <si>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</si>
  <si>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</si>
  <si>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</si>
  <si>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</si>
  <si>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</si>
  <si>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</si>
  <si>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</si>
  <si>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</si>
  <si>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</si>
  <si>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</si>
  <si>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</si>
  <si>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</si>
  <si>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</si>
  <si>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</si>
  <si>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</si>
  <si>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</si>
  <si>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</si>
  <si>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</si>
  <si>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</si>
  <si>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</si>
  <si>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</si>
  <si>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</si>
  <si>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</si>
  <si>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</si>
  <si>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</si>
  <si>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</si>
  <si>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</si>
  <si>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</si>
  <si>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</si>
  <si>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</si>
  <si>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</si>
  <si>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</si>
  <si>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</si>
  <si>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</si>
  <si>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</si>
  <si>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</si>
  <si>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</si>
  <si>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</si>
  <si>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</si>
  <si>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</si>
  <si>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</si>
  <si>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</si>
  <si>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</si>
  <si>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</si>
  <si>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</si>
  <si>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</si>
  <si>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</si>
  <si>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</si>
  <si>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</si>
  <si>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</si>
  <si>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</si>
  <si>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</si>
  <si>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</si>
  <si>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</si>
  <si>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</si>
  <si>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</si>
  <si>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</si>
  <si>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</si>
  <si>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</si>
  <si>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</si>
  <si>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</si>
  <si>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</si>
  <si>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</si>
  <si>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</si>
  <si>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</si>
  <si>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</si>
  <si>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</si>
  <si>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</si>
  <si>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</si>
  <si>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</si>
  <si>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</si>
  <si>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</si>
  <si>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</si>
  <si>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</si>
  <si>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</si>
  <si>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</si>
  <si>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</si>
  <si>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</si>
  <si>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</si>
  <si>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</si>
  <si>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</si>
  <si>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</si>
  <si>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</si>
  <si>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</si>
  <si>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</si>
  <si>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</si>
  <si>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</si>
  <si>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</si>
  <si>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</si>
  <si>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</si>
  <si>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</si>
  <si>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</si>
  <si>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</si>
  <si>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</si>
  <si>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</si>
  <si>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</si>
  <si>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</si>
  <si>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</si>
  <si>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</si>
  <si>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</si>
  <si>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</si>
  <si>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</si>
  <si>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</si>
  <si>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</si>
  <si>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</si>
  <si>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</si>
  <si>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</si>
  <si>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</si>
  <si>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</si>
  <si>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</si>
  <si>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</si>
  <si>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</si>
  <si>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</si>
  <si>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</si>
  <si>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</si>
  <si>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</si>
  <si>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</si>
  <si>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</si>
  <si>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</si>
  <si>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</si>
  <si>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</si>
  <si>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</si>
  <si>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</si>
  <si>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</si>
  <si>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</si>
  <si>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</si>
  <si>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</si>
  <si>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</si>
  <si>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</si>
  <si>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</si>
  <si>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</si>
  <si>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</si>
  <si>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</si>
  <si>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</si>
  <si>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</si>
  <si>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</si>
  <si>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</si>
  <si>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</si>
  <si>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</si>
  <si>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</si>
  <si>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</si>
  <si>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</si>
  <si>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</si>
  <si>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</si>
  <si>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</si>
  <si>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</si>
  <si>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</si>
  <si>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</si>
  <si>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</si>
  <si>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</si>
  <si>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</si>
  <si>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</si>
  <si>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</si>
  <si>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</si>
  <si>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</si>
  <si>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</si>
  <si>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</si>
  <si>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</si>
  <si>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</si>
  <si>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</si>
  <si>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</si>
  <si>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</si>
  <si>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</si>
  <si>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</si>
  <si>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</si>
  <si>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</si>
  <si>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</si>
  <si>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</si>
  <si>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</si>
  <si>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</si>
  <si>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</si>
  <si>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</si>
  <si>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</si>
  <si>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</si>
  <si>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</si>
  <si>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</si>
  <si>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</si>
  <si>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</si>
  <si>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</si>
  <si>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</si>
  <si>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</si>
  <si>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</si>
  <si>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</si>
  <si>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</si>
  <si>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</si>
  <si>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</si>
  <si>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</si>
  <si>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</si>
  <si>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</si>
  <si>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</si>
  <si>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</si>
  <si>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</si>
  <si>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</si>
  <si>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</si>
  <si>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</si>
  <si>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</si>
  <si>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</si>
  <si>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</si>
  <si>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</si>
  <si>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</si>
  <si>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</si>
  <si>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</si>
  <si>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</si>
  <si>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</si>
  <si>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</si>
  <si>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</si>
  <si>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</si>
  <si>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</si>
  <si>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</si>
  <si>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</si>
  <si>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</si>
  <si>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</si>
  <si>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</si>
  <si>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</si>
  <si>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</si>
  <si>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</si>
  <si>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</si>
  <si>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</si>
  <si>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</si>
  <si>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</si>
  <si>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</si>
  <si>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</si>
  <si>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</si>
  <si>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</si>
  <si>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</si>
  <si>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</si>
  <si>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</si>
  <si>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</si>
  <si>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</si>
  <si>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</si>
  <si>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</si>
  <si>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</si>
  <si>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</si>
  <si>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</si>
  <si>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</si>
  <si>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</si>
  <si>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</si>
  <si>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</si>
  <si>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</si>
  <si>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</si>
  <si>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</si>
  <si>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</si>
  <si>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</si>
  <si>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</si>
  <si>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</si>
  <si>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</si>
  <si>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</si>
  <si>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</si>
  <si>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</si>
  <si>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</si>
  <si>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</si>
  <si>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</si>
  <si>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</si>
  <si>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</si>
  <si>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</si>
  <si>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</si>
  <si>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</si>
  <si>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</si>
  <si>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</si>
  <si>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</si>
  <si>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</si>
  <si>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</si>
  <si>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</si>
  <si>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</si>
  <si>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</si>
  <si>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</si>
  <si>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</si>
  <si>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</si>
  <si>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</si>
  <si>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</si>
  <si>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</si>
  <si>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</si>
  <si>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</si>
  <si>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</si>
  <si>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</si>
  <si>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</si>
  <si>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</si>
  <si>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</si>
  <si>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</si>
  <si>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</si>
  <si>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</si>
  <si>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</si>
  <si>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</si>
  <si>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</si>
  <si>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</si>
  <si>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</si>
  <si>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</si>
  <si>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</si>
  <si>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</si>
  <si>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</si>
  <si>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</si>
  <si>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</si>
  <si>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</si>
  <si>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</si>
  <si>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</si>
  <si>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</si>
  <si>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</si>
  <si>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</si>
  <si>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</si>
  <si>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</si>
  <si>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</si>
  <si>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</si>
  <si>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</si>
  <si>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</si>
  <si>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</si>
  <si>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</si>
  <si>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</si>
  <si>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</si>
  <si>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</si>
  <si>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</si>
  <si>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</si>
  <si>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</si>
  <si>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</si>
  <si>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</si>
  <si>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</si>
  <si>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</si>
  <si>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</si>
  <si>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</si>
  <si>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</si>
  <si>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</si>
  <si>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</si>
  <si>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</si>
  <si>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</si>
  <si>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</si>
  <si>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</si>
  <si>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</si>
  <si>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</si>
  <si>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</si>
  <si>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</si>
  <si>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</si>
  <si>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</si>
  <si>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</si>
  <si>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</si>
  <si>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</si>
  <si>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</si>
  <si>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</si>
  <si>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</si>
  <si>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</si>
  <si>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</si>
  <si>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</si>
  <si>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</si>
  <si>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</si>
  <si>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</si>
  <si>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</si>
  <si>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</si>
  <si>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</si>
  <si>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</si>
  <si>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</si>
  <si>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</si>
  <si>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</si>
  <si>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</si>
  <si>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</si>
  <si>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</si>
  <si>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</si>
  <si>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</si>
  <si>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</si>
  <si>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</si>
  <si>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</si>
  <si>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</si>
  <si>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</si>
  <si>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</si>
  <si>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</si>
  <si>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</si>
  <si>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</si>
  <si>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</si>
  <si>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</si>
  <si>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</si>
  <si>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</si>
  <si>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</si>
  <si>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</si>
  <si>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</si>
  <si>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</si>
  <si>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</si>
  <si>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</si>
  <si>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</si>
  <si>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</si>
  <si>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</si>
  <si>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</si>
  <si>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</si>
  <si>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</si>
  <si>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</si>
  <si>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</si>
  <si>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</si>
  <si>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</si>
  <si>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</si>
  <si>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</si>
  <si>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</si>
  <si>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</si>
  <si>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</si>
  <si>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</si>
  <si>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</si>
  <si>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</si>
  <si>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</si>
  <si>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</si>
  <si>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</si>
  <si>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</si>
  <si>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</si>
  <si>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</si>
  <si>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</si>
  <si>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</si>
  <si>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</si>
  <si>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</si>
  <si>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</si>
  <si>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</si>
  <si>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</si>
  <si>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</si>
  <si>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</si>
  <si>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</si>
  <si>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</si>
  <si>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</si>
  <si>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</si>
  <si>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</si>
  <si>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</si>
  <si>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</si>
  <si>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</si>
  <si>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</si>
  <si>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</si>
  <si>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</si>
  <si>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</si>
  <si>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</si>
  <si>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</si>
  <si>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</si>
  <si>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</si>
  <si>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</si>
  <si>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</si>
  <si>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</si>
  <si>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</si>
  <si>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</si>
  <si>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</si>
  <si>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</si>
  <si>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</si>
  <si>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</si>
  <si>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</si>
  <si>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</si>
  <si>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</si>
  <si>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</si>
  <si>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</si>
  <si>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</si>
  <si>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</si>
  <si>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</si>
  <si>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</si>
  <si>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</si>
  <si>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</si>
  <si>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</si>
  <si>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</si>
  <si>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</si>
  <si>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</si>
  <si>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</si>
  <si>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</si>
  <si>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</si>
  <si>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</si>
  <si>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</si>
  <si>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</si>
  <si>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</si>
  <si>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</si>
  <si>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</si>
  <si>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</si>
  <si>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</si>
  <si>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</si>
  <si>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</si>
  <si>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</si>
  <si>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</si>
  <si>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</si>
  <si>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</si>
  <si>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</si>
  <si>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</si>
  <si>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</si>
  <si>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</si>
  <si>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</si>
  <si>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</si>
  <si>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</si>
  <si>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</si>
  <si>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</si>
  <si>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</si>
  <si>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</si>
  <si>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</si>
  <si>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</si>
  <si>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</si>
  <si>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</si>
  <si>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</si>
  <si>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</si>
  <si>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</si>
  <si>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</si>
  <si>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</si>
  <si>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</si>
  <si>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</si>
  <si>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</si>
  <si>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</si>
  <si>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</si>
  <si>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</si>
  <si>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</si>
  <si>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</si>
  <si>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</si>
  <si>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</si>
  <si>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</si>
  <si>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</si>
  <si>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</si>
  <si>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</si>
  <si>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</si>
  <si>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</si>
  <si>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</si>
  <si>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</si>
  <si>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</si>
  <si>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</si>
  <si>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</si>
  <si>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</si>
  <si>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</si>
  <si>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</si>
  <si>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</si>
  <si>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</si>
  <si>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</si>
  <si>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</si>
  <si>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</si>
  <si>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</si>
  <si>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</si>
  <si>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</si>
  <si>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</si>
  <si>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</si>
  <si>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</si>
  <si>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</si>
  <si>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</si>
  <si>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</si>
  <si>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</si>
  <si>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</si>
  <si>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</si>
  <si>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</si>
  <si>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</si>
  <si>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</si>
  <si>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</si>
  <si>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</si>
  <si>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</si>
  <si>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</si>
  <si>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</si>
  <si>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</si>
  <si>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</si>
  <si>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</si>
  <si>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</si>
  <si>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</si>
  <si>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</si>
  <si>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</si>
  <si>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</si>
  <si>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</si>
  <si>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</si>
  <si>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</si>
  <si>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</si>
  <si>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</si>
  <si>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</si>
  <si>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</si>
  <si>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</si>
  <si>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</si>
  <si>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</si>
  <si>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</si>
  <si>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</si>
  <si>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</si>
  <si>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</si>
  <si>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</si>
  <si>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</si>
  <si>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</si>
  <si>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</si>
  <si>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</si>
  <si>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</si>
  <si>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</si>
  <si>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</si>
  <si>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</si>
  <si>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</si>
  <si>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</si>
  <si>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</si>
  <si>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</si>
  <si>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</si>
  <si>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</si>
  <si>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</si>
  <si>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</si>
  <si>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</si>
  <si>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</si>
  <si>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</si>
  <si>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</si>
  <si>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</si>
  <si>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</si>
  <si>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</si>
  <si>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</si>
  <si>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</si>
  <si>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</si>
  <si>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</si>
  <si>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</si>
  <si>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</si>
  <si>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</si>
  <si>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</si>
  <si>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</si>
  <si>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</si>
  <si>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</si>
  <si>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</si>
  <si>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</si>
  <si>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</si>
  <si>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</si>
  <si>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</si>
  <si>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</si>
  <si>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</si>
  <si>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</si>
  <si>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</si>
  <si>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</si>
  <si>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</si>
  <si>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</si>
  <si>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</si>
  <si>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</si>
  <si>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</si>
  <si>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</si>
  <si>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</si>
  <si>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</si>
  <si>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</si>
  <si>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</si>
  <si>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</si>
  <si>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</si>
  <si>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</si>
  <si>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</si>
  <si>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</si>
  <si>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</si>
  <si>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</si>
  <si>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</si>
  <si>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</si>
  <si>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</si>
  <si>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</si>
  <si>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</si>
  <si>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</si>
  <si>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</si>
  <si>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</si>
  <si>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</si>
  <si>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</si>
  <si>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</si>
  <si>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</si>
  <si>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</si>
  <si>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</si>
  <si>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</si>
  <si>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</si>
  <si>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</si>
  <si>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</si>
  <si>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</si>
  <si>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</si>
  <si>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</si>
  <si>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</si>
  <si>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</si>
  <si>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</si>
  <si>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</si>
  <si>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</si>
  <si>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</si>
  <si>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</si>
  <si>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</si>
  <si>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</si>
  <si>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</si>
  <si>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</si>
  <si>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</si>
  <si>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</si>
  <si>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</si>
  <si>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</si>
  <si>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</si>
  <si>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</si>
  <si>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</si>
  <si>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</si>
  <si>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</si>
  <si>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</si>
  <si>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</si>
  <si>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</si>
  <si>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</si>
  <si>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</si>
  <si>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</si>
  <si>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</si>
  <si>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</si>
  <si>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</si>
  <si>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</si>
  <si>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</si>
  <si>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</si>
  <si>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</si>
  <si>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</si>
  <si>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</si>
  <si>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</si>
  <si>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</si>
  <si>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</si>
  <si>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</si>
  <si>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</si>
  <si>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</si>
  <si>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</si>
  <si>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</si>
  <si>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</si>
  <si>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</si>
  <si>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</si>
  <si>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</si>
  <si>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</si>
  <si>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</si>
  <si>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</si>
  <si>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</si>
  <si>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</si>
  <si>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</si>
  <si>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</si>
  <si>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</si>
  <si>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</si>
  <si>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</si>
  <si>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</si>
  <si>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</si>
  <si>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</si>
  <si>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</si>
  <si>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</si>
  <si>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</si>
  <si>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</si>
  <si>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</si>
  <si>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</si>
  <si>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</si>
  <si>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</si>
  <si>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</si>
  <si>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</si>
  <si>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</si>
  <si>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</si>
  <si>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</si>
  <si>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</si>
  <si>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</si>
  <si>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</si>
  <si>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</si>
  <si>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</si>
  <si>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</si>
  <si>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</si>
  <si>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</si>
  <si>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</si>
  <si>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</si>
  <si>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</si>
  <si>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</si>
  <si>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</si>
  <si>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</si>
  <si>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</si>
  <si>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</si>
  <si>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</si>
  <si>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</si>
  <si>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</si>
  <si>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</si>
  <si>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</si>
  <si>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</si>
  <si>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</si>
  <si>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</si>
  <si>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</si>
  <si>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</si>
  <si>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</si>
  <si>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</si>
  <si>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</si>
  <si>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</si>
  <si>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</si>
  <si>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</si>
  <si>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</si>
  <si>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</si>
  <si>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</si>
  <si>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</si>
  <si>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</si>
  <si>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</si>
  <si>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</si>
  <si>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</si>
  <si>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</si>
  <si>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</si>
  <si>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</si>
  <si>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</si>
  <si>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</si>
  <si>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</si>
  <si>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</si>
  <si>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</si>
  <si>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</si>
  <si>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</si>
  <si>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</si>
  <si>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</si>
  <si>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</si>
  <si>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</si>
  <si>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</si>
  <si>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</si>
  <si>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</si>
  <si>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</si>
  <si>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</si>
  <si>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</si>
  <si>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</si>
  <si>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</si>
  <si>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</si>
  <si>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</si>
  <si>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</si>
  <si>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</si>
  <si>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</si>
  <si>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</si>
  <si>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</si>
  <si>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</si>
  <si>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</si>
  <si>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</si>
  <si>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</si>
  <si>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</si>
  <si>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</si>
  <si>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</si>
  <si>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</si>
  <si>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</si>
  <si>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</si>
  <si>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</si>
  <si>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</si>
  <si>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</si>
  <si>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</si>
  <si>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</si>
  <si>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</si>
  <si>
    <t>=LAMBDA(X_s, Y, [Allow_Intercept], [Include], [DF_Absorbed],
  LET(
    allow_arg, IF(ISOMITTED(Allow_Intercept), TRUE, Allow_Intercept),
    filt_arg,  IF(ISOMITTED(Include),          TRUE, Include),
    absorbed_arg, IF(ISOMITTED(DF_Absorbed),   0,    DF_Absorbed),
    Total_Degrees_Of_Freedom(Y, allow_arg, filt_arg) - Regression_Degrees_Of_Freedom(X_s) -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</si>
  <si>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(Absorbed_Degrees_Of_Freedom(), Σ(Gᵢ−1)); subtracted from the residual df. Defaults to 0, so every no-FE caller is unaffected</t>
  </si>
  <si>
    <t>df_residual (n-k-1 with intercept, n-k without, minus DF_Absorbed) as a scalar integer</t>
  </si>
  <si>
    <t>How much data is left to estimate random error after fitting the model, minus any degrees of freedom a Fixed Effects variable has already absorbed.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</si>
  <si>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
Under v2.1 Fixed Effects, an optional trailing DF_Absorbed further subtracts the group degrees of freedom already spent demeaning the data (X_s_Within()/y_s() fit on n-K-1 df as an ordinary OLS would count them, but G−1 of those degrees of freedom were spent estimating group means, not model parameters) — omitted or 0, this is the single source of truth every df-dependent statistic downstream (MS_Residual, SE, t, p, CI, AIC/BIC, Prediction_Interval) threads through.</t>
  </si>
  <si>
    <t>=LAMBDA(X_s, Y, [Allow_Intercept], [Include], [DF_Absorbed],
  LET(
    allow_arg, IF(ISOMITTED(Allow_Intercept), TRUE, Allow_Intercept),
    filt_arg,  IF(ISOMITTED(Include),          TRUE, Include),
    absorbed_arg, IF(ISOMITTED(DF_Absorbed),   0,    DF_Absorbed),
    1 - (1 - R_Squared(X_s, Y, allow_arg, filt_arg))
      * Total_Degrees_Of_Freedom(Y,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</si>
  <si>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Residual_Degrees_Of_Freedom(). Defaults to 0 — every no-FE caller is unaffected</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</si>
  <si>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 An optional trailing DF_Absorbed (v2.1 Fixed Effects) threads to Residual_Degrees_Of_Freedom() so the penalty term correctly reflects absorbed group degrees of freedom.</t>
  </si>
  <si>
    <t>=LAMBDA(X_s, Y, [Allow_Intercept], [Include], [DF_Absorbed],
  LET(
    allow_arg, IF(ISOMITTED(Allow_Intercept), TRUE, Allow_Intercept),
    filt_arg,  IF(ISOMITTED(Include),          TRUE, Include),
    absorbed_arg, IF(ISOMITTED(DF_Absorbed),   0,    DF_Absorbed),
    SS_Residual(X_s, Y, allow_arg, filt_arg) / Residual_Degrees_Of_Freedom(X_s, Y, allow_arg, filt_arg, absorbed_arg)
  ))</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</si>
  <si>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</si>
  <si>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=LAMBDA(X_s, Y, [Allow_Intercept], [Include], [DF_Absorbed],
  LET(
    allow_arg, IF(ISOMITTED(Allow_Intercept), TRUE, Allow_Intercept),
    filt_arg,  IF(ISOMITTED(Include),          TRUE, Include),
    absorbed_arg, IF(ISOMITTED(DF_Absorbed),   0,    DF_Absorbed),
    SQRT(SS_Residual(X_s, Y, allow_arg, filt_arg) / Residual_Degrees_Of_Freedom(X_s, Y, allow_arg, filt_arg, absorbed_arg))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</si>
  <si>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</si>
  <si>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+ 2 * p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</si>
  <si>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since each absorbed group intercept IS an estimated parameter. Defaults to 0 — every no-FE caller is unaffected</t>
  </si>
  <si>
    <t>AIC = n·ln(SSR/n) + 2p, where p = number of regression parameters (predictors + intercept when Allow_Intercept is TRUE).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</si>
  <si>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p * LN(n)
  ))</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</si>
  <si>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</si>
  <si>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aic, n * LN(ssr / n) + 2 * p,
    aic + 2 * p * (p + 1) / (n - p - 1)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</si>
  <si>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(which also appears in the small-sample correction term). Defaults to 0 — every no-FE caller is unaffected</t>
  </si>
  <si>
    <t>AICc = AIC + 2p(p+1)/(n−p−1). The small-sample correction reduces upward bias in AIC when n/p &lt; 40. Converges to AIC as n → ∞.
Under v2.1 Fixed Effects, an optional trailing DF_Absorbed adds directly into p, propagating into both the AIC term and the small-sample correction term.</t>
  </si>
  <si>
    <t>=LAMBDA(X_s, Y, [Allow_Intercept], [Include], [DF_Absorbed],
  LET(
    allow_arg, IF(ISOMITTED(Allow_Intercept), TRUE, Allow_Intercept),
    filt_arg,  IF(ISOMITTED(Include), TRUE, Include),
    absorbed_arg, IF(ISOMITTED(DF_Absorbed), 0, DF_Absorbed),
    sr,        Scaled_Residuals_Ranked(X_s, Y, allow_arg, filt_arg, absorbed_arg),
    n,         ROWS(sr),
    ns,        NORM.S.INV((SEQUENCE(n) - 0.5) / n),
    CORREL(sr, ns)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</si>
  <si>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Scaled_Residuals_Ranked(). Defaults to 0 — every no-FE caller is unaffected</t>
  </si>
  <si>
    <t>=LAMBDA(X_s, Y, [Allow_Intercept], [Include], [DF_Absorbed],
  LET(
    allow_arg, IF(ISOMITTED(Allow_Intercept), TRUE, Allow_Intercept),
    filt_arg,  IF(ISOMITTED(Include),          TRUE, Include),
    absorbed_arg, IF(ISOMITTED(DF_Absorbed),   0,    DF_Absorbed),
    ls,        LINEST(FILTER(Y, filt_arg), FILTER(X_s, filt_arg), allow_arg, TRUE),
    ses,       INDEX(ls, 2),
    k,         COLUMNS(X_s),
    naive_df,  Residual_Degrees_Of_Freedom(X_s, Y, allow_arg, filt_arg),
    true_df,   naive_df - absorbed_arg,
    scale,     SQRT(naive_df / true_df),
    TRANSPOSE(IF(allow_arg,
      HSTACK(INDEX(ses, 1, k + 1), CHOOSECOLS(ses, SEQUENCE(1, k, k, -1))),
      CHOOSECOLS(ses, SEQUENCE(1, k, k, -1))
    )) * scale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</si>
  <si>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LINEST cannot be told a different df, so this RESCALES its output by SQRT(naive_df / (naive_df − DF_Absorbed)) — exact, since SS_Residual and (X'X)⁻¹ are identical between the two dfs, only the variance scaling differs. Defaults to 0, giving scale = 1 — every no-FE caller is unaffected</t>
  </si>
  <si>
    <t>How uncertain each fitted coefficient is — rescaled under Fixed Effects since Excel's LINEST can't be told about the absorbed groups directly.</t>
  </si>
  <si>
    <t>Returns a vertical spill array of the standard errors of the fitted OLS coefficients, in the same order as Coefficients (intercept first when included).
Uses LINEST with stats=TRUE and extracts row 2 (the standard error row), then applies the same reversal as Coefficients.
Under v2.1 Fixed Effects, LINEST is an Excel built-in that always computes its own SE using its own internal residual df (n−k−intercept) — it cannot be told about degrees of freedom absorbed by an FE group it never sees, since it only sees the already-demeaned X_s_Within()/y_s(). The fix is an exact rescaling, not an approximation: SS_Residual and (X'X)⁻¹ are identical whichever df is used (OLS coefficients and their sum-of-squares don't depend on df, only the variance-to-SE conversion does), so the correct SE is LINEST's SE times SQRT(naive_df / true_df), where naive_df is exactly what LINEST assumed and true_df subtracts DF_Absorbed. With DF_Absorbed omitted or 0, the scale factor is SQRT(naive_df/naive_df) = 1 exactly, so every no-FE caller is bit-identical to before.</t>
  </si>
  <si>
    <t>=LAMBDA(X_s, Y, [Allow_Intercept], [Include], [DF_Absorbed],
  LET(
    allow_arg, IF(ISOMITTED(Allow_Intercept), TRUE, Allow_Intercept),
    filt_arg,  IF(ISOMITTED(Include),          TRUE, Include),
    absorbed_arg, IF(ISOMITTED(DF_Absorbed),   0,    DF_Absorbed),
    Coefficients(X_s, Y, allow_arg, filt_arg) / SE_Coefficients(X_s,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</si>
  <si>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SE_Coefficients() — Coefficients() itself is unaffected by df. Defaults to 0 — every no-FE caller is unaffected</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</si>
  <si>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</si>
  <si>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=LAMBDA(X_s, Y, [Allow_Intercept], [Include], [DF_Absorbed],
  LET(
    allow_arg, IF(ISOMITTED(Allow_Intercept), TRUE, Allow_Intercept),
    filt_arg,  IF(ISOMITTED(Include),          TRUE, Include),
    absorbed_arg, IF(ISOMITTED(DF_Absorbed),   0,    DF_Absorbed),
    T.DIST.2T(ABS(T_Statistics(X_s, Y, allow_arg, filt_arg, absorbed_arg)),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</si>
  <si>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T_Statistics() and Residual_Degrees_Of_Freedom(). Defaults to 0 — every no-FE caller is unaffected</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</si>
  <si>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</si>
  <si>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</si>
  <si>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X_s: column range of predictors (single or multi-column)
Y: single-column outcome range
[Allow_Intercept]: TRUE/FALSE — fit intercept? Default TRUE
[Include]: boolean array — TRUE includes the row, FALSE excludes it
[Alpha]: significance level (0–1); default 0.05 yields 95% CIs.
[DF_Absorbed]: degrees of freedom absorbed by declared Fixed Effects groups, threaded to both Residual_Degrees_Of_Freedom() and SE_Coefficients(). Defaults to 0 — every no-FE caller is unaffected</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</si>
  <si>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</si>
  <si>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</si>
  <si>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</si>
  <si>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</si>
  <si>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</si>
  <si>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</si>
  <si>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</si>
  <si>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=LAMBDA(X_s, Y, X_new, [Allow_Intercept], [Include], [alpha], [DF_Absorbed],
  LET(
    allow_arg,     IF(ISOMITTED(Allow_Intercept), TRUE, Allow_Intercept),
    filt_arg,      IF(ISOMITTED(Include),          TRUE, Include),
    alpha_arg,     IF(ISOMITTED(alpha),           0.05, alpha),
    absorbed_arg,  IF(ISOMITTED(DF_Absorbed),     0,    DF_Absorbed),
    X_design,      Design_Matrix(X_s, allow_arg, filt_arg),
    beta,          Coefficients(X_s, Y, allow_arg, filt_arg),
    s,             SE_Regression(X_s, Y, allow_arg, filt_arg, absorbed_arg),
    df,            Residual_Degrees_Of_Freedom(X_s, Y, allow_arg, filt_arg, absorbed_arg),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</si>
  <si>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
[DF_Absorbed]: degrees of freedom absorbed by declared Fixed Effects groups, threaded to both SE_Regression() and Residual_Degrees_Of_Freedom(). Defaults to 0 — every no-FE caller is unaffected</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</si>
  <si>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X_s — it is not a well-defined FE prediction on its own under Fixed Effects; Group_Prediction_Interval is the group-mean-relative sibling that adds the ȳᵢ/x̄ᵢ recovery machinery.</t>
  </si>
  <si>
    <t>Group_Prediction_Interval</t>
  </si>
  <si>
    <t>X_s: column range of predictors, raw (not pre-demeaned) — single or multi-column
Y: single-column outcome range, raw (not pre-demeaned)
X_new: column vector of raw predictor values for the new observation, k rows matching COLUMNS(X_s) — no intercept placeholder (group-mean recovery never uses one)
group: single-column grouping key (Prediction_Group_Column(): the Fixed Effects column, or a constant single group when none is declared)
selected_group: the one group value to predict for (a dropdown-selected panel unit, or the constant "(all)" sentinel when no Fixed Effects row is declared)
[Allow_Intercept]: TRUE/FALSE — fit intercept in the within regression? Default TRUE. Does not change the point estimate (an intercept fit on group-demeaned data is always exactly 0), only how Coefficients()'s output is sliced
[Include]: boolean array — TRUE includes the row, FALSE excludes it
[alpha]: significance level (0–1); default 0.05 yields 95% intervals
[DF_Absorbed]: degrees of freedom absorbed by declared Fixed Effects groups, threaded to SE_Regression() and Residual_Degrees_Of_Freedom(). Defaults to 0</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</si>
  <si>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</si>
  <si>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</si>
  <si>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X_s/Y internally via Demean_By(·, group, include) rather than accepting pre-demeaned X_s_Within()/y_s(): those return the RAW X_s()/Response_Column()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Allow_Intercept.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</si>
  <si>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=LAMBDA(X_s, Y, [Allow_Intercept], [Include], [DF_Absorbed],
  LET(
    allow_arg, IF(ISOMITTED(Allow_Intercept), TRUE, Allow_Intercept),
    filt_arg,  IF(ISOMITTED(Include), TRUE, Include),
    absorbed_arg, IF(ISOMITTED(DF_Absorbed), 0, DF_Absorbed),
    Residuals(X_s, Y, allow_arg, filt_arg)
      / SE_Regression(X_s,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</si>
  <si>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SE_Regression(). Defaults to 0 — every no-FE caller is unaffected</t>
  </si>
  <si>
    <t>=LAMBDA(X_s, Y, [Allow_Intercept], [Include], [DF_Absorbed],
  LET(
    allow_arg, IF(ISOMITTED(Allow_Intercept), TRUE, Allow_Intercept),
    filt_arg,  IF(ISOMITTED(Include), TRUE, Include),
    absorbed_arg, IF(ISOMITTED(DF_Absorbed), 0, DF_Absorbed),
    e,         Residuals(X_s, Y, allow_arg, filt_arg),
    se,        SE_Regression(X_s, Y, allow_arg, filt_arg, absorbed_arg),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</si>
  <si>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</si>
  <si>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=LAMBDA(X_s, Y, [Allow_Intercept], [Include], [DF_Absorbed],
  LET(
    allow_arg, IF(ISOMITTED(Allow_Intercept), TRUE, Allow_Intercept),
    filt_arg,  IF(ISOMITTED(Include), TRUE, Include),
    absorbed_arg, IF(ISOMITTED(DF_Absorbed), 0, DF_Absorbed),
    SORT(Studentized_Residuals(X_s,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</si>
  <si>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Studentized_Residuals(). Defaults to 0 — every no-FE caller is unaffected</t>
  </si>
  <si>
    <t>=LAMBDA(X_s, Y, [Allow_Intercept], [Include], [DF_Absorbed],
  LET(
    allow_arg, IF(ISOMITTED(Allow_Intercept), TRUE, Allow_Intercept),
    filt_arg,  IF(ISOMITTED(Include), TRUE, Include),
    absorbed_arg, IF(ISOMITTED(DF_Absorbed), 0, DF_Absorbed),
    r,         Studentized_Residuals(X_s, Y, allow_arg, filt_arg, absorbed_arg),
    h,         Hat_Diagonal(X_s, allow_arg, filt_arg),
    p,         COLUMNS(Design_Matrix(X_s, allow_arg, filt_arg)),
    r ^ 2 * h / ((1 - h) * p)
  ))</t>
  </si>
  <si>
    <t>=LAMBDA(X_s, Y, [Allow_Intercept], [Include], [DF_Absorbed],
  LET(
    allow_arg, IF(ISOMITTED(Allow_Intercept), TRUE, Allow_Intercept),
    filt_arg,  IF(ISOMITTED(Include), TRUE, Include),
    absorbed_arg, IF(ISOMITTED(DF_Absorbed), 0, DF_Absorbed),
    SORT(Scaled_Residuals(X_s,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</si>
  <si>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 Defaults to 0 — every no-FE caller is unaffected</t>
  </si>
  <si>
    <t>=LAMBDA(X_s, Y, [Allow_Intercept], [Include], [DF_Absorbed],
  LET(
    allow_arg, IF(ISOMITTED(Allow_Intercept), TRUE, Allow_Intercept),
    filt_arg,  IF(ISOMITTED(Include),          TRUE, Include),
    absorbed_arg, IF(ISOMITTED(DF_Absorbed),   0,    DF_Absorbed),
    SS_Regression(X_s, Y, allow_arg, filt_arg) / Regression_Degrees_Of_Freedom(X_s) /
    (SS_Residual(X_s, 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</si>
  <si>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the denominator's Residual_Degrees_Of_Freedom() (numerator df is unaffected — absorbed groups aren't estimated slope coefficients). Defaults to 0 — every no-FE caller is unaffected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</si>
  <si>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</si>
  <si>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=LAMBDA(X_s, Y, [Allow_Intercept], [Include], [DF_Absorbed],
  LET(
    allow_arg, IF(ISOMITTED(Allow_Intercept), TRUE, Allow_Intercept),
    filt_arg,  IF(ISOMITTED(Include),          TRUE, Include),
    absorbed_arg, IF(ISOMITTED(DF_Absorbed),   0,    DF_Absorbed),
    F.DIST.RT(
      F_Statistic(X_s, Y, allow_arg, filt_arg, absorbed_arg),
      Regression_Degrees_Of_Freedom(X_s),
      Residual_Degrees_Of_Freedom(X_s, Y, allow_arg, filt_arg, absorbed_arg)
    )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</si>
  <si>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F_Statistic() and the denominator df of F.DIST.RT. Defaults to 0 — every no-FE caller is unaffected</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</si>
  <si>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</si>
  <si>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</si>
  <si>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</si>
  <si>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</si>
  <si>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</si>
  <si>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X_s()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</si>
  <si>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</si>
  <si>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</si>
  <si>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</si>
  <si>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</si>
  <si>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</si>
  <si>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</si>
  <si>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</si>
  <si>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</si>
  <si>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</si>
  <si>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</si>
  <si>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</si>
  <si>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v2.7+ concern, ships now as a standalone diagnostic ahead of that milestone.</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</si>
  <si>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</si>
  <si>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</si>
  <si>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</si>
  <si>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</si>
  <si>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</si>
  <si>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</si>
  <si>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</si>
  <si>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</si>
  <si>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</si>
  <si>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</si>
  <si>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</si>
  <si>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</si>
  <si>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</si>
  <si>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</si>
  <si>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</si>
  <si>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</si>
  <si>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 (v2.7+).</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</si>
  <si>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</si>
  <si>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</si>
  <si>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</si>
  <si>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</si>
  <si>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y_s()/X_s_Within()'s own fe_active branch: those return the RAW (uncentered) Response_Column()/X_s() when inactive, preserving the v2.0 model's own separately-fit intercept exactly. Group_Prediction_Interval needs a properly group-demeaned (here, grand-mean-centered) matrix for its variance term regardless of FE status, so it always re-demeans by this column rather than reusing X_s_Within() directly.</t>
  </si>
  <si>
    <t>y_s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</si>
  <si>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</si>
  <si>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</si>
  <si>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</si>
  <si>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y_s is the fit-time Response for the Regression sheet — the v2.1 Fixed Effects counterpart to X_s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y_s()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y_s()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</si>
  <si>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X_s_Within</t>
  </si>
  <si>
    <t>The fit-time design matrix: X_s() unchanged when no Fixed Effects row is declared, or each of its columns one-way within-transformed (group-demeaned) when one is; full height, same width as X_s().</t>
  </si>
  <si>
    <t>The design matrix the model actually fits: unchanged with no Fixed Effects, or with each predictor column's group average subtracted out when a Fixed Effects variable is declared.</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</si>
  <si>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</si>
  <si>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FE Variable</t>
  </si>
  <si>
    <t>FE Groups</t>
  </si>
  <si>
    <t>FE df absorbed</t>
  </si>
  <si>
    <t>SE (Mean)</t>
  </si>
  <si>
    <t>SE (New Obs)</t>
  </si>
  <si>
    <t>CI Lower</t>
  </si>
  <si>
    <t>CI Upper</t>
  </si>
  <si>
    <t>PI Lower</t>
  </si>
  <si>
    <t>FE Group</t>
  </si>
  <si>
    <t>Group Mean (y)</t>
  </si>
  <si>
    <t>Group Count</t>
  </si>
  <si>
    <t>=LAMBDA(X_s, Y, X_new, group, selected_group, [Allow_Intercept], [Include], [alpha], [DF_Absorbed],
  LET(
    allow_arg,    IF(ISOMITTED(Allow_Intercept), TRUE, Allow_Intercept),
    filt_arg,     IF(ISOMITTED(Include),          TRUE, Include),
    alpha_arg,    IF(ISOMITTED(alpha),            0.05, alpha),
    absorbed_arg, IF(ISOMITTED(DF_Absorbed),      0,    DF_Absorbed),
    x_within,     LET(
                      n_x,   COLUMNS(X_s),
                      seed,  SEQUENCE(ROWS(X_s), 1, 0, 0),
                      built, REDUCE(seed, SEQUENCE(n_x), LAMBDA(acc, j,
                          HSTACK(acc, Demean_By(INDEX(X_s, 0, j), group, filt_arg))
                      )),
                      DROP(built, , 1)
                  ),
    y_within,     Demean_By(Y, group, filt_arg),
    beta_full,    Coefficients(x_within, y_within, allow_arg, filt_arg),
    beta,         IF(allow_arg, DROP(beta_full, 1), beta_full),
    s,            SE_Regression(x_within, y_within, allow_arg, filt_arg, absorbed_arg),
    df,           Residual_Degrees_Of_Freedom(x_within, y_within, allow_arg, filt_arg, absorbed_arg),
    t_crit,       T.INV.2T(alpha_arg, df),
    X_design,     Design_Matrix(x_within, FALSE, filt_arg),
    XtX_inv,      Gram_Inverse(X_design),
    xbar_i,       TRANSPOSE(BYCOL(X_s,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</si>
  <si>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</si>
  <si>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=LAMBDA(LET(
    n_c,       COLUMNS(Source_Data),
    fe_active, SUMPRODUCT(N(TAKE(Spec_Role, n_c) = "Fixed Effects")) &gt; 0,
    IF(NOT(fe_active),
       X_s(),
       LET(
           fe,    Fixed_Effects_Column(),
           inc,   Sample_Include(),
           xs,    X_s(),
           n_x,   COLUMNS(xs),
           seed,  SEQUENCE(ROWS(xs), 1, 0, 0),
           built, REDUCE(seed, SEQUENCE(n_x), LAMBDA(acc, j,
               HSTACK(acc, Demean_By(INDEX(xs, 0, j), fe, inc))
           )),
           DROP(built, , 1)
       )
    )
))</t>
  </si>
  <si>
    <t>X_s_Within is the fit-time design matrix for the Regression sheet — the predictor-side counterpart to y_s. With no declared Fixed Effects row it is X_s() unchanged; with one declared, a REDUCE+HSTACK builds a new matrix column-by-column, demeaning each constructed column of X_s()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X_s() itself uses for column-by-column assembly.)
Shipped as a NEW function alongside y_s, for the identical reason: X_s() has raw-predictor consumers that must not see demeaned values — the Predictor Summary zone (Pearson_R, Spearman_R, Skewness, Kurtosis, GVIF, Generalized_Tolerance) characterizes each predictor's own distribution, and Constructed_Column_Names() labels columns positionally against X_s(), not X_s_Within(). Only the fit/inference/prediction/residual chain (Coefficients, Predictions, Residuals, Hat_Diagonal, Cooks_Distance, and everything built from them) is repointed to X_s_Within() — repointing which columns those formulas READ, not a change to what X_s() itself returns.
The no-FE branch returns X_s() itself, unchanged, so every existing no-FE model is unaffected by construction — including its error behavior: a zero-predictor spec that makes X_s() itself error propagates through X_s_Within() identically, never masked.</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</si>
  <si>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</si>
  <si>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</si>
  <si>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</si>
  <si>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</si>
  <si>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</si>
  <si>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</si>
  <si>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</si>
  <si>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</si>
  <si>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</si>
  <si>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</si>
  <si>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</si>
  <si>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</si>
  <si>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</si>
  <si>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</si>
  <si>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</si>
  <si>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</si>
  <si>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</si>
  <si>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</si>
  <si>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</si>
  <si>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</si>
  <si>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</si>
  <si>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</si>
  <si>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</si>
  <si>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</si>
  <si>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</si>
  <si>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</si>
  <si>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</si>
  <si>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</si>
  <si>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</si>
  <si>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</si>
  <si>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</si>
  <si>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</si>
  <si>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</si>
  <si>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</si>
  <si>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</si>
  <si>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</si>
  <si>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</si>
  <si>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</si>
  <si>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</si>
  <si>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</si>
  <si>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</si>
  <si>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</si>
  <si>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</si>
  <si>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</si>
  <si>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</si>
  <si>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</si>
  <si>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</si>
  <si>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</si>
  <si>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</si>
  <si>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</si>
  <si>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</si>
  <si>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</si>
  <si>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</si>
  <si>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</si>
  <si>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</si>
  <si>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</si>
  <si>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</si>
  <si>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</si>
  <si>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</si>
  <si>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</si>
  <si>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</si>
  <si>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</si>
  <si>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</si>
  <si>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</si>
  <si>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</si>
  <si>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</si>
  <si>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</si>
  <si>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</si>
  <si>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</si>
  <si>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Ln_Positive returns the natural log of x, restricted to strictly positive numeric input. It is the primitive behind the Regression sheet's Transform = Log spec option (column G): the model spec block's Response_Column(), X_s(),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</si>
  <si>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</si>
  <si>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</si>
  <si>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</si>
  <si>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y_s()) automatically fits in log space the instant Log is declared, with no call-site changes. This differs from the v2.1 FE precedent (y_s()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</si>
  <si>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LAMBDA(LET(n_c,COLUMNS(Source_Data),rl,TAKE(Spec_Role,n_c),inc,TAKE(Spec_Include,n_c),typ,TAKE(Spec_Type,n_c),refs,TAKE(Spec_Reference,n_c),trn,TAKE(Spec_Transform,n_c),seed,SEQUENCE(ROWS(Source_Data),1,0,0),built,REDUCE(seed,SEQUENCE(n_c),LAMBDA(acc,j,IF(OR(INDEX(rl,j)&lt;&gt;"Predictor (x)",INDEX(inc,j)&lt;&gt;TRUE),acc,LET(col,INDEX(Source_Data,0,j),IF(INDEX(typ,j)&lt;&gt;"Categorical",HSTACK(acc,IF(INDEX(trn,j)="Log",Ln_Positive(col,Sample_Include()),col)),LET(d,INDEX(refs,j),r,IF(LEN(d&amp;"")=0,"",d),lv,Dummy_Levels(col,r,Sample_Include()),IF(ISNA(INDEX(lv,1,1)),acc,HSTACK(acc,--(col=lv))))))))),DROP(built,,1)))</t>
  </si>
  <si>
    <t>The constructed design matrix in spec order: continuous predictors passed through (Ln_Positive-transformed when that row's Transform is Log), categoricals reference-dropped one-hot (Transform ignored — see the spec block's red flag for a Categorical row with Log set); full height.</t>
  </si>
  <si>
    <t>The design matrix built from the spec — continuous columns as-is (or natural-logged), categorical columns turned into reference-dropped dummies (never logged).</t>
  </si>
  <si>
    <t>Sheet-scoped design-matrix constructor for the Model Construction sheet. A REDUCE assembles columns in spec order for rows where Role=Predictor and Include=TRUE: a Continuous predictor is passed through as its raw column — or Ln_Positive(column) when that row's Transform (spec column G) is Log — and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(the Log wiring never touches dummy-coded columns). Reads Sample_Include only to fix categorical level sets and to gate the Log transform's row mask;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</si>
  <si>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=LAMBDA(LET(n_c,COLUMNS(Source_Data),rl,TAKE(Spec_Role,n_c),inc,TAKE(Spec_Include,n_c),typ,TAKE(Spec_Type,n_c),refs,TAKE(Spec_Reference,n_c),trn,TAKE(Spec_Transform,n_c),hdrs,TOROW(Header_Names),built,REDUCE("",SEQUENCE(n_c),LAMBDA(acc,j,IF(OR(INDEX(rl,j)&lt;&gt;"Predictor (x)",INDEX(inc,j)&lt;&gt;TRUE),acc,LET(h,INDEX(hdrs,1,j),IF(INDEX(typ,j)&lt;&gt;"Categorical",HSTACK(acc,IF(INDEX(trn,j)="Log","Ln("&amp;h&amp;")",h)),LET(col,INDEX(Source_Data,0,j),d,INDEX(refs,j),r,IF(LEN(d&amp;"")=0,"",d),lv,Dummy_Levels(col,r,Sample_Include()),IF(ISNA(INDEX(lv,1,1)),acc,HSTACK(acc,h&amp;": "&amp;lv)))))))),DROP(built,,1)))</t>
  </si>
  <si>
    <t>Horizontal header row of level-qualified names for X_s(); always the same width as COLUMNS(X_s()). A Continuous predictor's name is relabelled 'Ln(name)' when that row's Transform is Log.</t>
  </si>
  <si>
    <t>The column headings for the design matrix — like 'Status: Developing', 'Year: 2001', or 'Ln(Weight)' for a logged predictor — one per X_s column.</t>
  </si>
  <si>
    <t>Sheet-scoped header strip for the Model Construction sheet: the structural twin of X_s.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</si>
  <si>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Constructed_Column_Transforms</t>
  </si>
  <si>
    <t>=LAMBDA(LET(n_c,COLUMNS(Source_Data),rl,TAKE(Spec_Role,n_c),inc,TAKE(Spec_Include,n_c),typ,TAKE(Spec_Type,n_c),refs,TAKE(Spec_Reference,n_c),trn,TAKE(Spec_Transform,n_c),built,REDUCE("",SEQUENCE(n_c),LAMBDA(acc,j,IF(OR(INDEX(rl,j)&lt;&gt;"Predictor (x)",INDEX(inc,j)&lt;&gt;TRUE),acc,LET(t,IF(INDEX(trn,j)="Log","Log","None"),IF(INDEX(typ,j)&lt;&gt;"Categorical",HSTACK(acc,t),LET(col,INDEX(Source_Data,0,j),d,INDEX(refs,j),r,IF(LEN(d&amp;"")=0,"",d),lv,Dummy_Levels(col,r,Sample_Include()),IF(ISNA(INDEX(lv,1,1)),acc,HSTACK(acc,EXPAND("None",1,COLUMNS(lv),"None"))))))))),DROP(built,,1)))</t>
  </si>
  <si>
    <t>Horizontal row of per-column Transform flags ('Log' or 'None') aligned to X_s(); always the same width as COLUMNS(X_s()). Every dummy column contributed by a Categorical Predictor reads 'None', regardless of that row's own Transform cell.</t>
  </si>
  <si>
    <t>Which constructed columns are natural-logged ('Log') versus untouched ('None') — one flag per X_s() column, with every dummy column from a Categorical Predictor always 'None'.</t>
  </si>
  <si>
    <t>Sheet-scoped Transform-flag strip for the Model Construction sheet: the third structural twin of X_s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X_s()'s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X_s() itself uses. The retained-levels EXPAND is inlined, never LET-bound, for the same eager-empty-array reason X_s()'s own dummy branch inlines its broadcast.</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</si>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</sst>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51">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MPG ~ Horsepower + Cylinders (Categorical)</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16.393685809888794</c:v>
                </c:pt>
                <c:pt idx="1">
                  <c:v>13.379333514450185</c:v>
                </c:pt>
                <c:pt idx="2">
                  <c:v>14.671198783923874</c:v>
                </c:pt>
                <c:pt idx="3">
                  <c:v>14.671198783923874</c:v>
                </c:pt>
                <c:pt idx="4">
                  <c:v>15.532442296906334</c:v>
                </c:pt>
                <c:pt idx="5">
                  <c:v>10.537229921608066</c:v>
                </c:pt>
                <c:pt idx="6">
                  <c:v>8.6424941930466517</c:v>
                </c:pt>
                <c:pt idx="7">
                  <c:v>9.0731159495378826</c:v>
                </c:pt>
                <c:pt idx="8">
                  <c:v>8.2118724365554243</c:v>
                </c:pt>
                <c:pt idx="9">
                  <c:v>11.226224731994034</c:v>
                </c:pt>
                <c:pt idx="10">
                  <c:v>12.948711757958954</c:v>
                </c:pt>
                <c:pt idx="11">
                  <c:v>13.809955270941414</c:v>
                </c:pt>
                <c:pt idx="12">
                  <c:v>14.671198783923874</c:v>
                </c:pt>
                <c:pt idx="13">
                  <c:v>8.2118724365554243</c:v>
                </c:pt>
                <c:pt idx="14">
                  <c:v>27.087322281839008</c:v>
                </c:pt>
                <c:pt idx="15">
                  <c:v>23.247680193583207</c:v>
                </c:pt>
                <c:pt idx="16">
                  <c:v>23.075431490986713</c:v>
                </c:pt>
                <c:pt idx="17">
                  <c:v>24.108923706565665</c:v>
                </c:pt>
                <c:pt idx="18">
                  <c:v>27.690192740926726</c:v>
                </c:pt>
                <c:pt idx="19">
                  <c:v>31.307415495453061</c:v>
                </c:pt>
                <c:pt idx="20">
                  <c:v>27.776317092224975</c:v>
                </c:pt>
                <c:pt idx="21">
                  <c:v>27.517944038330235</c:v>
                </c:pt>
                <c:pt idx="22">
                  <c:v>27.087322281839008</c:v>
                </c:pt>
                <c:pt idx="23">
                  <c:v>25.537083958470578</c:v>
                </c:pt>
                <c:pt idx="24">
                  <c:v>23.678301950074435</c:v>
                </c:pt>
                <c:pt idx="25">
                  <c:v>9.0731159495378826</c:v>
                </c:pt>
                <c:pt idx="26">
                  <c:v>10.364981219011575</c:v>
                </c:pt>
                <c:pt idx="27">
                  <c:v>9.5037377060291135</c:v>
                </c:pt>
                <c:pt idx="28">
                  <c:v>10.967851678099297</c:v>
                </c:pt>
                <c:pt idx="29">
                  <c:v>27.690192740926726</c:v>
                </c:pt>
                <c:pt idx="30">
                  <c:v>27.517944038330235</c:v>
                </c:pt>
                <c:pt idx="31">
                  <c:v>27.087322281839008</c:v>
                </c:pt>
                <c:pt idx="32">
                  <c:v>22.817058437091976</c:v>
                </c:pt>
                <c:pt idx="33">
                  <c:v>22.386436680600745</c:v>
                </c:pt>
                <c:pt idx="34">
                  <c:v>22.817058437091976</c:v>
                </c:pt>
                <c:pt idx="35">
                  <c:v>23.850550652670925</c:v>
                </c:pt>
                <c:pt idx="36">
                  <c:v>22.817058437091976</c:v>
                </c:pt>
                <c:pt idx="37">
                  <c:v>13.379333514450185</c:v>
                </c:pt>
                <c:pt idx="38">
                  <c:v>12.518090001467725</c:v>
                </c:pt>
                <c:pt idx="39">
                  <c:v>14.412825730029136</c:v>
                </c:pt>
                <c:pt idx="40">
                  <c:v>14.671198783923874</c:v>
                </c:pt>
                <c:pt idx="41">
                  <c:v>12.087468244976494</c:v>
                </c:pt>
                <c:pt idx="42">
                  <c:v>12.948711757958954</c:v>
                </c:pt>
                <c:pt idx="43">
                  <c:v>12.518090001467725</c:v>
                </c:pt>
                <c:pt idx="44">
                  <c:v>21.955814924109514</c:v>
                </c:pt>
                <c:pt idx="45">
                  <c:v>29.068182361698664</c:v>
                </c:pt>
                <c:pt idx="46">
                  <c:v>22.817058437091976</c:v>
                </c:pt>
                <c:pt idx="47">
                  <c:v>23.850550652670925</c:v>
                </c:pt>
                <c:pt idx="48">
                  <c:v>27.86244144352322</c:v>
                </c:pt>
                <c:pt idx="49">
                  <c:v>27.517944038330235</c:v>
                </c:pt>
                <c:pt idx="50">
                  <c:v>29.240431064295155</c:v>
                </c:pt>
                <c:pt idx="51">
                  <c:v>28.723684956505679</c:v>
                </c:pt>
                <c:pt idx="52">
                  <c:v>29.671052820786386</c:v>
                </c:pt>
                <c:pt idx="53">
                  <c:v>29.326555415593404</c:v>
                </c:pt>
                <c:pt idx="54">
                  <c:v>30.101674577277617</c:v>
                </c:pt>
                <c:pt idx="55">
                  <c:v>29.240431064295155</c:v>
                </c:pt>
                <c:pt idx="56">
                  <c:v>27.087322281839008</c:v>
                </c:pt>
                <c:pt idx="57">
                  <c:v>28.379187551312697</c:v>
                </c:pt>
                <c:pt idx="58">
                  <c:v>30.618420685067093</c:v>
                </c:pt>
                <c:pt idx="59">
                  <c:v>27.517944038330235</c:v>
                </c:pt>
                <c:pt idx="60">
                  <c:v>27.86244144352322</c:v>
                </c:pt>
                <c:pt idx="61">
                  <c:v>13.379333514450185</c:v>
                </c:pt>
                <c:pt idx="62">
                  <c:v>12.518090001467725</c:v>
                </c:pt>
                <c:pt idx="63">
                  <c:v>14.671198783923874</c:v>
                </c:pt>
                <c:pt idx="64">
                  <c:v>14.412825730029136</c:v>
                </c:pt>
                <c:pt idx="65">
                  <c:v>14.671198783923874</c:v>
                </c:pt>
                <c:pt idx="66">
                  <c:v>9.6759864086256044</c:v>
                </c:pt>
                <c:pt idx="67">
                  <c:v>14.240577027432645</c:v>
                </c:pt>
                <c:pt idx="68">
                  <c:v>13.809955270941414</c:v>
                </c:pt>
                <c:pt idx="69">
                  <c:v>11.226224731994034</c:v>
                </c:pt>
                <c:pt idx="70">
                  <c:v>28.834894623370413</c:v>
                </c:pt>
                <c:pt idx="71">
                  <c:v>14.671198783923874</c:v>
                </c:pt>
                <c:pt idx="72">
                  <c:v>16.393685809888794</c:v>
                </c:pt>
                <c:pt idx="73">
                  <c:v>15.532442296906334</c:v>
                </c:pt>
                <c:pt idx="74">
                  <c:v>14.671198783923874</c:v>
                </c:pt>
                <c:pt idx="75">
                  <c:v>25.623208309768824</c:v>
                </c:pt>
                <c:pt idx="76">
                  <c:v>28.723684956505679</c:v>
                </c:pt>
                <c:pt idx="77">
                  <c:v>27.776317092224975</c:v>
                </c:pt>
                <c:pt idx="78">
                  <c:v>29.326555415593404</c:v>
                </c:pt>
                <c:pt idx="79">
                  <c:v>27.86244144352322</c:v>
                </c:pt>
                <c:pt idx="80">
                  <c:v>27.345695335733744</c:v>
                </c:pt>
                <c:pt idx="81">
                  <c:v>26.915073579242513</c:v>
                </c:pt>
                <c:pt idx="82">
                  <c:v>28.379187551312697</c:v>
                </c:pt>
                <c:pt idx="83">
                  <c:v>27.690192740926726</c:v>
                </c:pt>
                <c:pt idx="84">
                  <c:v>12.518090001467725</c:v>
                </c:pt>
                <c:pt idx="85">
                  <c:v>14.671198783923874</c:v>
                </c:pt>
                <c:pt idx="86">
                  <c:v>15.101820540415105</c:v>
                </c:pt>
                <c:pt idx="87">
                  <c:v>15.790815350801072</c:v>
                </c:pt>
                <c:pt idx="88">
                  <c:v>14.671198783923874</c:v>
                </c:pt>
                <c:pt idx="89">
                  <c:v>10.537229921608066</c:v>
                </c:pt>
                <c:pt idx="90">
                  <c:v>14.671198783923874</c:v>
                </c:pt>
                <c:pt idx="91">
                  <c:v>13.982203973537906</c:v>
                </c:pt>
                <c:pt idx="92">
                  <c:v>14.671198783923874</c:v>
                </c:pt>
                <c:pt idx="93">
                  <c:v>9.0731159495378826</c:v>
                </c:pt>
                <c:pt idx="94">
                  <c:v>8.2118724365554243</c:v>
                </c:pt>
                <c:pt idx="95">
                  <c:v>12.518090001467725</c:v>
                </c:pt>
                <c:pt idx="96">
                  <c:v>22.386436680600745</c:v>
                </c:pt>
                <c:pt idx="97">
                  <c:v>22.817058437091976</c:v>
                </c:pt>
                <c:pt idx="98">
                  <c:v>22.817058437091976</c:v>
                </c:pt>
                <c:pt idx="99">
                  <c:v>23.850550652670925</c:v>
                </c:pt>
                <c:pt idx="100">
                  <c:v>23.247680193583207</c:v>
                </c:pt>
                <c:pt idx="101">
                  <c:v>31.307415495453061</c:v>
                </c:pt>
                <c:pt idx="102">
                  <c:v>14.671198783923874</c:v>
                </c:pt>
                <c:pt idx="103">
                  <c:v>13.207084811853692</c:v>
                </c:pt>
                <c:pt idx="104">
                  <c:v>12.948711757958954</c:v>
                </c:pt>
                <c:pt idx="105">
                  <c:v>12.087468244976494</c:v>
                </c:pt>
                <c:pt idx="106">
                  <c:v>22.817058437091976</c:v>
                </c:pt>
                <c:pt idx="107">
                  <c:v>27.690192740926726</c:v>
                </c:pt>
                <c:pt idx="108">
                  <c:v>29.068182361698664</c:v>
                </c:pt>
                <c:pt idx="109">
                  <c:v>27.173446633137253</c:v>
                </c:pt>
                <c:pt idx="110">
                  <c:v>29.437765082458135</c:v>
                </c:pt>
                <c:pt idx="111">
                  <c:v>27.948565794821466</c:v>
                </c:pt>
                <c:pt idx="112">
                  <c:v>22.214187978004254</c:v>
                </c:pt>
                <c:pt idx="113">
                  <c:v>27.517944038330235</c:v>
                </c:pt>
                <c:pt idx="114">
                  <c:v>15.101820540415105</c:v>
                </c:pt>
                <c:pt idx="115">
                  <c:v>7.7812506800641934</c:v>
                </c:pt>
                <c:pt idx="116">
                  <c:v>31.049042441558321</c:v>
                </c:pt>
                <c:pt idx="117">
                  <c:v>28.809809307803924</c:v>
                </c:pt>
                <c:pt idx="118">
                  <c:v>27.431819687031989</c:v>
                </c:pt>
                <c:pt idx="119">
                  <c:v>25.623208309768824</c:v>
                </c:pt>
                <c:pt idx="120">
                  <c:v>14.671198783923874</c:v>
                </c:pt>
                <c:pt idx="121">
                  <c:v>25.795457012365315</c:v>
                </c:pt>
                <c:pt idx="122">
                  <c:v>20.922322708530565</c:v>
                </c:pt>
                <c:pt idx="123">
                  <c:v>12.087468244976494</c:v>
                </c:pt>
                <c:pt idx="124">
                  <c:v>23.247680193583207</c:v>
                </c:pt>
                <c:pt idx="125">
                  <c:v>22.817058437091976</c:v>
                </c:pt>
                <c:pt idx="126">
                  <c:v>22.817058437091976</c:v>
                </c:pt>
                <c:pt idx="127">
                  <c:v>29.498804118189895</c:v>
                </c:pt>
                <c:pt idx="128">
                  <c:v>28.379187551312697</c:v>
                </c:pt>
                <c:pt idx="129">
                  <c:v>29.671052820786386</c:v>
                </c:pt>
                <c:pt idx="130">
                  <c:v>28.809809307803924</c:v>
                </c:pt>
                <c:pt idx="131">
                  <c:v>22.817058437091976</c:v>
                </c:pt>
                <c:pt idx="132">
                  <c:v>21.955814924109514</c:v>
                </c:pt>
                <c:pt idx="133">
                  <c:v>22.386436680600745</c:v>
                </c:pt>
                <c:pt idx="134">
                  <c:v>15.532442296906334</c:v>
                </c:pt>
                <c:pt idx="135">
                  <c:v>14.671198783923874</c:v>
                </c:pt>
                <c:pt idx="136">
                  <c:v>14.671198783923874</c:v>
                </c:pt>
                <c:pt idx="137">
                  <c:v>15.532442296906334</c:v>
                </c:pt>
                <c:pt idx="138">
                  <c:v>14.671198783923874</c:v>
                </c:pt>
                <c:pt idx="139">
                  <c:v>28.120814497417957</c:v>
                </c:pt>
                <c:pt idx="140">
                  <c:v>29.498804118189895</c:v>
                </c:pt>
                <c:pt idx="141">
                  <c:v>28.551436253909188</c:v>
                </c:pt>
                <c:pt idx="142">
                  <c:v>30.790669387663584</c:v>
                </c:pt>
                <c:pt idx="143">
                  <c:v>30.015550225979371</c:v>
                </c:pt>
                <c:pt idx="144">
                  <c:v>28.809809307803924</c:v>
                </c:pt>
                <c:pt idx="145">
                  <c:v>28.809809307803924</c:v>
                </c:pt>
                <c:pt idx="146">
                  <c:v>28.809809307803924</c:v>
                </c:pt>
                <c:pt idx="147">
                  <c:v>26.915073579242513</c:v>
                </c:pt>
                <c:pt idx="148">
                  <c:v>27.259570984435499</c:v>
                </c:pt>
                <c:pt idx="149">
                  <c:v>29.498804118189895</c:v>
                </c:pt>
                <c:pt idx="150">
                  <c:v>23.247680193583207</c:v>
                </c:pt>
                <c:pt idx="151">
                  <c:v>22.386436680600745</c:v>
                </c:pt>
                <c:pt idx="152">
                  <c:v>25.228540273442864</c:v>
                </c:pt>
                <c:pt idx="153">
                  <c:v>25.228540273442864</c:v>
                </c:pt>
                <c:pt idx="154">
                  <c:v>12.948711757958954</c:v>
                </c:pt>
                <c:pt idx="155">
                  <c:v>15.101820540415105</c:v>
                </c:pt>
                <c:pt idx="156">
                  <c:v>14.671198783923874</c:v>
                </c:pt>
                <c:pt idx="157">
                  <c:v>14.843447486520366</c:v>
                </c:pt>
                <c:pt idx="158">
                  <c:v>21.955814924109514</c:v>
                </c:pt>
                <c:pt idx="159">
                  <c:v>22.386436680600745</c:v>
                </c:pt>
                <c:pt idx="160">
                  <c:v>21.955814924109514</c:v>
                </c:pt>
                <c:pt idx="161">
                  <c:v>23.247680193583207</c:v>
                </c:pt>
                <c:pt idx="162">
                  <c:v>21.955814924109514</c:v>
                </c:pt>
                <c:pt idx="163">
                  <c:v>18.116172835853714</c:v>
                </c:pt>
                <c:pt idx="164">
                  <c:v>16.479810161187039</c:v>
                </c:pt>
                <c:pt idx="165">
                  <c:v>28.809809307803924</c:v>
                </c:pt>
                <c:pt idx="166">
                  <c:v>28.120814497417957</c:v>
                </c:pt>
                <c:pt idx="167">
                  <c:v>22.817058437091976</c:v>
                </c:pt>
                <c:pt idx="168">
                  <c:v>28.551436253909188</c:v>
                </c:pt>
                <c:pt idx="169">
                  <c:v>27.001197930540762</c:v>
                </c:pt>
                <c:pt idx="170">
                  <c:v>29.15430671299691</c:v>
                </c:pt>
                <c:pt idx="171">
                  <c:v>26.915073579242513</c:v>
                </c:pt>
                <c:pt idx="172">
                  <c:v>23.075431490986713</c:v>
                </c:pt>
                <c:pt idx="173">
                  <c:v>29.240431064295155</c:v>
                </c:pt>
                <c:pt idx="174">
                  <c:v>23.678301950074435</c:v>
                </c:pt>
                <c:pt idx="175">
                  <c:v>27.087322281839008</c:v>
                </c:pt>
                <c:pt idx="176">
                  <c:v>27.690192740926726</c:v>
                </c:pt>
                <c:pt idx="177">
                  <c:v>26.828949227944268</c:v>
                </c:pt>
                <c:pt idx="178">
                  <c:v>25.364835255874084</c:v>
                </c:pt>
                <c:pt idx="179">
                  <c:v>30.704545036365339</c:v>
                </c:pt>
                <c:pt idx="180">
                  <c:v>27.86244144352322</c:v>
                </c:pt>
                <c:pt idx="181">
                  <c:v>28.293063200014451</c:v>
                </c:pt>
                <c:pt idx="182">
                  <c:v>27.345695335733744</c:v>
                </c:pt>
                <c:pt idx="183">
                  <c:v>28.465311902610942</c:v>
                </c:pt>
                <c:pt idx="184">
                  <c:v>28.120814497417957</c:v>
                </c:pt>
                <c:pt idx="185">
                  <c:v>15.532442296906334</c:v>
                </c:pt>
                <c:pt idx="186">
                  <c:v>14.671198783923874</c:v>
                </c:pt>
                <c:pt idx="187">
                  <c:v>17.254929322871256</c:v>
                </c:pt>
                <c:pt idx="188">
                  <c:v>14.498950081327383</c:v>
                </c:pt>
                <c:pt idx="189">
                  <c:v>22.817058437091976</c:v>
                </c:pt>
                <c:pt idx="190">
                  <c:v>22.386436680600745</c:v>
                </c:pt>
                <c:pt idx="191">
                  <c:v>24.453421111758651</c:v>
                </c:pt>
                <c:pt idx="192">
                  <c:v>23.678301950074435</c:v>
                </c:pt>
                <c:pt idx="193">
                  <c:v>30.790669387663584</c:v>
                </c:pt>
                <c:pt idx="194">
                  <c:v>30.101674577277617</c:v>
                </c:pt>
                <c:pt idx="195">
                  <c:v>29.240431064295155</c:v>
                </c:pt>
                <c:pt idx="196">
                  <c:v>30.704545036365339</c:v>
                </c:pt>
                <c:pt idx="197">
                  <c:v>22.817058437091976</c:v>
                </c:pt>
                <c:pt idx="198">
                  <c:v>24.711794165653387</c:v>
                </c:pt>
                <c:pt idx="199">
                  <c:v>21.955814924109514</c:v>
                </c:pt>
                <c:pt idx="200">
                  <c:v>23.247680193583207</c:v>
                </c:pt>
                <c:pt idx="201">
                  <c:v>29.15430671299691</c:v>
                </c:pt>
                <c:pt idx="202">
                  <c:v>29.240431064295155</c:v>
                </c:pt>
                <c:pt idx="203">
                  <c:v>28.809809307803924</c:v>
                </c:pt>
                <c:pt idx="204">
                  <c:v>29.068182361698664</c:v>
                </c:pt>
                <c:pt idx="205">
                  <c:v>26.484451822751282</c:v>
                </c:pt>
                <c:pt idx="206">
                  <c:v>14.671198783923874</c:v>
                </c:pt>
                <c:pt idx="207">
                  <c:v>27.690192740926726</c:v>
                </c:pt>
                <c:pt idx="208">
                  <c:v>22.128063626706009</c:v>
                </c:pt>
                <c:pt idx="209">
                  <c:v>21.094571411127056</c:v>
                </c:pt>
                <c:pt idx="210">
                  <c:v>12.087468244976494</c:v>
                </c:pt>
                <c:pt idx="211">
                  <c:v>15.101820540415105</c:v>
                </c:pt>
                <c:pt idx="212">
                  <c:v>16.393685809888794</c:v>
                </c:pt>
                <c:pt idx="213">
                  <c:v>14.671198783923874</c:v>
                </c:pt>
                <c:pt idx="214">
                  <c:v>29.41267976689165</c:v>
                </c:pt>
                <c:pt idx="215">
                  <c:v>28.379187551312697</c:v>
                </c:pt>
                <c:pt idx="216">
                  <c:v>30.273923279874108</c:v>
                </c:pt>
                <c:pt idx="217">
                  <c:v>27.001197930540762</c:v>
                </c:pt>
                <c:pt idx="218">
                  <c:v>29.240431064295155</c:v>
                </c:pt>
                <c:pt idx="219">
                  <c:v>15.101820540415105</c:v>
                </c:pt>
                <c:pt idx="220">
                  <c:v>18.116172835853714</c:v>
                </c:pt>
                <c:pt idx="221">
                  <c:v>15.101820540415105</c:v>
                </c:pt>
                <c:pt idx="222">
                  <c:v>16.393685809888794</c:v>
                </c:pt>
                <c:pt idx="223">
                  <c:v>21.955814924109514</c:v>
                </c:pt>
                <c:pt idx="224">
                  <c:v>22.386436680600745</c:v>
                </c:pt>
                <c:pt idx="225">
                  <c:v>22.817058437091976</c:v>
                </c:pt>
                <c:pt idx="226">
                  <c:v>22.989307139688467</c:v>
                </c:pt>
                <c:pt idx="227">
                  <c:v>12.087468244976494</c:v>
                </c:pt>
                <c:pt idx="228">
                  <c:v>12.948711757958954</c:v>
                </c:pt>
                <c:pt idx="229">
                  <c:v>11.226224731994034</c:v>
                </c:pt>
                <c:pt idx="230">
                  <c:v>14.757323135222121</c:v>
                </c:pt>
                <c:pt idx="231">
                  <c:v>28.551436253909188</c:v>
                </c:pt>
                <c:pt idx="232">
                  <c:v>27.690192740926726</c:v>
                </c:pt>
                <c:pt idx="233">
                  <c:v>28.809809307803924</c:v>
                </c:pt>
                <c:pt idx="234">
                  <c:v>27.60406838962848</c:v>
                </c:pt>
                <c:pt idx="235">
                  <c:v>29.843301523382877</c:v>
                </c:pt>
                <c:pt idx="236">
                  <c:v>28.120814497417957</c:v>
                </c:pt>
                <c:pt idx="237">
                  <c:v>29.498804118189895</c:v>
                </c:pt>
                <c:pt idx="238">
                  <c:v>28.551436253909188</c:v>
                </c:pt>
                <c:pt idx="239">
                  <c:v>23.075431490986713</c:v>
                </c:pt>
                <c:pt idx="240">
                  <c:v>25.795457012365315</c:v>
                </c:pt>
                <c:pt idx="241">
                  <c:v>27.715278056493215</c:v>
                </c:pt>
                <c:pt idx="242">
                  <c:v>31.13516679285657</c:v>
                </c:pt>
                <c:pt idx="243">
                  <c:v>29.58492846948814</c:v>
                </c:pt>
                <c:pt idx="244">
                  <c:v>30.790669387663584</c:v>
                </c:pt>
                <c:pt idx="245">
                  <c:v>29.240431064295155</c:v>
                </c:pt>
                <c:pt idx="246">
                  <c:v>30.101674577277617</c:v>
                </c:pt>
                <c:pt idx="247">
                  <c:v>18.116172835853714</c:v>
                </c:pt>
                <c:pt idx="248">
                  <c:v>15.532442296906334</c:v>
                </c:pt>
                <c:pt idx="249">
                  <c:v>15.618566648204581</c:v>
                </c:pt>
                <c:pt idx="250">
                  <c:v>22.386436680600745</c:v>
                </c:pt>
                <c:pt idx="251">
                  <c:v>23.247680193583207</c:v>
                </c:pt>
                <c:pt idx="252">
                  <c:v>24.108923706565665</c:v>
                </c:pt>
                <c:pt idx="253">
                  <c:v>27.690192740926726</c:v>
                </c:pt>
                <c:pt idx="254">
                  <c:v>22.817058437091976</c:v>
                </c:pt>
                <c:pt idx="255">
                  <c:v>23.678301950074435</c:v>
                </c:pt>
                <c:pt idx="256">
                  <c:v>22.386436680600745</c:v>
                </c:pt>
                <c:pt idx="257">
                  <c:v>24.108923706565665</c:v>
                </c:pt>
                <c:pt idx="258">
                  <c:v>21.955814924109514</c:v>
                </c:pt>
                <c:pt idx="259">
                  <c:v>21.094571411127056</c:v>
                </c:pt>
                <c:pt idx="260">
                  <c:v>15.101820540415105</c:v>
                </c:pt>
                <c:pt idx="261">
                  <c:v>17.218975602705985</c:v>
                </c:pt>
                <c:pt idx="262">
                  <c:v>15.618566648204581</c:v>
                </c:pt>
                <c:pt idx="263">
                  <c:v>15.532442296906334</c:v>
                </c:pt>
                <c:pt idx="264">
                  <c:v>29.41267976689165</c:v>
                </c:pt>
                <c:pt idx="265">
                  <c:v>27.087322281839008</c:v>
                </c:pt>
                <c:pt idx="266">
                  <c:v>26.915073579242513</c:v>
                </c:pt>
                <c:pt idx="267">
                  <c:v>28.809809307803924</c:v>
                </c:pt>
                <c:pt idx="268">
                  <c:v>27.087322281839008</c:v>
                </c:pt>
                <c:pt idx="269">
                  <c:v>26.226078768856546</c:v>
                </c:pt>
                <c:pt idx="270">
                  <c:v>27.948565794821466</c:v>
                </c:pt>
                <c:pt idx="271">
                  <c:v>26.915073579242513</c:v>
                </c:pt>
                <c:pt idx="272">
                  <c:v>24.478506427325136</c:v>
                </c:pt>
                <c:pt idx="273">
                  <c:v>20.663949654635825</c:v>
                </c:pt>
                <c:pt idx="274">
                  <c:v>25.364835255874084</c:v>
                </c:pt>
                <c:pt idx="275">
                  <c:v>19.974954844249858</c:v>
                </c:pt>
                <c:pt idx="276">
                  <c:v>29.15430671299691</c:v>
                </c:pt>
                <c:pt idx="277">
                  <c:v>29.41267976689165</c:v>
                </c:pt>
                <c:pt idx="278">
                  <c:v>21.525193167618283</c:v>
                </c:pt>
                <c:pt idx="279">
                  <c:v>24.108923706565665</c:v>
                </c:pt>
                <c:pt idx="280">
                  <c:v>27.690192740926726</c:v>
                </c:pt>
                <c:pt idx="281">
                  <c:v>23.678301950074435</c:v>
                </c:pt>
                <c:pt idx="282">
                  <c:v>21.955814924109514</c:v>
                </c:pt>
                <c:pt idx="283">
                  <c:v>16.393685809888794</c:v>
                </c:pt>
                <c:pt idx="284">
                  <c:v>16.479810161187039</c:v>
                </c:pt>
                <c:pt idx="285">
                  <c:v>15.704690999502827</c:v>
                </c:pt>
                <c:pt idx="286">
                  <c:v>15.963064053397565</c:v>
                </c:pt>
                <c:pt idx="287">
                  <c:v>14.240577027432645</c:v>
                </c:pt>
                <c:pt idx="288">
                  <c:v>15.360193594309843</c:v>
                </c:pt>
                <c:pt idx="289">
                  <c:v>16.824307566380025</c:v>
                </c:pt>
                <c:pt idx="290">
                  <c:v>14.671198783923874</c:v>
                </c:pt>
                <c:pt idx="291">
                  <c:v>29.15430671299691</c:v>
                </c:pt>
                <c:pt idx="292">
                  <c:v>29.671052820786386</c:v>
                </c:pt>
                <c:pt idx="293">
                  <c:v>28.379187551312697</c:v>
                </c:pt>
                <c:pt idx="294">
                  <c:v>28.379187551312697</c:v>
                </c:pt>
                <c:pt idx="295">
                  <c:v>26.717739561079533</c:v>
                </c:pt>
                <c:pt idx="296">
                  <c:v>16.824307566380025</c:v>
                </c:pt>
                <c:pt idx="297">
                  <c:v>29.15430671299691</c:v>
                </c:pt>
                <c:pt idx="298">
                  <c:v>19.838659861818634</c:v>
                </c:pt>
                <c:pt idx="299">
                  <c:v>29.240431064295155</c:v>
                </c:pt>
                <c:pt idx="300">
                  <c:v>29.240431064295155</c:v>
                </c:pt>
                <c:pt idx="301">
                  <c:v>29.671052820786386</c:v>
                </c:pt>
                <c:pt idx="302">
                  <c:v>29.326555415593404</c:v>
                </c:pt>
                <c:pt idx="303">
                  <c:v>27.517944038330235</c:v>
                </c:pt>
                <c:pt idx="304">
                  <c:v>21.525193167618283</c:v>
                </c:pt>
                <c:pt idx="305">
                  <c:v>21.525193167618283</c:v>
                </c:pt>
                <c:pt idx="306">
                  <c:v>27.517944038330235</c:v>
                </c:pt>
                <c:pt idx="307">
                  <c:v>28.723684956505679</c:v>
                </c:pt>
                <c:pt idx="308">
                  <c:v>30.101674577277617</c:v>
                </c:pt>
                <c:pt idx="309">
                  <c:v>29.240431064295155</c:v>
                </c:pt>
                <c:pt idx="310">
                  <c:v>29.671052820786386</c:v>
                </c:pt>
                <c:pt idx="311">
                  <c:v>27.517944038330235</c:v>
                </c:pt>
                <c:pt idx="312">
                  <c:v>27.690192740926726</c:v>
                </c:pt>
                <c:pt idx="313">
                  <c:v>27.517944038330235</c:v>
                </c:pt>
                <c:pt idx="314">
                  <c:v>23.678301950074435</c:v>
                </c:pt>
                <c:pt idx="315">
                  <c:v>28.551436253909188</c:v>
                </c:pt>
                <c:pt idx="316">
                  <c:v>27.517944038330235</c:v>
                </c:pt>
                <c:pt idx="317">
                  <c:v>28.809809307803924</c:v>
                </c:pt>
                <c:pt idx="318">
                  <c:v>27.345695335733744</c:v>
                </c:pt>
                <c:pt idx="319">
                  <c:v>28.809809307803924</c:v>
                </c:pt>
                <c:pt idx="320">
                  <c:v>29.671052820786386</c:v>
                </c:pt>
                <c:pt idx="321">
                  <c:v>26.226078768856546</c:v>
                </c:pt>
                <c:pt idx="322">
                  <c:v>29.671052820786386</c:v>
                </c:pt>
                <c:pt idx="323">
                  <c:v>31.13516679285657</c:v>
                </c:pt>
                <c:pt idx="324">
                  <c:v>31.13516679285657</c:v>
                </c:pt>
                <c:pt idx="325">
                  <c:v>27.578983074061995</c:v>
                </c:pt>
                <c:pt idx="326">
                  <c:v>29.498804118189895</c:v>
                </c:pt>
                <c:pt idx="327">
                  <c:v>29.498804118189895</c:v>
                </c:pt>
                <c:pt idx="328">
                  <c:v>29.498804118189895</c:v>
                </c:pt>
                <c:pt idx="329">
                  <c:v>29.929425874681122</c:v>
                </c:pt>
                <c:pt idx="330">
                  <c:v>20.061079195548103</c:v>
                </c:pt>
                <c:pt idx="331">
                  <c:v>28.576521569475677</c:v>
                </c:pt>
                <c:pt idx="332">
                  <c:v>27.690192740926726</c:v>
                </c:pt>
                <c:pt idx="333">
                  <c:v>29.068182361698664</c:v>
                </c:pt>
                <c:pt idx="334">
                  <c:v>28.034690146119711</c:v>
                </c:pt>
                <c:pt idx="335">
                  <c:v>28.034690146119711</c:v>
                </c:pt>
                <c:pt idx="336">
                  <c:v>27.345695335733744</c:v>
                </c:pt>
                <c:pt idx="337">
                  <c:v>21.955814924109514</c:v>
                </c:pt>
                <c:pt idx="338">
                  <c:v>28.034690146119711</c:v>
                </c:pt>
                <c:pt idx="339">
                  <c:v>30.273923279874108</c:v>
                </c:pt>
                <c:pt idx="340">
                  <c:v>29.757177172084631</c:v>
                </c:pt>
                <c:pt idx="341">
                  <c:v>30.101674577277617</c:v>
                </c:pt>
                <c:pt idx="342">
                  <c:v>29.498804118189895</c:v>
                </c:pt>
                <c:pt idx="343">
                  <c:v>29.671052820786386</c:v>
                </c:pt>
                <c:pt idx="344">
                  <c:v>29.929425874681122</c:v>
                </c:pt>
                <c:pt idx="345">
                  <c:v>29.41267976689165</c:v>
                </c:pt>
                <c:pt idx="346">
                  <c:v>29.843301523382877</c:v>
                </c:pt>
                <c:pt idx="347">
                  <c:v>29.671052820786386</c:v>
                </c:pt>
                <c:pt idx="348">
                  <c:v>29.671052820786386</c:v>
                </c:pt>
                <c:pt idx="349">
                  <c:v>28.895933659102173</c:v>
                </c:pt>
                <c:pt idx="350">
                  <c:v>28.809809307803924</c:v>
                </c:pt>
                <c:pt idx="351">
                  <c:v>28.809809307803924</c:v>
                </c:pt>
                <c:pt idx="352">
                  <c:v>26.656700525347777</c:v>
                </c:pt>
                <c:pt idx="353">
                  <c:v>28.895933659102173</c:v>
                </c:pt>
                <c:pt idx="354">
                  <c:v>28.379187551312697</c:v>
                </c:pt>
                <c:pt idx="355">
                  <c:v>24.884042868249878</c:v>
                </c:pt>
                <c:pt idx="356">
                  <c:v>21.439068816320038</c:v>
                </c:pt>
                <c:pt idx="357">
                  <c:v>21.094571411127056</c:v>
                </c:pt>
                <c:pt idx="358">
                  <c:v>21.955814924109514</c:v>
                </c:pt>
                <c:pt idx="359">
                  <c:v>18.546794592344945</c:v>
                </c:pt>
                <c:pt idx="360">
                  <c:v>23.850550652670925</c:v>
                </c:pt>
                <c:pt idx="361">
                  <c:v>24.108923706565665</c:v>
                </c:pt>
                <c:pt idx="362">
                  <c:v>27.690192740926726</c:v>
                </c:pt>
                <c:pt idx="363">
                  <c:v>27.690192740926726</c:v>
                </c:pt>
                <c:pt idx="364">
                  <c:v>27.690192740926726</c:v>
                </c:pt>
                <c:pt idx="365">
                  <c:v>27.948565794821466</c:v>
                </c:pt>
                <c:pt idx="366">
                  <c:v>28.034690146119711</c:v>
                </c:pt>
                <c:pt idx="367">
                  <c:v>27.517944038330235</c:v>
                </c:pt>
                <c:pt idx="368">
                  <c:v>27.345695335733744</c:v>
                </c:pt>
                <c:pt idx="369">
                  <c:v>28.895933659102173</c:v>
                </c:pt>
                <c:pt idx="370">
                  <c:v>29.41267976689165</c:v>
                </c:pt>
                <c:pt idx="371">
                  <c:v>29.41267976689165</c:v>
                </c:pt>
                <c:pt idx="372">
                  <c:v>29.843301523382877</c:v>
                </c:pt>
                <c:pt idx="373">
                  <c:v>29.240431064295155</c:v>
                </c:pt>
                <c:pt idx="374">
                  <c:v>27.690192740926726</c:v>
                </c:pt>
                <c:pt idx="375">
                  <c:v>28.809809307803924</c:v>
                </c:pt>
                <c:pt idx="376">
                  <c:v>29.240431064295155</c:v>
                </c:pt>
                <c:pt idx="377">
                  <c:v>29.498804118189895</c:v>
                </c:pt>
                <c:pt idx="378">
                  <c:v>29.498804118189895</c:v>
                </c:pt>
                <c:pt idx="379">
                  <c:v>29.498804118189895</c:v>
                </c:pt>
                <c:pt idx="380">
                  <c:v>21.955814924109514</c:v>
                </c:pt>
                <c:pt idx="381">
                  <c:v>24.108923706565665</c:v>
                </c:pt>
                <c:pt idx="382">
                  <c:v>27.345695335733744</c:v>
                </c:pt>
                <c:pt idx="383">
                  <c:v>21.783566221513023</c:v>
                </c:pt>
                <c:pt idx="384">
                  <c:v>27.001197930540762</c:v>
                </c:pt>
                <c:pt idx="385">
                  <c:v>28.034690146119711</c:v>
                </c:pt>
                <c:pt idx="386">
                  <c:v>27.517944038330235</c:v>
                </c:pt>
                <c:pt idx="387">
                  <c:v>27.86244144352322</c:v>
                </c:pt>
                <c:pt idx="388">
                  <c:v>30.790669387663584</c:v>
                </c:pt>
                <c:pt idx="389">
                  <c:v>28.034690146119711</c:v>
                </c:pt>
                <c:pt idx="390">
                  <c:v>28.465311902610942</c:v>
                </c:pt>
                <c:pt idx="391">
                  <c:v>28.206938848716206</c:v>
                </c:pt>
              </c:numCache>
            </c:numRef>
          </c:xVal>
          <c:yVal>
            <c:numRef>
              <c:f>Regression!RegChartResid</c:f>
              <c:numCache>
                <c:formatCode>0.0000</c:formatCode>
                <c:ptCount val="392"/>
                <c:pt idx="0">
                  <c:v>1.6063141901112061</c:v>
                </c:pt>
                <c:pt idx="1">
                  <c:v>1.6206664855498154</c:v>
                </c:pt>
                <c:pt idx="2">
                  <c:v>3.3288012160761262</c:v>
                </c:pt>
                <c:pt idx="3">
                  <c:v>1.3288012160761262</c:v>
                </c:pt>
                <c:pt idx="4">
                  <c:v>1.4675577030936662</c:v>
                </c:pt>
                <c:pt idx="5">
                  <c:v>4.4627700783919337</c:v>
                </c:pt>
                <c:pt idx="6">
                  <c:v>5.3575058069533483</c:v>
                </c:pt>
                <c:pt idx="7">
                  <c:v>4.9268840504621174</c:v>
                </c:pt>
                <c:pt idx="8">
                  <c:v>5.7881275634445757</c:v>
                </c:pt>
                <c:pt idx="9">
                  <c:v>3.7737752680059664</c:v>
                </c:pt>
                <c:pt idx="10">
                  <c:v>2.0512882420410463</c:v>
                </c:pt>
                <c:pt idx="11">
                  <c:v>0.19004472905858627</c:v>
                </c:pt>
                <c:pt idx="12">
                  <c:v>0.32880121607612622</c:v>
                </c:pt>
                <c:pt idx="13">
                  <c:v>5.7881275634445757</c:v>
                </c:pt>
                <c:pt idx="14">
                  <c:v>-3.0873222818390076</c:v>
                </c:pt>
                <c:pt idx="15">
                  <c:v>-1.2476801935832071</c:v>
                </c:pt>
                <c:pt idx="16">
                  <c:v>-5.0754314909867126</c:v>
                </c:pt>
                <c:pt idx="17">
                  <c:v>-3.1089237065656654</c:v>
                </c:pt>
                <c:pt idx="18">
                  <c:v>-0.69019274092672589</c:v>
                </c:pt>
                <c:pt idx="19">
                  <c:v>-5.3074154954530606</c:v>
                </c:pt>
                <c:pt idx="20">
                  <c:v>-2.7763170922249749</c:v>
                </c:pt>
                <c:pt idx="21">
                  <c:v>-3.5179440383302349</c:v>
                </c:pt>
                <c:pt idx="22">
                  <c:v>-2.0873222818390076</c:v>
                </c:pt>
                <c:pt idx="23">
                  <c:v>0.46291604152942156</c:v>
                </c:pt>
                <c:pt idx="24">
                  <c:v>-2.6783019500744345</c:v>
                </c:pt>
                <c:pt idx="25">
                  <c:v>0.92688405046211741</c:v>
                </c:pt>
                <c:pt idx="26">
                  <c:v>-0.36498121901157532</c:v>
                </c:pt>
                <c:pt idx="27">
                  <c:v>1.4962622939708865</c:v>
                </c:pt>
                <c:pt idx="28">
                  <c:v>-1.9678516780992972</c:v>
                </c:pt>
                <c:pt idx="29">
                  <c:v>-0.69019274092672589</c:v>
                </c:pt>
                <c:pt idx="30">
                  <c:v>0.48205596166976505</c:v>
                </c:pt>
                <c:pt idx="31">
                  <c:v>-2.0873222818390076</c:v>
                </c:pt>
                <c:pt idx="32">
                  <c:v>-3.8170584370919762</c:v>
                </c:pt>
                <c:pt idx="33">
                  <c:v>-6.3864366806007453</c:v>
                </c:pt>
                <c:pt idx="34">
                  <c:v>-5.8170584370919762</c:v>
                </c:pt>
                <c:pt idx="35">
                  <c:v>-4.8505506526709254</c:v>
                </c:pt>
                <c:pt idx="36">
                  <c:v>-4.8170584370919762</c:v>
                </c:pt>
                <c:pt idx="37">
                  <c:v>0.62066648554981541</c:v>
                </c:pt>
                <c:pt idx="38">
                  <c:v>1.4819099985322755</c:v>
                </c:pt>
                <c:pt idx="39">
                  <c:v>-0.41282573002913558</c:v>
                </c:pt>
                <c:pt idx="40">
                  <c:v>-0.67119878392387378</c:v>
                </c:pt>
                <c:pt idx="41">
                  <c:v>-8.7468244976493636E-2</c:v>
                </c:pt>
                <c:pt idx="42">
                  <c:v>5.1288242041046317E-2</c:v>
                </c:pt>
                <c:pt idx="43">
                  <c:v>0.48190999853227545</c:v>
                </c:pt>
                <c:pt idx="44">
                  <c:v>-3.9558149241095144</c:v>
                </c:pt>
                <c:pt idx="45">
                  <c:v>-7.0681823616986641</c:v>
                </c:pt>
                <c:pt idx="46">
                  <c:v>-3.8170584370919762</c:v>
                </c:pt>
                <c:pt idx="47">
                  <c:v>-5.8505506526709254</c:v>
                </c:pt>
                <c:pt idx="48">
                  <c:v>-4.8624414435232204</c:v>
                </c:pt>
                <c:pt idx="49">
                  <c:v>0.48205596166976505</c:v>
                </c:pt>
                <c:pt idx="50">
                  <c:v>0.75956893570484496</c:v>
                </c:pt>
                <c:pt idx="51">
                  <c:v>1.2763150434943213</c:v>
                </c:pt>
                <c:pt idx="52">
                  <c:v>1.328947179213614</c:v>
                </c:pt>
                <c:pt idx="53">
                  <c:v>5.6734445844065959</c:v>
                </c:pt>
                <c:pt idx="54">
                  <c:v>-3.1016745772776169</c:v>
                </c:pt>
                <c:pt idx="55">
                  <c:v>-3.240431064295155</c:v>
                </c:pt>
                <c:pt idx="56">
                  <c:v>-3.0873222818390076</c:v>
                </c:pt>
                <c:pt idx="57">
                  <c:v>-3.3791875513126968</c:v>
                </c:pt>
                <c:pt idx="58">
                  <c:v>-7.6184206850670932</c:v>
                </c:pt>
                <c:pt idx="59">
                  <c:v>-7.5179440383302349</c:v>
                </c:pt>
                <c:pt idx="60">
                  <c:v>-6.8624414435232204</c:v>
                </c:pt>
                <c:pt idx="61">
                  <c:v>-0.37933351445018459</c:v>
                </c:pt>
                <c:pt idx="62">
                  <c:v>1.4819099985322755</c:v>
                </c:pt>
                <c:pt idx="63">
                  <c:v>0.32880121607612622</c:v>
                </c:pt>
                <c:pt idx="64">
                  <c:v>-0.41282573002913558</c:v>
                </c:pt>
                <c:pt idx="65">
                  <c:v>2.3288012160761262</c:v>
                </c:pt>
                <c:pt idx="66">
                  <c:v>1.3240135913743956</c:v>
                </c:pt>
                <c:pt idx="67">
                  <c:v>-1.2405770274326446</c:v>
                </c:pt>
                <c:pt idx="68">
                  <c:v>-1.8099552709414137</c:v>
                </c:pt>
                <c:pt idx="69">
                  <c:v>1.7737752680059664</c:v>
                </c:pt>
                <c:pt idx="70">
                  <c:v>-9.8348946233704133</c:v>
                </c:pt>
                <c:pt idx="71">
                  <c:v>0.32880121607612622</c:v>
                </c:pt>
                <c:pt idx="72">
                  <c:v>-3.3936858098887939</c:v>
                </c:pt>
                <c:pt idx="73">
                  <c:v>-2.5324422969063338</c:v>
                </c:pt>
                <c:pt idx="74">
                  <c:v>-0.67119878392387378</c:v>
                </c:pt>
                <c:pt idx="75">
                  <c:v>-7.6232083097688239</c:v>
                </c:pt>
                <c:pt idx="76">
                  <c:v>-6.7236849565056787</c:v>
                </c:pt>
                <c:pt idx="77">
                  <c:v>-6.7763170922249749</c:v>
                </c:pt>
                <c:pt idx="78">
                  <c:v>-3.3265554155934041</c:v>
                </c:pt>
                <c:pt idx="79">
                  <c:v>-5.8624414435232204</c:v>
                </c:pt>
                <c:pt idx="80">
                  <c:v>0.654304664266256</c:v>
                </c:pt>
                <c:pt idx="81">
                  <c:v>-3.9150735792425131</c:v>
                </c:pt>
                <c:pt idx="82">
                  <c:v>-0.37918755131269677</c:v>
                </c:pt>
                <c:pt idx="83">
                  <c:v>-0.69019274092672589</c:v>
                </c:pt>
                <c:pt idx="84">
                  <c:v>0.48190999853227545</c:v>
                </c:pt>
                <c:pt idx="85">
                  <c:v>-0.67119878392387378</c:v>
                </c:pt>
                <c:pt idx="86">
                  <c:v>-2.1018205404151047</c:v>
                </c:pt>
                <c:pt idx="87">
                  <c:v>-1.790815350801072</c:v>
                </c:pt>
                <c:pt idx="88">
                  <c:v>0.32880121607612622</c:v>
                </c:pt>
                <c:pt idx="89">
                  <c:v>1.4627700783919337</c:v>
                </c:pt>
                <c:pt idx="90">
                  <c:v>-1.6711987839238738</c:v>
                </c:pt>
                <c:pt idx="91">
                  <c:v>-0.98220397353790645</c:v>
                </c:pt>
                <c:pt idx="92">
                  <c:v>-0.67119878392387378</c:v>
                </c:pt>
                <c:pt idx="93">
                  <c:v>3.9268840504621174</c:v>
                </c:pt>
                <c:pt idx="94">
                  <c:v>3.7881275634445757</c:v>
                </c:pt>
                <c:pt idx="95">
                  <c:v>0.48190999853227545</c:v>
                </c:pt>
                <c:pt idx="96">
                  <c:v>-4.3864366806007453</c:v>
                </c:pt>
                <c:pt idx="97">
                  <c:v>-6.8170584370919762</c:v>
                </c:pt>
                <c:pt idx="98">
                  <c:v>-4.8170584370919762</c:v>
                </c:pt>
                <c:pt idx="99">
                  <c:v>-5.8505506526709254</c:v>
                </c:pt>
                <c:pt idx="100">
                  <c:v>-0.24768019358320714</c:v>
                </c:pt>
                <c:pt idx="101">
                  <c:v>-5.3074154954530606</c:v>
                </c:pt>
                <c:pt idx="102">
                  <c:v>-3.6711987839238738</c:v>
                </c:pt>
                <c:pt idx="103">
                  <c:v>-1.2070848118536919</c:v>
                </c:pt>
                <c:pt idx="104">
                  <c:v>5.1288242041046317E-2</c:v>
                </c:pt>
                <c:pt idx="105">
                  <c:v>-8.7468244976493636E-2</c:v>
                </c:pt>
                <c:pt idx="106">
                  <c:v>-4.8170584370919762</c:v>
                </c:pt>
                <c:pt idx="107">
                  <c:v>-7.6901927409267259</c:v>
                </c:pt>
                <c:pt idx="108">
                  <c:v>-8.0681823616986641</c:v>
                </c:pt>
                <c:pt idx="109">
                  <c:v>-5.1734466331372531</c:v>
                </c:pt>
                <c:pt idx="110">
                  <c:v>-11.437765082458135</c:v>
                </c:pt>
                <c:pt idx="111">
                  <c:v>-8.9485657948214659</c:v>
                </c:pt>
                <c:pt idx="112">
                  <c:v>-1.2141879780042544</c:v>
                </c:pt>
                <c:pt idx="113">
                  <c:v>-1.5179440383302349</c:v>
                </c:pt>
                <c:pt idx="114">
                  <c:v>-0.10182054041510469</c:v>
                </c:pt>
                <c:pt idx="115">
                  <c:v>8.2187493199358066</c:v>
                </c:pt>
                <c:pt idx="116">
                  <c:v>-2.0490424415583206</c:v>
                </c:pt>
                <c:pt idx="117">
                  <c:v>-4.8098093078039241</c:v>
                </c:pt>
                <c:pt idx="118">
                  <c:v>-7.4318196870319895</c:v>
                </c:pt>
                <c:pt idx="119">
                  <c:v>-6.6232083097688239</c:v>
                </c:pt>
                <c:pt idx="120">
                  <c:v>0.32880121607612622</c:v>
                </c:pt>
                <c:pt idx="121">
                  <c:v>-1.7954570123653149</c:v>
                </c:pt>
                <c:pt idx="122">
                  <c:v>-0.92232270853056519</c:v>
                </c:pt>
                <c:pt idx="123">
                  <c:v>-1.0874682449764936</c:v>
                </c:pt>
                <c:pt idx="124">
                  <c:v>-3.2476801935832071</c:v>
                </c:pt>
                <c:pt idx="125">
                  <c:v>-3.8170584370919762</c:v>
                </c:pt>
                <c:pt idx="126">
                  <c:v>-7.8170584370919762</c:v>
                </c:pt>
                <c:pt idx="127">
                  <c:v>1.501195881810105</c:v>
                </c:pt>
                <c:pt idx="128">
                  <c:v>-2.3791875513126968</c:v>
                </c:pt>
                <c:pt idx="129">
                  <c:v>2.328947179213614</c:v>
                </c:pt>
                <c:pt idx="130">
                  <c:v>-3.8098093078039241</c:v>
                </c:pt>
                <c:pt idx="131">
                  <c:v>-6.8170584370919762</c:v>
                </c:pt>
                <c:pt idx="132">
                  <c:v>-5.9558149241095144</c:v>
                </c:pt>
                <c:pt idx="133">
                  <c:v>-4.3864366806007453</c:v>
                </c:pt>
                <c:pt idx="134">
                  <c:v>0.46755770309366618</c:v>
                </c:pt>
                <c:pt idx="135">
                  <c:v>-1.6711987839238738</c:v>
                </c:pt>
                <c:pt idx="136">
                  <c:v>-0.67119878392387378</c:v>
                </c:pt>
                <c:pt idx="137">
                  <c:v>-1.5324422969063338</c:v>
                </c:pt>
                <c:pt idx="138">
                  <c:v>-0.67119878392387378</c:v>
                </c:pt>
                <c:pt idx="139">
                  <c:v>0.8791855025820432</c:v>
                </c:pt>
                <c:pt idx="140">
                  <c:v>-3.498804118189895</c:v>
                </c:pt>
                <c:pt idx="141">
                  <c:v>-2.5514362539091877</c:v>
                </c:pt>
                <c:pt idx="142">
                  <c:v>0.20933061233641581</c:v>
                </c:pt>
                <c:pt idx="143">
                  <c:v>1.9844497740206286</c:v>
                </c:pt>
                <c:pt idx="144">
                  <c:v>-0.80980930780392413</c:v>
                </c:pt>
                <c:pt idx="145">
                  <c:v>-4.8098093078039241</c:v>
                </c:pt>
                <c:pt idx="146">
                  <c:v>-2.8098093078039241</c:v>
                </c:pt>
                <c:pt idx="147">
                  <c:v>-2.9150735792425131</c:v>
                </c:pt>
                <c:pt idx="148">
                  <c:v>-1.2595709844354985</c:v>
                </c:pt>
                <c:pt idx="149">
                  <c:v>1.501195881810105</c:v>
                </c:pt>
                <c:pt idx="150">
                  <c:v>-4.2476801935832071</c:v>
                </c:pt>
                <c:pt idx="151">
                  <c:v>-4.3864366806007453</c:v>
                </c:pt>
                <c:pt idx="152">
                  <c:v>-10.228540273442864</c:v>
                </c:pt>
                <c:pt idx="153">
                  <c:v>-10.228540273442864</c:v>
                </c:pt>
                <c:pt idx="154">
                  <c:v>3.0512882420410463</c:v>
                </c:pt>
                <c:pt idx="155">
                  <c:v>-0.10182054041510469</c:v>
                </c:pt>
                <c:pt idx="156">
                  <c:v>1.3288012160761262</c:v>
                </c:pt>
                <c:pt idx="157">
                  <c:v>-0.8434474865203665</c:v>
                </c:pt>
                <c:pt idx="158">
                  <c:v>-4.9558149241095144</c:v>
                </c:pt>
                <c:pt idx="159">
                  <c:v>-6.3864366806007453</c:v>
                </c:pt>
                <c:pt idx="160">
                  <c:v>-6.9558149241095144</c:v>
                </c:pt>
                <c:pt idx="161">
                  <c:v>-5.2476801935832071</c:v>
                </c:pt>
                <c:pt idx="162">
                  <c:v>-0.95581492410951441</c:v>
                </c:pt>
                <c:pt idx="163">
                  <c:v>1.883827164146286</c:v>
                </c:pt>
                <c:pt idx="164">
                  <c:v>-3.4798101611870393</c:v>
                </c:pt>
                <c:pt idx="165">
                  <c:v>0.19019069219607587</c:v>
                </c:pt>
                <c:pt idx="166">
                  <c:v>-5.1208144974179568</c:v>
                </c:pt>
                <c:pt idx="167">
                  <c:v>-2.8170584370919762</c:v>
                </c:pt>
                <c:pt idx="168">
                  <c:v>-5.5514362539091877</c:v>
                </c:pt>
                <c:pt idx="169">
                  <c:v>-3.0011979305407621</c:v>
                </c:pt>
                <c:pt idx="170">
                  <c:v>-4.1543067129969096</c:v>
                </c:pt>
                <c:pt idx="171">
                  <c:v>-2.9150735792425131</c:v>
                </c:pt>
                <c:pt idx="172">
                  <c:v>-5.0754314909867126</c:v>
                </c:pt>
                <c:pt idx="173">
                  <c:v>-0.24043106429515504</c:v>
                </c:pt>
                <c:pt idx="174">
                  <c:v>-4.6783019500744345</c:v>
                </c:pt>
                <c:pt idx="175">
                  <c:v>-4.0873222818390076</c:v>
                </c:pt>
                <c:pt idx="176">
                  <c:v>-4.6901927409267259</c:v>
                </c:pt>
                <c:pt idx="177">
                  <c:v>-4.8289492279442676</c:v>
                </c:pt>
                <c:pt idx="178">
                  <c:v>-0.36483525587408394</c:v>
                </c:pt>
                <c:pt idx="179">
                  <c:v>2.2954549636346613</c:v>
                </c:pt>
                <c:pt idx="180">
                  <c:v>0.13755855647677961</c:v>
                </c:pt>
                <c:pt idx="181">
                  <c:v>-3.2930632000144513</c:v>
                </c:pt>
                <c:pt idx="182">
                  <c:v>-2.345695335733744</c:v>
                </c:pt>
                <c:pt idx="183">
                  <c:v>-2.4653119026109422</c:v>
                </c:pt>
                <c:pt idx="184">
                  <c:v>-1.1208144974179568</c:v>
                </c:pt>
                <c:pt idx="185">
                  <c:v>1.9675577030936662</c:v>
                </c:pt>
                <c:pt idx="186">
                  <c:v>1.3288012160761262</c:v>
                </c:pt>
                <c:pt idx="187">
                  <c:v>-1.7549293228712557</c:v>
                </c:pt>
                <c:pt idx="188">
                  <c:v>1.0499186726171672E-3</c:v>
                </c:pt>
                <c:pt idx="189">
                  <c:v>-0.81705843709197623</c:v>
                </c:pt>
                <c:pt idx="190">
                  <c:v>-0.38643668060074532</c:v>
                </c:pt>
                <c:pt idx="191">
                  <c:v>-0.45342111175865085</c:v>
                </c:pt>
                <c:pt idx="192">
                  <c:v>-1.1783019500744345</c:v>
                </c:pt>
                <c:pt idx="193">
                  <c:v>-1.7906693876635842</c:v>
                </c:pt>
                <c:pt idx="194">
                  <c:v>-5.6016745772776169</c:v>
                </c:pt>
                <c:pt idx="195">
                  <c:v>-0.24043106429515504</c:v>
                </c:pt>
                <c:pt idx="196">
                  <c:v>2.2954549636346613</c:v>
                </c:pt>
                <c:pt idx="197">
                  <c:v>-2.8170584370919762</c:v>
                </c:pt>
                <c:pt idx="198">
                  <c:v>-6.7117941656533873</c:v>
                </c:pt>
                <c:pt idx="199">
                  <c:v>-3.4558149241095144</c:v>
                </c:pt>
                <c:pt idx="200">
                  <c:v>-5.7476801935832071</c:v>
                </c:pt>
                <c:pt idx="201">
                  <c:v>0.34569328700309043</c:v>
                </c:pt>
                <c:pt idx="202">
                  <c:v>2.759568935704845</c:v>
                </c:pt>
                <c:pt idx="203">
                  <c:v>-0.80980930780392413</c:v>
                </c:pt>
                <c:pt idx="204">
                  <c:v>-2.5681823616986641</c:v>
                </c:pt>
                <c:pt idx="205">
                  <c:v>-6.4844518227512822</c:v>
                </c:pt>
                <c:pt idx="206">
                  <c:v>-1.6711987839238738</c:v>
                </c:pt>
                <c:pt idx="207">
                  <c:v>-8.6901927409267259</c:v>
                </c:pt>
                <c:pt idx="208">
                  <c:v>-3.1280636267060089</c:v>
                </c:pt>
                <c:pt idx="209">
                  <c:v>-4.5945714111270561</c:v>
                </c:pt>
                <c:pt idx="210">
                  <c:v>4.4125317550235064</c:v>
                </c:pt>
                <c:pt idx="211">
                  <c:v>-2.1018205404151047</c:v>
                </c:pt>
                <c:pt idx="212">
                  <c:v>-3.3936858098887939</c:v>
                </c:pt>
                <c:pt idx="213">
                  <c:v>-1.6711987839238738</c:v>
                </c:pt>
                <c:pt idx="214">
                  <c:v>2.0873202331083505</c:v>
                </c:pt>
                <c:pt idx="215">
                  <c:v>1.6208124486873032</c:v>
                </c:pt>
                <c:pt idx="216">
                  <c:v>5.7260767201258922</c:v>
                </c:pt>
                <c:pt idx="217">
                  <c:v>-1.5011979305407621</c:v>
                </c:pt>
                <c:pt idx="218">
                  <c:v>4.259568935704845</c:v>
                </c:pt>
                <c:pt idx="219">
                  <c:v>2.3981794595848953</c:v>
                </c:pt>
                <c:pt idx="220">
                  <c:v>-1.116172835853714</c:v>
                </c:pt>
                <c:pt idx="221">
                  <c:v>0.39817945958489531</c:v>
                </c:pt>
                <c:pt idx="222">
                  <c:v>-1.3936858098887939</c:v>
                </c:pt>
                <c:pt idx="223">
                  <c:v>-4.4558149241095144</c:v>
                </c:pt>
                <c:pt idx="224">
                  <c:v>-1.8864366806007453</c:v>
                </c:pt>
                <c:pt idx="225">
                  <c:v>-3.8170584370919762</c:v>
                </c:pt>
                <c:pt idx="226">
                  <c:v>-4.4893071396884672</c:v>
                </c:pt>
                <c:pt idx="227">
                  <c:v>3.9125317550235064</c:v>
                </c:pt>
                <c:pt idx="228">
                  <c:v>2.5512882420410463</c:v>
                </c:pt>
                <c:pt idx="229">
                  <c:v>4.2737752680059664</c:v>
                </c:pt>
                <c:pt idx="230">
                  <c:v>1.242676864777879</c:v>
                </c:pt>
                <c:pt idx="231">
                  <c:v>0.44856374609081229</c:v>
                </c:pt>
                <c:pt idx="232">
                  <c:v>-3.1901927409267259</c:v>
                </c:pt>
                <c:pt idx="233">
                  <c:v>-2.8098093078039241</c:v>
                </c:pt>
                <c:pt idx="234">
                  <c:v>-2.1040683896284804</c:v>
                </c:pt>
                <c:pt idx="235">
                  <c:v>0.65669847661712311</c:v>
                </c:pt>
                <c:pt idx="236">
                  <c:v>5.3791855025820432</c:v>
                </c:pt>
                <c:pt idx="237">
                  <c:v>0.50119588181010499</c:v>
                </c:pt>
                <c:pt idx="238">
                  <c:v>1.9485637460908123</c:v>
                </c:pt>
                <c:pt idx="239">
                  <c:v>-1.0754314909867126</c:v>
                </c:pt>
                <c:pt idx="240">
                  <c:v>-4.2954570123653149</c:v>
                </c:pt>
                <c:pt idx="241">
                  <c:v>-6.2152780564932151</c:v>
                </c:pt>
                <c:pt idx="242">
                  <c:v>11.964833207143432</c:v>
                </c:pt>
                <c:pt idx="243">
                  <c:v>6.5150715305118609</c:v>
                </c:pt>
                <c:pt idx="244">
                  <c:v>2.009330612336413</c:v>
                </c:pt>
                <c:pt idx="245">
                  <c:v>10.159568935704844</c:v>
                </c:pt>
                <c:pt idx="246">
                  <c:v>5.9983254227223846</c:v>
                </c:pt>
                <c:pt idx="247">
                  <c:v>1.7838271641462846</c:v>
                </c:pt>
                <c:pt idx="248">
                  <c:v>3.8675577030936648</c:v>
                </c:pt>
                <c:pt idx="249">
                  <c:v>4.5814333517954182</c:v>
                </c:pt>
                <c:pt idx="250">
                  <c:v>-3.186436680600746</c:v>
                </c:pt>
                <c:pt idx="251">
                  <c:v>-2.7476801935832071</c:v>
                </c:pt>
                <c:pt idx="252">
                  <c:v>-3.9089237065656661</c:v>
                </c:pt>
                <c:pt idx="253">
                  <c:v>-2.5901927409267245</c:v>
                </c:pt>
                <c:pt idx="254">
                  <c:v>-2.3170584370919762</c:v>
                </c:pt>
                <c:pt idx="255">
                  <c:v>-4.2783019500744359</c:v>
                </c:pt>
                <c:pt idx="256">
                  <c:v>-1.7864366806007439</c:v>
                </c:pt>
                <c:pt idx="257">
                  <c:v>-3.3089237065656647</c:v>
                </c:pt>
                <c:pt idx="258">
                  <c:v>-3.355814924109513</c:v>
                </c:pt>
                <c:pt idx="259">
                  <c:v>-2.9945714111270547</c:v>
                </c:pt>
                <c:pt idx="260">
                  <c:v>4.0981794595848946</c:v>
                </c:pt>
                <c:pt idx="261">
                  <c:v>0.48102439729401425</c:v>
                </c:pt>
                <c:pt idx="262">
                  <c:v>2.4814333517954204</c:v>
                </c:pt>
                <c:pt idx="263">
                  <c:v>1.9675577030936662</c:v>
                </c:pt>
                <c:pt idx="264">
                  <c:v>0.58732023310835046</c:v>
                </c:pt>
                <c:pt idx="265">
                  <c:v>0.41267771816099241</c:v>
                </c:pt>
                <c:pt idx="266">
                  <c:v>0.2849264207574862</c:v>
                </c:pt>
                <c:pt idx="267">
                  <c:v>2.0901906921960745</c:v>
                </c:pt>
                <c:pt idx="268">
                  <c:v>-5.9873222818390062</c:v>
                </c:pt>
                <c:pt idx="269">
                  <c:v>-3.0260787688565465</c:v>
                </c:pt>
                <c:pt idx="270">
                  <c:v>-4.1485657948214651</c:v>
                </c:pt>
                <c:pt idx="271">
                  <c:v>-3.0150735792425145</c:v>
                </c:pt>
                <c:pt idx="272">
                  <c:v>-4.1785064273251358</c:v>
                </c:pt>
                <c:pt idx="273">
                  <c:v>-3.6639496546358252</c:v>
                </c:pt>
                <c:pt idx="274">
                  <c:v>-3.7648352558740825</c:v>
                </c:pt>
                <c:pt idx="275">
                  <c:v>-3.7749548442498586</c:v>
                </c:pt>
                <c:pt idx="276">
                  <c:v>2.3456932870030904</c:v>
                </c:pt>
                <c:pt idx="277">
                  <c:v>8.7320233108350465E-2</c:v>
                </c:pt>
                <c:pt idx="278">
                  <c:v>-2.5193167618283496E-2</c:v>
                </c:pt>
                <c:pt idx="279">
                  <c:v>-4.3089237065656647</c:v>
                </c:pt>
                <c:pt idx="280">
                  <c:v>-5.3901927409267252</c:v>
                </c:pt>
                <c:pt idx="281">
                  <c:v>-3.4783019500744352</c:v>
                </c:pt>
                <c:pt idx="282">
                  <c:v>-1.355814924109513</c:v>
                </c:pt>
                <c:pt idx="283">
                  <c:v>0.60631419011120613</c:v>
                </c:pt>
                <c:pt idx="284">
                  <c:v>1.1201898388129621</c:v>
                </c:pt>
                <c:pt idx="285">
                  <c:v>0.79530900049717346</c:v>
                </c:pt>
                <c:pt idx="286">
                  <c:v>2.2369359466024346</c:v>
                </c:pt>
                <c:pt idx="287">
                  <c:v>2.6594229725673539</c:v>
                </c:pt>
                <c:pt idx="288">
                  <c:v>0.13980640569015712</c:v>
                </c:pt>
                <c:pt idx="289">
                  <c:v>2.3756924336199745</c:v>
                </c:pt>
                <c:pt idx="290">
                  <c:v>3.8288012160761262</c:v>
                </c:pt>
                <c:pt idx="291">
                  <c:v>2.745693287003089</c:v>
                </c:pt>
                <c:pt idx="292">
                  <c:v>4.4289471792136155</c:v>
                </c:pt>
                <c:pt idx="293">
                  <c:v>7.3208124486873061</c:v>
                </c:pt>
                <c:pt idx="294">
                  <c:v>-0.97918755131269819</c:v>
                </c:pt>
                <c:pt idx="295">
                  <c:v>-1.3177395610795344</c:v>
                </c:pt>
                <c:pt idx="296">
                  <c:v>6.1756924336199752</c:v>
                </c:pt>
                <c:pt idx="297">
                  <c:v>-1.9543067129969103</c:v>
                </c:pt>
                <c:pt idx="298">
                  <c:v>4.0613401381813645</c:v>
                </c:pt>
                <c:pt idx="299">
                  <c:v>4.9595689357048478</c:v>
                </c:pt>
                <c:pt idx="300">
                  <c:v>5.259568935704845</c:v>
                </c:pt>
                <c:pt idx="301">
                  <c:v>2.1289471792136148</c:v>
                </c:pt>
                <c:pt idx="302">
                  <c:v>7.9734445844065931</c:v>
                </c:pt>
                <c:pt idx="303">
                  <c:v>0.88205596166976363</c:v>
                </c:pt>
                <c:pt idx="304">
                  <c:v>7.2748068323817172</c:v>
                </c:pt>
                <c:pt idx="305">
                  <c:v>5.2748068323817172</c:v>
                </c:pt>
                <c:pt idx="306">
                  <c:v>5.9820559616697651</c:v>
                </c:pt>
                <c:pt idx="307">
                  <c:v>12.776315043494321</c:v>
                </c:pt>
                <c:pt idx="308">
                  <c:v>7.9983254227223846</c:v>
                </c:pt>
                <c:pt idx="309">
                  <c:v>2.8595689357048464</c:v>
                </c:pt>
                <c:pt idx="310">
                  <c:v>7.5289471792136169</c:v>
                </c:pt>
                <c:pt idx="311">
                  <c:v>0.48205596166976505</c:v>
                </c:pt>
                <c:pt idx="312">
                  <c:v>-1.2901927409267273</c:v>
                </c:pt>
                <c:pt idx="313">
                  <c:v>-3.2179440383302342</c:v>
                </c:pt>
                <c:pt idx="314">
                  <c:v>-4.5783019500744331</c:v>
                </c:pt>
                <c:pt idx="315">
                  <c:v>5.7485637460908094</c:v>
                </c:pt>
                <c:pt idx="316">
                  <c:v>2.2820559616697658</c:v>
                </c:pt>
                <c:pt idx="317">
                  <c:v>2.4901906921960766</c:v>
                </c:pt>
                <c:pt idx="318">
                  <c:v>9.654304664266256</c:v>
                </c:pt>
                <c:pt idx="319">
                  <c:v>3.3901906921960787</c:v>
                </c:pt>
                <c:pt idx="320">
                  <c:v>16.928947179213615</c:v>
                </c:pt>
                <c:pt idx="321">
                  <c:v>1.6739212311434528</c:v>
                </c:pt>
                <c:pt idx="322">
                  <c:v>11.128947179213611</c:v>
                </c:pt>
                <c:pt idx="323">
                  <c:v>13.164833207143428</c:v>
                </c:pt>
                <c:pt idx="324">
                  <c:v>12.264833207143429</c:v>
                </c:pt>
                <c:pt idx="325">
                  <c:v>8.8210169259380038</c:v>
                </c:pt>
                <c:pt idx="326">
                  <c:v>0.50119588181010499</c:v>
                </c:pt>
                <c:pt idx="327">
                  <c:v>15.101195881810106</c:v>
                </c:pt>
                <c:pt idx="328">
                  <c:v>4.3011958818101022</c:v>
                </c:pt>
                <c:pt idx="329">
                  <c:v>-0.12942587468112166</c:v>
                </c:pt>
                <c:pt idx="330">
                  <c:v>12.638920804451899</c:v>
                </c:pt>
                <c:pt idx="331">
                  <c:v>-4.8765215694756776</c:v>
                </c:pt>
                <c:pt idx="332">
                  <c:v>7.3098072590732741</c:v>
                </c:pt>
                <c:pt idx="333">
                  <c:v>3.3318176383013345</c:v>
                </c:pt>
                <c:pt idx="334">
                  <c:v>-0.83469014611971204</c:v>
                </c:pt>
                <c:pt idx="335">
                  <c:v>-1.4346901461197099</c:v>
                </c:pt>
                <c:pt idx="336">
                  <c:v>-1.5456953357337433</c:v>
                </c:pt>
                <c:pt idx="337">
                  <c:v>1.5441850758904856</c:v>
                </c:pt>
                <c:pt idx="338">
                  <c:v>1.9653098538802887</c:v>
                </c:pt>
                <c:pt idx="339">
                  <c:v>8.8260767201258936</c:v>
                </c:pt>
                <c:pt idx="340">
                  <c:v>9.2428228279153686</c:v>
                </c:pt>
                <c:pt idx="341">
                  <c:v>4.9983254227223846</c:v>
                </c:pt>
                <c:pt idx="342">
                  <c:v>2.8011958818101022</c:v>
                </c:pt>
                <c:pt idx="343">
                  <c:v>7.328947179213614</c:v>
                </c:pt>
                <c:pt idx="344">
                  <c:v>7.7705741253188805</c:v>
                </c:pt>
                <c:pt idx="345">
                  <c:v>4.6873202331083519</c:v>
                </c:pt>
                <c:pt idx="346">
                  <c:v>4.8566984766171259</c:v>
                </c:pt>
                <c:pt idx="347">
                  <c:v>4.7289471792136126</c:v>
                </c:pt>
                <c:pt idx="348">
                  <c:v>0.22894717921361263</c:v>
                </c:pt>
                <c:pt idx="349">
                  <c:v>4.1040663408978268</c:v>
                </c:pt>
                <c:pt idx="350">
                  <c:v>4.8901906921960787</c:v>
                </c:pt>
                <c:pt idx="351">
                  <c:v>3.5901906921960745</c:v>
                </c:pt>
                <c:pt idx="352">
                  <c:v>6.2432994746522219</c:v>
                </c:pt>
                <c:pt idx="353">
                  <c:v>2.7040663408978283</c:v>
                </c:pt>
                <c:pt idx="354">
                  <c:v>-0.27918755131269535</c:v>
                </c:pt>
                <c:pt idx="355">
                  <c:v>5.8159571317501211</c:v>
                </c:pt>
                <c:pt idx="356">
                  <c:v>3.9609311836799606</c:v>
                </c:pt>
                <c:pt idx="357">
                  <c:v>3.1054285888729432</c:v>
                </c:pt>
                <c:pt idx="358">
                  <c:v>0.44418507589048417</c:v>
                </c:pt>
                <c:pt idx="359">
                  <c:v>8.0532054076550565</c:v>
                </c:pt>
                <c:pt idx="360">
                  <c:v>-3.6505506526709262</c:v>
                </c:pt>
                <c:pt idx="361">
                  <c:v>-6.508923706565664</c:v>
                </c:pt>
                <c:pt idx="362">
                  <c:v>0.30980725907327411</c:v>
                </c:pt>
                <c:pt idx="363">
                  <c:v>-0.69019274092672589</c:v>
                </c:pt>
                <c:pt idx="364">
                  <c:v>6.3098072590732741</c:v>
                </c:pt>
                <c:pt idx="365">
                  <c:v>3.0514342051785341</c:v>
                </c:pt>
                <c:pt idx="366">
                  <c:v>0.96530985388028867</c:v>
                </c:pt>
                <c:pt idx="367">
                  <c:v>-0.51794403833023495</c:v>
                </c:pt>
                <c:pt idx="368">
                  <c:v>-3.345695335733744</c:v>
                </c:pt>
                <c:pt idx="369">
                  <c:v>7.1040663408978268</c:v>
                </c:pt>
                <c:pt idx="370">
                  <c:v>7.5873202331083505</c:v>
                </c:pt>
                <c:pt idx="371">
                  <c:v>1.5873202331083505</c:v>
                </c:pt>
                <c:pt idx="372">
                  <c:v>8.1566984766171231</c:v>
                </c:pt>
                <c:pt idx="373">
                  <c:v>6.759568935704845</c:v>
                </c:pt>
                <c:pt idx="374">
                  <c:v>8.3098072590732741</c:v>
                </c:pt>
                <c:pt idx="375">
                  <c:v>7.1901906921960759</c:v>
                </c:pt>
                <c:pt idx="376">
                  <c:v>4.759568935704845</c:v>
                </c:pt>
                <c:pt idx="377">
                  <c:v>8.501195881810105</c:v>
                </c:pt>
                <c:pt idx="378">
                  <c:v>2.501195881810105</c:v>
                </c:pt>
                <c:pt idx="379">
                  <c:v>8.501195881810105</c:v>
                </c:pt>
                <c:pt idx="380">
                  <c:v>3.0441850758904856</c:v>
                </c:pt>
                <c:pt idx="381">
                  <c:v>13.891076293434335</c:v>
                </c:pt>
                <c:pt idx="382">
                  <c:v>-1.345695335733744</c:v>
                </c:pt>
                <c:pt idx="383">
                  <c:v>0.21643377848697654</c:v>
                </c:pt>
                <c:pt idx="384">
                  <c:v>4.9988020694592379</c:v>
                </c:pt>
                <c:pt idx="385">
                  <c:v>7.9653098538802887</c:v>
                </c:pt>
                <c:pt idx="386">
                  <c:v>-0.51794403833023495</c:v>
                </c:pt>
                <c:pt idx="387">
                  <c:v>-0.86244144352322039</c:v>
                </c:pt>
                <c:pt idx="388">
                  <c:v>13.209330612336416</c:v>
                </c:pt>
                <c:pt idx="389">
                  <c:v>3.9653098538802887</c:v>
                </c:pt>
                <c:pt idx="390">
                  <c:v>-0.46531190261094224</c:v>
                </c:pt>
                <c:pt idx="391">
                  <c:v>2.7930611512837942</c:v>
                </c:pt>
              </c:numCache>
            </c:numRef>
          </c:yVal>
          <c:smooth val="0"/>
          <c:extLst>
            <c:ext xmlns:c16="http://schemas.microsoft.com/office/drawing/2014/chart" uri="{C3380CC4-5D6E-409C-BE32-E72D297353CC}">
              <c16:uniqueId val="{00000001-00AB-44A7-8C92-2B9F7B2B9AF4}"/>
            </c:ext>
          </c:extLst>
        </c:ser>
        <c:dLbls>
          <c:showLegendKey val="0"/>
          <c:showVal val="0"/>
          <c:showCatName val="0"/>
          <c:showSerName val="0"/>
          <c:showPercent val="0"/>
          <c:showBubbleSize val="0"/>
        </c:dLbls>
        <c:axId val="530574127"/>
        <c:axId val="392055887"/>
      </c:scatterChart>
      <c:valAx>
        <c:axId val="530574127"/>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392055887"/>
        <c:crosses val="autoZero"/>
        <c:crossBetween val="midCat"/>
      </c:valAx>
      <c:valAx>
        <c:axId val="392055887"/>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53057412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-2.5133548803803922</c:v>
                </c:pt>
                <c:pt idx="1">
                  <c:v>-2.2468801609092361</c:v>
                </c:pt>
                <c:pt idx="2">
                  <c:v>-2.2468801609092361</c:v>
                </c:pt>
                <c:pt idx="3">
                  <c:v>-2.1644452901855202</c:v>
                </c:pt>
                <c:pt idx="4">
                  <c:v>-1.9571105263772794</c:v>
                </c:pt>
                <c:pt idx="5">
                  <c:v>-1.9009455455794548</c:v>
                </c:pt>
                <c:pt idx="6">
                  <c:v>-1.7642857847409479</c:v>
                </c:pt>
                <c:pt idx="7">
                  <c:v>-1.7089241367002055</c:v>
                </c:pt>
                <c:pt idx="8">
                  <c:v>-1.6821994714415485</c:v>
                </c:pt>
                <c:pt idx="9">
                  <c:v>-1.6732228663761315</c:v>
                </c:pt>
                <c:pt idx="10">
                  <c:v>-1.6683614105691487</c:v>
                </c:pt>
                <c:pt idx="11">
                  <c:v>-1.6447679345732358</c:v>
                </c:pt>
                <c:pt idx="12">
                  <c:v>-1.6260625932235175</c:v>
                </c:pt>
                <c:pt idx="13">
                  <c:v>-1.5456137585462526</c:v>
                </c:pt>
                <c:pt idx="14">
                  <c:v>-1.5197778019033039</c:v>
                </c:pt>
                <c:pt idx="15">
                  <c:v>-1.5009425818703794</c:v>
                </c:pt>
                <c:pt idx="16">
                  <c:v>-1.4903094045150971</c:v>
                </c:pt>
                <c:pt idx="17">
                  <c:v>-1.4903094045150971</c:v>
                </c:pt>
                <c:pt idx="18">
                  <c:v>-1.4821947264715534</c:v>
                </c:pt>
                <c:pt idx="19">
                  <c:v>-1.4722552026101394</c:v>
                </c:pt>
                <c:pt idx="20">
                  <c:v>-1.4701947618363536</c:v>
                </c:pt>
                <c:pt idx="21">
                  <c:v>-1.4537322269517876</c:v>
                </c:pt>
                <c:pt idx="22">
                  <c:v>-1.4257693520918016</c:v>
                </c:pt>
                <c:pt idx="23">
                  <c:v>-1.4206601870120885</c:v>
                </c:pt>
                <c:pt idx="24">
                  <c:v>-1.3956670734227141</c:v>
                </c:pt>
                <c:pt idx="25">
                  <c:v>-1.3956670734227141</c:v>
                </c:pt>
                <c:pt idx="26">
                  <c:v>-1.3728448120257164</c:v>
                </c:pt>
                <c:pt idx="27">
                  <c:v>-1.3105303394531658</c:v>
                </c:pt>
                <c:pt idx="28">
                  <c:v>-1.3012875432514226</c:v>
                </c:pt>
                <c:pt idx="29">
                  <c:v>-1.2822241280631019</c:v>
                </c:pt>
                <c:pt idx="30">
                  <c:v>-1.2809066039393426</c:v>
                </c:pt>
                <c:pt idx="31">
                  <c:v>-1.2809066039393426</c:v>
                </c:pt>
                <c:pt idx="32">
                  <c:v>-1.2716946723299885</c:v>
                </c:pt>
                <c:pt idx="33">
                  <c:v>-1.2571683074048949</c:v>
                </c:pt>
                <c:pt idx="34">
                  <c:v>-1.2258528713675785</c:v>
                </c:pt>
                <c:pt idx="35">
                  <c:v>-1.2138796474341278</c:v>
                </c:pt>
                <c:pt idx="36">
                  <c:v>-1.1790835009243632</c:v>
                </c:pt>
                <c:pt idx="37">
                  <c:v>-1.1637554225080031</c:v>
                </c:pt>
                <c:pt idx="38">
                  <c:v>-1.1637554225080031</c:v>
                </c:pt>
                <c:pt idx="39">
                  <c:v>-1.1478052021986924</c:v>
                </c:pt>
                <c:pt idx="40">
                  <c:v>-1.1322632369526964</c:v>
                </c:pt>
                <c:pt idx="41">
                  <c:v>-1.1198549075803419</c:v>
                </c:pt>
                <c:pt idx="42">
                  <c:v>-1.1098835170428225</c:v>
                </c:pt>
                <c:pt idx="43">
                  <c:v>-1.1098835170428225</c:v>
                </c:pt>
                <c:pt idx="44">
                  <c:v>-1.0827972845995413</c:v>
                </c:pt>
                <c:pt idx="45">
                  <c:v>-1.0740189788333998</c:v>
                </c:pt>
                <c:pt idx="46">
                  <c:v>-1.0635056742558247</c:v>
                </c:pt>
                <c:pt idx="47">
                  <c:v>-1.061968818424303</c:v>
                </c:pt>
                <c:pt idx="48">
                  <c:v>-1.0573623275614561</c:v>
                </c:pt>
                <c:pt idx="49">
                  <c:v>-1.0530799401448798</c:v>
                </c:pt>
                <c:pt idx="50">
                  <c:v>-1.0530799401448798</c:v>
                </c:pt>
                <c:pt idx="51">
                  <c:v>-1.0530799401448798</c:v>
                </c:pt>
                <c:pt idx="52">
                  <c:v>-1.0517145886062083</c:v>
                </c:pt>
                <c:pt idx="53">
                  <c:v>-1.0517145886062083</c:v>
                </c:pt>
                <c:pt idx="54">
                  <c:v>-1.0259612490278287</c:v>
                </c:pt>
                <c:pt idx="55">
                  <c:v>-1.0239432340852617</c:v>
                </c:pt>
                <c:pt idx="56">
                  <c:v>-1.0038982760201329</c:v>
                </c:pt>
                <c:pt idx="57">
                  <c:v>-1.002056163840277</c:v>
                </c:pt>
                <c:pt idx="58">
                  <c:v>-0.98161112479142443</c:v>
                </c:pt>
                <c:pt idx="59">
                  <c:v>-0.97355215527360073</c:v>
                </c:pt>
                <c:pt idx="60">
                  <c:v>-0.95859483949228097</c:v>
                </c:pt>
                <c:pt idx="61">
                  <c:v>-0.95859483949228097</c:v>
                </c:pt>
                <c:pt idx="62">
                  <c:v>-0.95859483949228097</c:v>
                </c:pt>
                <c:pt idx="63">
                  <c:v>-0.94386286247694762</c:v>
                </c:pt>
                <c:pt idx="64">
                  <c:v>-0.94241973589503336</c:v>
                </c:pt>
                <c:pt idx="65">
                  <c:v>-0.93639495310532472</c:v>
                </c:pt>
                <c:pt idx="66">
                  <c:v>-0.92907899178628706</c:v>
                </c:pt>
                <c:pt idx="67">
                  <c:v>-0.91303866455275395</c:v>
                </c:pt>
                <c:pt idx="68">
                  <c:v>-0.90845772512271084</c:v>
                </c:pt>
                <c:pt idx="69">
                  <c:v>-0.90731877851447384</c:v>
                </c:pt>
                <c:pt idx="70">
                  <c:v>-0.89465033036900343</c:v>
                </c:pt>
                <c:pt idx="71">
                  <c:v>-0.86430702594766007</c:v>
                </c:pt>
                <c:pt idx="72">
                  <c:v>-0.85714885799950735</c:v>
                </c:pt>
                <c:pt idx="73">
                  <c:v>-0.85624350072879274</c:v>
                </c:pt>
                <c:pt idx="74">
                  <c:v>-0.83446520795977142</c:v>
                </c:pt>
                <c:pt idx="75">
                  <c:v>-0.83446520795977142</c:v>
                </c:pt>
                <c:pt idx="76">
                  <c:v>-0.83446520795977142</c:v>
                </c:pt>
                <c:pt idx="77">
                  <c:v>-0.83446520795977142</c:v>
                </c:pt>
                <c:pt idx="78">
                  <c:v>-0.83305423820524749</c:v>
                </c:pt>
                <c:pt idx="79">
                  <c:v>-0.82690090618220891</c:v>
                </c:pt>
                <c:pt idx="80">
                  <c:v>-0.82558485889031452</c:v>
                </c:pt>
                <c:pt idx="81">
                  <c:v>-0.80425748581935874</c:v>
                </c:pt>
                <c:pt idx="82">
                  <c:v>-0.80075190092835813</c:v>
                </c:pt>
                <c:pt idx="83">
                  <c:v>-0.79924347580625543</c:v>
                </c:pt>
                <c:pt idx="84">
                  <c:v>-0.76965211770235342</c:v>
                </c:pt>
                <c:pt idx="85">
                  <c:v>-0.76525042661573339</c:v>
                </c:pt>
                <c:pt idx="86">
                  <c:v>-0.76359003832862615</c:v>
                </c:pt>
                <c:pt idx="87">
                  <c:v>-0.76129839114545028</c:v>
                </c:pt>
                <c:pt idx="88">
                  <c:v>-0.75506189662171941</c:v>
                </c:pt>
                <c:pt idx="89">
                  <c:v>-0.74458779360466054</c:v>
                </c:pt>
                <c:pt idx="90">
                  <c:v>-0.74458779360466054</c:v>
                </c:pt>
                <c:pt idx="91">
                  <c:v>-0.73891713310851737</c:v>
                </c:pt>
                <c:pt idx="92">
                  <c:v>-0.73321287075653097</c:v>
                </c:pt>
                <c:pt idx="93">
                  <c:v>-0.73209535472197551</c:v>
                </c:pt>
                <c:pt idx="94">
                  <c:v>-0.72750270223370062</c:v>
                </c:pt>
                <c:pt idx="95">
                  <c:v>-0.72481445810655942</c:v>
                </c:pt>
                <c:pt idx="96">
                  <c:v>-0.72010196089208145</c:v>
                </c:pt>
                <c:pt idx="97">
                  <c:v>-0.71035278137388169</c:v>
                </c:pt>
                <c:pt idx="98">
                  <c:v>-0.7086380882596055</c:v>
                </c:pt>
                <c:pt idx="99">
                  <c:v>-0.70401843143703713</c:v>
                </c:pt>
                <c:pt idx="100">
                  <c:v>-0.69784213782096893</c:v>
                </c:pt>
                <c:pt idx="101">
                  <c:v>-0.69635149913402117</c:v>
                </c:pt>
                <c:pt idx="102">
                  <c:v>-0.68349652954978846</c:v>
                </c:pt>
                <c:pt idx="103">
                  <c:v>-0.68100477723248198</c:v>
                </c:pt>
                <c:pt idx="104">
                  <c:v>-0.67876072309281366</c:v>
                </c:pt>
                <c:pt idx="105">
                  <c:v>-0.67576611506154949</c:v>
                </c:pt>
                <c:pt idx="106">
                  <c:v>-0.67576611506154949</c:v>
                </c:pt>
                <c:pt idx="107">
                  <c:v>-0.66329866092594092</c:v>
                </c:pt>
                <c:pt idx="108">
                  <c:v>-0.66010684676128883</c:v>
                </c:pt>
                <c:pt idx="109">
                  <c:v>-0.65698992744513074</c:v>
                </c:pt>
                <c:pt idx="110">
                  <c:v>-0.6543037006170267</c:v>
                </c:pt>
                <c:pt idx="111">
                  <c:v>-0.63821328995704207</c:v>
                </c:pt>
                <c:pt idx="112">
                  <c:v>-0.63821328995704207</c:v>
                </c:pt>
                <c:pt idx="113">
                  <c:v>-0.61585047577466279</c:v>
                </c:pt>
                <c:pt idx="114">
                  <c:v>-0.61585047577466279</c:v>
                </c:pt>
                <c:pt idx="115">
                  <c:v>-0.61439388780428683</c:v>
                </c:pt>
                <c:pt idx="116">
                  <c:v>-0.61439388780428683</c:v>
                </c:pt>
                <c:pt idx="117">
                  <c:v>-0.60726829885664901</c:v>
                </c:pt>
                <c:pt idx="118">
                  <c:v>-0.60098967616767907</c:v>
                </c:pt>
                <c:pt idx="119">
                  <c:v>-0.58620182918557573</c:v>
                </c:pt>
                <c:pt idx="120">
                  <c:v>-0.56659449333822465</c:v>
                </c:pt>
                <c:pt idx="121">
                  <c:v>-0.5615896406701244</c:v>
                </c:pt>
                <c:pt idx="122">
                  <c:v>-0.55789824447052005</c:v>
                </c:pt>
                <c:pt idx="123">
                  <c:v>-0.55504000935819897</c:v>
                </c:pt>
                <c:pt idx="124">
                  <c:v>-0.53907281029913701</c:v>
                </c:pt>
                <c:pt idx="125">
                  <c:v>-0.52025003579943963</c:v>
                </c:pt>
                <c:pt idx="126">
                  <c:v>-0.51327825356431145</c:v>
                </c:pt>
                <c:pt idx="127">
                  <c:v>-0.50654310968210858</c:v>
                </c:pt>
                <c:pt idx="128">
                  <c:v>-0.46052044583529883</c:v>
                </c:pt>
                <c:pt idx="129">
                  <c:v>-0.46052044583529883</c:v>
                </c:pt>
                <c:pt idx="130">
                  <c:v>-0.46028990667948183</c:v>
                </c:pt>
                <c:pt idx="131">
                  <c:v>-0.45688189975409549</c:v>
                </c:pt>
                <c:pt idx="132">
                  <c:v>-0.45688189975409549</c:v>
                </c:pt>
                <c:pt idx="133">
                  <c:v>-0.44905782636707342</c:v>
                </c:pt>
                <c:pt idx="134">
                  <c:v>-0.43322913474712527</c:v>
                </c:pt>
                <c:pt idx="135">
                  <c:v>-0.42736493796348551</c:v>
                </c:pt>
                <c:pt idx="136">
                  <c:v>-0.41225454707923942</c:v>
                </c:pt>
                <c:pt idx="137">
                  <c:v>-0.39656907756226206</c:v>
                </c:pt>
                <c:pt idx="138">
                  <c:v>-0.39392179191486232</c:v>
                </c:pt>
                <c:pt idx="139">
                  <c:v>-0.39259596712187428</c:v>
                </c:pt>
                <c:pt idx="140">
                  <c:v>-0.39225018124211614</c:v>
                </c:pt>
                <c:pt idx="141">
                  <c:v>-0.39040093538271747</c:v>
                </c:pt>
                <c:pt idx="142">
                  <c:v>-0.38568003244594273</c:v>
                </c:pt>
                <c:pt idx="143">
                  <c:v>-0.36611314488026792</c:v>
                </c:pt>
                <c:pt idx="144">
                  <c:v>-0.36611314488026792</c:v>
                </c:pt>
                <c:pt idx="145">
                  <c:v>-0.36611314488026792</c:v>
                </c:pt>
                <c:pt idx="146">
                  <c:v>-0.36611314488026792</c:v>
                </c:pt>
                <c:pt idx="147">
                  <c:v>-0.33822457263818001</c:v>
                </c:pt>
                <c:pt idx="148">
                  <c:v>-0.33586818063134366</c:v>
                </c:pt>
                <c:pt idx="149">
                  <c:v>-0.33209420926691235</c:v>
                </c:pt>
                <c:pt idx="150">
                  <c:v>-0.32862608274858007</c:v>
                </c:pt>
                <c:pt idx="151">
                  <c:v>-0.31376112138228479</c:v>
                </c:pt>
                <c:pt idx="152">
                  <c:v>-0.30578005752312881</c:v>
                </c:pt>
                <c:pt idx="153">
                  <c:v>-0.29623235345276833</c:v>
                </c:pt>
                <c:pt idx="154">
                  <c:v>-0.29446115240664739</c:v>
                </c:pt>
                <c:pt idx="155">
                  <c:v>-0.28818348187427234</c:v>
                </c:pt>
                <c:pt idx="156">
                  <c:v>-0.28222459695894675</c:v>
                </c:pt>
                <c:pt idx="157">
                  <c:v>-0.27564218684348796</c:v>
                </c:pt>
                <c:pt idx="158">
                  <c:v>-0.27290036054907113</c:v>
                </c:pt>
                <c:pt idx="159">
                  <c:v>-0.27177542663229604</c:v>
                </c:pt>
                <c:pt idx="160">
                  <c:v>-0.26531688637162615</c:v>
                </c:pt>
                <c:pt idx="161">
                  <c:v>-0.26459949626391299</c:v>
                </c:pt>
                <c:pt idx="162">
                  <c:v>-0.25789577551081128</c:v>
                </c:pt>
                <c:pt idx="163">
                  <c:v>-0.24586038402592467</c:v>
                </c:pt>
                <c:pt idx="164">
                  <c:v>-0.24510741719966056</c:v>
                </c:pt>
                <c:pt idx="165">
                  <c:v>-0.23877067532347371</c:v>
                </c:pt>
                <c:pt idx="166">
                  <c:v>-0.23517284937736221</c:v>
                </c:pt>
                <c:pt idx="167">
                  <c:v>-0.21518848608563401</c:v>
                </c:pt>
                <c:pt idx="168">
                  <c:v>-0.21411609956673125</c:v>
                </c:pt>
                <c:pt idx="169">
                  <c:v>-0.20883624999201611</c:v>
                </c:pt>
                <c:pt idx="170">
                  <c:v>-0.20154002715469738</c:v>
                </c:pt>
                <c:pt idx="171">
                  <c:v>-0.18863185902671509</c:v>
                </c:pt>
                <c:pt idx="172">
                  <c:v>-0.18478378093408979</c:v>
                </c:pt>
                <c:pt idx="173">
                  <c:v>-0.1825434690281979</c:v>
                </c:pt>
                <c:pt idx="174">
                  <c:v>-0.17862101140444575</c:v>
                </c:pt>
                <c:pt idx="175">
                  <c:v>-0.17707318700236546</c:v>
                </c:pt>
                <c:pt idx="176">
                  <c:v>-0.17707318700236546</c:v>
                </c:pt>
                <c:pt idx="177">
                  <c:v>-0.15097695247620252</c:v>
                </c:pt>
                <c:pt idx="178">
                  <c:v>-0.15097695247620252</c:v>
                </c:pt>
                <c:pt idx="179">
                  <c:v>-0.15097695247620252</c:v>
                </c:pt>
                <c:pt idx="180">
                  <c:v>-0.15097695247620252</c:v>
                </c:pt>
                <c:pt idx="181">
                  <c:v>-0.14704097441072247</c:v>
                </c:pt>
                <c:pt idx="182">
                  <c:v>-0.14704097441072247</c:v>
                </c:pt>
                <c:pt idx="183">
                  <c:v>-0.14704097441072247</c:v>
                </c:pt>
                <c:pt idx="184">
                  <c:v>-0.14704097441072247</c:v>
                </c:pt>
                <c:pt idx="185">
                  <c:v>-0.14704097441072247</c:v>
                </c:pt>
                <c:pt idx="186">
                  <c:v>-0.14704097441072247</c:v>
                </c:pt>
                <c:pt idx="187">
                  <c:v>-0.11331525504919178</c:v>
                </c:pt>
                <c:pt idx="188">
                  <c:v>-0.11331525504919178</c:v>
                </c:pt>
                <c:pt idx="189">
                  <c:v>-0.1017465557767618</c:v>
                </c:pt>
                <c:pt idx="190">
                  <c:v>-9.9396544937197254E-2</c:v>
                </c:pt>
                <c:pt idx="191">
                  <c:v>-9.0436901951403761E-2</c:v>
                </c:pt>
                <c:pt idx="192">
                  <c:v>-9.0436901951403761E-2</c:v>
                </c:pt>
                <c:pt idx="193">
                  <c:v>-8.4450371631414528E-2</c:v>
                </c:pt>
                <c:pt idx="194">
                  <c:v>-8.3138492251953466E-2</c:v>
                </c:pt>
                <c:pt idx="195">
                  <c:v>-8.2915841181284339E-2</c:v>
                </c:pt>
                <c:pt idx="196">
                  <c:v>-8.0502387241465176E-2</c:v>
                </c:pt>
                <c:pt idx="197">
                  <c:v>-8.0131687892265116E-2</c:v>
                </c:pt>
                <c:pt idx="198">
                  <c:v>-6.1049131450376271E-2</c:v>
                </c:pt>
                <c:pt idx="199">
                  <c:v>-5.4174150136665843E-2</c:v>
                </c:pt>
                <c:pt idx="200">
                  <c:v>-5.2578995318760473E-2</c:v>
                </c:pt>
                <c:pt idx="201">
                  <c:v>-5.2578995318760473E-2</c:v>
                </c:pt>
                <c:pt idx="202">
                  <c:v>-2.8317893867576063E-2</c:v>
                </c:pt>
                <c:pt idx="203">
                  <c:v>-2.2309440680360997E-2</c:v>
                </c:pt>
                <c:pt idx="204">
                  <c:v>-2.2309440680360997E-2</c:v>
                </c:pt>
                <c:pt idx="205">
                  <c:v>-1.9205022324902794E-2</c:v>
                </c:pt>
                <c:pt idx="206">
                  <c:v>-1.9205022324902794E-2</c:v>
                </c:pt>
                <c:pt idx="207">
                  <c:v>-5.5041300863685741E-3</c:v>
                </c:pt>
                <c:pt idx="208">
                  <c:v>2.3000365133047466E-4</c:v>
                </c:pt>
                <c:pt idx="209">
                  <c:v>1.1245898418594844E-2</c:v>
                </c:pt>
                <c:pt idx="210">
                  <c:v>1.1245898418594844E-2</c:v>
                </c:pt>
                <c:pt idx="211">
                  <c:v>1.9097454473565451E-2</c:v>
                </c:pt>
                <c:pt idx="212">
                  <c:v>3.0086594780562279E-2</c:v>
                </c:pt>
                <c:pt idx="213">
                  <c:v>3.0637362277204226E-2</c:v>
                </c:pt>
                <c:pt idx="214">
                  <c:v>4.1587163398595209E-2</c:v>
                </c:pt>
                <c:pt idx="215">
                  <c:v>4.1639627292631085E-2</c:v>
                </c:pt>
                <c:pt idx="216">
                  <c:v>4.5854344299489626E-2</c:v>
                </c:pt>
                <c:pt idx="217">
                  <c:v>4.7286683926876731E-2</c:v>
                </c:pt>
                <c:pt idx="218">
                  <c:v>5.0081090586498962E-2</c:v>
                </c:pt>
                <c:pt idx="219">
                  <c:v>6.2380527778846714E-2</c:v>
                </c:pt>
                <c:pt idx="220">
                  <c:v>6.776912166170404E-2</c:v>
                </c:pt>
                <c:pt idx="221">
                  <c:v>7.2031196058822966E-2</c:v>
                </c:pt>
                <c:pt idx="222">
                  <c:v>7.2031196058822966E-2</c:v>
                </c:pt>
                <c:pt idx="223">
                  <c:v>7.2031196058822966E-2</c:v>
                </c:pt>
                <c:pt idx="224">
                  <c:v>7.2031196058822966E-2</c:v>
                </c:pt>
                <c:pt idx="225">
                  <c:v>7.2031196058822966E-2</c:v>
                </c:pt>
                <c:pt idx="226">
                  <c:v>7.5595703157523106E-2</c:v>
                </c:pt>
                <c:pt idx="227">
                  <c:v>8.7243310608373453E-2</c:v>
                </c:pt>
                <c:pt idx="228">
                  <c:v>9.0328638514539469E-2</c:v>
                </c:pt>
                <c:pt idx="229">
                  <c:v>9.7050112120617413E-2</c:v>
                </c:pt>
                <c:pt idx="230">
                  <c:v>9.8083158493087505E-2</c:v>
                </c:pt>
                <c:pt idx="231">
                  <c:v>0.10162784818039022</c:v>
                </c:pt>
                <c:pt idx="232">
                  <c:v>0.10247547682236685</c:v>
                </c:pt>
                <c:pt idx="233">
                  <c:v>0.10546369916852878</c:v>
                </c:pt>
                <c:pt idx="234">
                  <c:v>0.10546369916852878</c:v>
                </c:pt>
                <c:pt idx="235">
                  <c:v>0.10546369916852878</c:v>
                </c:pt>
                <c:pt idx="236">
                  <c:v>0.10573124814331297</c:v>
                </c:pt>
                <c:pt idx="237">
                  <c:v>0.10573124814331297</c:v>
                </c:pt>
                <c:pt idx="238">
                  <c:v>0.10573124814331297</c:v>
                </c:pt>
                <c:pt idx="239">
                  <c:v>0.10590320217733296</c:v>
                </c:pt>
                <c:pt idx="240">
                  <c:v>0.10962041583844254</c:v>
                </c:pt>
                <c:pt idx="241">
                  <c:v>0.10962041583844254</c:v>
                </c:pt>
                <c:pt idx="242">
                  <c:v>0.12845042911501287</c:v>
                </c:pt>
                <c:pt idx="243">
                  <c:v>0.13302767855840289</c:v>
                </c:pt>
                <c:pt idx="244">
                  <c:v>0.13603141782692912</c:v>
                </c:pt>
                <c:pt idx="245">
                  <c:v>0.14317304990868077</c:v>
                </c:pt>
                <c:pt idx="246">
                  <c:v>0.14367111182576714</c:v>
                </c:pt>
                <c:pt idx="247">
                  <c:v>0.16610736899485454</c:v>
                </c:pt>
                <c:pt idx="248">
                  <c:v>0.17433779010380832</c:v>
                </c:pt>
                <c:pt idx="249">
                  <c:v>0.19226632799068005</c:v>
                </c:pt>
                <c:pt idx="250">
                  <c:v>0.19297528085561669</c:v>
                </c:pt>
                <c:pt idx="251">
                  <c:v>0.20547400588399048</c:v>
                </c:pt>
                <c:pt idx="252">
                  <c:v>0.21110948803406429</c:v>
                </c:pt>
                <c:pt idx="253">
                  <c:v>0.24580817985276052</c:v>
                </c:pt>
                <c:pt idx="254">
                  <c:v>0.27224092558452889</c:v>
                </c:pt>
                <c:pt idx="255">
                  <c:v>0.27907787225852959</c:v>
                </c:pt>
                <c:pt idx="256">
                  <c:v>0.29070078214316813</c:v>
                </c:pt>
                <c:pt idx="257">
                  <c:v>0.29110336652836843</c:v>
                </c:pt>
                <c:pt idx="258">
                  <c:v>0.29110336652836843</c:v>
                </c:pt>
                <c:pt idx="259">
                  <c:v>0.29110336652836843</c:v>
                </c:pt>
                <c:pt idx="260">
                  <c:v>0.29276767691947903</c:v>
                </c:pt>
                <c:pt idx="261">
                  <c:v>0.32164730554922211</c:v>
                </c:pt>
                <c:pt idx="262">
                  <c:v>0.3224545455949826</c:v>
                </c:pt>
                <c:pt idx="263">
                  <c:v>0.32513165167370728</c:v>
                </c:pt>
                <c:pt idx="264">
                  <c:v>0.32513165167370728</c:v>
                </c:pt>
                <c:pt idx="265">
                  <c:v>0.32833812645198651</c:v>
                </c:pt>
                <c:pt idx="266">
                  <c:v>0.32833812645198651</c:v>
                </c:pt>
                <c:pt idx="267">
                  <c:v>0.3310846408377961</c:v>
                </c:pt>
                <c:pt idx="268">
                  <c:v>0.33738939663768719</c:v>
                </c:pt>
                <c:pt idx="269">
                  <c:v>0.34715637839790769</c:v>
                </c:pt>
                <c:pt idx="270">
                  <c:v>0.35243154659916875</c:v>
                </c:pt>
                <c:pt idx="271">
                  <c:v>0.354418353436871</c:v>
                </c:pt>
                <c:pt idx="272">
                  <c:v>0.35520132790581171</c:v>
                </c:pt>
                <c:pt idx="273">
                  <c:v>0.36691368464691465</c:v>
                </c:pt>
                <c:pt idx="274">
                  <c:v>0.39022574866526683</c:v>
                </c:pt>
                <c:pt idx="275">
                  <c:v>0.39292519717829899</c:v>
                </c:pt>
                <c:pt idx="276">
                  <c:v>0.41495228618534152</c:v>
                </c:pt>
                <c:pt idx="277">
                  <c:v>0.42607385997489128</c:v>
                </c:pt>
                <c:pt idx="278">
                  <c:v>0.42980557529087654</c:v>
                </c:pt>
                <c:pt idx="279">
                  <c:v>0.43123321991264973</c:v>
                </c:pt>
                <c:pt idx="280">
                  <c:v>0.43123321991264973</c:v>
                </c:pt>
                <c:pt idx="281">
                  <c:v>0.43422913739196117</c:v>
                </c:pt>
                <c:pt idx="282">
                  <c:v>0.44014841728693421</c:v>
                </c:pt>
                <c:pt idx="283">
                  <c:v>0.44978299663282789</c:v>
                </c:pt>
                <c:pt idx="284">
                  <c:v>0.45650935303935508</c:v>
                </c:pt>
                <c:pt idx="285">
                  <c:v>0.45704182916042019</c:v>
                </c:pt>
                <c:pt idx="286">
                  <c:v>0.46569692145710928</c:v>
                </c:pt>
                <c:pt idx="287">
                  <c:v>0.49049571625480209</c:v>
                </c:pt>
                <c:pt idx="288">
                  <c:v>0.49926581676042597</c:v>
                </c:pt>
                <c:pt idx="289">
                  <c:v>0.50275213888896431</c:v>
                </c:pt>
                <c:pt idx="290">
                  <c:v>0.50275213888896431</c:v>
                </c:pt>
                <c:pt idx="291">
                  <c:v>0.5094459562855943</c:v>
                </c:pt>
                <c:pt idx="292">
                  <c:v>0.51017553699791385</c:v>
                </c:pt>
                <c:pt idx="293">
                  <c:v>0.51295278239318265</c:v>
                </c:pt>
                <c:pt idx="294">
                  <c:v>0.5216305429482796</c:v>
                </c:pt>
                <c:pt idx="295">
                  <c:v>0.52545431576331125</c:v>
                </c:pt>
                <c:pt idx="296">
                  <c:v>0.54390304473768591</c:v>
                </c:pt>
                <c:pt idx="297">
                  <c:v>0.54450596932080497</c:v>
                </c:pt>
                <c:pt idx="298">
                  <c:v>0.54705583706553051</c:v>
                </c:pt>
                <c:pt idx="299">
                  <c:v>0.55941727118638618</c:v>
                </c:pt>
                <c:pt idx="300">
                  <c:v>0.58260454367833525</c:v>
                </c:pt>
                <c:pt idx="301">
                  <c:v>0.59127907396769319</c:v>
                </c:pt>
                <c:pt idx="302">
                  <c:v>0.60042419824031423</c:v>
                </c:pt>
                <c:pt idx="303">
                  <c:v>0.60348009762208454</c:v>
                </c:pt>
                <c:pt idx="304">
                  <c:v>0.61078373474846026</c:v>
                </c:pt>
                <c:pt idx="305">
                  <c:v>0.61267115024959307</c:v>
                </c:pt>
                <c:pt idx="306">
                  <c:v>0.62534873405344638</c:v>
                </c:pt>
                <c:pt idx="307">
                  <c:v>0.66512478461550917</c:v>
                </c:pt>
                <c:pt idx="308">
                  <c:v>0.66736884327973411</c:v>
                </c:pt>
                <c:pt idx="309">
                  <c:v>0.66905154573994441</c:v>
                </c:pt>
                <c:pt idx="310">
                  <c:v>0.67852561810731449</c:v>
                </c:pt>
                <c:pt idx="311">
                  <c:v>0.72857531387857688</c:v>
                </c:pt>
                <c:pt idx="312">
                  <c:v>0.72924770746745926</c:v>
                </c:pt>
                <c:pt idx="313">
                  <c:v>0.74130028468166997</c:v>
                </c:pt>
                <c:pt idx="314">
                  <c:v>0.78503235476186117</c:v>
                </c:pt>
                <c:pt idx="315">
                  <c:v>0.83022032487102126</c:v>
                </c:pt>
                <c:pt idx="316">
                  <c:v>0.83878379270223202</c:v>
                </c:pt>
                <c:pt idx="317">
                  <c:v>0.8432716924701481</c:v>
                </c:pt>
                <c:pt idx="318">
                  <c:v>0.8476596944936744</c:v>
                </c:pt>
                <c:pt idx="319">
                  <c:v>0.85905758966938084</c:v>
                </c:pt>
                <c:pt idx="320">
                  <c:v>0.86537784369284332</c:v>
                </c:pt>
                <c:pt idx="321">
                  <c:v>0.86719774980450104</c:v>
                </c:pt>
                <c:pt idx="322">
                  <c:v>0.87052161064603317</c:v>
                </c:pt>
                <c:pt idx="323">
                  <c:v>0.89740717853184337</c:v>
                </c:pt>
                <c:pt idx="324">
                  <c:v>0.89793367014500824</c:v>
                </c:pt>
                <c:pt idx="325">
                  <c:v>0.90036849601018865</c:v>
                </c:pt>
                <c:pt idx="326">
                  <c:v>0.93150964409250714</c:v>
                </c:pt>
                <c:pt idx="327">
                  <c:v>0.94021896892245982</c:v>
                </c:pt>
                <c:pt idx="328">
                  <c:v>0.94074771616990915</c:v>
                </c:pt>
                <c:pt idx="329">
                  <c:v>0.96881082198468971</c:v>
                </c:pt>
                <c:pt idx="330">
                  <c:v>0.96884041616866634</c:v>
                </c:pt>
                <c:pt idx="331">
                  <c:v>0.98377764146278912</c:v>
                </c:pt>
                <c:pt idx="332">
                  <c:v>1.0042000715035722</c:v>
                </c:pt>
                <c:pt idx="333">
                  <c:v>1.0251448211748819</c:v>
                </c:pt>
                <c:pt idx="334">
                  <c:v>1.0344343742274169</c:v>
                </c:pt>
                <c:pt idx="335">
                  <c:v>1.0408528262493146</c:v>
                </c:pt>
                <c:pt idx="336">
                  <c:v>1.0625382801746825</c:v>
                </c:pt>
                <c:pt idx="337">
                  <c:v>1.0692908102831109</c:v>
                </c:pt>
                <c:pt idx="338">
                  <c:v>1.0845900991120383</c:v>
                </c:pt>
                <c:pt idx="339">
                  <c:v>1.092204145566714</c:v>
                </c:pt>
                <c:pt idx="340">
                  <c:v>1.0938178373174243</c:v>
                </c:pt>
                <c:pt idx="341">
                  <c:v>1.0942839109364728</c:v>
                </c:pt>
                <c:pt idx="342">
                  <c:v>1.150196008406122</c:v>
                </c:pt>
                <c:pt idx="343">
                  <c:v>1.1524244757862199</c:v>
                </c:pt>
                <c:pt idx="344">
                  <c:v>1.1763572546689465</c:v>
                </c:pt>
                <c:pt idx="345">
                  <c:v>1.1900477645127265</c:v>
                </c:pt>
                <c:pt idx="346">
                  <c:v>1.2407568041047297</c:v>
                </c:pt>
                <c:pt idx="347">
                  <c:v>1.2533395036684445</c:v>
                </c:pt>
                <c:pt idx="348">
                  <c:v>1.256983637062127</c:v>
                </c:pt>
                <c:pt idx="349">
                  <c:v>1.2763278411485941</c:v>
                </c:pt>
                <c:pt idx="350">
                  <c:v>1.2884899056093879</c:v>
                </c:pt>
                <c:pt idx="351">
                  <c:v>1.2884899056093879</c:v>
                </c:pt>
                <c:pt idx="352">
                  <c:v>1.308747947365992</c:v>
                </c:pt>
                <c:pt idx="353">
                  <c:v>1.3126546966273303</c:v>
                </c:pt>
                <c:pt idx="354">
                  <c:v>1.3559961515397421</c:v>
                </c:pt>
                <c:pt idx="355">
                  <c:v>1.3674233086945626</c:v>
                </c:pt>
                <c:pt idx="356">
                  <c:v>1.3802455664891433</c:v>
                </c:pt>
                <c:pt idx="357">
                  <c:v>1.4250467123585293</c:v>
                </c:pt>
                <c:pt idx="358">
                  <c:v>1.4782255548765446</c:v>
                </c:pt>
                <c:pt idx="359">
                  <c:v>1.5533959740264518</c:v>
                </c:pt>
                <c:pt idx="360">
                  <c:v>1.5722096162053198</c:v>
                </c:pt>
                <c:pt idx="361">
                  <c:v>1.5893786666815362</c:v>
                </c:pt>
                <c:pt idx="362">
                  <c:v>1.5989916406270499</c:v>
                </c:pt>
                <c:pt idx="363">
                  <c:v>1.6008208080986144</c:v>
                </c:pt>
                <c:pt idx="364">
                  <c:v>1.6031718269977255</c:v>
                </c:pt>
                <c:pt idx="365">
                  <c:v>1.6469208618262112</c:v>
                </c:pt>
                <c:pt idx="366">
                  <c:v>1.6593920740952766</c:v>
                </c:pt>
                <c:pt idx="367">
                  <c:v>1.7001723489453782</c:v>
                </c:pt>
                <c:pt idx="368">
                  <c:v>1.74198209883175</c:v>
                </c:pt>
                <c:pt idx="369">
                  <c:v>1.7437564557245502</c:v>
                </c:pt>
                <c:pt idx="370">
                  <c:v>1.7503284152471421</c:v>
                </c:pt>
                <c:pt idx="371">
                  <c:v>1.776321819299205</c:v>
                </c:pt>
                <c:pt idx="372">
                  <c:v>1.784505341020258</c:v>
                </c:pt>
                <c:pt idx="373">
                  <c:v>1.8177377147649565</c:v>
                </c:pt>
                <c:pt idx="374">
                  <c:v>1.8338409920627767</c:v>
                </c:pt>
                <c:pt idx="375">
                  <c:v>1.8593621007467944</c:v>
                </c:pt>
                <c:pt idx="376">
                  <c:v>1.8593621007467944</c:v>
                </c:pt>
                <c:pt idx="377">
                  <c:v>1.9318373510721396</c:v>
                </c:pt>
                <c:pt idx="378">
                  <c:v>1.9318760743916459</c:v>
                </c:pt>
                <c:pt idx="379">
                  <c:v>2.0219680354097753</c:v>
                </c:pt>
                <c:pt idx="380">
                  <c:v>2.1125269603276573</c:v>
                </c:pt>
                <c:pt idx="381">
                  <c:v>2.2217591935428351</c:v>
                </c:pt>
                <c:pt idx="382">
                  <c:v>2.4344034887389445</c:v>
                </c:pt>
                <c:pt idx="383">
                  <c:v>2.6225941881597925</c:v>
                </c:pt>
                <c:pt idx="384">
                  <c:v>2.6883517497426985</c:v>
                </c:pt>
                <c:pt idx="385">
                  <c:v>2.7638415002905243</c:v>
                </c:pt>
                <c:pt idx="386">
                  <c:v>2.7936572837699241</c:v>
                </c:pt>
                <c:pt idx="387">
                  <c:v>2.8856244344914175</c:v>
                </c:pt>
                <c:pt idx="388">
                  <c:v>2.8935337603199272</c:v>
                </c:pt>
                <c:pt idx="389">
                  <c:v>3.0428180970641172</c:v>
                </c:pt>
                <c:pt idx="390">
                  <c:v>3.302898990796185</c:v>
                </c:pt>
                <c:pt idx="391">
                  <c:v>3.7031254987650177</c:v>
                </c:pt>
              </c:numCache>
            </c:numRef>
          </c:yVal>
          <c:smooth val="0"/>
          <c:extLst>
            <c:ext xmlns:c16="http://schemas.microsoft.com/office/drawing/2014/chart" uri="{C3380CC4-5D6E-409C-BE32-E72D297353CC}">
              <c16:uniqueId val="{00000001-92D1-4E09-984D-E5A7E3635F22}"/>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92D1-4E09-984D-E5A7E3635F22}"/>
            </c:ext>
          </c:extLst>
        </c:ser>
        <c:dLbls>
          <c:showLegendKey val="0"/>
          <c:showVal val="0"/>
          <c:showCatName val="0"/>
          <c:showSerName val="0"/>
          <c:showPercent val="0"/>
          <c:showBubbleSize val="0"/>
        </c:dLbls>
        <c:axId val="530575055"/>
        <c:axId val="392077487"/>
      </c:scatterChart>
      <c:valAx>
        <c:axId val="530575055"/>
        <c:scaling>
          <c:orientation val="minMax"/>
          <c:max val="4.2007262122566926"/>
          <c:min val="-3.451682617569364"/>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392077487"/>
        <c:crosses val="autoZero"/>
        <c:crossBetween val="midCat"/>
      </c:valAx>
      <c:valAx>
        <c:axId val="392077487"/>
        <c:scaling>
          <c:orientation val="minMax"/>
          <c:max val="4.2007262122566926"/>
          <c:min val="-3.451682617569364"/>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5305750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MPB ~ Horsepower</a:t>
            </a:r>
            <a:br>
              <a:rPr lang="en-US"/>
            </a:br>
            <a:r>
              <a:rPr lang="en-US"/>
              <a:t>&amp;</a:t>
            </a:r>
            <a:r>
              <a:rPr lang="en-US" baseline="0"/>
              <a:t> Cylinders (Continuous)</a:t>
            </a:r>
            <a:endParaRPr lang="en-US"/>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16.393685809888794</c:v>
                </c:pt>
                <c:pt idx="1">
                  <c:v>13.379333514450185</c:v>
                </c:pt>
                <c:pt idx="2">
                  <c:v>14.671198783923874</c:v>
                </c:pt>
                <c:pt idx="3">
                  <c:v>14.671198783923874</c:v>
                </c:pt>
                <c:pt idx="4">
                  <c:v>15.532442296906334</c:v>
                </c:pt>
                <c:pt idx="5">
                  <c:v>10.537229921608066</c:v>
                </c:pt>
                <c:pt idx="6">
                  <c:v>8.6424941930466517</c:v>
                </c:pt>
                <c:pt idx="7">
                  <c:v>9.0731159495378826</c:v>
                </c:pt>
                <c:pt idx="8">
                  <c:v>8.2118724365554243</c:v>
                </c:pt>
                <c:pt idx="9">
                  <c:v>11.226224731994034</c:v>
                </c:pt>
                <c:pt idx="10">
                  <c:v>12.948711757958954</c:v>
                </c:pt>
                <c:pt idx="11">
                  <c:v>13.809955270941414</c:v>
                </c:pt>
                <c:pt idx="12">
                  <c:v>14.671198783923874</c:v>
                </c:pt>
                <c:pt idx="13">
                  <c:v>8.2118724365554243</c:v>
                </c:pt>
                <c:pt idx="14">
                  <c:v>27.087322281839008</c:v>
                </c:pt>
                <c:pt idx="15">
                  <c:v>23.247680193583207</c:v>
                </c:pt>
                <c:pt idx="16">
                  <c:v>23.075431490986713</c:v>
                </c:pt>
                <c:pt idx="17">
                  <c:v>24.108923706565665</c:v>
                </c:pt>
                <c:pt idx="18">
                  <c:v>27.690192740926726</c:v>
                </c:pt>
                <c:pt idx="19">
                  <c:v>31.307415495453061</c:v>
                </c:pt>
                <c:pt idx="20">
                  <c:v>27.776317092224975</c:v>
                </c:pt>
                <c:pt idx="21">
                  <c:v>27.517944038330235</c:v>
                </c:pt>
                <c:pt idx="22">
                  <c:v>27.087322281839008</c:v>
                </c:pt>
                <c:pt idx="23">
                  <c:v>25.537083958470578</c:v>
                </c:pt>
                <c:pt idx="24">
                  <c:v>23.678301950074435</c:v>
                </c:pt>
                <c:pt idx="25">
                  <c:v>9.0731159495378826</c:v>
                </c:pt>
                <c:pt idx="26">
                  <c:v>10.364981219011575</c:v>
                </c:pt>
                <c:pt idx="27">
                  <c:v>9.5037377060291135</c:v>
                </c:pt>
                <c:pt idx="28">
                  <c:v>10.967851678099297</c:v>
                </c:pt>
                <c:pt idx="29">
                  <c:v>27.690192740926726</c:v>
                </c:pt>
                <c:pt idx="30">
                  <c:v>27.517944038330235</c:v>
                </c:pt>
                <c:pt idx="31">
                  <c:v>27.087322281839008</c:v>
                </c:pt>
                <c:pt idx="32">
                  <c:v>22.817058437091976</c:v>
                </c:pt>
                <c:pt idx="33">
                  <c:v>22.386436680600745</c:v>
                </c:pt>
                <c:pt idx="34">
                  <c:v>22.817058437091976</c:v>
                </c:pt>
                <c:pt idx="35">
                  <c:v>23.850550652670925</c:v>
                </c:pt>
                <c:pt idx="36">
                  <c:v>22.817058437091976</c:v>
                </c:pt>
                <c:pt idx="37">
                  <c:v>13.379333514450185</c:v>
                </c:pt>
                <c:pt idx="38">
                  <c:v>12.518090001467725</c:v>
                </c:pt>
                <c:pt idx="39">
                  <c:v>14.412825730029136</c:v>
                </c:pt>
                <c:pt idx="40">
                  <c:v>14.671198783923874</c:v>
                </c:pt>
                <c:pt idx="41">
                  <c:v>12.087468244976494</c:v>
                </c:pt>
                <c:pt idx="42">
                  <c:v>12.948711757958954</c:v>
                </c:pt>
                <c:pt idx="43">
                  <c:v>12.518090001467725</c:v>
                </c:pt>
                <c:pt idx="44">
                  <c:v>21.955814924109514</c:v>
                </c:pt>
                <c:pt idx="45">
                  <c:v>29.068182361698664</c:v>
                </c:pt>
                <c:pt idx="46">
                  <c:v>22.817058437091976</c:v>
                </c:pt>
                <c:pt idx="47">
                  <c:v>23.850550652670925</c:v>
                </c:pt>
                <c:pt idx="48">
                  <c:v>27.86244144352322</c:v>
                </c:pt>
                <c:pt idx="49">
                  <c:v>27.517944038330235</c:v>
                </c:pt>
                <c:pt idx="50">
                  <c:v>29.240431064295155</c:v>
                </c:pt>
                <c:pt idx="51">
                  <c:v>28.723684956505679</c:v>
                </c:pt>
                <c:pt idx="52">
                  <c:v>29.671052820786386</c:v>
                </c:pt>
                <c:pt idx="53">
                  <c:v>29.326555415593404</c:v>
                </c:pt>
                <c:pt idx="54">
                  <c:v>30.101674577277617</c:v>
                </c:pt>
                <c:pt idx="55">
                  <c:v>29.240431064295155</c:v>
                </c:pt>
                <c:pt idx="56">
                  <c:v>27.087322281839008</c:v>
                </c:pt>
                <c:pt idx="57">
                  <c:v>28.379187551312697</c:v>
                </c:pt>
                <c:pt idx="58">
                  <c:v>30.618420685067093</c:v>
                </c:pt>
                <c:pt idx="59">
                  <c:v>27.517944038330235</c:v>
                </c:pt>
                <c:pt idx="60">
                  <c:v>27.86244144352322</c:v>
                </c:pt>
                <c:pt idx="61">
                  <c:v>13.379333514450185</c:v>
                </c:pt>
                <c:pt idx="62">
                  <c:v>12.518090001467725</c:v>
                </c:pt>
                <c:pt idx="63">
                  <c:v>14.671198783923874</c:v>
                </c:pt>
                <c:pt idx="64">
                  <c:v>14.412825730029136</c:v>
                </c:pt>
                <c:pt idx="65">
                  <c:v>14.671198783923874</c:v>
                </c:pt>
                <c:pt idx="66">
                  <c:v>9.6759864086256044</c:v>
                </c:pt>
                <c:pt idx="67">
                  <c:v>14.240577027432645</c:v>
                </c:pt>
                <c:pt idx="68">
                  <c:v>13.809955270941414</c:v>
                </c:pt>
                <c:pt idx="69">
                  <c:v>11.226224731994034</c:v>
                </c:pt>
                <c:pt idx="70">
                  <c:v>28.834894623370413</c:v>
                </c:pt>
                <c:pt idx="71">
                  <c:v>14.671198783923874</c:v>
                </c:pt>
                <c:pt idx="72">
                  <c:v>16.393685809888794</c:v>
                </c:pt>
                <c:pt idx="73">
                  <c:v>15.532442296906334</c:v>
                </c:pt>
                <c:pt idx="74">
                  <c:v>14.671198783923874</c:v>
                </c:pt>
                <c:pt idx="75">
                  <c:v>25.623208309768824</c:v>
                </c:pt>
                <c:pt idx="76">
                  <c:v>28.723684956505679</c:v>
                </c:pt>
                <c:pt idx="77">
                  <c:v>27.776317092224975</c:v>
                </c:pt>
                <c:pt idx="78">
                  <c:v>29.326555415593404</c:v>
                </c:pt>
                <c:pt idx="79">
                  <c:v>27.86244144352322</c:v>
                </c:pt>
                <c:pt idx="80">
                  <c:v>27.345695335733744</c:v>
                </c:pt>
                <c:pt idx="81">
                  <c:v>26.915073579242513</c:v>
                </c:pt>
                <c:pt idx="82">
                  <c:v>28.379187551312697</c:v>
                </c:pt>
                <c:pt idx="83">
                  <c:v>27.690192740926726</c:v>
                </c:pt>
                <c:pt idx="84">
                  <c:v>12.518090001467725</c:v>
                </c:pt>
                <c:pt idx="85">
                  <c:v>14.671198783923874</c:v>
                </c:pt>
                <c:pt idx="86">
                  <c:v>15.101820540415105</c:v>
                </c:pt>
                <c:pt idx="87">
                  <c:v>15.790815350801072</c:v>
                </c:pt>
                <c:pt idx="88">
                  <c:v>14.671198783923874</c:v>
                </c:pt>
                <c:pt idx="89">
                  <c:v>10.537229921608066</c:v>
                </c:pt>
                <c:pt idx="90">
                  <c:v>14.671198783923874</c:v>
                </c:pt>
                <c:pt idx="91">
                  <c:v>13.982203973537906</c:v>
                </c:pt>
                <c:pt idx="92">
                  <c:v>14.671198783923874</c:v>
                </c:pt>
                <c:pt idx="93">
                  <c:v>9.0731159495378826</c:v>
                </c:pt>
                <c:pt idx="94">
                  <c:v>8.2118724365554243</c:v>
                </c:pt>
                <c:pt idx="95">
                  <c:v>12.518090001467725</c:v>
                </c:pt>
                <c:pt idx="96">
                  <c:v>22.386436680600745</c:v>
                </c:pt>
                <c:pt idx="97">
                  <c:v>22.817058437091976</c:v>
                </c:pt>
                <c:pt idx="98">
                  <c:v>22.817058437091976</c:v>
                </c:pt>
                <c:pt idx="99">
                  <c:v>23.850550652670925</c:v>
                </c:pt>
                <c:pt idx="100">
                  <c:v>23.247680193583207</c:v>
                </c:pt>
                <c:pt idx="101">
                  <c:v>31.307415495453061</c:v>
                </c:pt>
                <c:pt idx="102">
                  <c:v>14.671198783923874</c:v>
                </c:pt>
                <c:pt idx="103">
                  <c:v>13.207084811853692</c:v>
                </c:pt>
                <c:pt idx="104">
                  <c:v>12.948711757958954</c:v>
                </c:pt>
                <c:pt idx="105">
                  <c:v>12.087468244976494</c:v>
                </c:pt>
                <c:pt idx="106">
                  <c:v>22.817058437091976</c:v>
                </c:pt>
                <c:pt idx="107">
                  <c:v>27.690192740926726</c:v>
                </c:pt>
                <c:pt idx="108">
                  <c:v>29.068182361698664</c:v>
                </c:pt>
                <c:pt idx="109">
                  <c:v>27.173446633137253</c:v>
                </c:pt>
                <c:pt idx="110">
                  <c:v>29.437765082458135</c:v>
                </c:pt>
                <c:pt idx="111">
                  <c:v>27.948565794821466</c:v>
                </c:pt>
                <c:pt idx="112">
                  <c:v>22.214187978004254</c:v>
                </c:pt>
                <c:pt idx="113">
                  <c:v>27.517944038330235</c:v>
                </c:pt>
                <c:pt idx="114">
                  <c:v>15.101820540415105</c:v>
                </c:pt>
                <c:pt idx="115">
                  <c:v>7.7812506800641934</c:v>
                </c:pt>
                <c:pt idx="116">
                  <c:v>31.049042441558321</c:v>
                </c:pt>
                <c:pt idx="117">
                  <c:v>28.809809307803924</c:v>
                </c:pt>
                <c:pt idx="118">
                  <c:v>27.431819687031989</c:v>
                </c:pt>
                <c:pt idx="119">
                  <c:v>25.623208309768824</c:v>
                </c:pt>
                <c:pt idx="120">
                  <c:v>14.671198783923874</c:v>
                </c:pt>
                <c:pt idx="121">
                  <c:v>25.795457012365315</c:v>
                </c:pt>
                <c:pt idx="122">
                  <c:v>20.922322708530565</c:v>
                </c:pt>
                <c:pt idx="123">
                  <c:v>12.087468244976494</c:v>
                </c:pt>
                <c:pt idx="124">
                  <c:v>23.247680193583207</c:v>
                </c:pt>
                <c:pt idx="125">
                  <c:v>22.817058437091976</c:v>
                </c:pt>
                <c:pt idx="126">
                  <c:v>22.817058437091976</c:v>
                </c:pt>
                <c:pt idx="127">
                  <c:v>29.498804118189895</c:v>
                </c:pt>
                <c:pt idx="128">
                  <c:v>28.379187551312697</c:v>
                </c:pt>
                <c:pt idx="129">
                  <c:v>29.671052820786386</c:v>
                </c:pt>
                <c:pt idx="130">
                  <c:v>28.809809307803924</c:v>
                </c:pt>
                <c:pt idx="131">
                  <c:v>22.817058437091976</c:v>
                </c:pt>
                <c:pt idx="132">
                  <c:v>21.955814924109514</c:v>
                </c:pt>
                <c:pt idx="133">
                  <c:v>22.386436680600745</c:v>
                </c:pt>
                <c:pt idx="134">
                  <c:v>15.532442296906334</c:v>
                </c:pt>
                <c:pt idx="135">
                  <c:v>14.671198783923874</c:v>
                </c:pt>
                <c:pt idx="136">
                  <c:v>14.671198783923874</c:v>
                </c:pt>
                <c:pt idx="137">
                  <c:v>15.532442296906334</c:v>
                </c:pt>
                <c:pt idx="138">
                  <c:v>14.671198783923874</c:v>
                </c:pt>
                <c:pt idx="139">
                  <c:v>28.120814497417957</c:v>
                </c:pt>
                <c:pt idx="140">
                  <c:v>29.498804118189895</c:v>
                </c:pt>
                <c:pt idx="141">
                  <c:v>28.551436253909188</c:v>
                </c:pt>
                <c:pt idx="142">
                  <c:v>30.790669387663584</c:v>
                </c:pt>
                <c:pt idx="143">
                  <c:v>30.015550225979371</c:v>
                </c:pt>
                <c:pt idx="144">
                  <c:v>28.809809307803924</c:v>
                </c:pt>
                <c:pt idx="145">
                  <c:v>28.809809307803924</c:v>
                </c:pt>
                <c:pt idx="146">
                  <c:v>28.809809307803924</c:v>
                </c:pt>
                <c:pt idx="147">
                  <c:v>26.915073579242513</c:v>
                </c:pt>
                <c:pt idx="148">
                  <c:v>27.259570984435499</c:v>
                </c:pt>
                <c:pt idx="149">
                  <c:v>29.498804118189895</c:v>
                </c:pt>
                <c:pt idx="150">
                  <c:v>23.247680193583207</c:v>
                </c:pt>
                <c:pt idx="151">
                  <c:v>22.386436680600745</c:v>
                </c:pt>
                <c:pt idx="152">
                  <c:v>25.228540273442864</c:v>
                </c:pt>
                <c:pt idx="153">
                  <c:v>25.228540273442864</c:v>
                </c:pt>
                <c:pt idx="154">
                  <c:v>12.948711757958954</c:v>
                </c:pt>
                <c:pt idx="155">
                  <c:v>15.101820540415105</c:v>
                </c:pt>
                <c:pt idx="156">
                  <c:v>14.671198783923874</c:v>
                </c:pt>
                <c:pt idx="157">
                  <c:v>14.843447486520366</c:v>
                </c:pt>
                <c:pt idx="158">
                  <c:v>21.955814924109514</c:v>
                </c:pt>
                <c:pt idx="159">
                  <c:v>22.386436680600745</c:v>
                </c:pt>
                <c:pt idx="160">
                  <c:v>21.955814924109514</c:v>
                </c:pt>
                <c:pt idx="161">
                  <c:v>23.247680193583207</c:v>
                </c:pt>
                <c:pt idx="162">
                  <c:v>21.955814924109514</c:v>
                </c:pt>
                <c:pt idx="163">
                  <c:v>18.116172835853714</c:v>
                </c:pt>
                <c:pt idx="164">
                  <c:v>16.479810161187039</c:v>
                </c:pt>
                <c:pt idx="165">
                  <c:v>28.809809307803924</c:v>
                </c:pt>
                <c:pt idx="166">
                  <c:v>28.120814497417957</c:v>
                </c:pt>
                <c:pt idx="167">
                  <c:v>22.817058437091976</c:v>
                </c:pt>
                <c:pt idx="168">
                  <c:v>28.551436253909188</c:v>
                </c:pt>
                <c:pt idx="169">
                  <c:v>27.001197930540762</c:v>
                </c:pt>
                <c:pt idx="170">
                  <c:v>29.15430671299691</c:v>
                </c:pt>
                <c:pt idx="171">
                  <c:v>26.915073579242513</c:v>
                </c:pt>
                <c:pt idx="172">
                  <c:v>23.075431490986713</c:v>
                </c:pt>
                <c:pt idx="173">
                  <c:v>29.240431064295155</c:v>
                </c:pt>
                <c:pt idx="174">
                  <c:v>23.678301950074435</c:v>
                </c:pt>
                <c:pt idx="175">
                  <c:v>27.087322281839008</c:v>
                </c:pt>
                <c:pt idx="176">
                  <c:v>27.690192740926726</c:v>
                </c:pt>
                <c:pt idx="177">
                  <c:v>26.828949227944268</c:v>
                </c:pt>
                <c:pt idx="178">
                  <c:v>25.364835255874084</c:v>
                </c:pt>
                <c:pt idx="179">
                  <c:v>30.704545036365339</c:v>
                </c:pt>
                <c:pt idx="180">
                  <c:v>27.86244144352322</c:v>
                </c:pt>
                <c:pt idx="181">
                  <c:v>28.293063200014451</c:v>
                </c:pt>
                <c:pt idx="182">
                  <c:v>27.345695335733744</c:v>
                </c:pt>
                <c:pt idx="183">
                  <c:v>28.465311902610942</c:v>
                </c:pt>
                <c:pt idx="184">
                  <c:v>28.120814497417957</c:v>
                </c:pt>
                <c:pt idx="185">
                  <c:v>15.532442296906334</c:v>
                </c:pt>
                <c:pt idx="186">
                  <c:v>14.671198783923874</c:v>
                </c:pt>
                <c:pt idx="187">
                  <c:v>17.254929322871256</c:v>
                </c:pt>
                <c:pt idx="188">
                  <c:v>14.498950081327383</c:v>
                </c:pt>
                <c:pt idx="189">
                  <c:v>22.817058437091976</c:v>
                </c:pt>
                <c:pt idx="190">
                  <c:v>22.386436680600745</c:v>
                </c:pt>
                <c:pt idx="191">
                  <c:v>24.453421111758651</c:v>
                </c:pt>
                <c:pt idx="192">
                  <c:v>23.678301950074435</c:v>
                </c:pt>
                <c:pt idx="193">
                  <c:v>30.790669387663584</c:v>
                </c:pt>
                <c:pt idx="194">
                  <c:v>30.101674577277617</c:v>
                </c:pt>
                <c:pt idx="195">
                  <c:v>29.240431064295155</c:v>
                </c:pt>
                <c:pt idx="196">
                  <c:v>30.704545036365339</c:v>
                </c:pt>
                <c:pt idx="197">
                  <c:v>22.817058437091976</c:v>
                </c:pt>
                <c:pt idx="198">
                  <c:v>24.711794165653387</c:v>
                </c:pt>
                <c:pt idx="199">
                  <c:v>21.955814924109514</c:v>
                </c:pt>
                <c:pt idx="200">
                  <c:v>23.247680193583207</c:v>
                </c:pt>
                <c:pt idx="201">
                  <c:v>29.15430671299691</c:v>
                </c:pt>
                <c:pt idx="202">
                  <c:v>29.240431064295155</c:v>
                </c:pt>
                <c:pt idx="203">
                  <c:v>28.809809307803924</c:v>
                </c:pt>
                <c:pt idx="204">
                  <c:v>29.068182361698664</c:v>
                </c:pt>
                <c:pt idx="205">
                  <c:v>26.484451822751282</c:v>
                </c:pt>
                <c:pt idx="206">
                  <c:v>14.671198783923874</c:v>
                </c:pt>
                <c:pt idx="207">
                  <c:v>27.690192740926726</c:v>
                </c:pt>
                <c:pt idx="208">
                  <c:v>22.128063626706009</c:v>
                </c:pt>
                <c:pt idx="209">
                  <c:v>21.094571411127056</c:v>
                </c:pt>
                <c:pt idx="210">
                  <c:v>12.087468244976494</c:v>
                </c:pt>
                <c:pt idx="211">
                  <c:v>15.101820540415105</c:v>
                </c:pt>
                <c:pt idx="212">
                  <c:v>16.393685809888794</c:v>
                </c:pt>
                <c:pt idx="213">
                  <c:v>14.671198783923874</c:v>
                </c:pt>
                <c:pt idx="214">
                  <c:v>29.41267976689165</c:v>
                </c:pt>
                <c:pt idx="215">
                  <c:v>28.379187551312697</c:v>
                </c:pt>
                <c:pt idx="216">
                  <c:v>30.273923279874108</c:v>
                </c:pt>
                <c:pt idx="217">
                  <c:v>27.001197930540762</c:v>
                </c:pt>
                <c:pt idx="218">
                  <c:v>29.240431064295155</c:v>
                </c:pt>
                <c:pt idx="219">
                  <c:v>15.101820540415105</c:v>
                </c:pt>
                <c:pt idx="220">
                  <c:v>18.116172835853714</c:v>
                </c:pt>
                <c:pt idx="221">
                  <c:v>15.101820540415105</c:v>
                </c:pt>
                <c:pt idx="222">
                  <c:v>16.393685809888794</c:v>
                </c:pt>
                <c:pt idx="223">
                  <c:v>21.955814924109514</c:v>
                </c:pt>
                <c:pt idx="224">
                  <c:v>22.386436680600745</c:v>
                </c:pt>
                <c:pt idx="225">
                  <c:v>22.817058437091976</c:v>
                </c:pt>
                <c:pt idx="226">
                  <c:v>22.989307139688467</c:v>
                </c:pt>
                <c:pt idx="227">
                  <c:v>12.087468244976494</c:v>
                </c:pt>
                <c:pt idx="228">
                  <c:v>12.948711757958954</c:v>
                </c:pt>
                <c:pt idx="229">
                  <c:v>11.226224731994034</c:v>
                </c:pt>
                <c:pt idx="230">
                  <c:v>14.757323135222121</c:v>
                </c:pt>
                <c:pt idx="231">
                  <c:v>28.551436253909188</c:v>
                </c:pt>
                <c:pt idx="232">
                  <c:v>27.690192740926726</c:v>
                </c:pt>
                <c:pt idx="233">
                  <c:v>28.809809307803924</c:v>
                </c:pt>
                <c:pt idx="234">
                  <c:v>27.60406838962848</c:v>
                </c:pt>
                <c:pt idx="235">
                  <c:v>29.843301523382877</c:v>
                </c:pt>
                <c:pt idx="236">
                  <c:v>28.120814497417957</c:v>
                </c:pt>
                <c:pt idx="237">
                  <c:v>29.498804118189895</c:v>
                </c:pt>
                <c:pt idx="238">
                  <c:v>28.551436253909188</c:v>
                </c:pt>
                <c:pt idx="239">
                  <c:v>23.075431490986713</c:v>
                </c:pt>
                <c:pt idx="240">
                  <c:v>25.795457012365315</c:v>
                </c:pt>
                <c:pt idx="241">
                  <c:v>27.715278056493215</c:v>
                </c:pt>
                <c:pt idx="242">
                  <c:v>31.13516679285657</c:v>
                </c:pt>
                <c:pt idx="243">
                  <c:v>29.58492846948814</c:v>
                </c:pt>
                <c:pt idx="244">
                  <c:v>30.790669387663584</c:v>
                </c:pt>
                <c:pt idx="245">
                  <c:v>29.240431064295155</c:v>
                </c:pt>
                <c:pt idx="246">
                  <c:v>30.101674577277617</c:v>
                </c:pt>
                <c:pt idx="247">
                  <c:v>18.116172835853714</c:v>
                </c:pt>
                <c:pt idx="248">
                  <c:v>15.532442296906334</c:v>
                </c:pt>
                <c:pt idx="249">
                  <c:v>15.618566648204581</c:v>
                </c:pt>
                <c:pt idx="250">
                  <c:v>22.386436680600745</c:v>
                </c:pt>
                <c:pt idx="251">
                  <c:v>23.247680193583207</c:v>
                </c:pt>
                <c:pt idx="252">
                  <c:v>24.108923706565665</c:v>
                </c:pt>
                <c:pt idx="253">
                  <c:v>27.690192740926726</c:v>
                </c:pt>
                <c:pt idx="254">
                  <c:v>22.817058437091976</c:v>
                </c:pt>
                <c:pt idx="255">
                  <c:v>23.678301950074435</c:v>
                </c:pt>
                <c:pt idx="256">
                  <c:v>22.386436680600745</c:v>
                </c:pt>
                <c:pt idx="257">
                  <c:v>24.108923706565665</c:v>
                </c:pt>
                <c:pt idx="258">
                  <c:v>21.955814924109514</c:v>
                </c:pt>
                <c:pt idx="259">
                  <c:v>21.094571411127056</c:v>
                </c:pt>
                <c:pt idx="260">
                  <c:v>15.101820540415105</c:v>
                </c:pt>
                <c:pt idx="261">
                  <c:v>17.218975602705985</c:v>
                </c:pt>
                <c:pt idx="262">
                  <c:v>15.618566648204581</c:v>
                </c:pt>
                <c:pt idx="263">
                  <c:v>15.532442296906334</c:v>
                </c:pt>
                <c:pt idx="264">
                  <c:v>29.41267976689165</c:v>
                </c:pt>
                <c:pt idx="265">
                  <c:v>27.087322281839008</c:v>
                </c:pt>
                <c:pt idx="266">
                  <c:v>26.915073579242513</c:v>
                </c:pt>
                <c:pt idx="267">
                  <c:v>28.809809307803924</c:v>
                </c:pt>
                <c:pt idx="268">
                  <c:v>27.087322281839008</c:v>
                </c:pt>
                <c:pt idx="269">
                  <c:v>26.226078768856546</c:v>
                </c:pt>
                <c:pt idx="270">
                  <c:v>27.948565794821466</c:v>
                </c:pt>
                <c:pt idx="271">
                  <c:v>26.915073579242513</c:v>
                </c:pt>
                <c:pt idx="272">
                  <c:v>24.478506427325136</c:v>
                </c:pt>
                <c:pt idx="273">
                  <c:v>20.663949654635825</c:v>
                </c:pt>
                <c:pt idx="274">
                  <c:v>25.364835255874084</c:v>
                </c:pt>
                <c:pt idx="275">
                  <c:v>19.974954844249858</c:v>
                </c:pt>
                <c:pt idx="276">
                  <c:v>29.15430671299691</c:v>
                </c:pt>
                <c:pt idx="277">
                  <c:v>29.41267976689165</c:v>
                </c:pt>
                <c:pt idx="278">
                  <c:v>21.525193167618283</c:v>
                </c:pt>
                <c:pt idx="279">
                  <c:v>24.108923706565665</c:v>
                </c:pt>
                <c:pt idx="280">
                  <c:v>27.690192740926726</c:v>
                </c:pt>
                <c:pt idx="281">
                  <c:v>23.678301950074435</c:v>
                </c:pt>
                <c:pt idx="282">
                  <c:v>21.955814924109514</c:v>
                </c:pt>
                <c:pt idx="283">
                  <c:v>16.393685809888794</c:v>
                </c:pt>
                <c:pt idx="284">
                  <c:v>16.479810161187039</c:v>
                </c:pt>
                <c:pt idx="285">
                  <c:v>15.704690999502827</c:v>
                </c:pt>
                <c:pt idx="286">
                  <c:v>15.963064053397565</c:v>
                </c:pt>
                <c:pt idx="287">
                  <c:v>14.240577027432645</c:v>
                </c:pt>
                <c:pt idx="288">
                  <c:v>15.360193594309843</c:v>
                </c:pt>
                <c:pt idx="289">
                  <c:v>16.824307566380025</c:v>
                </c:pt>
                <c:pt idx="290">
                  <c:v>14.671198783923874</c:v>
                </c:pt>
                <c:pt idx="291">
                  <c:v>29.15430671299691</c:v>
                </c:pt>
                <c:pt idx="292">
                  <c:v>29.671052820786386</c:v>
                </c:pt>
                <c:pt idx="293">
                  <c:v>28.379187551312697</c:v>
                </c:pt>
                <c:pt idx="294">
                  <c:v>28.379187551312697</c:v>
                </c:pt>
                <c:pt idx="295">
                  <c:v>26.717739561079533</c:v>
                </c:pt>
                <c:pt idx="296">
                  <c:v>16.824307566380025</c:v>
                </c:pt>
                <c:pt idx="297">
                  <c:v>29.15430671299691</c:v>
                </c:pt>
                <c:pt idx="298">
                  <c:v>19.838659861818634</c:v>
                </c:pt>
                <c:pt idx="299">
                  <c:v>29.240431064295155</c:v>
                </c:pt>
                <c:pt idx="300">
                  <c:v>29.240431064295155</c:v>
                </c:pt>
                <c:pt idx="301">
                  <c:v>29.671052820786386</c:v>
                </c:pt>
                <c:pt idx="302">
                  <c:v>29.326555415593404</c:v>
                </c:pt>
                <c:pt idx="303">
                  <c:v>27.517944038330235</c:v>
                </c:pt>
                <c:pt idx="304">
                  <c:v>21.525193167618283</c:v>
                </c:pt>
                <c:pt idx="305">
                  <c:v>21.525193167618283</c:v>
                </c:pt>
                <c:pt idx="306">
                  <c:v>27.517944038330235</c:v>
                </c:pt>
                <c:pt idx="307">
                  <c:v>28.723684956505679</c:v>
                </c:pt>
                <c:pt idx="308">
                  <c:v>30.101674577277617</c:v>
                </c:pt>
                <c:pt idx="309">
                  <c:v>29.240431064295155</c:v>
                </c:pt>
                <c:pt idx="310">
                  <c:v>29.671052820786386</c:v>
                </c:pt>
                <c:pt idx="311">
                  <c:v>27.517944038330235</c:v>
                </c:pt>
                <c:pt idx="312">
                  <c:v>27.690192740926726</c:v>
                </c:pt>
                <c:pt idx="313">
                  <c:v>27.517944038330235</c:v>
                </c:pt>
                <c:pt idx="314">
                  <c:v>23.678301950074435</c:v>
                </c:pt>
                <c:pt idx="315">
                  <c:v>28.551436253909188</c:v>
                </c:pt>
                <c:pt idx="316">
                  <c:v>27.517944038330235</c:v>
                </c:pt>
                <c:pt idx="317">
                  <c:v>28.809809307803924</c:v>
                </c:pt>
                <c:pt idx="318">
                  <c:v>27.345695335733744</c:v>
                </c:pt>
                <c:pt idx="319">
                  <c:v>28.809809307803924</c:v>
                </c:pt>
                <c:pt idx="320">
                  <c:v>29.671052820786386</c:v>
                </c:pt>
                <c:pt idx="321">
                  <c:v>26.226078768856546</c:v>
                </c:pt>
                <c:pt idx="322">
                  <c:v>29.671052820786386</c:v>
                </c:pt>
                <c:pt idx="323">
                  <c:v>31.13516679285657</c:v>
                </c:pt>
                <c:pt idx="324">
                  <c:v>31.13516679285657</c:v>
                </c:pt>
                <c:pt idx="325">
                  <c:v>27.578983074061995</c:v>
                </c:pt>
                <c:pt idx="326">
                  <c:v>29.498804118189895</c:v>
                </c:pt>
                <c:pt idx="327">
                  <c:v>29.498804118189895</c:v>
                </c:pt>
                <c:pt idx="328">
                  <c:v>29.498804118189895</c:v>
                </c:pt>
                <c:pt idx="329">
                  <c:v>29.929425874681122</c:v>
                </c:pt>
                <c:pt idx="330">
                  <c:v>20.061079195548103</c:v>
                </c:pt>
                <c:pt idx="331">
                  <c:v>28.576521569475677</c:v>
                </c:pt>
                <c:pt idx="332">
                  <c:v>27.690192740926726</c:v>
                </c:pt>
                <c:pt idx="333">
                  <c:v>29.068182361698664</c:v>
                </c:pt>
                <c:pt idx="334">
                  <c:v>28.034690146119711</c:v>
                </c:pt>
                <c:pt idx="335">
                  <c:v>28.034690146119711</c:v>
                </c:pt>
                <c:pt idx="336">
                  <c:v>27.345695335733744</c:v>
                </c:pt>
                <c:pt idx="337">
                  <c:v>21.955814924109514</c:v>
                </c:pt>
                <c:pt idx="338">
                  <c:v>28.034690146119711</c:v>
                </c:pt>
                <c:pt idx="339">
                  <c:v>30.273923279874108</c:v>
                </c:pt>
                <c:pt idx="340">
                  <c:v>29.757177172084631</c:v>
                </c:pt>
                <c:pt idx="341">
                  <c:v>30.101674577277617</c:v>
                </c:pt>
                <c:pt idx="342">
                  <c:v>29.498804118189895</c:v>
                </c:pt>
                <c:pt idx="343">
                  <c:v>29.671052820786386</c:v>
                </c:pt>
                <c:pt idx="344">
                  <c:v>29.929425874681122</c:v>
                </c:pt>
                <c:pt idx="345">
                  <c:v>29.41267976689165</c:v>
                </c:pt>
                <c:pt idx="346">
                  <c:v>29.843301523382877</c:v>
                </c:pt>
                <c:pt idx="347">
                  <c:v>29.671052820786386</c:v>
                </c:pt>
                <c:pt idx="348">
                  <c:v>29.671052820786386</c:v>
                </c:pt>
                <c:pt idx="349">
                  <c:v>28.895933659102173</c:v>
                </c:pt>
                <c:pt idx="350">
                  <c:v>28.809809307803924</c:v>
                </c:pt>
                <c:pt idx="351">
                  <c:v>28.809809307803924</c:v>
                </c:pt>
                <c:pt idx="352">
                  <c:v>26.656700525347777</c:v>
                </c:pt>
                <c:pt idx="353">
                  <c:v>28.895933659102173</c:v>
                </c:pt>
                <c:pt idx="354">
                  <c:v>28.379187551312697</c:v>
                </c:pt>
                <c:pt idx="355">
                  <c:v>24.884042868249878</c:v>
                </c:pt>
                <c:pt idx="356">
                  <c:v>21.439068816320038</c:v>
                </c:pt>
                <c:pt idx="357">
                  <c:v>21.094571411127056</c:v>
                </c:pt>
                <c:pt idx="358">
                  <c:v>21.955814924109514</c:v>
                </c:pt>
                <c:pt idx="359">
                  <c:v>18.546794592344945</c:v>
                </c:pt>
                <c:pt idx="360">
                  <c:v>23.850550652670925</c:v>
                </c:pt>
                <c:pt idx="361">
                  <c:v>24.108923706565665</c:v>
                </c:pt>
                <c:pt idx="362">
                  <c:v>27.690192740926726</c:v>
                </c:pt>
                <c:pt idx="363">
                  <c:v>27.690192740926726</c:v>
                </c:pt>
                <c:pt idx="364">
                  <c:v>27.690192740926726</c:v>
                </c:pt>
                <c:pt idx="365">
                  <c:v>27.948565794821466</c:v>
                </c:pt>
                <c:pt idx="366">
                  <c:v>28.034690146119711</c:v>
                </c:pt>
                <c:pt idx="367">
                  <c:v>27.517944038330235</c:v>
                </c:pt>
                <c:pt idx="368">
                  <c:v>27.345695335733744</c:v>
                </c:pt>
                <c:pt idx="369">
                  <c:v>28.895933659102173</c:v>
                </c:pt>
                <c:pt idx="370">
                  <c:v>29.41267976689165</c:v>
                </c:pt>
                <c:pt idx="371">
                  <c:v>29.41267976689165</c:v>
                </c:pt>
                <c:pt idx="372">
                  <c:v>29.843301523382877</c:v>
                </c:pt>
                <c:pt idx="373">
                  <c:v>29.240431064295155</c:v>
                </c:pt>
                <c:pt idx="374">
                  <c:v>27.690192740926726</c:v>
                </c:pt>
                <c:pt idx="375">
                  <c:v>28.809809307803924</c:v>
                </c:pt>
                <c:pt idx="376">
                  <c:v>29.240431064295155</c:v>
                </c:pt>
                <c:pt idx="377">
                  <c:v>29.498804118189895</c:v>
                </c:pt>
                <c:pt idx="378">
                  <c:v>29.498804118189895</c:v>
                </c:pt>
                <c:pt idx="379">
                  <c:v>29.498804118189895</c:v>
                </c:pt>
                <c:pt idx="380">
                  <c:v>21.955814924109514</c:v>
                </c:pt>
                <c:pt idx="381">
                  <c:v>24.108923706565665</c:v>
                </c:pt>
                <c:pt idx="382">
                  <c:v>27.345695335733744</c:v>
                </c:pt>
                <c:pt idx="383">
                  <c:v>21.783566221513023</c:v>
                </c:pt>
                <c:pt idx="384">
                  <c:v>27.001197930540762</c:v>
                </c:pt>
                <c:pt idx="385">
                  <c:v>28.034690146119711</c:v>
                </c:pt>
                <c:pt idx="386">
                  <c:v>27.517944038330235</c:v>
                </c:pt>
                <c:pt idx="387">
                  <c:v>27.86244144352322</c:v>
                </c:pt>
                <c:pt idx="388">
                  <c:v>30.790669387663584</c:v>
                </c:pt>
                <c:pt idx="389">
                  <c:v>28.034690146119711</c:v>
                </c:pt>
                <c:pt idx="390">
                  <c:v>28.465311902610942</c:v>
                </c:pt>
                <c:pt idx="391">
                  <c:v>28.206938848716206</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3879-4011-8332-4E59F530BE6E}"/>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16.393685809888794</c:v>
                </c:pt>
                <c:pt idx="1">
                  <c:v>13.379333514450185</c:v>
                </c:pt>
                <c:pt idx="2">
                  <c:v>14.671198783923874</c:v>
                </c:pt>
                <c:pt idx="3">
                  <c:v>14.671198783923874</c:v>
                </c:pt>
                <c:pt idx="4">
                  <c:v>15.532442296906334</c:v>
                </c:pt>
                <c:pt idx="5">
                  <c:v>10.537229921608066</c:v>
                </c:pt>
                <c:pt idx="6">
                  <c:v>8.6424941930466517</c:v>
                </c:pt>
                <c:pt idx="7">
                  <c:v>9.0731159495378826</c:v>
                </c:pt>
                <c:pt idx="8">
                  <c:v>8.2118724365554243</c:v>
                </c:pt>
                <c:pt idx="9">
                  <c:v>11.226224731994034</c:v>
                </c:pt>
                <c:pt idx="10">
                  <c:v>12.948711757958954</c:v>
                </c:pt>
                <c:pt idx="11">
                  <c:v>13.809955270941414</c:v>
                </c:pt>
                <c:pt idx="12">
                  <c:v>14.671198783923874</c:v>
                </c:pt>
                <c:pt idx="13">
                  <c:v>8.2118724365554243</c:v>
                </c:pt>
                <c:pt idx="14">
                  <c:v>27.087322281839008</c:v>
                </c:pt>
                <c:pt idx="15">
                  <c:v>23.247680193583207</c:v>
                </c:pt>
                <c:pt idx="16">
                  <c:v>23.075431490986713</c:v>
                </c:pt>
                <c:pt idx="17">
                  <c:v>24.108923706565665</c:v>
                </c:pt>
                <c:pt idx="18">
                  <c:v>27.690192740926726</c:v>
                </c:pt>
                <c:pt idx="19">
                  <c:v>31.307415495453061</c:v>
                </c:pt>
                <c:pt idx="20">
                  <c:v>27.776317092224975</c:v>
                </c:pt>
                <c:pt idx="21">
                  <c:v>27.517944038330235</c:v>
                </c:pt>
                <c:pt idx="22">
                  <c:v>27.087322281839008</c:v>
                </c:pt>
                <c:pt idx="23">
                  <c:v>25.537083958470578</c:v>
                </c:pt>
                <c:pt idx="24">
                  <c:v>23.678301950074435</c:v>
                </c:pt>
                <c:pt idx="25">
                  <c:v>9.0731159495378826</c:v>
                </c:pt>
                <c:pt idx="26">
                  <c:v>10.364981219011575</c:v>
                </c:pt>
                <c:pt idx="27">
                  <c:v>9.5037377060291135</c:v>
                </c:pt>
                <c:pt idx="28">
                  <c:v>10.967851678099297</c:v>
                </c:pt>
                <c:pt idx="29">
                  <c:v>27.690192740926726</c:v>
                </c:pt>
                <c:pt idx="30">
                  <c:v>27.517944038330235</c:v>
                </c:pt>
                <c:pt idx="31">
                  <c:v>27.087322281839008</c:v>
                </c:pt>
                <c:pt idx="32">
                  <c:v>22.817058437091976</c:v>
                </c:pt>
                <c:pt idx="33">
                  <c:v>22.386436680600745</c:v>
                </c:pt>
                <c:pt idx="34">
                  <c:v>22.817058437091976</c:v>
                </c:pt>
                <c:pt idx="35">
                  <c:v>23.850550652670925</c:v>
                </c:pt>
                <c:pt idx="36">
                  <c:v>22.817058437091976</c:v>
                </c:pt>
                <c:pt idx="37">
                  <c:v>13.379333514450185</c:v>
                </c:pt>
                <c:pt idx="38">
                  <c:v>12.518090001467725</c:v>
                </c:pt>
                <c:pt idx="39">
                  <c:v>14.412825730029136</c:v>
                </c:pt>
                <c:pt idx="40">
                  <c:v>14.671198783923874</c:v>
                </c:pt>
                <c:pt idx="41">
                  <c:v>12.087468244976494</c:v>
                </c:pt>
                <c:pt idx="42">
                  <c:v>12.948711757958954</c:v>
                </c:pt>
                <c:pt idx="43">
                  <c:v>12.518090001467725</c:v>
                </c:pt>
                <c:pt idx="44">
                  <c:v>21.955814924109514</c:v>
                </c:pt>
                <c:pt idx="45">
                  <c:v>29.068182361698664</c:v>
                </c:pt>
                <c:pt idx="46">
                  <c:v>22.817058437091976</c:v>
                </c:pt>
                <c:pt idx="47">
                  <c:v>23.850550652670925</c:v>
                </c:pt>
                <c:pt idx="48">
                  <c:v>27.86244144352322</c:v>
                </c:pt>
                <c:pt idx="49">
                  <c:v>27.517944038330235</c:v>
                </c:pt>
                <c:pt idx="50">
                  <c:v>29.240431064295155</c:v>
                </c:pt>
                <c:pt idx="51">
                  <c:v>28.723684956505679</c:v>
                </c:pt>
                <c:pt idx="52">
                  <c:v>29.671052820786386</c:v>
                </c:pt>
                <c:pt idx="53">
                  <c:v>29.326555415593404</c:v>
                </c:pt>
                <c:pt idx="54">
                  <c:v>30.101674577277617</c:v>
                </c:pt>
                <c:pt idx="55">
                  <c:v>29.240431064295155</c:v>
                </c:pt>
                <c:pt idx="56">
                  <c:v>27.087322281839008</c:v>
                </c:pt>
                <c:pt idx="57">
                  <c:v>28.379187551312697</c:v>
                </c:pt>
                <c:pt idx="58">
                  <c:v>30.618420685067093</c:v>
                </c:pt>
                <c:pt idx="59">
                  <c:v>27.517944038330235</c:v>
                </c:pt>
                <c:pt idx="60">
                  <c:v>27.86244144352322</c:v>
                </c:pt>
                <c:pt idx="61">
                  <c:v>13.379333514450185</c:v>
                </c:pt>
                <c:pt idx="62">
                  <c:v>12.518090001467725</c:v>
                </c:pt>
                <c:pt idx="63">
                  <c:v>14.671198783923874</c:v>
                </c:pt>
                <c:pt idx="64">
                  <c:v>14.412825730029136</c:v>
                </c:pt>
                <c:pt idx="65">
                  <c:v>14.671198783923874</c:v>
                </c:pt>
                <c:pt idx="66">
                  <c:v>9.6759864086256044</c:v>
                </c:pt>
                <c:pt idx="67">
                  <c:v>14.240577027432645</c:v>
                </c:pt>
                <c:pt idx="68">
                  <c:v>13.809955270941414</c:v>
                </c:pt>
                <c:pt idx="69">
                  <c:v>11.226224731994034</c:v>
                </c:pt>
                <c:pt idx="70">
                  <c:v>28.834894623370413</c:v>
                </c:pt>
                <c:pt idx="71">
                  <c:v>14.671198783923874</c:v>
                </c:pt>
                <c:pt idx="72">
                  <c:v>16.393685809888794</c:v>
                </c:pt>
                <c:pt idx="73">
                  <c:v>15.532442296906334</c:v>
                </c:pt>
                <c:pt idx="74">
                  <c:v>14.671198783923874</c:v>
                </c:pt>
                <c:pt idx="75">
                  <c:v>25.623208309768824</c:v>
                </c:pt>
                <c:pt idx="76">
                  <c:v>28.723684956505679</c:v>
                </c:pt>
                <c:pt idx="77">
                  <c:v>27.776317092224975</c:v>
                </c:pt>
                <c:pt idx="78">
                  <c:v>29.326555415593404</c:v>
                </c:pt>
                <c:pt idx="79">
                  <c:v>27.86244144352322</c:v>
                </c:pt>
                <c:pt idx="80">
                  <c:v>27.345695335733744</c:v>
                </c:pt>
                <c:pt idx="81">
                  <c:v>26.915073579242513</c:v>
                </c:pt>
                <c:pt idx="82">
                  <c:v>28.379187551312697</c:v>
                </c:pt>
                <c:pt idx="83">
                  <c:v>27.690192740926726</c:v>
                </c:pt>
                <c:pt idx="84">
                  <c:v>12.518090001467725</c:v>
                </c:pt>
                <c:pt idx="85">
                  <c:v>14.671198783923874</c:v>
                </c:pt>
                <c:pt idx="86">
                  <c:v>15.101820540415105</c:v>
                </c:pt>
                <c:pt idx="87">
                  <c:v>15.790815350801072</c:v>
                </c:pt>
                <c:pt idx="88">
                  <c:v>14.671198783923874</c:v>
                </c:pt>
                <c:pt idx="89">
                  <c:v>10.537229921608066</c:v>
                </c:pt>
                <c:pt idx="90">
                  <c:v>14.671198783923874</c:v>
                </c:pt>
                <c:pt idx="91">
                  <c:v>13.982203973537906</c:v>
                </c:pt>
                <c:pt idx="92">
                  <c:v>14.671198783923874</c:v>
                </c:pt>
                <c:pt idx="93">
                  <c:v>9.0731159495378826</c:v>
                </c:pt>
                <c:pt idx="94">
                  <c:v>8.2118724365554243</c:v>
                </c:pt>
                <c:pt idx="95">
                  <c:v>12.518090001467725</c:v>
                </c:pt>
                <c:pt idx="96">
                  <c:v>22.386436680600745</c:v>
                </c:pt>
                <c:pt idx="97">
                  <c:v>22.817058437091976</c:v>
                </c:pt>
                <c:pt idx="98">
                  <c:v>22.817058437091976</c:v>
                </c:pt>
                <c:pt idx="99">
                  <c:v>23.850550652670925</c:v>
                </c:pt>
                <c:pt idx="100">
                  <c:v>23.247680193583207</c:v>
                </c:pt>
                <c:pt idx="101">
                  <c:v>31.307415495453061</c:v>
                </c:pt>
                <c:pt idx="102">
                  <c:v>14.671198783923874</c:v>
                </c:pt>
                <c:pt idx="103">
                  <c:v>13.207084811853692</c:v>
                </c:pt>
                <c:pt idx="104">
                  <c:v>12.948711757958954</c:v>
                </c:pt>
                <c:pt idx="105">
                  <c:v>12.087468244976494</c:v>
                </c:pt>
                <c:pt idx="106">
                  <c:v>22.817058437091976</c:v>
                </c:pt>
                <c:pt idx="107">
                  <c:v>27.690192740926726</c:v>
                </c:pt>
                <c:pt idx="108">
                  <c:v>29.068182361698664</c:v>
                </c:pt>
                <c:pt idx="109">
                  <c:v>27.173446633137253</c:v>
                </c:pt>
                <c:pt idx="110">
                  <c:v>29.437765082458135</c:v>
                </c:pt>
                <c:pt idx="111">
                  <c:v>27.948565794821466</c:v>
                </c:pt>
                <c:pt idx="112">
                  <c:v>22.214187978004254</c:v>
                </c:pt>
                <c:pt idx="113">
                  <c:v>27.517944038330235</c:v>
                </c:pt>
                <c:pt idx="114">
                  <c:v>15.101820540415105</c:v>
                </c:pt>
                <c:pt idx="115">
                  <c:v>7.7812506800641934</c:v>
                </c:pt>
                <c:pt idx="116">
                  <c:v>31.049042441558321</c:v>
                </c:pt>
                <c:pt idx="117">
                  <c:v>28.809809307803924</c:v>
                </c:pt>
                <c:pt idx="118">
                  <c:v>27.431819687031989</c:v>
                </c:pt>
                <c:pt idx="119">
                  <c:v>25.623208309768824</c:v>
                </c:pt>
                <c:pt idx="120">
                  <c:v>14.671198783923874</c:v>
                </c:pt>
                <c:pt idx="121">
                  <c:v>25.795457012365315</c:v>
                </c:pt>
                <c:pt idx="122">
                  <c:v>20.922322708530565</c:v>
                </c:pt>
                <c:pt idx="123">
                  <c:v>12.087468244976494</c:v>
                </c:pt>
                <c:pt idx="124">
                  <c:v>23.247680193583207</c:v>
                </c:pt>
                <c:pt idx="125">
                  <c:v>22.817058437091976</c:v>
                </c:pt>
                <c:pt idx="126">
                  <c:v>22.817058437091976</c:v>
                </c:pt>
                <c:pt idx="127">
                  <c:v>29.498804118189895</c:v>
                </c:pt>
                <c:pt idx="128">
                  <c:v>28.379187551312697</c:v>
                </c:pt>
                <c:pt idx="129">
                  <c:v>29.671052820786386</c:v>
                </c:pt>
                <c:pt idx="130">
                  <c:v>28.809809307803924</c:v>
                </c:pt>
                <c:pt idx="131">
                  <c:v>22.817058437091976</c:v>
                </c:pt>
                <c:pt idx="132">
                  <c:v>21.955814924109514</c:v>
                </c:pt>
                <c:pt idx="133">
                  <c:v>22.386436680600745</c:v>
                </c:pt>
                <c:pt idx="134">
                  <c:v>15.532442296906334</c:v>
                </c:pt>
                <c:pt idx="135">
                  <c:v>14.671198783923874</c:v>
                </c:pt>
                <c:pt idx="136">
                  <c:v>14.671198783923874</c:v>
                </c:pt>
                <c:pt idx="137">
                  <c:v>15.532442296906334</c:v>
                </c:pt>
                <c:pt idx="138">
                  <c:v>14.671198783923874</c:v>
                </c:pt>
                <c:pt idx="139">
                  <c:v>28.120814497417957</c:v>
                </c:pt>
                <c:pt idx="140">
                  <c:v>29.498804118189895</c:v>
                </c:pt>
                <c:pt idx="141">
                  <c:v>28.551436253909188</c:v>
                </c:pt>
                <c:pt idx="142">
                  <c:v>30.790669387663584</c:v>
                </c:pt>
                <c:pt idx="143">
                  <c:v>30.015550225979371</c:v>
                </c:pt>
                <c:pt idx="144">
                  <c:v>28.809809307803924</c:v>
                </c:pt>
                <c:pt idx="145">
                  <c:v>28.809809307803924</c:v>
                </c:pt>
                <c:pt idx="146">
                  <c:v>28.809809307803924</c:v>
                </c:pt>
                <c:pt idx="147">
                  <c:v>26.915073579242513</c:v>
                </c:pt>
                <c:pt idx="148">
                  <c:v>27.259570984435499</c:v>
                </c:pt>
                <c:pt idx="149">
                  <c:v>29.498804118189895</c:v>
                </c:pt>
                <c:pt idx="150">
                  <c:v>23.247680193583207</c:v>
                </c:pt>
                <c:pt idx="151">
                  <c:v>22.386436680600745</c:v>
                </c:pt>
                <c:pt idx="152">
                  <c:v>25.228540273442864</c:v>
                </c:pt>
                <c:pt idx="153">
                  <c:v>25.228540273442864</c:v>
                </c:pt>
                <c:pt idx="154">
                  <c:v>12.948711757958954</c:v>
                </c:pt>
                <c:pt idx="155">
                  <c:v>15.101820540415105</c:v>
                </c:pt>
                <c:pt idx="156">
                  <c:v>14.671198783923874</c:v>
                </c:pt>
                <c:pt idx="157">
                  <c:v>14.843447486520366</c:v>
                </c:pt>
                <c:pt idx="158">
                  <c:v>21.955814924109514</c:v>
                </c:pt>
                <c:pt idx="159">
                  <c:v>22.386436680600745</c:v>
                </c:pt>
                <c:pt idx="160">
                  <c:v>21.955814924109514</c:v>
                </c:pt>
                <c:pt idx="161">
                  <c:v>23.247680193583207</c:v>
                </c:pt>
                <c:pt idx="162">
                  <c:v>21.955814924109514</c:v>
                </c:pt>
                <c:pt idx="163">
                  <c:v>18.116172835853714</c:v>
                </c:pt>
                <c:pt idx="164">
                  <c:v>16.479810161187039</c:v>
                </c:pt>
                <c:pt idx="165">
                  <c:v>28.809809307803924</c:v>
                </c:pt>
                <c:pt idx="166">
                  <c:v>28.120814497417957</c:v>
                </c:pt>
                <c:pt idx="167">
                  <c:v>22.817058437091976</c:v>
                </c:pt>
                <c:pt idx="168">
                  <c:v>28.551436253909188</c:v>
                </c:pt>
                <c:pt idx="169">
                  <c:v>27.001197930540762</c:v>
                </c:pt>
                <c:pt idx="170">
                  <c:v>29.15430671299691</c:v>
                </c:pt>
                <c:pt idx="171">
                  <c:v>26.915073579242513</c:v>
                </c:pt>
                <c:pt idx="172">
                  <c:v>23.075431490986713</c:v>
                </c:pt>
                <c:pt idx="173">
                  <c:v>29.240431064295155</c:v>
                </c:pt>
                <c:pt idx="174">
                  <c:v>23.678301950074435</c:v>
                </c:pt>
                <c:pt idx="175">
                  <c:v>27.087322281839008</c:v>
                </c:pt>
                <c:pt idx="176">
                  <c:v>27.690192740926726</c:v>
                </c:pt>
                <c:pt idx="177">
                  <c:v>26.828949227944268</c:v>
                </c:pt>
                <c:pt idx="178">
                  <c:v>25.364835255874084</c:v>
                </c:pt>
                <c:pt idx="179">
                  <c:v>30.704545036365339</c:v>
                </c:pt>
                <c:pt idx="180">
                  <c:v>27.86244144352322</c:v>
                </c:pt>
                <c:pt idx="181">
                  <c:v>28.293063200014451</c:v>
                </c:pt>
                <c:pt idx="182">
                  <c:v>27.345695335733744</c:v>
                </c:pt>
                <c:pt idx="183">
                  <c:v>28.465311902610942</c:v>
                </c:pt>
                <c:pt idx="184">
                  <c:v>28.120814497417957</c:v>
                </c:pt>
                <c:pt idx="185">
                  <c:v>15.532442296906334</c:v>
                </c:pt>
                <c:pt idx="186">
                  <c:v>14.671198783923874</c:v>
                </c:pt>
                <c:pt idx="187">
                  <c:v>17.254929322871256</c:v>
                </c:pt>
                <c:pt idx="188">
                  <c:v>14.498950081327383</c:v>
                </c:pt>
                <c:pt idx="189">
                  <c:v>22.817058437091976</c:v>
                </c:pt>
                <c:pt idx="190">
                  <c:v>22.386436680600745</c:v>
                </c:pt>
                <c:pt idx="191">
                  <c:v>24.453421111758651</c:v>
                </c:pt>
                <c:pt idx="192">
                  <c:v>23.678301950074435</c:v>
                </c:pt>
                <c:pt idx="193">
                  <c:v>30.790669387663584</c:v>
                </c:pt>
                <c:pt idx="194">
                  <c:v>30.101674577277617</c:v>
                </c:pt>
                <c:pt idx="195">
                  <c:v>29.240431064295155</c:v>
                </c:pt>
                <c:pt idx="196">
                  <c:v>30.704545036365339</c:v>
                </c:pt>
                <c:pt idx="197">
                  <c:v>22.817058437091976</c:v>
                </c:pt>
                <c:pt idx="198">
                  <c:v>24.711794165653387</c:v>
                </c:pt>
                <c:pt idx="199">
                  <c:v>21.955814924109514</c:v>
                </c:pt>
                <c:pt idx="200">
                  <c:v>23.247680193583207</c:v>
                </c:pt>
                <c:pt idx="201">
                  <c:v>29.15430671299691</c:v>
                </c:pt>
                <c:pt idx="202">
                  <c:v>29.240431064295155</c:v>
                </c:pt>
                <c:pt idx="203">
                  <c:v>28.809809307803924</c:v>
                </c:pt>
                <c:pt idx="204">
                  <c:v>29.068182361698664</c:v>
                </c:pt>
                <c:pt idx="205">
                  <c:v>26.484451822751282</c:v>
                </c:pt>
                <c:pt idx="206">
                  <c:v>14.671198783923874</c:v>
                </c:pt>
                <c:pt idx="207">
                  <c:v>27.690192740926726</c:v>
                </c:pt>
                <c:pt idx="208">
                  <c:v>22.128063626706009</c:v>
                </c:pt>
                <c:pt idx="209">
                  <c:v>21.094571411127056</c:v>
                </c:pt>
                <c:pt idx="210">
                  <c:v>12.087468244976494</c:v>
                </c:pt>
                <c:pt idx="211">
                  <c:v>15.101820540415105</c:v>
                </c:pt>
                <c:pt idx="212">
                  <c:v>16.393685809888794</c:v>
                </c:pt>
                <c:pt idx="213">
                  <c:v>14.671198783923874</c:v>
                </c:pt>
                <c:pt idx="214">
                  <c:v>29.41267976689165</c:v>
                </c:pt>
                <c:pt idx="215">
                  <c:v>28.379187551312697</c:v>
                </c:pt>
                <c:pt idx="216">
                  <c:v>30.273923279874108</c:v>
                </c:pt>
                <c:pt idx="217">
                  <c:v>27.001197930540762</c:v>
                </c:pt>
                <c:pt idx="218">
                  <c:v>29.240431064295155</c:v>
                </c:pt>
                <c:pt idx="219">
                  <c:v>15.101820540415105</c:v>
                </c:pt>
                <c:pt idx="220">
                  <c:v>18.116172835853714</c:v>
                </c:pt>
                <c:pt idx="221">
                  <c:v>15.101820540415105</c:v>
                </c:pt>
                <c:pt idx="222">
                  <c:v>16.393685809888794</c:v>
                </c:pt>
                <c:pt idx="223">
                  <c:v>21.955814924109514</c:v>
                </c:pt>
                <c:pt idx="224">
                  <c:v>22.386436680600745</c:v>
                </c:pt>
                <c:pt idx="225">
                  <c:v>22.817058437091976</c:v>
                </c:pt>
                <c:pt idx="226">
                  <c:v>22.989307139688467</c:v>
                </c:pt>
                <c:pt idx="227">
                  <c:v>12.087468244976494</c:v>
                </c:pt>
                <c:pt idx="228">
                  <c:v>12.948711757958954</c:v>
                </c:pt>
                <c:pt idx="229">
                  <c:v>11.226224731994034</c:v>
                </c:pt>
                <c:pt idx="230">
                  <c:v>14.757323135222121</c:v>
                </c:pt>
                <c:pt idx="231">
                  <c:v>28.551436253909188</c:v>
                </c:pt>
                <c:pt idx="232">
                  <c:v>27.690192740926726</c:v>
                </c:pt>
                <c:pt idx="233">
                  <c:v>28.809809307803924</c:v>
                </c:pt>
                <c:pt idx="234">
                  <c:v>27.60406838962848</c:v>
                </c:pt>
                <c:pt idx="235">
                  <c:v>29.843301523382877</c:v>
                </c:pt>
                <c:pt idx="236">
                  <c:v>28.120814497417957</c:v>
                </c:pt>
                <c:pt idx="237">
                  <c:v>29.498804118189895</c:v>
                </c:pt>
                <c:pt idx="238">
                  <c:v>28.551436253909188</c:v>
                </c:pt>
                <c:pt idx="239">
                  <c:v>23.075431490986713</c:v>
                </c:pt>
                <c:pt idx="240">
                  <c:v>25.795457012365315</c:v>
                </c:pt>
                <c:pt idx="241">
                  <c:v>27.715278056493215</c:v>
                </c:pt>
                <c:pt idx="242">
                  <c:v>31.13516679285657</c:v>
                </c:pt>
                <c:pt idx="243">
                  <c:v>29.58492846948814</c:v>
                </c:pt>
                <c:pt idx="244">
                  <c:v>30.790669387663584</c:v>
                </c:pt>
                <c:pt idx="245">
                  <c:v>29.240431064295155</c:v>
                </c:pt>
                <c:pt idx="246">
                  <c:v>30.101674577277617</c:v>
                </c:pt>
                <c:pt idx="247">
                  <c:v>18.116172835853714</c:v>
                </c:pt>
                <c:pt idx="248">
                  <c:v>15.532442296906334</c:v>
                </c:pt>
                <c:pt idx="249">
                  <c:v>15.618566648204581</c:v>
                </c:pt>
                <c:pt idx="250">
                  <c:v>22.386436680600745</c:v>
                </c:pt>
                <c:pt idx="251">
                  <c:v>23.247680193583207</c:v>
                </c:pt>
                <c:pt idx="252">
                  <c:v>24.108923706565665</c:v>
                </c:pt>
                <c:pt idx="253">
                  <c:v>27.690192740926726</c:v>
                </c:pt>
                <c:pt idx="254">
                  <c:v>22.817058437091976</c:v>
                </c:pt>
                <c:pt idx="255">
                  <c:v>23.678301950074435</c:v>
                </c:pt>
                <c:pt idx="256">
                  <c:v>22.386436680600745</c:v>
                </c:pt>
                <c:pt idx="257">
                  <c:v>24.108923706565665</c:v>
                </c:pt>
                <c:pt idx="258">
                  <c:v>21.955814924109514</c:v>
                </c:pt>
                <c:pt idx="259">
                  <c:v>21.094571411127056</c:v>
                </c:pt>
                <c:pt idx="260">
                  <c:v>15.101820540415105</c:v>
                </c:pt>
                <c:pt idx="261">
                  <c:v>17.218975602705985</c:v>
                </c:pt>
                <c:pt idx="262">
                  <c:v>15.618566648204581</c:v>
                </c:pt>
                <c:pt idx="263">
                  <c:v>15.532442296906334</c:v>
                </c:pt>
                <c:pt idx="264">
                  <c:v>29.41267976689165</c:v>
                </c:pt>
                <c:pt idx="265">
                  <c:v>27.087322281839008</c:v>
                </c:pt>
                <c:pt idx="266">
                  <c:v>26.915073579242513</c:v>
                </c:pt>
                <c:pt idx="267">
                  <c:v>28.809809307803924</c:v>
                </c:pt>
                <c:pt idx="268">
                  <c:v>27.087322281839008</c:v>
                </c:pt>
                <c:pt idx="269">
                  <c:v>26.226078768856546</c:v>
                </c:pt>
                <c:pt idx="270">
                  <c:v>27.948565794821466</c:v>
                </c:pt>
                <c:pt idx="271">
                  <c:v>26.915073579242513</c:v>
                </c:pt>
                <c:pt idx="272">
                  <c:v>24.478506427325136</c:v>
                </c:pt>
                <c:pt idx="273">
                  <c:v>20.663949654635825</c:v>
                </c:pt>
                <c:pt idx="274">
                  <c:v>25.364835255874084</c:v>
                </c:pt>
                <c:pt idx="275">
                  <c:v>19.974954844249858</c:v>
                </c:pt>
                <c:pt idx="276">
                  <c:v>29.15430671299691</c:v>
                </c:pt>
                <c:pt idx="277">
                  <c:v>29.41267976689165</c:v>
                </c:pt>
                <c:pt idx="278">
                  <c:v>21.525193167618283</c:v>
                </c:pt>
                <c:pt idx="279">
                  <c:v>24.108923706565665</c:v>
                </c:pt>
                <c:pt idx="280">
                  <c:v>27.690192740926726</c:v>
                </c:pt>
                <c:pt idx="281">
                  <c:v>23.678301950074435</c:v>
                </c:pt>
                <c:pt idx="282">
                  <c:v>21.955814924109514</c:v>
                </c:pt>
                <c:pt idx="283">
                  <c:v>16.393685809888794</c:v>
                </c:pt>
                <c:pt idx="284">
                  <c:v>16.479810161187039</c:v>
                </c:pt>
                <c:pt idx="285">
                  <c:v>15.704690999502827</c:v>
                </c:pt>
                <c:pt idx="286">
                  <c:v>15.963064053397565</c:v>
                </c:pt>
                <c:pt idx="287">
                  <c:v>14.240577027432645</c:v>
                </c:pt>
                <c:pt idx="288">
                  <c:v>15.360193594309843</c:v>
                </c:pt>
                <c:pt idx="289">
                  <c:v>16.824307566380025</c:v>
                </c:pt>
                <c:pt idx="290">
                  <c:v>14.671198783923874</c:v>
                </c:pt>
                <c:pt idx="291">
                  <c:v>29.15430671299691</c:v>
                </c:pt>
                <c:pt idx="292">
                  <c:v>29.671052820786386</c:v>
                </c:pt>
                <c:pt idx="293">
                  <c:v>28.379187551312697</c:v>
                </c:pt>
                <c:pt idx="294">
                  <c:v>28.379187551312697</c:v>
                </c:pt>
                <c:pt idx="295">
                  <c:v>26.717739561079533</c:v>
                </c:pt>
                <c:pt idx="296">
                  <c:v>16.824307566380025</c:v>
                </c:pt>
                <c:pt idx="297">
                  <c:v>29.15430671299691</c:v>
                </c:pt>
                <c:pt idx="298">
                  <c:v>19.838659861818634</c:v>
                </c:pt>
                <c:pt idx="299">
                  <c:v>29.240431064295155</c:v>
                </c:pt>
                <c:pt idx="300">
                  <c:v>29.240431064295155</c:v>
                </c:pt>
                <c:pt idx="301">
                  <c:v>29.671052820786386</c:v>
                </c:pt>
                <c:pt idx="302">
                  <c:v>29.326555415593404</c:v>
                </c:pt>
                <c:pt idx="303">
                  <c:v>27.517944038330235</c:v>
                </c:pt>
                <c:pt idx="304">
                  <c:v>21.525193167618283</c:v>
                </c:pt>
                <c:pt idx="305">
                  <c:v>21.525193167618283</c:v>
                </c:pt>
                <c:pt idx="306">
                  <c:v>27.517944038330235</c:v>
                </c:pt>
                <c:pt idx="307">
                  <c:v>28.723684956505679</c:v>
                </c:pt>
                <c:pt idx="308">
                  <c:v>30.101674577277617</c:v>
                </c:pt>
                <c:pt idx="309">
                  <c:v>29.240431064295155</c:v>
                </c:pt>
                <c:pt idx="310">
                  <c:v>29.671052820786386</c:v>
                </c:pt>
                <c:pt idx="311">
                  <c:v>27.517944038330235</c:v>
                </c:pt>
                <c:pt idx="312">
                  <c:v>27.690192740926726</c:v>
                </c:pt>
                <c:pt idx="313">
                  <c:v>27.517944038330235</c:v>
                </c:pt>
                <c:pt idx="314">
                  <c:v>23.678301950074435</c:v>
                </c:pt>
                <c:pt idx="315">
                  <c:v>28.551436253909188</c:v>
                </c:pt>
                <c:pt idx="316">
                  <c:v>27.517944038330235</c:v>
                </c:pt>
                <c:pt idx="317">
                  <c:v>28.809809307803924</c:v>
                </c:pt>
                <c:pt idx="318">
                  <c:v>27.345695335733744</c:v>
                </c:pt>
                <c:pt idx="319">
                  <c:v>28.809809307803924</c:v>
                </c:pt>
                <c:pt idx="320">
                  <c:v>29.671052820786386</c:v>
                </c:pt>
                <c:pt idx="321">
                  <c:v>26.226078768856546</c:v>
                </c:pt>
                <c:pt idx="322">
                  <c:v>29.671052820786386</c:v>
                </c:pt>
                <c:pt idx="323">
                  <c:v>31.13516679285657</c:v>
                </c:pt>
                <c:pt idx="324">
                  <c:v>31.13516679285657</c:v>
                </c:pt>
                <c:pt idx="325">
                  <c:v>27.578983074061995</c:v>
                </c:pt>
                <c:pt idx="326">
                  <c:v>29.498804118189895</c:v>
                </c:pt>
                <c:pt idx="327">
                  <c:v>29.498804118189895</c:v>
                </c:pt>
                <c:pt idx="328">
                  <c:v>29.498804118189895</c:v>
                </c:pt>
                <c:pt idx="329">
                  <c:v>29.929425874681122</c:v>
                </c:pt>
                <c:pt idx="330">
                  <c:v>20.061079195548103</c:v>
                </c:pt>
                <c:pt idx="331">
                  <c:v>28.576521569475677</c:v>
                </c:pt>
                <c:pt idx="332">
                  <c:v>27.690192740926726</c:v>
                </c:pt>
                <c:pt idx="333">
                  <c:v>29.068182361698664</c:v>
                </c:pt>
                <c:pt idx="334">
                  <c:v>28.034690146119711</c:v>
                </c:pt>
                <c:pt idx="335">
                  <c:v>28.034690146119711</c:v>
                </c:pt>
                <c:pt idx="336">
                  <c:v>27.345695335733744</c:v>
                </c:pt>
                <c:pt idx="337">
                  <c:v>21.955814924109514</c:v>
                </c:pt>
                <c:pt idx="338">
                  <c:v>28.034690146119711</c:v>
                </c:pt>
                <c:pt idx="339">
                  <c:v>30.273923279874108</c:v>
                </c:pt>
                <c:pt idx="340">
                  <c:v>29.757177172084631</c:v>
                </c:pt>
                <c:pt idx="341">
                  <c:v>30.101674577277617</c:v>
                </c:pt>
                <c:pt idx="342">
                  <c:v>29.498804118189895</c:v>
                </c:pt>
                <c:pt idx="343">
                  <c:v>29.671052820786386</c:v>
                </c:pt>
                <c:pt idx="344">
                  <c:v>29.929425874681122</c:v>
                </c:pt>
                <c:pt idx="345">
                  <c:v>29.41267976689165</c:v>
                </c:pt>
                <c:pt idx="346">
                  <c:v>29.843301523382877</c:v>
                </c:pt>
                <c:pt idx="347">
                  <c:v>29.671052820786386</c:v>
                </c:pt>
                <c:pt idx="348">
                  <c:v>29.671052820786386</c:v>
                </c:pt>
                <c:pt idx="349">
                  <c:v>28.895933659102173</c:v>
                </c:pt>
                <c:pt idx="350">
                  <c:v>28.809809307803924</c:v>
                </c:pt>
                <c:pt idx="351">
                  <c:v>28.809809307803924</c:v>
                </c:pt>
                <c:pt idx="352">
                  <c:v>26.656700525347777</c:v>
                </c:pt>
                <c:pt idx="353">
                  <c:v>28.895933659102173</c:v>
                </c:pt>
                <c:pt idx="354">
                  <c:v>28.379187551312697</c:v>
                </c:pt>
                <c:pt idx="355">
                  <c:v>24.884042868249878</c:v>
                </c:pt>
                <c:pt idx="356">
                  <c:v>21.439068816320038</c:v>
                </c:pt>
                <c:pt idx="357">
                  <c:v>21.094571411127056</c:v>
                </c:pt>
                <c:pt idx="358">
                  <c:v>21.955814924109514</c:v>
                </c:pt>
                <c:pt idx="359">
                  <c:v>18.546794592344945</c:v>
                </c:pt>
                <c:pt idx="360">
                  <c:v>23.850550652670925</c:v>
                </c:pt>
                <c:pt idx="361">
                  <c:v>24.108923706565665</c:v>
                </c:pt>
                <c:pt idx="362">
                  <c:v>27.690192740926726</c:v>
                </c:pt>
                <c:pt idx="363">
                  <c:v>27.690192740926726</c:v>
                </c:pt>
                <c:pt idx="364">
                  <c:v>27.690192740926726</c:v>
                </c:pt>
                <c:pt idx="365">
                  <c:v>27.948565794821466</c:v>
                </c:pt>
                <c:pt idx="366">
                  <c:v>28.034690146119711</c:v>
                </c:pt>
                <c:pt idx="367">
                  <c:v>27.517944038330235</c:v>
                </c:pt>
                <c:pt idx="368">
                  <c:v>27.345695335733744</c:v>
                </c:pt>
                <c:pt idx="369">
                  <c:v>28.895933659102173</c:v>
                </c:pt>
                <c:pt idx="370">
                  <c:v>29.41267976689165</c:v>
                </c:pt>
                <c:pt idx="371">
                  <c:v>29.41267976689165</c:v>
                </c:pt>
                <c:pt idx="372">
                  <c:v>29.843301523382877</c:v>
                </c:pt>
                <c:pt idx="373">
                  <c:v>29.240431064295155</c:v>
                </c:pt>
                <c:pt idx="374">
                  <c:v>27.690192740926726</c:v>
                </c:pt>
                <c:pt idx="375">
                  <c:v>28.809809307803924</c:v>
                </c:pt>
                <c:pt idx="376">
                  <c:v>29.240431064295155</c:v>
                </c:pt>
                <c:pt idx="377">
                  <c:v>29.498804118189895</c:v>
                </c:pt>
                <c:pt idx="378">
                  <c:v>29.498804118189895</c:v>
                </c:pt>
                <c:pt idx="379">
                  <c:v>29.498804118189895</c:v>
                </c:pt>
                <c:pt idx="380">
                  <c:v>21.955814924109514</c:v>
                </c:pt>
                <c:pt idx="381">
                  <c:v>24.108923706565665</c:v>
                </c:pt>
                <c:pt idx="382">
                  <c:v>27.345695335733744</c:v>
                </c:pt>
                <c:pt idx="383">
                  <c:v>21.783566221513023</c:v>
                </c:pt>
                <c:pt idx="384">
                  <c:v>27.001197930540762</c:v>
                </c:pt>
                <c:pt idx="385">
                  <c:v>28.034690146119711</c:v>
                </c:pt>
                <c:pt idx="386">
                  <c:v>27.517944038330235</c:v>
                </c:pt>
                <c:pt idx="387">
                  <c:v>27.86244144352322</c:v>
                </c:pt>
                <c:pt idx="388">
                  <c:v>30.790669387663584</c:v>
                </c:pt>
                <c:pt idx="389">
                  <c:v>28.034690146119711</c:v>
                </c:pt>
                <c:pt idx="390">
                  <c:v>28.465311902610942</c:v>
                </c:pt>
                <c:pt idx="391">
                  <c:v>28.206938848716206</c:v>
                </c:pt>
              </c:numCache>
            </c:numRef>
          </c:xVal>
          <c:yVal>
            <c:numRef>
              <c:f>Regression!RegChartFitY</c:f>
              <c:numCache>
                <c:formatCode>0.0000</c:formatCode>
                <c:ptCount val="392"/>
                <c:pt idx="0">
                  <c:v>16.393685809888794</c:v>
                </c:pt>
                <c:pt idx="1">
                  <c:v>13.379333514450185</c:v>
                </c:pt>
                <c:pt idx="2">
                  <c:v>14.671198783923874</c:v>
                </c:pt>
                <c:pt idx="3">
                  <c:v>14.671198783923874</c:v>
                </c:pt>
                <c:pt idx="4">
                  <c:v>15.532442296906334</c:v>
                </c:pt>
                <c:pt idx="5">
                  <c:v>10.537229921608066</c:v>
                </c:pt>
                <c:pt idx="6">
                  <c:v>8.6424941930466517</c:v>
                </c:pt>
                <c:pt idx="7">
                  <c:v>9.0731159495378826</c:v>
                </c:pt>
                <c:pt idx="8">
                  <c:v>8.2118724365554243</c:v>
                </c:pt>
                <c:pt idx="9">
                  <c:v>11.226224731994034</c:v>
                </c:pt>
                <c:pt idx="10">
                  <c:v>12.948711757958954</c:v>
                </c:pt>
                <c:pt idx="11">
                  <c:v>13.809955270941414</c:v>
                </c:pt>
                <c:pt idx="12">
                  <c:v>14.671198783923874</c:v>
                </c:pt>
                <c:pt idx="13">
                  <c:v>8.2118724365554243</c:v>
                </c:pt>
                <c:pt idx="14">
                  <c:v>27.087322281839008</c:v>
                </c:pt>
                <c:pt idx="15">
                  <c:v>23.247680193583207</c:v>
                </c:pt>
                <c:pt idx="16">
                  <c:v>23.075431490986713</c:v>
                </c:pt>
                <c:pt idx="17">
                  <c:v>24.108923706565665</c:v>
                </c:pt>
                <c:pt idx="18">
                  <c:v>27.690192740926726</c:v>
                </c:pt>
                <c:pt idx="19">
                  <c:v>31.307415495453061</c:v>
                </c:pt>
                <c:pt idx="20">
                  <c:v>27.776317092224975</c:v>
                </c:pt>
                <c:pt idx="21">
                  <c:v>27.517944038330235</c:v>
                </c:pt>
                <c:pt idx="22">
                  <c:v>27.087322281839008</c:v>
                </c:pt>
                <c:pt idx="23">
                  <c:v>25.537083958470578</c:v>
                </c:pt>
                <c:pt idx="24">
                  <c:v>23.678301950074435</c:v>
                </c:pt>
                <c:pt idx="25">
                  <c:v>9.0731159495378826</c:v>
                </c:pt>
                <c:pt idx="26">
                  <c:v>10.364981219011575</c:v>
                </c:pt>
                <c:pt idx="27">
                  <c:v>9.5037377060291135</c:v>
                </c:pt>
                <c:pt idx="28">
                  <c:v>10.967851678099297</c:v>
                </c:pt>
                <c:pt idx="29">
                  <c:v>27.690192740926726</c:v>
                </c:pt>
                <c:pt idx="30">
                  <c:v>27.517944038330235</c:v>
                </c:pt>
                <c:pt idx="31">
                  <c:v>27.087322281839008</c:v>
                </c:pt>
                <c:pt idx="32">
                  <c:v>22.817058437091976</c:v>
                </c:pt>
                <c:pt idx="33">
                  <c:v>22.386436680600745</c:v>
                </c:pt>
                <c:pt idx="34">
                  <c:v>22.817058437091976</c:v>
                </c:pt>
                <c:pt idx="35">
                  <c:v>23.850550652670925</c:v>
                </c:pt>
                <c:pt idx="36">
                  <c:v>22.817058437091976</c:v>
                </c:pt>
                <c:pt idx="37">
                  <c:v>13.379333514450185</c:v>
                </c:pt>
                <c:pt idx="38">
                  <c:v>12.518090001467725</c:v>
                </c:pt>
                <c:pt idx="39">
                  <c:v>14.412825730029136</c:v>
                </c:pt>
                <c:pt idx="40">
                  <c:v>14.671198783923874</c:v>
                </c:pt>
                <c:pt idx="41">
                  <c:v>12.087468244976494</c:v>
                </c:pt>
                <c:pt idx="42">
                  <c:v>12.948711757958954</c:v>
                </c:pt>
                <c:pt idx="43">
                  <c:v>12.518090001467725</c:v>
                </c:pt>
                <c:pt idx="44">
                  <c:v>21.955814924109514</c:v>
                </c:pt>
                <c:pt idx="45">
                  <c:v>29.068182361698664</c:v>
                </c:pt>
                <c:pt idx="46">
                  <c:v>22.817058437091976</c:v>
                </c:pt>
                <c:pt idx="47">
                  <c:v>23.850550652670925</c:v>
                </c:pt>
                <c:pt idx="48">
                  <c:v>27.86244144352322</c:v>
                </c:pt>
                <c:pt idx="49">
                  <c:v>27.517944038330235</c:v>
                </c:pt>
                <c:pt idx="50">
                  <c:v>29.240431064295155</c:v>
                </c:pt>
                <c:pt idx="51">
                  <c:v>28.723684956505679</c:v>
                </c:pt>
                <c:pt idx="52">
                  <c:v>29.671052820786386</c:v>
                </c:pt>
                <c:pt idx="53">
                  <c:v>29.326555415593404</c:v>
                </c:pt>
                <c:pt idx="54">
                  <c:v>30.101674577277617</c:v>
                </c:pt>
                <c:pt idx="55">
                  <c:v>29.240431064295155</c:v>
                </c:pt>
                <c:pt idx="56">
                  <c:v>27.087322281839008</c:v>
                </c:pt>
                <c:pt idx="57">
                  <c:v>28.379187551312697</c:v>
                </c:pt>
                <c:pt idx="58">
                  <c:v>30.618420685067093</c:v>
                </c:pt>
                <c:pt idx="59">
                  <c:v>27.517944038330235</c:v>
                </c:pt>
                <c:pt idx="60">
                  <c:v>27.86244144352322</c:v>
                </c:pt>
                <c:pt idx="61">
                  <c:v>13.379333514450185</c:v>
                </c:pt>
                <c:pt idx="62">
                  <c:v>12.518090001467725</c:v>
                </c:pt>
                <c:pt idx="63">
                  <c:v>14.671198783923874</c:v>
                </c:pt>
                <c:pt idx="64">
                  <c:v>14.412825730029136</c:v>
                </c:pt>
                <c:pt idx="65">
                  <c:v>14.671198783923874</c:v>
                </c:pt>
                <c:pt idx="66">
                  <c:v>9.6759864086256044</c:v>
                </c:pt>
                <c:pt idx="67">
                  <c:v>14.240577027432645</c:v>
                </c:pt>
                <c:pt idx="68">
                  <c:v>13.809955270941414</c:v>
                </c:pt>
                <c:pt idx="69">
                  <c:v>11.226224731994034</c:v>
                </c:pt>
                <c:pt idx="70">
                  <c:v>28.834894623370413</c:v>
                </c:pt>
                <c:pt idx="71">
                  <c:v>14.671198783923874</c:v>
                </c:pt>
                <c:pt idx="72">
                  <c:v>16.393685809888794</c:v>
                </c:pt>
                <c:pt idx="73">
                  <c:v>15.532442296906334</c:v>
                </c:pt>
                <c:pt idx="74">
                  <c:v>14.671198783923874</c:v>
                </c:pt>
                <c:pt idx="75">
                  <c:v>25.623208309768824</c:v>
                </c:pt>
                <c:pt idx="76">
                  <c:v>28.723684956505679</c:v>
                </c:pt>
                <c:pt idx="77">
                  <c:v>27.776317092224975</c:v>
                </c:pt>
                <c:pt idx="78">
                  <c:v>29.326555415593404</c:v>
                </c:pt>
                <c:pt idx="79">
                  <c:v>27.86244144352322</c:v>
                </c:pt>
                <c:pt idx="80">
                  <c:v>27.345695335733744</c:v>
                </c:pt>
                <c:pt idx="81">
                  <c:v>26.915073579242513</c:v>
                </c:pt>
                <c:pt idx="82">
                  <c:v>28.379187551312697</c:v>
                </c:pt>
                <c:pt idx="83">
                  <c:v>27.690192740926726</c:v>
                </c:pt>
                <c:pt idx="84">
                  <c:v>12.518090001467725</c:v>
                </c:pt>
                <c:pt idx="85">
                  <c:v>14.671198783923874</c:v>
                </c:pt>
                <c:pt idx="86">
                  <c:v>15.101820540415105</c:v>
                </c:pt>
                <c:pt idx="87">
                  <c:v>15.790815350801072</c:v>
                </c:pt>
                <c:pt idx="88">
                  <c:v>14.671198783923874</c:v>
                </c:pt>
                <c:pt idx="89">
                  <c:v>10.537229921608066</c:v>
                </c:pt>
                <c:pt idx="90">
                  <c:v>14.671198783923874</c:v>
                </c:pt>
                <c:pt idx="91">
                  <c:v>13.982203973537906</c:v>
                </c:pt>
                <c:pt idx="92">
                  <c:v>14.671198783923874</c:v>
                </c:pt>
                <c:pt idx="93">
                  <c:v>9.0731159495378826</c:v>
                </c:pt>
                <c:pt idx="94">
                  <c:v>8.2118724365554243</c:v>
                </c:pt>
                <c:pt idx="95">
                  <c:v>12.518090001467725</c:v>
                </c:pt>
                <c:pt idx="96">
                  <c:v>22.386436680600745</c:v>
                </c:pt>
                <c:pt idx="97">
                  <c:v>22.817058437091976</c:v>
                </c:pt>
                <c:pt idx="98">
                  <c:v>22.817058437091976</c:v>
                </c:pt>
                <c:pt idx="99">
                  <c:v>23.850550652670925</c:v>
                </c:pt>
                <c:pt idx="100">
                  <c:v>23.247680193583207</c:v>
                </c:pt>
                <c:pt idx="101">
                  <c:v>31.307415495453061</c:v>
                </c:pt>
                <c:pt idx="102">
                  <c:v>14.671198783923874</c:v>
                </c:pt>
                <c:pt idx="103">
                  <c:v>13.207084811853692</c:v>
                </c:pt>
                <c:pt idx="104">
                  <c:v>12.948711757958954</c:v>
                </c:pt>
                <c:pt idx="105">
                  <c:v>12.087468244976494</c:v>
                </c:pt>
                <c:pt idx="106">
                  <c:v>22.817058437091976</c:v>
                </c:pt>
                <c:pt idx="107">
                  <c:v>27.690192740926726</c:v>
                </c:pt>
                <c:pt idx="108">
                  <c:v>29.068182361698664</c:v>
                </c:pt>
                <c:pt idx="109">
                  <c:v>27.173446633137253</c:v>
                </c:pt>
                <c:pt idx="110">
                  <c:v>29.437765082458135</c:v>
                </c:pt>
                <c:pt idx="111">
                  <c:v>27.948565794821466</c:v>
                </c:pt>
                <c:pt idx="112">
                  <c:v>22.214187978004254</c:v>
                </c:pt>
                <c:pt idx="113">
                  <c:v>27.517944038330235</c:v>
                </c:pt>
                <c:pt idx="114">
                  <c:v>15.101820540415105</c:v>
                </c:pt>
                <c:pt idx="115">
                  <c:v>7.7812506800641934</c:v>
                </c:pt>
                <c:pt idx="116">
                  <c:v>31.049042441558321</c:v>
                </c:pt>
                <c:pt idx="117">
                  <c:v>28.809809307803924</c:v>
                </c:pt>
                <c:pt idx="118">
                  <c:v>27.431819687031989</c:v>
                </c:pt>
                <c:pt idx="119">
                  <c:v>25.623208309768824</c:v>
                </c:pt>
                <c:pt idx="120">
                  <c:v>14.671198783923874</c:v>
                </c:pt>
                <c:pt idx="121">
                  <c:v>25.795457012365315</c:v>
                </c:pt>
                <c:pt idx="122">
                  <c:v>20.922322708530565</c:v>
                </c:pt>
                <c:pt idx="123">
                  <c:v>12.087468244976494</c:v>
                </c:pt>
                <c:pt idx="124">
                  <c:v>23.247680193583207</c:v>
                </c:pt>
                <c:pt idx="125">
                  <c:v>22.817058437091976</c:v>
                </c:pt>
                <c:pt idx="126">
                  <c:v>22.817058437091976</c:v>
                </c:pt>
                <c:pt idx="127">
                  <c:v>29.498804118189895</c:v>
                </c:pt>
                <c:pt idx="128">
                  <c:v>28.379187551312697</c:v>
                </c:pt>
                <c:pt idx="129">
                  <c:v>29.671052820786386</c:v>
                </c:pt>
                <c:pt idx="130">
                  <c:v>28.809809307803924</c:v>
                </c:pt>
                <c:pt idx="131">
                  <c:v>22.817058437091976</c:v>
                </c:pt>
                <c:pt idx="132">
                  <c:v>21.955814924109514</c:v>
                </c:pt>
                <c:pt idx="133">
                  <c:v>22.386436680600745</c:v>
                </c:pt>
                <c:pt idx="134">
                  <c:v>15.532442296906334</c:v>
                </c:pt>
                <c:pt idx="135">
                  <c:v>14.671198783923874</c:v>
                </c:pt>
                <c:pt idx="136">
                  <c:v>14.671198783923874</c:v>
                </c:pt>
                <c:pt idx="137">
                  <c:v>15.532442296906334</c:v>
                </c:pt>
                <c:pt idx="138">
                  <c:v>14.671198783923874</c:v>
                </c:pt>
                <c:pt idx="139">
                  <c:v>28.120814497417957</c:v>
                </c:pt>
                <c:pt idx="140">
                  <c:v>29.498804118189895</c:v>
                </c:pt>
                <c:pt idx="141">
                  <c:v>28.551436253909188</c:v>
                </c:pt>
                <c:pt idx="142">
                  <c:v>30.790669387663584</c:v>
                </c:pt>
                <c:pt idx="143">
                  <c:v>30.015550225979371</c:v>
                </c:pt>
                <c:pt idx="144">
                  <c:v>28.809809307803924</c:v>
                </c:pt>
                <c:pt idx="145">
                  <c:v>28.809809307803924</c:v>
                </c:pt>
                <c:pt idx="146">
                  <c:v>28.809809307803924</c:v>
                </c:pt>
                <c:pt idx="147">
                  <c:v>26.915073579242513</c:v>
                </c:pt>
                <c:pt idx="148">
                  <c:v>27.259570984435499</c:v>
                </c:pt>
                <c:pt idx="149">
                  <c:v>29.498804118189895</c:v>
                </c:pt>
                <c:pt idx="150">
                  <c:v>23.247680193583207</c:v>
                </c:pt>
                <c:pt idx="151">
                  <c:v>22.386436680600745</c:v>
                </c:pt>
                <c:pt idx="152">
                  <c:v>25.228540273442864</c:v>
                </c:pt>
                <c:pt idx="153">
                  <c:v>25.228540273442864</c:v>
                </c:pt>
                <c:pt idx="154">
                  <c:v>12.948711757958954</c:v>
                </c:pt>
                <c:pt idx="155">
                  <c:v>15.101820540415105</c:v>
                </c:pt>
                <c:pt idx="156">
                  <c:v>14.671198783923874</c:v>
                </c:pt>
                <c:pt idx="157">
                  <c:v>14.843447486520366</c:v>
                </c:pt>
                <c:pt idx="158">
                  <c:v>21.955814924109514</c:v>
                </c:pt>
                <c:pt idx="159">
                  <c:v>22.386436680600745</c:v>
                </c:pt>
                <c:pt idx="160">
                  <c:v>21.955814924109514</c:v>
                </c:pt>
                <c:pt idx="161">
                  <c:v>23.247680193583207</c:v>
                </c:pt>
                <c:pt idx="162">
                  <c:v>21.955814924109514</c:v>
                </c:pt>
                <c:pt idx="163">
                  <c:v>18.116172835853714</c:v>
                </c:pt>
                <c:pt idx="164">
                  <c:v>16.479810161187039</c:v>
                </c:pt>
                <c:pt idx="165">
                  <c:v>28.809809307803924</c:v>
                </c:pt>
                <c:pt idx="166">
                  <c:v>28.120814497417957</c:v>
                </c:pt>
                <c:pt idx="167">
                  <c:v>22.817058437091976</c:v>
                </c:pt>
                <c:pt idx="168">
                  <c:v>28.551436253909188</c:v>
                </c:pt>
                <c:pt idx="169">
                  <c:v>27.001197930540762</c:v>
                </c:pt>
                <c:pt idx="170">
                  <c:v>29.15430671299691</c:v>
                </c:pt>
                <c:pt idx="171">
                  <c:v>26.915073579242513</c:v>
                </c:pt>
                <c:pt idx="172">
                  <c:v>23.075431490986713</c:v>
                </c:pt>
                <c:pt idx="173">
                  <c:v>29.240431064295155</c:v>
                </c:pt>
                <c:pt idx="174">
                  <c:v>23.678301950074435</c:v>
                </c:pt>
                <c:pt idx="175">
                  <c:v>27.087322281839008</c:v>
                </c:pt>
                <c:pt idx="176">
                  <c:v>27.690192740926726</c:v>
                </c:pt>
                <c:pt idx="177">
                  <c:v>26.828949227944268</c:v>
                </c:pt>
                <c:pt idx="178">
                  <c:v>25.364835255874084</c:v>
                </c:pt>
                <c:pt idx="179">
                  <c:v>30.704545036365339</c:v>
                </c:pt>
                <c:pt idx="180">
                  <c:v>27.86244144352322</c:v>
                </c:pt>
                <c:pt idx="181">
                  <c:v>28.293063200014451</c:v>
                </c:pt>
                <c:pt idx="182">
                  <c:v>27.345695335733744</c:v>
                </c:pt>
                <c:pt idx="183">
                  <c:v>28.465311902610942</c:v>
                </c:pt>
                <c:pt idx="184">
                  <c:v>28.120814497417957</c:v>
                </c:pt>
                <c:pt idx="185">
                  <c:v>15.532442296906334</c:v>
                </c:pt>
                <c:pt idx="186">
                  <c:v>14.671198783923874</c:v>
                </c:pt>
                <c:pt idx="187">
                  <c:v>17.254929322871256</c:v>
                </c:pt>
                <c:pt idx="188">
                  <c:v>14.498950081327383</c:v>
                </c:pt>
                <c:pt idx="189">
                  <c:v>22.817058437091976</c:v>
                </c:pt>
                <c:pt idx="190">
                  <c:v>22.386436680600745</c:v>
                </c:pt>
                <c:pt idx="191">
                  <c:v>24.453421111758651</c:v>
                </c:pt>
                <c:pt idx="192">
                  <c:v>23.678301950074435</c:v>
                </c:pt>
                <c:pt idx="193">
                  <c:v>30.790669387663584</c:v>
                </c:pt>
                <c:pt idx="194">
                  <c:v>30.101674577277617</c:v>
                </c:pt>
                <c:pt idx="195">
                  <c:v>29.240431064295155</c:v>
                </c:pt>
                <c:pt idx="196">
                  <c:v>30.704545036365339</c:v>
                </c:pt>
                <c:pt idx="197">
                  <c:v>22.817058437091976</c:v>
                </c:pt>
                <c:pt idx="198">
                  <c:v>24.711794165653387</c:v>
                </c:pt>
                <c:pt idx="199">
                  <c:v>21.955814924109514</c:v>
                </c:pt>
                <c:pt idx="200">
                  <c:v>23.247680193583207</c:v>
                </c:pt>
                <c:pt idx="201">
                  <c:v>29.15430671299691</c:v>
                </c:pt>
                <c:pt idx="202">
                  <c:v>29.240431064295155</c:v>
                </c:pt>
                <c:pt idx="203">
                  <c:v>28.809809307803924</c:v>
                </c:pt>
                <c:pt idx="204">
                  <c:v>29.068182361698664</c:v>
                </c:pt>
                <c:pt idx="205">
                  <c:v>26.484451822751282</c:v>
                </c:pt>
                <c:pt idx="206">
                  <c:v>14.671198783923874</c:v>
                </c:pt>
                <c:pt idx="207">
                  <c:v>27.690192740926726</c:v>
                </c:pt>
                <c:pt idx="208">
                  <c:v>22.128063626706009</c:v>
                </c:pt>
                <c:pt idx="209">
                  <c:v>21.094571411127056</c:v>
                </c:pt>
                <c:pt idx="210">
                  <c:v>12.087468244976494</c:v>
                </c:pt>
                <c:pt idx="211">
                  <c:v>15.101820540415105</c:v>
                </c:pt>
                <c:pt idx="212">
                  <c:v>16.393685809888794</c:v>
                </c:pt>
                <c:pt idx="213">
                  <c:v>14.671198783923874</c:v>
                </c:pt>
                <c:pt idx="214">
                  <c:v>29.41267976689165</c:v>
                </c:pt>
                <c:pt idx="215">
                  <c:v>28.379187551312697</c:v>
                </c:pt>
                <c:pt idx="216">
                  <c:v>30.273923279874108</c:v>
                </c:pt>
                <c:pt idx="217">
                  <c:v>27.001197930540762</c:v>
                </c:pt>
                <c:pt idx="218">
                  <c:v>29.240431064295155</c:v>
                </c:pt>
                <c:pt idx="219">
                  <c:v>15.101820540415105</c:v>
                </c:pt>
                <c:pt idx="220">
                  <c:v>18.116172835853714</c:v>
                </c:pt>
                <c:pt idx="221">
                  <c:v>15.101820540415105</c:v>
                </c:pt>
                <c:pt idx="222">
                  <c:v>16.393685809888794</c:v>
                </c:pt>
                <c:pt idx="223">
                  <c:v>21.955814924109514</c:v>
                </c:pt>
                <c:pt idx="224">
                  <c:v>22.386436680600745</c:v>
                </c:pt>
                <c:pt idx="225">
                  <c:v>22.817058437091976</c:v>
                </c:pt>
                <c:pt idx="226">
                  <c:v>22.989307139688467</c:v>
                </c:pt>
                <c:pt idx="227">
                  <c:v>12.087468244976494</c:v>
                </c:pt>
                <c:pt idx="228">
                  <c:v>12.948711757958954</c:v>
                </c:pt>
                <c:pt idx="229">
                  <c:v>11.226224731994034</c:v>
                </c:pt>
                <c:pt idx="230">
                  <c:v>14.757323135222121</c:v>
                </c:pt>
                <c:pt idx="231">
                  <c:v>28.551436253909188</c:v>
                </c:pt>
                <c:pt idx="232">
                  <c:v>27.690192740926726</c:v>
                </c:pt>
                <c:pt idx="233">
                  <c:v>28.809809307803924</c:v>
                </c:pt>
                <c:pt idx="234">
                  <c:v>27.60406838962848</c:v>
                </c:pt>
                <c:pt idx="235">
                  <c:v>29.843301523382877</c:v>
                </c:pt>
                <c:pt idx="236">
                  <c:v>28.120814497417957</c:v>
                </c:pt>
                <c:pt idx="237">
                  <c:v>29.498804118189895</c:v>
                </c:pt>
                <c:pt idx="238">
                  <c:v>28.551436253909188</c:v>
                </c:pt>
                <c:pt idx="239">
                  <c:v>23.075431490986713</c:v>
                </c:pt>
                <c:pt idx="240">
                  <c:v>25.795457012365315</c:v>
                </c:pt>
                <c:pt idx="241">
                  <c:v>27.715278056493215</c:v>
                </c:pt>
                <c:pt idx="242">
                  <c:v>31.13516679285657</c:v>
                </c:pt>
                <c:pt idx="243">
                  <c:v>29.58492846948814</c:v>
                </c:pt>
                <c:pt idx="244">
                  <c:v>30.790669387663584</c:v>
                </c:pt>
                <c:pt idx="245">
                  <c:v>29.240431064295155</c:v>
                </c:pt>
                <c:pt idx="246">
                  <c:v>30.101674577277617</c:v>
                </c:pt>
                <c:pt idx="247">
                  <c:v>18.116172835853714</c:v>
                </c:pt>
                <c:pt idx="248">
                  <c:v>15.532442296906334</c:v>
                </c:pt>
                <c:pt idx="249">
                  <c:v>15.618566648204581</c:v>
                </c:pt>
                <c:pt idx="250">
                  <c:v>22.386436680600745</c:v>
                </c:pt>
                <c:pt idx="251">
                  <c:v>23.247680193583207</c:v>
                </c:pt>
                <c:pt idx="252">
                  <c:v>24.108923706565665</c:v>
                </c:pt>
                <c:pt idx="253">
                  <c:v>27.690192740926726</c:v>
                </c:pt>
                <c:pt idx="254">
                  <c:v>22.817058437091976</c:v>
                </c:pt>
                <c:pt idx="255">
                  <c:v>23.678301950074435</c:v>
                </c:pt>
                <c:pt idx="256">
                  <c:v>22.386436680600745</c:v>
                </c:pt>
                <c:pt idx="257">
                  <c:v>24.108923706565665</c:v>
                </c:pt>
                <c:pt idx="258">
                  <c:v>21.955814924109514</c:v>
                </c:pt>
                <c:pt idx="259">
                  <c:v>21.094571411127056</c:v>
                </c:pt>
                <c:pt idx="260">
                  <c:v>15.101820540415105</c:v>
                </c:pt>
                <c:pt idx="261">
                  <c:v>17.218975602705985</c:v>
                </c:pt>
                <c:pt idx="262">
                  <c:v>15.618566648204581</c:v>
                </c:pt>
                <c:pt idx="263">
                  <c:v>15.532442296906334</c:v>
                </c:pt>
                <c:pt idx="264">
                  <c:v>29.41267976689165</c:v>
                </c:pt>
                <c:pt idx="265">
                  <c:v>27.087322281839008</c:v>
                </c:pt>
                <c:pt idx="266">
                  <c:v>26.915073579242513</c:v>
                </c:pt>
                <c:pt idx="267">
                  <c:v>28.809809307803924</c:v>
                </c:pt>
                <c:pt idx="268">
                  <c:v>27.087322281839008</c:v>
                </c:pt>
                <c:pt idx="269">
                  <c:v>26.226078768856546</c:v>
                </c:pt>
                <c:pt idx="270">
                  <c:v>27.948565794821466</c:v>
                </c:pt>
                <c:pt idx="271">
                  <c:v>26.915073579242513</c:v>
                </c:pt>
                <c:pt idx="272">
                  <c:v>24.478506427325136</c:v>
                </c:pt>
                <c:pt idx="273">
                  <c:v>20.663949654635825</c:v>
                </c:pt>
                <c:pt idx="274">
                  <c:v>25.364835255874084</c:v>
                </c:pt>
                <c:pt idx="275">
                  <c:v>19.974954844249858</c:v>
                </c:pt>
                <c:pt idx="276">
                  <c:v>29.15430671299691</c:v>
                </c:pt>
                <c:pt idx="277">
                  <c:v>29.41267976689165</c:v>
                </c:pt>
                <c:pt idx="278">
                  <c:v>21.525193167618283</c:v>
                </c:pt>
                <c:pt idx="279">
                  <c:v>24.108923706565665</c:v>
                </c:pt>
                <c:pt idx="280">
                  <c:v>27.690192740926726</c:v>
                </c:pt>
                <c:pt idx="281">
                  <c:v>23.678301950074435</c:v>
                </c:pt>
                <c:pt idx="282">
                  <c:v>21.955814924109514</c:v>
                </c:pt>
                <c:pt idx="283">
                  <c:v>16.393685809888794</c:v>
                </c:pt>
                <c:pt idx="284">
                  <c:v>16.479810161187039</c:v>
                </c:pt>
                <c:pt idx="285">
                  <c:v>15.704690999502827</c:v>
                </c:pt>
                <c:pt idx="286">
                  <c:v>15.963064053397565</c:v>
                </c:pt>
                <c:pt idx="287">
                  <c:v>14.240577027432645</c:v>
                </c:pt>
                <c:pt idx="288">
                  <c:v>15.360193594309843</c:v>
                </c:pt>
                <c:pt idx="289">
                  <c:v>16.824307566380025</c:v>
                </c:pt>
                <c:pt idx="290">
                  <c:v>14.671198783923874</c:v>
                </c:pt>
                <c:pt idx="291">
                  <c:v>29.15430671299691</c:v>
                </c:pt>
                <c:pt idx="292">
                  <c:v>29.671052820786386</c:v>
                </c:pt>
                <c:pt idx="293">
                  <c:v>28.379187551312697</c:v>
                </c:pt>
                <c:pt idx="294">
                  <c:v>28.379187551312697</c:v>
                </c:pt>
                <c:pt idx="295">
                  <c:v>26.717739561079533</c:v>
                </c:pt>
                <c:pt idx="296">
                  <c:v>16.824307566380025</c:v>
                </c:pt>
                <c:pt idx="297">
                  <c:v>29.15430671299691</c:v>
                </c:pt>
                <c:pt idx="298">
                  <c:v>19.838659861818634</c:v>
                </c:pt>
                <c:pt idx="299">
                  <c:v>29.240431064295155</c:v>
                </c:pt>
                <c:pt idx="300">
                  <c:v>29.240431064295155</c:v>
                </c:pt>
                <c:pt idx="301">
                  <c:v>29.671052820786386</c:v>
                </c:pt>
                <c:pt idx="302">
                  <c:v>29.326555415593404</c:v>
                </c:pt>
                <c:pt idx="303">
                  <c:v>27.517944038330235</c:v>
                </c:pt>
                <c:pt idx="304">
                  <c:v>21.525193167618283</c:v>
                </c:pt>
                <c:pt idx="305">
                  <c:v>21.525193167618283</c:v>
                </c:pt>
                <c:pt idx="306">
                  <c:v>27.517944038330235</c:v>
                </c:pt>
                <c:pt idx="307">
                  <c:v>28.723684956505679</c:v>
                </c:pt>
                <c:pt idx="308">
                  <c:v>30.101674577277617</c:v>
                </c:pt>
                <c:pt idx="309">
                  <c:v>29.240431064295155</c:v>
                </c:pt>
                <c:pt idx="310">
                  <c:v>29.671052820786386</c:v>
                </c:pt>
                <c:pt idx="311">
                  <c:v>27.517944038330235</c:v>
                </c:pt>
                <c:pt idx="312">
                  <c:v>27.690192740926726</c:v>
                </c:pt>
                <c:pt idx="313">
                  <c:v>27.517944038330235</c:v>
                </c:pt>
                <c:pt idx="314">
                  <c:v>23.678301950074435</c:v>
                </c:pt>
                <c:pt idx="315">
                  <c:v>28.551436253909188</c:v>
                </c:pt>
                <c:pt idx="316">
                  <c:v>27.517944038330235</c:v>
                </c:pt>
                <c:pt idx="317">
                  <c:v>28.809809307803924</c:v>
                </c:pt>
                <c:pt idx="318">
                  <c:v>27.345695335733744</c:v>
                </c:pt>
                <c:pt idx="319">
                  <c:v>28.809809307803924</c:v>
                </c:pt>
                <c:pt idx="320">
                  <c:v>29.671052820786386</c:v>
                </c:pt>
                <c:pt idx="321">
                  <c:v>26.226078768856546</c:v>
                </c:pt>
                <c:pt idx="322">
                  <c:v>29.671052820786386</c:v>
                </c:pt>
                <c:pt idx="323">
                  <c:v>31.13516679285657</c:v>
                </c:pt>
                <c:pt idx="324">
                  <c:v>31.13516679285657</c:v>
                </c:pt>
                <c:pt idx="325">
                  <c:v>27.578983074061995</c:v>
                </c:pt>
                <c:pt idx="326">
                  <c:v>29.498804118189895</c:v>
                </c:pt>
                <c:pt idx="327">
                  <c:v>29.498804118189895</c:v>
                </c:pt>
                <c:pt idx="328">
                  <c:v>29.498804118189895</c:v>
                </c:pt>
                <c:pt idx="329">
                  <c:v>29.929425874681122</c:v>
                </c:pt>
                <c:pt idx="330">
                  <c:v>20.061079195548103</c:v>
                </c:pt>
                <c:pt idx="331">
                  <c:v>28.576521569475677</c:v>
                </c:pt>
                <c:pt idx="332">
                  <c:v>27.690192740926726</c:v>
                </c:pt>
                <c:pt idx="333">
                  <c:v>29.068182361698664</c:v>
                </c:pt>
                <c:pt idx="334">
                  <c:v>28.034690146119711</c:v>
                </c:pt>
                <c:pt idx="335">
                  <c:v>28.034690146119711</c:v>
                </c:pt>
                <c:pt idx="336">
                  <c:v>27.345695335733744</c:v>
                </c:pt>
                <c:pt idx="337">
                  <c:v>21.955814924109514</c:v>
                </c:pt>
                <c:pt idx="338">
                  <c:v>28.034690146119711</c:v>
                </c:pt>
                <c:pt idx="339">
                  <c:v>30.273923279874108</c:v>
                </c:pt>
                <c:pt idx="340">
                  <c:v>29.757177172084631</c:v>
                </c:pt>
                <c:pt idx="341">
                  <c:v>30.101674577277617</c:v>
                </c:pt>
                <c:pt idx="342">
                  <c:v>29.498804118189895</c:v>
                </c:pt>
                <c:pt idx="343">
                  <c:v>29.671052820786386</c:v>
                </c:pt>
                <c:pt idx="344">
                  <c:v>29.929425874681122</c:v>
                </c:pt>
                <c:pt idx="345">
                  <c:v>29.41267976689165</c:v>
                </c:pt>
                <c:pt idx="346">
                  <c:v>29.843301523382877</c:v>
                </c:pt>
                <c:pt idx="347">
                  <c:v>29.671052820786386</c:v>
                </c:pt>
                <c:pt idx="348">
                  <c:v>29.671052820786386</c:v>
                </c:pt>
                <c:pt idx="349">
                  <c:v>28.895933659102173</c:v>
                </c:pt>
                <c:pt idx="350">
                  <c:v>28.809809307803924</c:v>
                </c:pt>
                <c:pt idx="351">
                  <c:v>28.809809307803924</c:v>
                </c:pt>
                <c:pt idx="352">
                  <c:v>26.656700525347777</c:v>
                </c:pt>
                <c:pt idx="353">
                  <c:v>28.895933659102173</c:v>
                </c:pt>
                <c:pt idx="354">
                  <c:v>28.379187551312697</c:v>
                </c:pt>
                <c:pt idx="355">
                  <c:v>24.884042868249878</c:v>
                </c:pt>
                <c:pt idx="356">
                  <c:v>21.439068816320038</c:v>
                </c:pt>
                <c:pt idx="357">
                  <c:v>21.094571411127056</c:v>
                </c:pt>
                <c:pt idx="358">
                  <c:v>21.955814924109514</c:v>
                </c:pt>
                <c:pt idx="359">
                  <c:v>18.546794592344945</c:v>
                </c:pt>
                <c:pt idx="360">
                  <c:v>23.850550652670925</c:v>
                </c:pt>
                <c:pt idx="361">
                  <c:v>24.108923706565665</c:v>
                </c:pt>
                <c:pt idx="362">
                  <c:v>27.690192740926726</c:v>
                </c:pt>
                <c:pt idx="363">
                  <c:v>27.690192740926726</c:v>
                </c:pt>
                <c:pt idx="364">
                  <c:v>27.690192740926726</c:v>
                </c:pt>
                <c:pt idx="365">
                  <c:v>27.948565794821466</c:v>
                </c:pt>
                <c:pt idx="366">
                  <c:v>28.034690146119711</c:v>
                </c:pt>
                <c:pt idx="367">
                  <c:v>27.517944038330235</c:v>
                </c:pt>
                <c:pt idx="368">
                  <c:v>27.345695335733744</c:v>
                </c:pt>
                <c:pt idx="369">
                  <c:v>28.895933659102173</c:v>
                </c:pt>
                <c:pt idx="370">
                  <c:v>29.41267976689165</c:v>
                </c:pt>
                <c:pt idx="371">
                  <c:v>29.41267976689165</c:v>
                </c:pt>
                <c:pt idx="372">
                  <c:v>29.843301523382877</c:v>
                </c:pt>
                <c:pt idx="373">
                  <c:v>29.240431064295155</c:v>
                </c:pt>
                <c:pt idx="374">
                  <c:v>27.690192740926726</c:v>
                </c:pt>
                <c:pt idx="375">
                  <c:v>28.809809307803924</c:v>
                </c:pt>
                <c:pt idx="376">
                  <c:v>29.240431064295155</c:v>
                </c:pt>
                <c:pt idx="377">
                  <c:v>29.498804118189895</c:v>
                </c:pt>
                <c:pt idx="378">
                  <c:v>29.498804118189895</c:v>
                </c:pt>
                <c:pt idx="379">
                  <c:v>29.498804118189895</c:v>
                </c:pt>
                <c:pt idx="380">
                  <c:v>21.955814924109514</c:v>
                </c:pt>
                <c:pt idx="381">
                  <c:v>24.108923706565665</c:v>
                </c:pt>
                <c:pt idx="382">
                  <c:v>27.345695335733744</c:v>
                </c:pt>
                <c:pt idx="383">
                  <c:v>21.783566221513023</c:v>
                </c:pt>
                <c:pt idx="384">
                  <c:v>27.001197930540762</c:v>
                </c:pt>
                <c:pt idx="385">
                  <c:v>28.034690146119711</c:v>
                </c:pt>
                <c:pt idx="386">
                  <c:v>27.517944038330235</c:v>
                </c:pt>
                <c:pt idx="387">
                  <c:v>27.86244144352322</c:v>
                </c:pt>
                <c:pt idx="388">
                  <c:v>30.790669387663584</c:v>
                </c:pt>
                <c:pt idx="389">
                  <c:v>28.034690146119711</c:v>
                </c:pt>
                <c:pt idx="390">
                  <c:v>28.465311902610942</c:v>
                </c:pt>
                <c:pt idx="391">
                  <c:v>28.206938848716206</c:v>
                </c:pt>
              </c:numCache>
            </c:numRef>
          </c:yVal>
          <c:smooth val="0"/>
          <c:extLst>
            <c:ext xmlns:c16="http://schemas.microsoft.com/office/drawing/2014/chart" uri="{C3380CC4-5D6E-409C-BE32-E72D297353CC}">
              <c16:uniqueId val="{00000002-3879-4011-8332-4E59F530BE6E}"/>
            </c:ext>
          </c:extLst>
        </c:ser>
        <c:dLbls>
          <c:showLegendKey val="0"/>
          <c:showVal val="0"/>
          <c:showCatName val="0"/>
          <c:showSerName val="0"/>
          <c:showPercent val="0"/>
          <c:showBubbleSize val="0"/>
        </c:dLbls>
        <c:axId val="530575055"/>
        <c:axId val="392107247"/>
      </c:scatterChart>
      <c:valAx>
        <c:axId val="530575055"/>
        <c:scaling>
          <c:orientation val="minMax"/>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392107247"/>
        <c:crosses val="autoZero"/>
        <c:crossBetween val="midCat"/>
      </c:valAx>
      <c:valAx>
        <c:axId val="392107247"/>
        <c:scaling>
          <c:orientation val="minMax"/>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53057505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16.393685809888794</c:v>
                </c:pt>
                <c:pt idx="1">
                  <c:v>13.379333514450185</c:v>
                </c:pt>
                <c:pt idx="2">
                  <c:v>14.671198783923874</c:v>
                </c:pt>
                <c:pt idx="3">
                  <c:v>14.671198783923874</c:v>
                </c:pt>
                <c:pt idx="4">
                  <c:v>15.532442296906334</c:v>
                </c:pt>
                <c:pt idx="5">
                  <c:v>10.537229921608066</c:v>
                </c:pt>
                <c:pt idx="6">
                  <c:v>8.6424941930466517</c:v>
                </c:pt>
                <c:pt idx="7">
                  <c:v>9.0731159495378826</c:v>
                </c:pt>
                <c:pt idx="8">
                  <c:v>8.2118724365554243</c:v>
                </c:pt>
                <c:pt idx="9">
                  <c:v>11.226224731994034</c:v>
                </c:pt>
                <c:pt idx="10">
                  <c:v>12.948711757958954</c:v>
                </c:pt>
                <c:pt idx="11">
                  <c:v>13.809955270941414</c:v>
                </c:pt>
                <c:pt idx="12">
                  <c:v>14.671198783923874</c:v>
                </c:pt>
                <c:pt idx="13">
                  <c:v>8.2118724365554243</c:v>
                </c:pt>
                <c:pt idx="14">
                  <c:v>27.087322281839008</c:v>
                </c:pt>
                <c:pt idx="15">
                  <c:v>23.247680193583207</c:v>
                </c:pt>
                <c:pt idx="16">
                  <c:v>23.075431490986713</c:v>
                </c:pt>
                <c:pt idx="17">
                  <c:v>24.108923706565665</c:v>
                </c:pt>
                <c:pt idx="18">
                  <c:v>27.690192740926726</c:v>
                </c:pt>
                <c:pt idx="19">
                  <c:v>31.307415495453061</c:v>
                </c:pt>
                <c:pt idx="20">
                  <c:v>27.776317092224975</c:v>
                </c:pt>
                <c:pt idx="21">
                  <c:v>27.517944038330235</c:v>
                </c:pt>
                <c:pt idx="22">
                  <c:v>27.087322281839008</c:v>
                </c:pt>
                <c:pt idx="23">
                  <c:v>25.537083958470578</c:v>
                </c:pt>
                <c:pt idx="24">
                  <c:v>23.678301950074435</c:v>
                </c:pt>
                <c:pt idx="25">
                  <c:v>9.0731159495378826</c:v>
                </c:pt>
                <c:pt idx="26">
                  <c:v>10.364981219011575</c:v>
                </c:pt>
                <c:pt idx="27">
                  <c:v>9.5037377060291135</c:v>
                </c:pt>
                <c:pt idx="28">
                  <c:v>10.967851678099297</c:v>
                </c:pt>
                <c:pt idx="29">
                  <c:v>27.690192740926726</c:v>
                </c:pt>
                <c:pt idx="30">
                  <c:v>27.517944038330235</c:v>
                </c:pt>
                <c:pt idx="31">
                  <c:v>27.087322281839008</c:v>
                </c:pt>
                <c:pt idx="32">
                  <c:v>22.817058437091976</c:v>
                </c:pt>
                <c:pt idx="33">
                  <c:v>22.386436680600745</c:v>
                </c:pt>
                <c:pt idx="34">
                  <c:v>22.817058437091976</c:v>
                </c:pt>
                <c:pt idx="35">
                  <c:v>23.850550652670925</c:v>
                </c:pt>
                <c:pt idx="36">
                  <c:v>22.817058437091976</c:v>
                </c:pt>
                <c:pt idx="37">
                  <c:v>13.379333514450185</c:v>
                </c:pt>
                <c:pt idx="38">
                  <c:v>12.518090001467725</c:v>
                </c:pt>
                <c:pt idx="39">
                  <c:v>14.412825730029136</c:v>
                </c:pt>
                <c:pt idx="40">
                  <c:v>14.671198783923874</c:v>
                </c:pt>
                <c:pt idx="41">
                  <c:v>12.087468244976494</c:v>
                </c:pt>
                <c:pt idx="42">
                  <c:v>12.948711757958954</c:v>
                </c:pt>
                <c:pt idx="43">
                  <c:v>12.518090001467725</c:v>
                </c:pt>
                <c:pt idx="44">
                  <c:v>21.955814924109514</c:v>
                </c:pt>
                <c:pt idx="45">
                  <c:v>29.068182361698664</c:v>
                </c:pt>
                <c:pt idx="46">
                  <c:v>22.817058437091976</c:v>
                </c:pt>
                <c:pt idx="47">
                  <c:v>23.850550652670925</c:v>
                </c:pt>
                <c:pt idx="48">
                  <c:v>27.86244144352322</c:v>
                </c:pt>
                <c:pt idx="49">
                  <c:v>27.517944038330235</c:v>
                </c:pt>
                <c:pt idx="50">
                  <c:v>29.240431064295155</c:v>
                </c:pt>
                <c:pt idx="51">
                  <c:v>28.723684956505679</c:v>
                </c:pt>
                <c:pt idx="52">
                  <c:v>29.671052820786386</c:v>
                </c:pt>
                <c:pt idx="53">
                  <c:v>29.326555415593404</c:v>
                </c:pt>
                <c:pt idx="54">
                  <c:v>30.101674577277617</c:v>
                </c:pt>
                <c:pt idx="55">
                  <c:v>29.240431064295155</c:v>
                </c:pt>
                <c:pt idx="56">
                  <c:v>27.087322281839008</c:v>
                </c:pt>
                <c:pt idx="57">
                  <c:v>28.379187551312697</c:v>
                </c:pt>
                <c:pt idx="58">
                  <c:v>30.618420685067093</c:v>
                </c:pt>
                <c:pt idx="59">
                  <c:v>27.517944038330235</c:v>
                </c:pt>
                <c:pt idx="60">
                  <c:v>27.86244144352322</c:v>
                </c:pt>
                <c:pt idx="61">
                  <c:v>13.379333514450185</c:v>
                </c:pt>
                <c:pt idx="62">
                  <c:v>12.518090001467725</c:v>
                </c:pt>
                <c:pt idx="63">
                  <c:v>14.671198783923874</c:v>
                </c:pt>
                <c:pt idx="64">
                  <c:v>14.412825730029136</c:v>
                </c:pt>
                <c:pt idx="65">
                  <c:v>14.671198783923874</c:v>
                </c:pt>
                <c:pt idx="66">
                  <c:v>9.6759864086256044</c:v>
                </c:pt>
                <c:pt idx="67">
                  <c:v>14.240577027432645</c:v>
                </c:pt>
                <c:pt idx="68">
                  <c:v>13.809955270941414</c:v>
                </c:pt>
                <c:pt idx="69">
                  <c:v>11.226224731994034</c:v>
                </c:pt>
                <c:pt idx="70">
                  <c:v>28.834894623370413</c:v>
                </c:pt>
                <c:pt idx="71">
                  <c:v>14.671198783923874</c:v>
                </c:pt>
                <c:pt idx="72">
                  <c:v>16.393685809888794</c:v>
                </c:pt>
                <c:pt idx="73">
                  <c:v>15.532442296906334</c:v>
                </c:pt>
                <c:pt idx="74">
                  <c:v>14.671198783923874</c:v>
                </c:pt>
                <c:pt idx="75">
                  <c:v>25.623208309768824</c:v>
                </c:pt>
                <c:pt idx="76">
                  <c:v>28.723684956505679</c:v>
                </c:pt>
                <c:pt idx="77">
                  <c:v>27.776317092224975</c:v>
                </c:pt>
                <c:pt idx="78">
                  <c:v>29.326555415593404</c:v>
                </c:pt>
                <c:pt idx="79">
                  <c:v>27.86244144352322</c:v>
                </c:pt>
                <c:pt idx="80">
                  <c:v>27.345695335733744</c:v>
                </c:pt>
                <c:pt idx="81">
                  <c:v>26.915073579242513</c:v>
                </c:pt>
                <c:pt idx="82">
                  <c:v>28.379187551312697</c:v>
                </c:pt>
                <c:pt idx="83">
                  <c:v>27.690192740926726</c:v>
                </c:pt>
                <c:pt idx="84">
                  <c:v>12.518090001467725</c:v>
                </c:pt>
                <c:pt idx="85">
                  <c:v>14.671198783923874</c:v>
                </c:pt>
                <c:pt idx="86">
                  <c:v>15.101820540415105</c:v>
                </c:pt>
                <c:pt idx="87">
                  <c:v>15.790815350801072</c:v>
                </c:pt>
                <c:pt idx="88">
                  <c:v>14.671198783923874</c:v>
                </c:pt>
                <c:pt idx="89">
                  <c:v>10.537229921608066</c:v>
                </c:pt>
                <c:pt idx="90">
                  <c:v>14.671198783923874</c:v>
                </c:pt>
                <c:pt idx="91">
                  <c:v>13.982203973537906</c:v>
                </c:pt>
                <c:pt idx="92">
                  <c:v>14.671198783923874</c:v>
                </c:pt>
                <c:pt idx="93">
                  <c:v>9.0731159495378826</c:v>
                </c:pt>
                <c:pt idx="94">
                  <c:v>8.2118724365554243</c:v>
                </c:pt>
                <c:pt idx="95">
                  <c:v>12.518090001467725</c:v>
                </c:pt>
                <c:pt idx="96">
                  <c:v>22.386436680600745</c:v>
                </c:pt>
                <c:pt idx="97">
                  <c:v>22.817058437091976</c:v>
                </c:pt>
                <c:pt idx="98">
                  <c:v>22.817058437091976</c:v>
                </c:pt>
                <c:pt idx="99">
                  <c:v>23.850550652670925</c:v>
                </c:pt>
                <c:pt idx="100">
                  <c:v>23.247680193583207</c:v>
                </c:pt>
                <c:pt idx="101">
                  <c:v>31.307415495453061</c:v>
                </c:pt>
                <c:pt idx="102">
                  <c:v>14.671198783923874</c:v>
                </c:pt>
                <c:pt idx="103">
                  <c:v>13.207084811853692</c:v>
                </c:pt>
                <c:pt idx="104">
                  <c:v>12.948711757958954</c:v>
                </c:pt>
                <c:pt idx="105">
                  <c:v>12.087468244976494</c:v>
                </c:pt>
                <c:pt idx="106">
                  <c:v>22.817058437091976</c:v>
                </c:pt>
                <c:pt idx="107">
                  <c:v>27.690192740926726</c:v>
                </c:pt>
                <c:pt idx="108">
                  <c:v>29.068182361698664</c:v>
                </c:pt>
                <c:pt idx="109">
                  <c:v>27.173446633137253</c:v>
                </c:pt>
                <c:pt idx="110">
                  <c:v>29.437765082458135</c:v>
                </c:pt>
                <c:pt idx="111">
                  <c:v>27.948565794821466</c:v>
                </c:pt>
                <c:pt idx="112">
                  <c:v>22.214187978004254</c:v>
                </c:pt>
                <c:pt idx="113">
                  <c:v>27.517944038330235</c:v>
                </c:pt>
                <c:pt idx="114">
                  <c:v>15.101820540415105</c:v>
                </c:pt>
                <c:pt idx="115">
                  <c:v>7.7812506800641934</c:v>
                </c:pt>
                <c:pt idx="116">
                  <c:v>31.049042441558321</c:v>
                </c:pt>
                <c:pt idx="117">
                  <c:v>28.809809307803924</c:v>
                </c:pt>
                <c:pt idx="118">
                  <c:v>27.431819687031989</c:v>
                </c:pt>
                <c:pt idx="119">
                  <c:v>25.623208309768824</c:v>
                </c:pt>
                <c:pt idx="120">
                  <c:v>14.671198783923874</c:v>
                </c:pt>
                <c:pt idx="121">
                  <c:v>25.795457012365315</c:v>
                </c:pt>
                <c:pt idx="122">
                  <c:v>20.922322708530565</c:v>
                </c:pt>
                <c:pt idx="123">
                  <c:v>12.087468244976494</c:v>
                </c:pt>
                <c:pt idx="124">
                  <c:v>23.247680193583207</c:v>
                </c:pt>
                <c:pt idx="125">
                  <c:v>22.817058437091976</c:v>
                </c:pt>
                <c:pt idx="126">
                  <c:v>22.817058437091976</c:v>
                </c:pt>
                <c:pt idx="127">
                  <c:v>29.498804118189895</c:v>
                </c:pt>
                <c:pt idx="128">
                  <c:v>28.379187551312697</c:v>
                </c:pt>
                <c:pt idx="129">
                  <c:v>29.671052820786386</c:v>
                </c:pt>
                <c:pt idx="130">
                  <c:v>28.809809307803924</c:v>
                </c:pt>
                <c:pt idx="131">
                  <c:v>22.817058437091976</c:v>
                </c:pt>
                <c:pt idx="132">
                  <c:v>21.955814924109514</c:v>
                </c:pt>
                <c:pt idx="133">
                  <c:v>22.386436680600745</c:v>
                </c:pt>
                <c:pt idx="134">
                  <c:v>15.532442296906334</c:v>
                </c:pt>
                <c:pt idx="135">
                  <c:v>14.671198783923874</c:v>
                </c:pt>
                <c:pt idx="136">
                  <c:v>14.671198783923874</c:v>
                </c:pt>
                <c:pt idx="137">
                  <c:v>15.532442296906334</c:v>
                </c:pt>
                <c:pt idx="138">
                  <c:v>14.671198783923874</c:v>
                </c:pt>
                <c:pt idx="139">
                  <c:v>28.120814497417957</c:v>
                </c:pt>
                <c:pt idx="140">
                  <c:v>29.498804118189895</c:v>
                </c:pt>
                <c:pt idx="141">
                  <c:v>28.551436253909188</c:v>
                </c:pt>
                <c:pt idx="142">
                  <c:v>30.790669387663584</c:v>
                </c:pt>
                <c:pt idx="143">
                  <c:v>30.015550225979371</c:v>
                </c:pt>
                <c:pt idx="144">
                  <c:v>28.809809307803924</c:v>
                </c:pt>
                <c:pt idx="145">
                  <c:v>28.809809307803924</c:v>
                </c:pt>
                <c:pt idx="146">
                  <c:v>28.809809307803924</c:v>
                </c:pt>
                <c:pt idx="147">
                  <c:v>26.915073579242513</c:v>
                </c:pt>
                <c:pt idx="148">
                  <c:v>27.259570984435499</c:v>
                </c:pt>
                <c:pt idx="149">
                  <c:v>29.498804118189895</c:v>
                </c:pt>
                <c:pt idx="150">
                  <c:v>23.247680193583207</c:v>
                </c:pt>
                <c:pt idx="151">
                  <c:v>22.386436680600745</c:v>
                </c:pt>
                <c:pt idx="152">
                  <c:v>25.228540273442864</c:v>
                </c:pt>
                <c:pt idx="153">
                  <c:v>25.228540273442864</c:v>
                </c:pt>
                <c:pt idx="154">
                  <c:v>12.948711757958954</c:v>
                </c:pt>
                <c:pt idx="155">
                  <c:v>15.101820540415105</c:v>
                </c:pt>
                <c:pt idx="156">
                  <c:v>14.671198783923874</c:v>
                </c:pt>
                <c:pt idx="157">
                  <c:v>14.843447486520366</c:v>
                </c:pt>
                <c:pt idx="158">
                  <c:v>21.955814924109514</c:v>
                </c:pt>
                <c:pt idx="159">
                  <c:v>22.386436680600745</c:v>
                </c:pt>
                <c:pt idx="160">
                  <c:v>21.955814924109514</c:v>
                </c:pt>
                <c:pt idx="161">
                  <c:v>23.247680193583207</c:v>
                </c:pt>
                <c:pt idx="162">
                  <c:v>21.955814924109514</c:v>
                </c:pt>
                <c:pt idx="163">
                  <c:v>18.116172835853714</c:v>
                </c:pt>
                <c:pt idx="164">
                  <c:v>16.479810161187039</c:v>
                </c:pt>
                <c:pt idx="165">
                  <c:v>28.809809307803924</c:v>
                </c:pt>
                <c:pt idx="166">
                  <c:v>28.120814497417957</c:v>
                </c:pt>
                <c:pt idx="167">
                  <c:v>22.817058437091976</c:v>
                </c:pt>
                <c:pt idx="168">
                  <c:v>28.551436253909188</c:v>
                </c:pt>
                <c:pt idx="169">
                  <c:v>27.001197930540762</c:v>
                </c:pt>
                <c:pt idx="170">
                  <c:v>29.15430671299691</c:v>
                </c:pt>
                <c:pt idx="171">
                  <c:v>26.915073579242513</c:v>
                </c:pt>
                <c:pt idx="172">
                  <c:v>23.075431490986713</c:v>
                </c:pt>
                <c:pt idx="173">
                  <c:v>29.240431064295155</c:v>
                </c:pt>
                <c:pt idx="174">
                  <c:v>23.678301950074435</c:v>
                </c:pt>
                <c:pt idx="175">
                  <c:v>27.087322281839008</c:v>
                </c:pt>
                <c:pt idx="176">
                  <c:v>27.690192740926726</c:v>
                </c:pt>
                <c:pt idx="177">
                  <c:v>26.828949227944268</c:v>
                </c:pt>
                <c:pt idx="178">
                  <c:v>25.364835255874084</c:v>
                </c:pt>
                <c:pt idx="179">
                  <c:v>30.704545036365339</c:v>
                </c:pt>
                <c:pt idx="180">
                  <c:v>27.86244144352322</c:v>
                </c:pt>
                <c:pt idx="181">
                  <c:v>28.293063200014451</c:v>
                </c:pt>
                <c:pt idx="182">
                  <c:v>27.345695335733744</c:v>
                </c:pt>
                <c:pt idx="183">
                  <c:v>28.465311902610942</c:v>
                </c:pt>
                <c:pt idx="184">
                  <c:v>28.120814497417957</c:v>
                </c:pt>
                <c:pt idx="185">
                  <c:v>15.532442296906334</c:v>
                </c:pt>
                <c:pt idx="186">
                  <c:v>14.671198783923874</c:v>
                </c:pt>
                <c:pt idx="187">
                  <c:v>17.254929322871256</c:v>
                </c:pt>
                <c:pt idx="188">
                  <c:v>14.498950081327383</c:v>
                </c:pt>
                <c:pt idx="189">
                  <c:v>22.817058437091976</c:v>
                </c:pt>
                <c:pt idx="190">
                  <c:v>22.386436680600745</c:v>
                </c:pt>
                <c:pt idx="191">
                  <c:v>24.453421111758651</c:v>
                </c:pt>
                <c:pt idx="192">
                  <c:v>23.678301950074435</c:v>
                </c:pt>
                <c:pt idx="193">
                  <c:v>30.790669387663584</c:v>
                </c:pt>
                <c:pt idx="194">
                  <c:v>30.101674577277617</c:v>
                </c:pt>
                <c:pt idx="195">
                  <c:v>29.240431064295155</c:v>
                </c:pt>
                <c:pt idx="196">
                  <c:v>30.704545036365339</c:v>
                </c:pt>
                <c:pt idx="197">
                  <c:v>22.817058437091976</c:v>
                </c:pt>
                <c:pt idx="198">
                  <c:v>24.711794165653387</c:v>
                </c:pt>
                <c:pt idx="199">
                  <c:v>21.955814924109514</c:v>
                </c:pt>
                <c:pt idx="200">
                  <c:v>23.247680193583207</c:v>
                </c:pt>
                <c:pt idx="201">
                  <c:v>29.15430671299691</c:v>
                </c:pt>
                <c:pt idx="202">
                  <c:v>29.240431064295155</c:v>
                </c:pt>
                <c:pt idx="203">
                  <c:v>28.809809307803924</c:v>
                </c:pt>
                <c:pt idx="204">
                  <c:v>29.068182361698664</c:v>
                </c:pt>
                <c:pt idx="205">
                  <c:v>26.484451822751282</c:v>
                </c:pt>
                <c:pt idx="206">
                  <c:v>14.671198783923874</c:v>
                </c:pt>
                <c:pt idx="207">
                  <c:v>27.690192740926726</c:v>
                </c:pt>
                <c:pt idx="208">
                  <c:v>22.128063626706009</c:v>
                </c:pt>
                <c:pt idx="209">
                  <c:v>21.094571411127056</c:v>
                </c:pt>
                <c:pt idx="210">
                  <c:v>12.087468244976494</c:v>
                </c:pt>
                <c:pt idx="211">
                  <c:v>15.101820540415105</c:v>
                </c:pt>
                <c:pt idx="212">
                  <c:v>16.393685809888794</c:v>
                </c:pt>
                <c:pt idx="213">
                  <c:v>14.671198783923874</c:v>
                </c:pt>
                <c:pt idx="214">
                  <c:v>29.41267976689165</c:v>
                </c:pt>
                <c:pt idx="215">
                  <c:v>28.379187551312697</c:v>
                </c:pt>
                <c:pt idx="216">
                  <c:v>30.273923279874108</c:v>
                </c:pt>
                <c:pt idx="217">
                  <c:v>27.001197930540762</c:v>
                </c:pt>
                <c:pt idx="218">
                  <c:v>29.240431064295155</c:v>
                </c:pt>
                <c:pt idx="219">
                  <c:v>15.101820540415105</c:v>
                </c:pt>
                <c:pt idx="220">
                  <c:v>18.116172835853714</c:v>
                </c:pt>
                <c:pt idx="221">
                  <c:v>15.101820540415105</c:v>
                </c:pt>
                <c:pt idx="222">
                  <c:v>16.393685809888794</c:v>
                </c:pt>
                <c:pt idx="223">
                  <c:v>21.955814924109514</c:v>
                </c:pt>
                <c:pt idx="224">
                  <c:v>22.386436680600745</c:v>
                </c:pt>
                <c:pt idx="225">
                  <c:v>22.817058437091976</c:v>
                </c:pt>
                <c:pt idx="226">
                  <c:v>22.989307139688467</c:v>
                </c:pt>
                <c:pt idx="227">
                  <c:v>12.087468244976494</c:v>
                </c:pt>
                <c:pt idx="228">
                  <c:v>12.948711757958954</c:v>
                </c:pt>
                <c:pt idx="229">
                  <c:v>11.226224731994034</c:v>
                </c:pt>
                <c:pt idx="230">
                  <c:v>14.757323135222121</c:v>
                </c:pt>
                <c:pt idx="231">
                  <c:v>28.551436253909188</c:v>
                </c:pt>
                <c:pt idx="232">
                  <c:v>27.690192740926726</c:v>
                </c:pt>
                <c:pt idx="233">
                  <c:v>28.809809307803924</c:v>
                </c:pt>
                <c:pt idx="234">
                  <c:v>27.60406838962848</c:v>
                </c:pt>
                <c:pt idx="235">
                  <c:v>29.843301523382877</c:v>
                </c:pt>
                <c:pt idx="236">
                  <c:v>28.120814497417957</c:v>
                </c:pt>
                <c:pt idx="237">
                  <c:v>29.498804118189895</c:v>
                </c:pt>
                <c:pt idx="238">
                  <c:v>28.551436253909188</c:v>
                </c:pt>
                <c:pt idx="239">
                  <c:v>23.075431490986713</c:v>
                </c:pt>
                <c:pt idx="240">
                  <c:v>25.795457012365315</c:v>
                </c:pt>
                <c:pt idx="241">
                  <c:v>27.715278056493215</c:v>
                </c:pt>
                <c:pt idx="242">
                  <c:v>31.13516679285657</c:v>
                </c:pt>
                <c:pt idx="243">
                  <c:v>29.58492846948814</c:v>
                </c:pt>
                <c:pt idx="244">
                  <c:v>30.790669387663584</c:v>
                </c:pt>
                <c:pt idx="245">
                  <c:v>29.240431064295155</c:v>
                </c:pt>
                <c:pt idx="246">
                  <c:v>30.101674577277617</c:v>
                </c:pt>
                <c:pt idx="247">
                  <c:v>18.116172835853714</c:v>
                </c:pt>
                <c:pt idx="248">
                  <c:v>15.532442296906334</c:v>
                </c:pt>
                <c:pt idx="249">
                  <c:v>15.618566648204581</c:v>
                </c:pt>
                <c:pt idx="250">
                  <c:v>22.386436680600745</c:v>
                </c:pt>
                <c:pt idx="251">
                  <c:v>23.247680193583207</c:v>
                </c:pt>
                <c:pt idx="252">
                  <c:v>24.108923706565665</c:v>
                </c:pt>
                <c:pt idx="253">
                  <c:v>27.690192740926726</c:v>
                </c:pt>
                <c:pt idx="254">
                  <c:v>22.817058437091976</c:v>
                </c:pt>
                <c:pt idx="255">
                  <c:v>23.678301950074435</c:v>
                </c:pt>
                <c:pt idx="256">
                  <c:v>22.386436680600745</c:v>
                </c:pt>
                <c:pt idx="257">
                  <c:v>24.108923706565665</c:v>
                </c:pt>
                <c:pt idx="258">
                  <c:v>21.955814924109514</c:v>
                </c:pt>
                <c:pt idx="259">
                  <c:v>21.094571411127056</c:v>
                </c:pt>
                <c:pt idx="260">
                  <c:v>15.101820540415105</c:v>
                </c:pt>
                <c:pt idx="261">
                  <c:v>17.218975602705985</c:v>
                </c:pt>
                <c:pt idx="262">
                  <c:v>15.618566648204581</c:v>
                </c:pt>
                <c:pt idx="263">
                  <c:v>15.532442296906334</c:v>
                </c:pt>
                <c:pt idx="264">
                  <c:v>29.41267976689165</c:v>
                </c:pt>
                <c:pt idx="265">
                  <c:v>27.087322281839008</c:v>
                </c:pt>
                <c:pt idx="266">
                  <c:v>26.915073579242513</c:v>
                </c:pt>
                <c:pt idx="267">
                  <c:v>28.809809307803924</c:v>
                </c:pt>
                <c:pt idx="268">
                  <c:v>27.087322281839008</c:v>
                </c:pt>
                <c:pt idx="269">
                  <c:v>26.226078768856546</c:v>
                </c:pt>
                <c:pt idx="270">
                  <c:v>27.948565794821466</c:v>
                </c:pt>
                <c:pt idx="271">
                  <c:v>26.915073579242513</c:v>
                </c:pt>
                <c:pt idx="272">
                  <c:v>24.478506427325136</c:v>
                </c:pt>
                <c:pt idx="273">
                  <c:v>20.663949654635825</c:v>
                </c:pt>
                <c:pt idx="274">
                  <c:v>25.364835255874084</c:v>
                </c:pt>
                <c:pt idx="275">
                  <c:v>19.974954844249858</c:v>
                </c:pt>
                <c:pt idx="276">
                  <c:v>29.15430671299691</c:v>
                </c:pt>
                <c:pt idx="277">
                  <c:v>29.41267976689165</c:v>
                </c:pt>
                <c:pt idx="278">
                  <c:v>21.525193167618283</c:v>
                </c:pt>
                <c:pt idx="279">
                  <c:v>24.108923706565665</c:v>
                </c:pt>
                <c:pt idx="280">
                  <c:v>27.690192740926726</c:v>
                </c:pt>
                <c:pt idx="281">
                  <c:v>23.678301950074435</c:v>
                </c:pt>
                <c:pt idx="282">
                  <c:v>21.955814924109514</c:v>
                </c:pt>
                <c:pt idx="283">
                  <c:v>16.393685809888794</c:v>
                </c:pt>
                <c:pt idx="284">
                  <c:v>16.479810161187039</c:v>
                </c:pt>
                <c:pt idx="285">
                  <c:v>15.704690999502827</c:v>
                </c:pt>
                <c:pt idx="286">
                  <c:v>15.963064053397565</c:v>
                </c:pt>
                <c:pt idx="287">
                  <c:v>14.240577027432645</c:v>
                </c:pt>
                <c:pt idx="288">
                  <c:v>15.360193594309843</c:v>
                </c:pt>
                <c:pt idx="289">
                  <c:v>16.824307566380025</c:v>
                </c:pt>
                <c:pt idx="290">
                  <c:v>14.671198783923874</c:v>
                </c:pt>
                <c:pt idx="291">
                  <c:v>29.15430671299691</c:v>
                </c:pt>
                <c:pt idx="292">
                  <c:v>29.671052820786386</c:v>
                </c:pt>
                <c:pt idx="293">
                  <c:v>28.379187551312697</c:v>
                </c:pt>
                <c:pt idx="294">
                  <c:v>28.379187551312697</c:v>
                </c:pt>
                <c:pt idx="295">
                  <c:v>26.717739561079533</c:v>
                </c:pt>
                <c:pt idx="296">
                  <c:v>16.824307566380025</c:v>
                </c:pt>
                <c:pt idx="297">
                  <c:v>29.15430671299691</c:v>
                </c:pt>
                <c:pt idx="298">
                  <c:v>19.838659861818634</c:v>
                </c:pt>
                <c:pt idx="299">
                  <c:v>29.240431064295155</c:v>
                </c:pt>
                <c:pt idx="300">
                  <c:v>29.240431064295155</c:v>
                </c:pt>
                <c:pt idx="301">
                  <c:v>29.671052820786386</c:v>
                </c:pt>
                <c:pt idx="302">
                  <c:v>29.326555415593404</c:v>
                </c:pt>
                <c:pt idx="303">
                  <c:v>27.517944038330235</c:v>
                </c:pt>
                <c:pt idx="304">
                  <c:v>21.525193167618283</c:v>
                </c:pt>
                <c:pt idx="305">
                  <c:v>21.525193167618283</c:v>
                </c:pt>
                <c:pt idx="306">
                  <c:v>27.517944038330235</c:v>
                </c:pt>
                <c:pt idx="307">
                  <c:v>28.723684956505679</c:v>
                </c:pt>
                <c:pt idx="308">
                  <c:v>30.101674577277617</c:v>
                </c:pt>
                <c:pt idx="309">
                  <c:v>29.240431064295155</c:v>
                </c:pt>
                <c:pt idx="310">
                  <c:v>29.671052820786386</c:v>
                </c:pt>
                <c:pt idx="311">
                  <c:v>27.517944038330235</c:v>
                </c:pt>
                <c:pt idx="312">
                  <c:v>27.690192740926726</c:v>
                </c:pt>
                <c:pt idx="313">
                  <c:v>27.517944038330235</c:v>
                </c:pt>
                <c:pt idx="314">
                  <c:v>23.678301950074435</c:v>
                </c:pt>
                <c:pt idx="315">
                  <c:v>28.551436253909188</c:v>
                </c:pt>
                <c:pt idx="316">
                  <c:v>27.517944038330235</c:v>
                </c:pt>
                <c:pt idx="317">
                  <c:v>28.809809307803924</c:v>
                </c:pt>
                <c:pt idx="318">
                  <c:v>27.345695335733744</c:v>
                </c:pt>
                <c:pt idx="319">
                  <c:v>28.809809307803924</c:v>
                </c:pt>
                <c:pt idx="320">
                  <c:v>29.671052820786386</c:v>
                </c:pt>
                <c:pt idx="321">
                  <c:v>26.226078768856546</c:v>
                </c:pt>
                <c:pt idx="322">
                  <c:v>29.671052820786386</c:v>
                </c:pt>
                <c:pt idx="323">
                  <c:v>31.13516679285657</c:v>
                </c:pt>
                <c:pt idx="324">
                  <c:v>31.13516679285657</c:v>
                </c:pt>
                <c:pt idx="325">
                  <c:v>27.578983074061995</c:v>
                </c:pt>
                <c:pt idx="326">
                  <c:v>29.498804118189895</c:v>
                </c:pt>
                <c:pt idx="327">
                  <c:v>29.498804118189895</c:v>
                </c:pt>
                <c:pt idx="328">
                  <c:v>29.498804118189895</c:v>
                </c:pt>
                <c:pt idx="329">
                  <c:v>29.929425874681122</c:v>
                </c:pt>
                <c:pt idx="330">
                  <c:v>20.061079195548103</c:v>
                </c:pt>
                <c:pt idx="331">
                  <c:v>28.576521569475677</c:v>
                </c:pt>
                <c:pt idx="332">
                  <c:v>27.690192740926726</c:v>
                </c:pt>
                <c:pt idx="333">
                  <c:v>29.068182361698664</c:v>
                </c:pt>
                <c:pt idx="334">
                  <c:v>28.034690146119711</c:v>
                </c:pt>
                <c:pt idx="335">
                  <c:v>28.034690146119711</c:v>
                </c:pt>
                <c:pt idx="336">
                  <c:v>27.345695335733744</c:v>
                </c:pt>
                <c:pt idx="337">
                  <c:v>21.955814924109514</c:v>
                </c:pt>
                <c:pt idx="338">
                  <c:v>28.034690146119711</c:v>
                </c:pt>
                <c:pt idx="339">
                  <c:v>30.273923279874108</c:v>
                </c:pt>
                <c:pt idx="340">
                  <c:v>29.757177172084631</c:v>
                </c:pt>
                <c:pt idx="341">
                  <c:v>30.101674577277617</c:v>
                </c:pt>
                <c:pt idx="342">
                  <c:v>29.498804118189895</c:v>
                </c:pt>
                <c:pt idx="343">
                  <c:v>29.671052820786386</c:v>
                </c:pt>
                <c:pt idx="344">
                  <c:v>29.929425874681122</c:v>
                </c:pt>
                <c:pt idx="345">
                  <c:v>29.41267976689165</c:v>
                </c:pt>
                <c:pt idx="346">
                  <c:v>29.843301523382877</c:v>
                </c:pt>
                <c:pt idx="347">
                  <c:v>29.671052820786386</c:v>
                </c:pt>
                <c:pt idx="348">
                  <c:v>29.671052820786386</c:v>
                </c:pt>
                <c:pt idx="349">
                  <c:v>28.895933659102173</c:v>
                </c:pt>
                <c:pt idx="350">
                  <c:v>28.809809307803924</c:v>
                </c:pt>
                <c:pt idx="351">
                  <c:v>28.809809307803924</c:v>
                </c:pt>
                <c:pt idx="352">
                  <c:v>26.656700525347777</c:v>
                </c:pt>
                <c:pt idx="353">
                  <c:v>28.895933659102173</c:v>
                </c:pt>
                <c:pt idx="354">
                  <c:v>28.379187551312697</c:v>
                </c:pt>
                <c:pt idx="355">
                  <c:v>24.884042868249878</c:v>
                </c:pt>
                <c:pt idx="356">
                  <c:v>21.439068816320038</c:v>
                </c:pt>
                <c:pt idx="357">
                  <c:v>21.094571411127056</c:v>
                </c:pt>
                <c:pt idx="358">
                  <c:v>21.955814924109514</c:v>
                </c:pt>
                <c:pt idx="359">
                  <c:v>18.546794592344945</c:v>
                </c:pt>
                <c:pt idx="360">
                  <c:v>23.850550652670925</c:v>
                </c:pt>
                <c:pt idx="361">
                  <c:v>24.108923706565665</c:v>
                </c:pt>
                <c:pt idx="362">
                  <c:v>27.690192740926726</c:v>
                </c:pt>
                <c:pt idx="363">
                  <c:v>27.690192740926726</c:v>
                </c:pt>
                <c:pt idx="364">
                  <c:v>27.690192740926726</c:v>
                </c:pt>
                <c:pt idx="365">
                  <c:v>27.948565794821466</c:v>
                </c:pt>
                <c:pt idx="366">
                  <c:v>28.034690146119711</c:v>
                </c:pt>
                <c:pt idx="367">
                  <c:v>27.517944038330235</c:v>
                </c:pt>
                <c:pt idx="368">
                  <c:v>27.345695335733744</c:v>
                </c:pt>
                <c:pt idx="369">
                  <c:v>28.895933659102173</c:v>
                </c:pt>
                <c:pt idx="370">
                  <c:v>29.41267976689165</c:v>
                </c:pt>
                <c:pt idx="371">
                  <c:v>29.41267976689165</c:v>
                </c:pt>
                <c:pt idx="372">
                  <c:v>29.843301523382877</c:v>
                </c:pt>
                <c:pt idx="373">
                  <c:v>29.240431064295155</c:v>
                </c:pt>
                <c:pt idx="374">
                  <c:v>27.690192740926726</c:v>
                </c:pt>
                <c:pt idx="375">
                  <c:v>28.809809307803924</c:v>
                </c:pt>
                <c:pt idx="376">
                  <c:v>29.240431064295155</c:v>
                </c:pt>
                <c:pt idx="377">
                  <c:v>29.498804118189895</c:v>
                </c:pt>
                <c:pt idx="378">
                  <c:v>29.498804118189895</c:v>
                </c:pt>
                <c:pt idx="379">
                  <c:v>29.498804118189895</c:v>
                </c:pt>
                <c:pt idx="380">
                  <c:v>21.955814924109514</c:v>
                </c:pt>
                <c:pt idx="381">
                  <c:v>24.108923706565665</c:v>
                </c:pt>
                <c:pt idx="382">
                  <c:v>27.345695335733744</c:v>
                </c:pt>
                <c:pt idx="383">
                  <c:v>21.783566221513023</c:v>
                </c:pt>
                <c:pt idx="384">
                  <c:v>27.001197930540762</c:v>
                </c:pt>
                <c:pt idx="385">
                  <c:v>28.034690146119711</c:v>
                </c:pt>
                <c:pt idx="386">
                  <c:v>27.517944038330235</c:v>
                </c:pt>
                <c:pt idx="387">
                  <c:v>27.86244144352322</c:v>
                </c:pt>
                <c:pt idx="388">
                  <c:v>30.790669387663584</c:v>
                </c:pt>
                <c:pt idx="389">
                  <c:v>28.034690146119711</c:v>
                </c:pt>
                <c:pt idx="390">
                  <c:v>28.465311902610942</c:v>
                </c:pt>
                <c:pt idx="391">
                  <c:v>28.206938848716206</c:v>
                </c:pt>
              </c:numCache>
            </c:numRef>
          </c:xVal>
          <c:yVal>
            <c:numRef>
              <c:f>Regression!RegChartScaleLoc</c:f>
              <c:numCache>
                <c:formatCode>0.0000</c:formatCode>
                <c:ptCount val="392"/>
                <c:pt idx="0">
                  <c:v>0.59365945338987802</c:v>
                </c:pt>
                <c:pt idx="1">
                  <c:v>0.59598769106904526</c:v>
                </c:pt>
                <c:pt idx="2">
                  <c:v>0.85396001514559172</c:v>
                </c:pt>
                <c:pt idx="3">
                  <c:v>0.53953995823142553</c:v>
                </c:pt>
                <c:pt idx="4">
                  <c:v>0.56713958206884318</c:v>
                </c:pt>
                <c:pt idx="5">
                  <c:v>0.99185565555820121</c:v>
                </c:pt>
                <c:pt idx="6">
                  <c:v>1.0908931040724048</c:v>
                </c:pt>
                <c:pt idx="7">
                  <c:v>1.04508571206706</c:v>
                </c:pt>
                <c:pt idx="8">
                  <c:v>1.1351166925075977</c:v>
                </c:pt>
                <c:pt idx="9">
                  <c:v>0.91116426887308377</c:v>
                </c:pt>
                <c:pt idx="10">
                  <c:v>0.67065862898558748</c:v>
                </c:pt>
                <c:pt idx="11">
                  <c:v>0.20405790181375258</c:v>
                </c:pt>
                <c:pt idx="12">
                  <c:v>0.26838628142813664</c:v>
                </c:pt>
                <c:pt idx="13">
                  <c:v>1.1351166925075977</c:v>
                </c:pt>
                <c:pt idx="14">
                  <c:v>0.82204994681682786</c:v>
                </c:pt>
                <c:pt idx="15">
                  <c:v>0.52239866055443818</c:v>
                </c:pt>
                <c:pt idx="16">
                  <c:v>1.053510093469836</c:v>
                </c:pt>
                <c:pt idx="17">
                  <c:v>0.82523013592117567</c:v>
                </c:pt>
                <c:pt idx="18">
                  <c:v>0.38855752788512865</c:v>
                </c:pt>
                <c:pt idx="19">
                  <c:v>1.0787749637936557</c:v>
                </c:pt>
                <c:pt idx="20">
                  <c:v>0.77927421287801446</c:v>
                </c:pt>
                <c:pt idx="21">
                  <c:v>0.87729819200905312</c:v>
                </c:pt>
                <c:pt idx="22">
                  <c:v>0.67593039564299484</c:v>
                </c:pt>
                <c:pt idx="23">
                  <c:v>0.31879122977332708</c:v>
                </c:pt>
                <c:pt idx="24">
                  <c:v>0.76563818425257224</c:v>
                </c:pt>
                <c:pt idx="25">
                  <c:v>0.45329240660305625</c:v>
                </c:pt>
                <c:pt idx="26">
                  <c:v>0.2837294261113309</c:v>
                </c:pt>
                <c:pt idx="27">
                  <c:v>0.57539954886825906</c:v>
                </c:pt>
                <c:pt idx="28">
                  <c:v>0.65820143933838771</c:v>
                </c:pt>
                <c:pt idx="29">
                  <c:v>0.38855752788512865</c:v>
                </c:pt>
                <c:pt idx="30">
                  <c:v>0.32475175006230339</c:v>
                </c:pt>
                <c:pt idx="31">
                  <c:v>0.67593039564299484</c:v>
                </c:pt>
                <c:pt idx="32">
                  <c:v>0.91349067207047685</c:v>
                </c:pt>
                <c:pt idx="33">
                  <c:v>1.1813835420483536</c:v>
                </c:pt>
                <c:pt idx="34">
                  <c:v>1.1276944055594089</c:v>
                </c:pt>
                <c:pt idx="35">
                  <c:v>1.0305187132819582</c:v>
                </c:pt>
                <c:pt idx="36">
                  <c:v>1.0261968330417317</c:v>
                </c:pt>
                <c:pt idx="37">
                  <c:v>0.36882437260426421</c:v>
                </c:pt>
                <c:pt idx="38">
                  <c:v>0.57020316701479945</c:v>
                </c:pt>
                <c:pt idx="39">
                  <c:v>0.30072728833846085</c:v>
                </c:pt>
                <c:pt idx="40">
                  <c:v>0.38345922131397814</c:v>
                </c:pt>
                <c:pt idx="41">
                  <c:v>0.13858218617449644</c:v>
                </c:pt>
                <c:pt idx="42">
                  <c:v>0.10604668037517649</c:v>
                </c:pt>
                <c:pt idx="43">
                  <c:v>0.32516341759692613</c:v>
                </c:pt>
                <c:pt idx="44">
                  <c:v>0.92968114208456443</c:v>
                </c:pt>
                <c:pt idx="45">
                  <c:v>1.2432271548459086</c:v>
                </c:pt>
                <c:pt idx="46">
                  <c:v>0.91349067207047685</c:v>
                </c:pt>
                <c:pt idx="47">
                  <c:v>1.1317714450980563</c:v>
                </c:pt>
                <c:pt idx="48">
                  <c:v>1.0312641146941091</c:v>
                </c:pt>
                <c:pt idx="49">
                  <c:v>0.32475175006230339</c:v>
                </c:pt>
                <c:pt idx="50">
                  <c:v>0.40756271786665488</c:v>
                </c:pt>
                <c:pt idx="51">
                  <c:v>0.52827821482484927</c:v>
                </c:pt>
                <c:pt idx="52">
                  <c:v>0.53916674799468867</c:v>
                </c:pt>
                <c:pt idx="53">
                  <c:v>1.1138926358068491</c:v>
                </c:pt>
                <c:pt idx="54">
                  <c:v>0.82386936045274417</c:v>
                </c:pt>
                <c:pt idx="55">
                  <c:v>0.84180644346524547</c:v>
                </c:pt>
                <c:pt idx="56">
                  <c:v>0.82204994681682786</c:v>
                </c:pt>
                <c:pt idx="57">
                  <c:v>0.85960289268273016</c:v>
                </c:pt>
                <c:pt idx="58">
                  <c:v>1.2916506534543883</c:v>
                </c:pt>
                <c:pt idx="59">
                  <c:v>1.2824850621247936</c:v>
                </c:pt>
                <c:pt idx="60">
                  <c:v>1.2251296183956943</c:v>
                </c:pt>
                <c:pt idx="61">
                  <c:v>0.28833746244973696</c:v>
                </c:pt>
                <c:pt idx="62">
                  <c:v>0.57020316701479945</c:v>
                </c:pt>
                <c:pt idx="63">
                  <c:v>0.26838628142813664</c:v>
                </c:pt>
                <c:pt idx="64">
                  <c:v>0.30072728833846085</c:v>
                </c:pt>
                <c:pt idx="65">
                  <c:v>0.71426573276191396</c:v>
                </c:pt>
                <c:pt idx="66">
                  <c:v>0.54108010212858415</c:v>
                </c:pt>
                <c:pt idx="67">
                  <c:v>0.52132084806987722</c:v>
                </c:pt>
                <c:pt idx="68">
                  <c:v>0.62973730837728048</c:v>
                </c:pt>
                <c:pt idx="69">
                  <c:v>0.62468051727684515</c:v>
                </c:pt>
                <c:pt idx="70">
                  <c:v>1.471205386812297</c:v>
                </c:pt>
                <c:pt idx="71">
                  <c:v>0.26838628142813664</c:v>
                </c:pt>
                <c:pt idx="72">
                  <c:v>0.86289500728921853</c:v>
                </c:pt>
                <c:pt idx="73">
                  <c:v>0.74501007332666247</c:v>
                </c:pt>
                <c:pt idx="74">
                  <c:v>0.38345922131397814</c:v>
                </c:pt>
                <c:pt idx="75">
                  <c:v>1.2935311617336984</c:v>
                </c:pt>
                <c:pt idx="76">
                  <c:v>1.2125158810656269</c:v>
                </c:pt>
                <c:pt idx="77">
                  <c:v>1.2174541989214844</c:v>
                </c:pt>
                <c:pt idx="78">
                  <c:v>0.85293768953757731</c:v>
                </c:pt>
                <c:pt idx="79">
                  <c:v>1.1323533583043333</c:v>
                </c:pt>
                <c:pt idx="80">
                  <c:v>0.37838214797831143</c:v>
                </c:pt>
                <c:pt idx="81">
                  <c:v>0.92582334059987237</c:v>
                </c:pt>
                <c:pt idx="82">
                  <c:v>0.28795110901207577</c:v>
                </c:pt>
                <c:pt idx="83">
                  <c:v>0.38855752788512865</c:v>
                </c:pt>
                <c:pt idx="84">
                  <c:v>0.32516341759692613</c:v>
                </c:pt>
                <c:pt idx="85">
                  <c:v>0.38345922131397814</c:v>
                </c:pt>
                <c:pt idx="86">
                  <c:v>0.67861656761038391</c:v>
                </c:pt>
                <c:pt idx="87">
                  <c:v>0.62657478972735114</c:v>
                </c:pt>
                <c:pt idx="88">
                  <c:v>0.26838628142813664</c:v>
                </c:pt>
                <c:pt idx="89">
                  <c:v>0.56785081279767713</c:v>
                </c:pt>
                <c:pt idx="90">
                  <c:v>0.60507284262332239</c:v>
                </c:pt>
                <c:pt idx="91">
                  <c:v>0.46388413002131684</c:v>
                </c:pt>
                <c:pt idx="92">
                  <c:v>0.38345922131397814</c:v>
                </c:pt>
                <c:pt idx="93">
                  <c:v>0.93301747606678476</c:v>
                </c:pt>
                <c:pt idx="94">
                  <c:v>0.91829825899331208</c:v>
                </c:pt>
                <c:pt idx="95">
                  <c:v>0.32516341759692613</c:v>
                </c:pt>
                <c:pt idx="96">
                  <c:v>0.97907856655749592</c:v>
                </c:pt>
                <c:pt idx="97">
                  <c:v>1.2207822920222495</c:v>
                </c:pt>
                <c:pt idx="98">
                  <c:v>1.0261968330417317</c:v>
                </c:pt>
                <c:pt idx="99">
                  <c:v>1.1317714450980563</c:v>
                </c:pt>
                <c:pt idx="100">
                  <c:v>0.23275341058009405</c:v>
                </c:pt>
                <c:pt idx="101">
                  <c:v>1.0787749637936557</c:v>
                </c:pt>
                <c:pt idx="102">
                  <c:v>0.89680403980990109</c:v>
                </c:pt>
                <c:pt idx="103">
                  <c:v>0.51439235634281444</c:v>
                </c:pt>
                <c:pt idx="104">
                  <c:v>0.10604668037517649</c:v>
                </c:pt>
                <c:pt idx="105">
                  <c:v>0.13858218617449644</c:v>
                </c:pt>
                <c:pt idx="106">
                  <c:v>1.0261968330417317</c:v>
                </c:pt>
                <c:pt idx="107">
                  <c:v>1.2969963266877622</c:v>
                </c:pt>
                <c:pt idx="108">
                  <c:v>1.3282641999018674</c:v>
                </c:pt>
                <c:pt idx="109">
                  <c:v>1.0640785858914257</c:v>
                </c:pt>
                <c:pt idx="110">
                  <c:v>1.5853563890748326</c:v>
                </c:pt>
                <c:pt idx="111">
                  <c:v>1.3989676645216926</c:v>
                </c:pt>
                <c:pt idx="112">
                  <c:v>0.51508920234424072</c:v>
                </c:pt>
                <c:pt idx="113">
                  <c:v>0.57627615712166369</c:v>
                </c:pt>
                <c:pt idx="114">
                  <c:v>0.14936345162174378</c:v>
                </c:pt>
                <c:pt idx="115">
                  <c:v>1.3541938532066879</c:v>
                </c:pt>
                <c:pt idx="116">
                  <c:v>0.6701177705202821</c:v>
                </c:pt>
                <c:pt idx="117">
                  <c:v>1.0255313689040468</c:v>
                </c:pt>
                <c:pt idx="118">
                  <c:v>1.2751715936388788</c:v>
                </c:pt>
                <c:pt idx="119">
                  <c:v>1.205708184824084</c:v>
                </c:pt>
                <c:pt idx="120">
                  <c:v>0.26838628142813664</c:v>
                </c:pt>
                <c:pt idx="121">
                  <c:v>0.62763189204729097</c:v>
                </c:pt>
                <c:pt idx="122">
                  <c:v>0.44893209637393644</c:v>
                </c:pt>
                <c:pt idx="123">
                  <c:v>0.48864166351578509</c:v>
                </c:pt>
                <c:pt idx="124">
                  <c:v>0.84282428855241331</c:v>
                </c:pt>
                <c:pt idx="125">
                  <c:v>0.91349067207047685</c:v>
                </c:pt>
                <c:pt idx="126">
                  <c:v>1.3072582517238915</c:v>
                </c:pt>
                <c:pt idx="127">
                  <c:v>0.5730079636898483</c:v>
                </c:pt>
                <c:pt idx="128">
                  <c:v>0.72128360289101234</c:v>
                </c:pt>
                <c:pt idx="129">
                  <c:v>0.71375482925553246</c:v>
                </c:pt>
                <c:pt idx="130">
                  <c:v>0.91271804967648551</c:v>
                </c:pt>
                <c:pt idx="131">
                  <c:v>1.2207822920222495</c:v>
                </c:pt>
                <c:pt idx="132">
                  <c:v>1.1407399104315683</c:v>
                </c:pt>
                <c:pt idx="133">
                  <c:v>0.97907856655749592</c:v>
                </c:pt>
                <c:pt idx="134">
                  <c:v>0.32011791081157398</c:v>
                </c:pt>
                <c:pt idx="135">
                  <c:v>0.60507284262332239</c:v>
                </c:pt>
                <c:pt idx="136">
                  <c:v>0.38345922131397814</c:v>
                </c:pt>
                <c:pt idx="137">
                  <c:v>0.57954135368526005</c:v>
                </c:pt>
                <c:pt idx="138">
                  <c:v>0.38345922131397814</c:v>
                </c:pt>
                <c:pt idx="139">
                  <c:v>0.43848184453940625</c:v>
                </c:pt>
                <c:pt idx="140">
                  <c:v>0.87478593188032772</c:v>
                </c:pt>
                <c:pt idx="141">
                  <c:v>0.74692586276719597</c:v>
                </c:pt>
                <c:pt idx="142">
                  <c:v>0.2141362750668126</c:v>
                </c:pt>
                <c:pt idx="143">
                  <c:v>0.65896064935014231</c:v>
                </c:pt>
                <c:pt idx="144">
                  <c:v>0.42080064995478023</c:v>
                </c:pt>
                <c:pt idx="145">
                  <c:v>1.0255313689040468</c:v>
                </c:pt>
                <c:pt idx="146">
                  <c:v>0.78383281878490318</c:v>
                </c:pt>
                <c:pt idx="147">
                  <c:v>0.79888252575522145</c:v>
                </c:pt>
                <c:pt idx="148">
                  <c:v>0.52501636816721053</c:v>
                </c:pt>
                <c:pt idx="149">
                  <c:v>0.5730079636898483</c:v>
                </c:pt>
                <c:pt idx="150">
                  <c:v>0.96388743730079141</c:v>
                </c:pt>
                <c:pt idx="151">
                  <c:v>0.97907856655749592</c:v>
                </c:pt>
                <c:pt idx="152">
                  <c:v>1.4989596928901177</c:v>
                </c:pt>
                <c:pt idx="153">
                  <c:v>1.4989596928901177</c:v>
                </c:pt>
                <c:pt idx="154">
                  <c:v>0.81795571135602718</c:v>
                </c:pt>
                <c:pt idx="155">
                  <c:v>0.14936345162174378</c:v>
                </c:pt>
                <c:pt idx="156">
                  <c:v>0.53953995823142553</c:v>
                </c:pt>
                <c:pt idx="157">
                  <c:v>0.4298648403092416</c:v>
                </c:pt>
                <c:pt idx="158">
                  <c:v>1.0405754583880698</c:v>
                </c:pt>
                <c:pt idx="159">
                  <c:v>1.1813835420483536</c:v>
                </c:pt>
                <c:pt idx="160">
                  <c:v>1.2327926840727534</c:v>
                </c:pt>
                <c:pt idx="161">
                  <c:v>1.0713567109971787</c:v>
                </c:pt>
                <c:pt idx="162">
                  <c:v>0.45698605010658272</c:v>
                </c:pt>
                <c:pt idx="163">
                  <c:v>0.64416790216941233</c:v>
                </c:pt>
                <c:pt idx="164">
                  <c:v>0.87383639105305411</c:v>
                </c:pt>
                <c:pt idx="165">
                  <c:v>0.2039293098075782</c:v>
                </c:pt>
                <c:pt idx="166">
                  <c:v>1.0582319724806759</c:v>
                </c:pt>
                <c:pt idx="167">
                  <c:v>0.78476141328091742</c:v>
                </c:pt>
                <c:pt idx="168">
                  <c:v>1.1017620648008026</c:v>
                </c:pt>
                <c:pt idx="169">
                  <c:v>0.81054915177620834</c:v>
                </c:pt>
                <c:pt idx="170">
                  <c:v>0.95313048693382529</c:v>
                </c:pt>
                <c:pt idx="171">
                  <c:v>0.79888252575522145</c:v>
                </c:pt>
                <c:pt idx="172">
                  <c:v>1.053510093469836</c:v>
                </c:pt>
                <c:pt idx="173">
                  <c:v>0.22930110186992228</c:v>
                </c:pt>
                <c:pt idx="174">
                  <c:v>1.0119008024926464</c:v>
                </c:pt>
                <c:pt idx="175">
                  <c:v>0.94585957222465289</c:v>
                </c:pt>
                <c:pt idx="176">
                  <c:v>1.0128974523750311</c:v>
                </c:pt>
                <c:pt idx="177">
                  <c:v>1.028281249251126</c:v>
                </c:pt>
                <c:pt idx="178">
                  <c:v>0.28307541025717003</c:v>
                </c:pt>
                <c:pt idx="179">
                  <c:v>0.70905016669412346</c:v>
                </c:pt>
                <c:pt idx="180">
                  <c:v>0.1734548782264779</c:v>
                </c:pt>
                <c:pt idx="181">
                  <c:v>0.84858821632879244</c:v>
                </c:pt>
                <c:pt idx="182">
                  <c:v>0.7164344028341405</c:v>
                </c:pt>
                <c:pt idx="183">
                  <c:v>0.73421577911342728</c:v>
                </c:pt>
                <c:pt idx="184">
                  <c:v>0.49508324269728676</c:v>
                </c:pt>
                <c:pt idx="185">
                  <c:v>0.6566835005637417</c:v>
                </c:pt>
                <c:pt idx="186">
                  <c:v>0.53953995823142553</c:v>
                </c:pt>
                <c:pt idx="187">
                  <c:v>0.62103142629495223</c:v>
                </c:pt>
                <c:pt idx="188">
                  <c:v>1.5165871268426178E-2</c:v>
                </c:pt>
                <c:pt idx="189">
                  <c:v>0.42263579049158362</c:v>
                </c:pt>
                <c:pt idx="190">
                  <c:v>0.29060346114837404</c:v>
                </c:pt>
                <c:pt idx="191">
                  <c:v>0.31527217596419327</c:v>
                </c:pt>
                <c:pt idx="192">
                  <c:v>0.50783439772312711</c:v>
                </c:pt>
                <c:pt idx="193">
                  <c:v>0.62629879549789658</c:v>
                </c:pt>
                <c:pt idx="194">
                  <c:v>1.1071824020312002</c:v>
                </c:pt>
                <c:pt idx="195">
                  <c:v>0.22930110186992228</c:v>
                </c:pt>
                <c:pt idx="196">
                  <c:v>0.70905016669412346</c:v>
                </c:pt>
                <c:pt idx="197">
                  <c:v>0.78476141328091742</c:v>
                </c:pt>
                <c:pt idx="198">
                  <c:v>1.2133652387513578</c:v>
                </c:pt>
                <c:pt idx="199">
                  <c:v>0.86894297662258568</c:v>
                </c:pt>
                <c:pt idx="200">
                  <c:v>1.1212351704280841</c:v>
                </c:pt>
                <c:pt idx="201">
                  <c:v>0.27494672785382102</c:v>
                </c:pt>
                <c:pt idx="202">
                  <c:v>0.77683981464783625</c:v>
                </c:pt>
                <c:pt idx="203">
                  <c:v>0.42080064995478023</c:v>
                </c:pt>
                <c:pt idx="204">
                  <c:v>0.74939284802440198</c:v>
                </c:pt>
                <c:pt idx="205">
                  <c:v>1.1919145049088413</c:v>
                </c:pt>
                <c:pt idx="206">
                  <c:v>0.60507284262332239</c:v>
                </c:pt>
                <c:pt idx="207">
                  <c:v>1.3787478179781301</c:v>
                </c:pt>
                <c:pt idx="208">
                  <c:v>0.82673848921517401</c:v>
                </c:pt>
                <c:pt idx="209">
                  <c:v>1.001947242134102</c:v>
                </c:pt>
                <c:pt idx="210">
                  <c:v>0.98429691463941227</c:v>
                </c:pt>
                <c:pt idx="211">
                  <c:v>0.67861656761038391</c:v>
                </c:pt>
                <c:pt idx="212">
                  <c:v>0.86289500728921853</c:v>
                </c:pt>
                <c:pt idx="213">
                  <c:v>0.60507284262332239</c:v>
                </c:pt>
                <c:pt idx="214">
                  <c:v>0.6756547587631978</c:v>
                </c:pt>
                <c:pt idx="215">
                  <c:v>0.59533045734018264</c:v>
                </c:pt>
                <c:pt idx="216">
                  <c:v>1.1195264640322016</c:v>
                </c:pt>
                <c:pt idx="217">
                  <c:v>0.57325917589566766</c:v>
                </c:pt>
                <c:pt idx="218">
                  <c:v>0.96514747271725643</c:v>
                </c:pt>
                <c:pt idx="219">
                  <c:v>0.72488227717561926</c:v>
                </c:pt>
                <c:pt idx="220">
                  <c:v>0.49584310424359507</c:v>
                </c:pt>
                <c:pt idx="221">
                  <c:v>0.29536978621445603</c:v>
                </c:pt>
                <c:pt idx="222">
                  <c:v>0.55297383077604023</c:v>
                </c:pt>
                <c:pt idx="223">
                  <c:v>0.9866874658541076</c:v>
                </c:pt>
                <c:pt idx="224">
                  <c:v>0.64207051565948692</c:v>
                </c:pt>
                <c:pt idx="225">
                  <c:v>0.91349067207047685</c:v>
                </c:pt>
                <c:pt idx="226">
                  <c:v>0.99076290039112003</c:v>
                </c:pt>
                <c:pt idx="227">
                  <c:v>0.92685359667499856</c:v>
                </c:pt>
                <c:pt idx="228">
                  <c:v>0.7479420239473018</c:v>
                </c:pt>
                <c:pt idx="229">
                  <c:v>0.96964888950715544</c:v>
                </c:pt>
                <c:pt idx="230">
                  <c:v>0.52176711815189059</c:v>
                </c:pt>
                <c:pt idx="231">
                  <c:v>0.31318230871664432</c:v>
                </c:pt>
                <c:pt idx="232">
                  <c:v>0.83536946186760319</c:v>
                </c:pt>
                <c:pt idx="233">
                  <c:v>0.78383281878490318</c:v>
                </c:pt>
                <c:pt idx="234">
                  <c:v>0.6784466866891472</c:v>
                </c:pt>
                <c:pt idx="235">
                  <c:v>0.37903972328209501</c:v>
                </c:pt>
                <c:pt idx="236">
                  <c:v>1.0846000436423311</c:v>
                </c:pt>
                <c:pt idx="237">
                  <c:v>0.33108973985679857</c:v>
                </c:pt>
                <c:pt idx="238">
                  <c:v>0.65274333391838735</c:v>
                </c:pt>
                <c:pt idx="239">
                  <c:v>0.48494623349126265</c:v>
                </c:pt>
                <c:pt idx="240">
                  <c:v>0.97078305295005707</c:v>
                </c:pt>
                <c:pt idx="241">
                  <c:v>1.1716846043307543</c:v>
                </c:pt>
                <c:pt idx="242">
                  <c:v>1.6194425547575908</c:v>
                </c:pt>
                <c:pt idx="243">
                  <c:v>1.1937532041249268</c:v>
                </c:pt>
                <c:pt idx="244">
                  <c:v>0.66343682237793689</c:v>
                </c:pt>
                <c:pt idx="245">
                  <c:v>1.4905566723686943</c:v>
                </c:pt>
                <c:pt idx="246">
                  <c:v>1.1457114368929597</c:v>
                </c:pt>
                <c:pt idx="247">
                  <c:v>0.62683745674480795</c:v>
                </c:pt>
                <c:pt idx="248">
                  <c:v>0.9206843620338484</c:v>
                </c:pt>
                <c:pt idx="249">
                  <c:v>1.0020978352953229</c:v>
                </c:pt>
                <c:pt idx="250">
                  <c:v>0.83447678166263028</c:v>
                </c:pt>
                <c:pt idx="251">
                  <c:v>0.77523523924527515</c:v>
                </c:pt>
                <c:pt idx="252">
                  <c:v>0.9253342643222463</c:v>
                </c:pt>
                <c:pt idx="253">
                  <c:v>0.75272471285206566</c:v>
                </c:pt>
                <c:pt idx="254">
                  <c:v>0.71171842022116338</c:v>
                </c:pt>
                <c:pt idx="255">
                  <c:v>0.96767502453319765</c:v>
                </c:pt>
                <c:pt idx="256">
                  <c:v>0.62482072259386334</c:v>
                </c:pt>
                <c:pt idx="257">
                  <c:v>0.85136035737316273</c:v>
                </c:pt>
                <c:pt idx="258">
                  <c:v>0.85627850069736711</c:v>
                </c:pt>
                <c:pt idx="259">
                  <c:v>0.80889041323100541</c:v>
                </c:pt>
                <c:pt idx="260">
                  <c:v>0.94759362078108578</c:v>
                </c:pt>
                <c:pt idx="261">
                  <c:v>0.32542772189432934</c:v>
                </c:pt>
                <c:pt idx="262">
                  <c:v>0.73749782693760246</c:v>
                </c:pt>
                <c:pt idx="263">
                  <c:v>0.6566835005637417</c:v>
                </c:pt>
                <c:pt idx="264">
                  <c:v>0.3583998174037103</c:v>
                </c:pt>
                <c:pt idx="265">
                  <c:v>0.30054723175324616</c:v>
                </c:pt>
                <c:pt idx="266">
                  <c:v>0.24976094125953063</c:v>
                </c:pt>
                <c:pt idx="267">
                  <c:v>0.67604868845403454</c:v>
                </c:pt>
                <c:pt idx="268">
                  <c:v>1.1447839706482468</c:v>
                </c:pt>
                <c:pt idx="269">
                  <c:v>0.81443149553902994</c:v>
                </c:pt>
                <c:pt idx="270">
                  <c:v>0.95253282280164697</c:v>
                </c:pt>
                <c:pt idx="271">
                  <c:v>0.81246959743813729</c:v>
                </c:pt>
                <c:pt idx="272">
                  <c:v>0.95553056704260064</c:v>
                </c:pt>
                <c:pt idx="273">
                  <c:v>0.89484741767988474</c:v>
                </c:pt>
                <c:pt idx="274">
                  <c:v>0.90934091856806321</c:v>
                </c:pt>
                <c:pt idx="275">
                  <c:v>0.90861700341250196</c:v>
                </c:pt>
                <c:pt idx="276">
                  <c:v>0.71620722028836226</c:v>
                </c:pt>
                <c:pt idx="277">
                  <c:v>0.13819353991256411</c:v>
                </c:pt>
                <c:pt idx="278">
                  <c:v>7.4189824682152836E-2</c:v>
                </c:pt>
                <c:pt idx="279">
                  <c:v>0.97152604827505662</c:v>
                </c:pt>
                <c:pt idx="280">
                  <c:v>1.0858561142823497</c:v>
                </c:pt>
                <c:pt idx="281">
                  <c:v>0.87252414931934708</c:v>
                </c:pt>
                <c:pt idx="282">
                  <c:v>0.54427231553034949</c:v>
                </c:pt>
                <c:pt idx="283">
                  <c:v>0.36472959649362552</c:v>
                </c:pt>
                <c:pt idx="284">
                  <c:v>0.49579045962257129</c:v>
                </c:pt>
                <c:pt idx="285">
                  <c:v>0.41753777087086186</c:v>
                </c:pt>
                <c:pt idx="286">
                  <c:v>0.70035399353098726</c:v>
                </c:pt>
                <c:pt idx="287">
                  <c:v>0.76328536189182561</c:v>
                </c:pt>
                <c:pt idx="288">
                  <c:v>0.17503531722827889</c:v>
                </c:pt>
                <c:pt idx="289">
                  <c:v>0.72223994831931004</c:v>
                </c:pt>
                <c:pt idx="290">
                  <c:v>0.9158514031775199</c:v>
                </c:pt>
                <c:pt idx="291">
                  <c:v>0.77487043964801894</c:v>
                </c:pt>
                <c:pt idx="292">
                  <c:v>0.98428188136564299</c:v>
                </c:pt>
                <c:pt idx="293">
                  <c:v>1.2652354753557198</c:v>
                </c:pt>
                <c:pt idx="294">
                  <c:v>0.4627268087832509</c:v>
                </c:pt>
                <c:pt idx="295">
                  <c:v>0.53682723652425868</c:v>
                </c:pt>
                <c:pt idx="296">
                  <c:v>1.164472477794019</c:v>
                </c:pt>
                <c:pt idx="297">
                  <c:v>0.65373154885127394</c:v>
                </c:pt>
                <c:pt idx="298">
                  <c:v>0.9488774926249377</c:v>
                </c:pt>
                <c:pt idx="299">
                  <c:v>1.041436555490558</c:v>
                </c:pt>
                <c:pt idx="300">
                  <c:v>1.072471914973125</c:v>
                </c:pt>
                <c:pt idx="301">
                  <c:v>0.68241990112914297</c:v>
                </c:pt>
                <c:pt idx="302">
                  <c:v>1.3205137090256012</c:v>
                </c:pt>
                <c:pt idx="303">
                  <c:v>0.43928951826286122</c:v>
                </c:pt>
                <c:pt idx="304">
                  <c:v>1.2607056225311031</c:v>
                </c:pt>
                <c:pt idx="305">
                  <c:v>1.0735103519697515</c:v>
                </c:pt>
                <c:pt idx="306">
                  <c:v>1.1440052217389534</c:v>
                </c:pt>
                <c:pt idx="307">
                  <c:v>1.6714237295700705</c:v>
                </c:pt>
                <c:pt idx="308">
                  <c:v>1.3229997790049484</c:v>
                </c:pt>
                <c:pt idx="309">
                  <c:v>0.79078994306544292</c:v>
                </c:pt>
                <c:pt idx="310">
                  <c:v>1.2833241452673643</c:v>
                </c:pt>
                <c:pt idx="311">
                  <c:v>0.32475175006230339</c:v>
                </c:pt>
                <c:pt idx="312">
                  <c:v>0.53124815007578774</c:v>
                </c:pt>
                <c:pt idx="313">
                  <c:v>0.83905806201778266</c:v>
                </c:pt>
                <c:pt idx="314">
                  <c:v>1.0010275539865408</c:v>
                </c:pt>
                <c:pt idx="315">
                  <c:v>1.1211528161058719</c:v>
                </c:pt>
                <c:pt idx="316">
                  <c:v>0.70658744452503963</c:v>
                </c:pt>
                <c:pt idx="317">
                  <c:v>0.73790647735387505</c:v>
                </c:pt>
                <c:pt idx="318">
                  <c:v>1.4534534599799394</c:v>
                </c:pt>
                <c:pt idx="319">
                  <c:v>0.86098797011437389</c:v>
                </c:pt>
                <c:pt idx="320">
                  <c:v>1.9243506693856549</c:v>
                </c:pt>
                <c:pt idx="321">
                  <c:v>0.60573400486262508</c:v>
                </c:pt>
                <c:pt idx="322">
                  <c:v>1.5602575071887796</c:v>
                </c:pt>
                <c:pt idx="323">
                  <c:v>1.6987125814838182</c:v>
                </c:pt>
                <c:pt idx="324">
                  <c:v>1.639619391731721</c:v>
                </c:pt>
                <c:pt idx="325">
                  <c:v>1.3899055187573506</c:v>
                </c:pt>
                <c:pt idx="326">
                  <c:v>0.33108973985679857</c:v>
                </c:pt>
                <c:pt idx="327">
                  <c:v>1.8173879582511228</c:v>
                </c:pt>
                <c:pt idx="328">
                  <c:v>0.96992150000394839</c:v>
                </c:pt>
                <c:pt idx="329">
                  <c:v>0.16827921400926515</c:v>
                </c:pt>
                <c:pt idx="330">
                  <c:v>1.6624805262891125</c:v>
                </c:pt>
                <c:pt idx="331">
                  <c:v>1.0363488692681628</c:v>
                </c:pt>
                <c:pt idx="332">
                  <c:v>1.2645124122075868</c:v>
                </c:pt>
                <c:pt idx="333">
                  <c:v>0.85356623285986244</c:v>
                </c:pt>
                <c:pt idx="334">
                  <c:v>0.42725106088598291</c:v>
                </c:pt>
                <c:pt idx="335">
                  <c:v>0.56014383990389893</c:v>
                </c:pt>
                <c:pt idx="336">
                  <c:v>0.58157078041987287</c:v>
                </c:pt>
                <c:pt idx="337">
                  <c:v>0.58085230191304849</c:v>
                </c:pt>
                <c:pt idx="338">
                  <c:v>0.65559558821797792</c:v>
                </c:pt>
                <c:pt idx="339">
                  <c:v>1.3899194488860303</c:v>
                </c:pt>
                <c:pt idx="340">
                  <c:v>1.4219592242430075</c:v>
                </c:pt>
                <c:pt idx="341">
                  <c:v>1.0458574651057497</c:v>
                </c:pt>
                <c:pt idx="342">
                  <c:v>0.78273312837108988</c:v>
                </c:pt>
                <c:pt idx="343">
                  <c:v>1.266164218021393</c:v>
                </c:pt>
                <c:pt idx="344">
                  <c:v>1.3039065721689489</c:v>
                </c:pt>
                <c:pt idx="345">
                  <c:v>1.0124943561200141</c:v>
                </c:pt>
                <c:pt idx="346">
                  <c:v>1.030794974849355</c:v>
                </c:pt>
                <c:pt idx="347">
                  <c:v>1.01707146957695</c:v>
                </c:pt>
                <c:pt idx="348">
                  <c:v>0.22378804835490873</c:v>
                </c:pt>
                <c:pt idx="349">
                  <c:v>0.9473157755109135</c:v>
                </c:pt>
                <c:pt idx="350">
                  <c:v>1.0340651866701205</c:v>
                </c:pt>
                <c:pt idx="351">
                  <c:v>0.88602051599376708</c:v>
                </c:pt>
                <c:pt idx="352">
                  <c:v>1.1693687650585518</c:v>
                </c:pt>
                <c:pt idx="353">
                  <c:v>0.76894673025359384</c:v>
                </c:pt>
                <c:pt idx="354">
                  <c:v>0.24708122439873142</c:v>
                </c:pt>
                <c:pt idx="355">
                  <c:v>1.1297468040001681</c:v>
                </c:pt>
                <c:pt idx="356">
                  <c:v>0.9302568697369793</c:v>
                </c:pt>
                <c:pt idx="357">
                  <c:v>0.82372666468150368</c:v>
                </c:pt>
                <c:pt idx="358">
                  <c:v>0.31152866982128213</c:v>
                </c:pt>
                <c:pt idx="359">
                  <c:v>1.3327872370709457</c:v>
                </c:pt>
                <c:pt idx="360">
                  <c:v>0.8940041810899183</c:v>
                </c:pt>
                <c:pt idx="361">
                  <c:v>1.1940558412787075</c:v>
                </c:pt>
                <c:pt idx="362">
                  <c:v>0.26032503080131197</c:v>
                </c:pt>
                <c:pt idx="363">
                  <c:v>0.38855752788512865</c:v>
                </c:pt>
                <c:pt idx="364">
                  <c:v>1.1748385278365463</c:v>
                </c:pt>
                <c:pt idx="365">
                  <c:v>0.81692646136585279</c:v>
                </c:pt>
                <c:pt idx="366">
                  <c:v>0.45946652547717148</c:v>
                </c:pt>
                <c:pt idx="367">
                  <c:v>0.33662331328829825</c:v>
                </c:pt>
                <c:pt idx="368">
                  <c:v>0.85562570947931171</c:v>
                </c:pt>
                <c:pt idx="369">
                  <c:v>1.2463530695699561</c:v>
                </c:pt>
                <c:pt idx="370">
                  <c:v>1.2881739300635131</c:v>
                </c:pt>
                <c:pt idx="371">
                  <c:v>0.58919977800225598</c:v>
                </c:pt>
                <c:pt idx="372">
                  <c:v>1.3358537872912057</c:v>
                </c:pt>
                <c:pt idx="373">
                  <c:v>1.2158229948790016</c:v>
                </c:pt>
                <c:pt idx="374">
                  <c:v>1.348235036914913</c:v>
                </c:pt>
                <c:pt idx="375">
                  <c:v>1.2538778314514216</c:v>
                </c:pt>
                <c:pt idx="376">
                  <c:v>1.0202219495037903</c:v>
                </c:pt>
                <c:pt idx="377">
                  <c:v>1.3635842844308503</c:v>
                </c:pt>
                <c:pt idx="378">
                  <c:v>0.73963223095368857</c:v>
                </c:pt>
                <c:pt idx="379">
                  <c:v>1.3635842844308503</c:v>
                </c:pt>
                <c:pt idx="380">
                  <c:v>0.81555182828285611</c:v>
                </c:pt>
                <c:pt idx="381">
                  <c:v>1.7443675349719501</c:v>
                </c:pt>
                <c:pt idx="382">
                  <c:v>0.54264274841432036</c:v>
                </c:pt>
                <c:pt idx="383">
                  <c:v>0.21745501586966609</c:v>
                </c:pt>
                <c:pt idx="384">
                  <c:v>1.0460802602747423</c:v>
                </c:pt>
                <c:pt idx="385">
                  <c:v>1.3198416946102856</c:v>
                </c:pt>
                <c:pt idx="386">
                  <c:v>0.33662331328829825</c:v>
                </c:pt>
                <c:pt idx="387">
                  <c:v>0.4343176936606602</c:v>
                </c:pt>
                <c:pt idx="388">
                  <c:v>1.7010390237498747</c:v>
                </c:pt>
                <c:pt idx="389">
                  <c:v>0.93123452996788147</c:v>
                </c:pt>
                <c:pt idx="390">
                  <c:v>0.31897735934821736</c:v>
                </c:pt>
                <c:pt idx="391">
                  <c:v>0.78152654129495835</c:v>
                </c:pt>
              </c:numCache>
            </c:numRef>
          </c:yVal>
          <c:smooth val="0"/>
          <c:extLst>
            <c:ext xmlns:c16="http://schemas.microsoft.com/office/drawing/2014/chart" uri="{C3380CC4-5D6E-409C-BE32-E72D297353CC}">
              <c16:uniqueId val="{00000001-F5AF-45D9-8ADA-B83780D5301F}"/>
            </c:ext>
          </c:extLst>
        </c:ser>
        <c:dLbls>
          <c:showLegendKey val="0"/>
          <c:showVal val="0"/>
          <c:showCatName val="0"/>
          <c:showSerName val="0"/>
          <c:showPercent val="0"/>
          <c:showBubbleSize val="0"/>
        </c:dLbls>
        <c:axId val="398452623"/>
        <c:axId val="392113967"/>
      </c:scatterChart>
      <c:valAx>
        <c:axId val="398452623"/>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392113967"/>
        <c:crosses val="autoZero"/>
        <c:crossBetween val="midCat"/>
      </c:valAx>
      <c:valAx>
        <c:axId val="392113967"/>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39845262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4.6914005859207027E-4</c:v>
                </c:pt>
                <c:pt idx="1">
                  <c:v>3.8588355607109374E-4</c:v>
                </c:pt>
                <c:pt idx="2">
                  <c:v>1.4669907453303567E-3</c:v>
                </c:pt>
                <c:pt idx="3">
                  <c:v>2.3376080004740575E-4</c:v>
                </c:pt>
                <c:pt idx="4">
                  <c:v>3.1703152871834765E-4</c:v>
                </c:pt>
                <c:pt idx="5">
                  <c:v>6.7473934211591258E-3</c:v>
                </c:pt>
                <c:pt idx="6">
                  <c:v>1.727454769028625E-2</c:v>
                </c:pt>
                <c:pt idx="7">
                  <c:v>1.2902133074302234E-2</c:v>
                </c:pt>
                <c:pt idx="8">
                  <c:v>2.2742482481113362E-2</c:v>
                </c:pt>
                <c:pt idx="9">
                  <c:v>3.8620100884744248E-3</c:v>
                </c:pt>
                <c:pt idx="10">
                  <c:v>6.8001698721160812E-4</c:v>
                </c:pt>
                <c:pt idx="11">
                  <c:v>4.954117244759764E-6</c:v>
                </c:pt>
                <c:pt idx="12">
                  <c:v>1.4312598265250438E-5</c:v>
                </c:pt>
                <c:pt idx="13">
                  <c:v>2.2742482481113362E-2</c:v>
                </c:pt>
                <c:pt idx="14">
                  <c:v>9.9646263620771351E-4</c:v>
                </c:pt>
                <c:pt idx="15">
                  <c:v>1.2644660959969353E-4</c:v>
                </c:pt>
                <c:pt idx="16">
                  <c:v>1.9083112440223412E-3</c:v>
                </c:pt>
                <c:pt idx="17">
                  <c:v>1.2454981305941703E-3</c:v>
                </c:pt>
                <c:pt idx="18">
                  <c:v>4.0087956740688448E-5</c:v>
                </c:pt>
                <c:pt idx="19">
                  <c:v>4.5571673372708796E-3</c:v>
                </c:pt>
                <c:pt idx="20">
                  <c:v>6.3222043575586278E-4</c:v>
                </c:pt>
                <c:pt idx="21">
                  <c:v>1.1014704508770944E-3</c:v>
                </c:pt>
                <c:pt idx="22">
                  <c:v>4.5548712185187307E-4</c:v>
                </c:pt>
                <c:pt idx="23">
                  <c:v>4.328141838820295E-5</c:v>
                </c:pt>
                <c:pt idx="24">
                  <c:v>7.3559456511495527E-4</c:v>
                </c:pt>
                <c:pt idx="25">
                  <c:v>4.5663337608207696E-4</c:v>
                </c:pt>
                <c:pt idx="26">
                  <c:v>4.7679272475985475E-5</c:v>
                </c:pt>
                <c:pt idx="27">
                  <c:v>1.0468255316265951E-3</c:v>
                </c:pt>
                <c:pt idx="28">
                  <c:v>1.1419116308667488E-3</c:v>
                </c:pt>
                <c:pt idx="29">
                  <c:v>4.0087956740688448E-5</c:v>
                </c:pt>
                <c:pt idx="30">
                  <c:v>2.0681875240775726E-5</c:v>
                </c:pt>
                <c:pt idx="31">
                  <c:v>4.5548712185187307E-4</c:v>
                </c:pt>
                <c:pt idx="32">
                  <c:v>9.4452228363682946E-4</c:v>
                </c:pt>
                <c:pt idx="33">
                  <c:v>2.1733643760585776E-3</c:v>
                </c:pt>
                <c:pt idx="34">
                  <c:v>2.1936202378513856E-3</c:v>
                </c:pt>
                <c:pt idx="35">
                  <c:v>2.6461244276146417E-3</c:v>
                </c:pt>
                <c:pt idx="36">
                  <c:v>1.5042444597758891E-3</c:v>
                </c:pt>
                <c:pt idx="37">
                  <c:v>5.6595976808154968E-5</c:v>
                </c:pt>
                <c:pt idx="38">
                  <c:v>3.9814898059219959E-4</c:v>
                </c:pt>
                <c:pt idx="39">
                  <c:v>2.2456565181857197E-5</c:v>
                </c:pt>
                <c:pt idx="40">
                  <c:v>5.9642243722642094E-5</c:v>
                </c:pt>
                <c:pt idx="41">
                  <c:v>1.5765374656592346E-6</c:v>
                </c:pt>
                <c:pt idx="42">
                  <c:v>4.25110671627115E-7</c:v>
                </c:pt>
                <c:pt idx="43">
                  <c:v>4.2105014924579799E-5</c:v>
                </c:pt>
                <c:pt idx="44">
                  <c:v>7.2865433892643457E-4</c:v>
                </c:pt>
                <c:pt idx="45">
                  <c:v>3.6595349270175546E-3</c:v>
                </c:pt>
                <c:pt idx="46">
                  <c:v>9.4452228363682946E-4</c:v>
                </c:pt>
                <c:pt idx="47">
                  <c:v>3.8496536763567755E-3</c:v>
                </c:pt>
                <c:pt idx="48">
                  <c:v>1.893466465632689E-3</c:v>
                </c:pt>
                <c:pt idx="49">
                  <c:v>2.0681875240775726E-5</c:v>
                </c:pt>
                <c:pt idx="50">
                  <c:v>4.347871985036367E-5</c:v>
                </c:pt>
                <c:pt idx="51">
                  <c:v>1.1622118077164167E-4</c:v>
                </c:pt>
                <c:pt idx="52">
                  <c:v>1.4838963795885704E-4</c:v>
                </c:pt>
                <c:pt idx="53">
                  <c:v>2.4689782224412665E-3</c:v>
                </c:pt>
                <c:pt idx="54">
                  <c:v>9.3843475973618426E-4</c:v>
                </c:pt>
                <c:pt idx="55">
                  <c:v>7.9131232924197382E-4</c:v>
                </c:pt>
                <c:pt idx="56">
                  <c:v>9.9646263620771351E-4</c:v>
                </c:pt>
                <c:pt idx="57">
                  <c:v>8.2816050695779355E-4</c:v>
                </c:pt>
                <c:pt idx="58">
                  <c:v>6.9804070351377322E-3</c:v>
                </c:pt>
                <c:pt idx="59">
                  <c:v>5.0302917559023183E-3</c:v>
                </c:pt>
                <c:pt idx="60">
                  <c:v>3.7714308795130441E-3</c:v>
                </c:pt>
                <c:pt idx="61">
                  <c:v>2.1140312310995463E-5</c:v>
                </c:pt>
                <c:pt idx="62">
                  <c:v>3.9814898059219959E-4</c:v>
                </c:pt>
                <c:pt idx="63">
                  <c:v>1.4312598265250438E-5</c:v>
                </c:pt>
                <c:pt idx="64">
                  <c:v>2.2456565181857197E-5</c:v>
                </c:pt>
                <c:pt idx="65">
                  <c:v>7.1798684906910777E-4</c:v>
                </c:pt>
                <c:pt idx="66">
                  <c:v>7.778861343742681E-4</c:v>
                </c:pt>
                <c:pt idx="67">
                  <c:v>2.036631448312533E-4</c:v>
                </c:pt>
                <c:pt idx="68">
                  <c:v>4.4935575432241385E-4</c:v>
                </c:pt>
                <c:pt idx="69">
                  <c:v>8.5321508724898912E-4</c:v>
                </c:pt>
                <c:pt idx="70">
                  <c:v>2.7416725483792134E-2</c:v>
                </c:pt>
                <c:pt idx="71">
                  <c:v>1.4312598265250438E-5</c:v>
                </c:pt>
                <c:pt idx="72">
                  <c:v>2.0940391210730724E-3</c:v>
                </c:pt>
                <c:pt idx="73">
                  <c:v>9.4404174546683817E-4</c:v>
                </c:pt>
                <c:pt idx="74">
                  <c:v>5.9642243722642094E-5</c:v>
                </c:pt>
                <c:pt idx="75">
                  <c:v>1.132118569809845E-2</c:v>
                </c:pt>
                <c:pt idx="76">
                  <c:v>3.225404735215048E-3</c:v>
                </c:pt>
                <c:pt idx="77">
                  <c:v>3.7663253786473423E-3</c:v>
                </c:pt>
                <c:pt idx="78">
                  <c:v>8.488152037356444E-4</c:v>
                </c:pt>
                <c:pt idx="79">
                  <c:v>2.7523641023484971E-3</c:v>
                </c:pt>
                <c:pt idx="80">
                  <c:v>4.0512214438734125E-5</c:v>
                </c:pt>
                <c:pt idx="81">
                  <c:v>1.7188532732917408E-3</c:v>
                </c:pt>
                <c:pt idx="82">
                  <c:v>1.0427928988292944E-5</c:v>
                </c:pt>
                <c:pt idx="83">
                  <c:v>4.0087956740688448E-5</c:v>
                </c:pt>
                <c:pt idx="84">
                  <c:v>4.2105014924579799E-5</c:v>
                </c:pt>
                <c:pt idx="85">
                  <c:v>5.9642243722642094E-5</c:v>
                </c:pt>
                <c:pt idx="86">
                  <c:v>6.0671759954483619E-4</c:v>
                </c:pt>
                <c:pt idx="87">
                  <c:v>4.9866006925553441E-4</c:v>
                </c:pt>
                <c:pt idx="88">
                  <c:v>1.4312598265250438E-5</c:v>
                </c:pt>
                <c:pt idx="89">
                  <c:v>7.2490174352285441E-4</c:v>
                </c:pt>
                <c:pt idx="90">
                  <c:v>3.6974973641958064E-4</c:v>
                </c:pt>
                <c:pt idx="91">
                  <c:v>1.2989633912545326E-4</c:v>
                </c:pt>
                <c:pt idx="92">
                  <c:v>5.9642243722642094E-5</c:v>
                </c:pt>
                <c:pt idx="93">
                  <c:v>8.1962083464860499E-3</c:v>
                </c:pt>
                <c:pt idx="94">
                  <c:v>9.7411643692934483E-3</c:v>
                </c:pt>
                <c:pt idx="95">
                  <c:v>4.2105014924579799E-5</c:v>
                </c:pt>
                <c:pt idx="96">
                  <c:v>1.0252718938503491E-3</c:v>
                </c:pt>
                <c:pt idx="97">
                  <c:v>3.01264961786332E-3</c:v>
                </c:pt>
                <c:pt idx="98">
                  <c:v>1.5042444597758891E-3</c:v>
                </c:pt>
                <c:pt idx="99">
                  <c:v>3.8496536763567755E-3</c:v>
                </c:pt>
                <c:pt idx="100">
                  <c:v>4.9829116190698151E-6</c:v>
                </c:pt>
                <c:pt idx="101">
                  <c:v>4.5571673372708796E-3</c:v>
                </c:pt>
                <c:pt idx="102">
                  <c:v>1.7842982635320984E-3</c:v>
                </c:pt>
                <c:pt idx="103">
                  <c:v>2.2175952181912074E-4</c:v>
                </c:pt>
                <c:pt idx="104">
                  <c:v>4.25110671627115E-7</c:v>
                </c:pt>
                <c:pt idx="105">
                  <c:v>1.5765374656592346E-6</c:v>
                </c:pt>
                <c:pt idx="106">
                  <c:v>1.5042444597758891E-3</c:v>
                </c:pt>
                <c:pt idx="107">
                  <c:v>4.9767702929504644E-3</c:v>
                </c:pt>
                <c:pt idx="108">
                  <c:v>4.7682807289658744E-3</c:v>
                </c:pt>
                <c:pt idx="109">
                  <c:v>2.7043429841116674E-3</c:v>
                </c:pt>
                <c:pt idx="110">
                  <c:v>3.0424022063268347E-2</c:v>
                </c:pt>
                <c:pt idx="111">
                  <c:v>6.2733065511267599E-3</c:v>
                </c:pt>
                <c:pt idx="112">
                  <c:v>7.3743419294491084E-5</c:v>
                </c:pt>
                <c:pt idx="113">
                  <c:v>2.0507207188532207E-4</c:v>
                </c:pt>
                <c:pt idx="114">
                  <c:v>1.4238561802666164E-6</c:v>
                </c:pt>
                <c:pt idx="115">
                  <c:v>5.1525157037105626E-2</c:v>
                </c:pt>
                <c:pt idx="116">
                  <c:v>6.075032170618892E-4</c:v>
                </c:pt>
                <c:pt idx="117">
                  <c:v>1.6548620093130018E-3</c:v>
                </c:pt>
                <c:pt idx="118">
                  <c:v>5.0657290723706725E-3</c:v>
                </c:pt>
                <c:pt idx="119">
                  <c:v>8.5458087295181909E-3</c:v>
                </c:pt>
                <c:pt idx="120">
                  <c:v>1.4312598265250438E-5</c:v>
                </c:pt>
                <c:pt idx="121">
                  <c:v>5.8386510212930353E-4</c:v>
                </c:pt>
                <c:pt idx="122">
                  <c:v>4.2517076359471493E-5</c:v>
                </c:pt>
                <c:pt idx="123">
                  <c:v>2.4368940009117176E-4</c:v>
                </c:pt>
                <c:pt idx="124">
                  <c:v>8.5673624555228161E-4</c:v>
                </c:pt>
                <c:pt idx="125">
                  <c:v>9.4452228363682946E-4</c:v>
                </c:pt>
                <c:pt idx="126">
                  <c:v>3.9613325998116896E-3</c:v>
                </c:pt>
                <c:pt idx="127">
                  <c:v>1.8023104743808351E-4</c:v>
                </c:pt>
                <c:pt idx="128">
                  <c:v>4.1053225103979178E-4</c:v>
                </c:pt>
                <c:pt idx="129">
                  <c:v>4.5572978492392147E-4</c:v>
                </c:pt>
                <c:pt idx="130">
                  <c:v>1.0382753563246119E-3</c:v>
                </c:pt>
                <c:pt idx="131">
                  <c:v>3.01264961786332E-3</c:v>
                </c:pt>
                <c:pt idx="132">
                  <c:v>1.6517032125573368E-3</c:v>
                </c:pt>
                <c:pt idx="133">
                  <c:v>1.0252718938503491E-3</c:v>
                </c:pt>
                <c:pt idx="134">
                  <c:v>3.2179738835022898E-5</c:v>
                </c:pt>
                <c:pt idx="135">
                  <c:v>3.6974973641958064E-4</c:v>
                </c:pt>
                <c:pt idx="136">
                  <c:v>5.9642243722642094E-5</c:v>
                </c:pt>
                <c:pt idx="137">
                  <c:v>3.4568484720926809E-4</c:v>
                </c:pt>
                <c:pt idx="138">
                  <c:v>5.9642243722642094E-5</c:v>
                </c:pt>
                <c:pt idx="139">
                  <c:v>5.8308822235538233E-5</c:v>
                </c:pt>
                <c:pt idx="140">
                  <c:v>9.7902579825934655E-4</c:v>
                </c:pt>
                <c:pt idx="141">
                  <c:v>4.657793229523524E-4</c:v>
                </c:pt>
                <c:pt idx="142">
                  <c:v>5.6717073703398107E-6</c:v>
                </c:pt>
                <c:pt idx="143">
                  <c:v>3.719485339020649E-4</c:v>
                </c:pt>
                <c:pt idx="144">
                  <c:v>4.6910665853454279E-5</c:v>
                </c:pt>
                <c:pt idx="145">
                  <c:v>1.6548620093130018E-3</c:v>
                </c:pt>
                <c:pt idx="146">
                  <c:v>5.647545814185575E-4</c:v>
                </c:pt>
                <c:pt idx="147">
                  <c:v>9.5292339853806697E-4</c:v>
                </c:pt>
                <c:pt idx="148">
                  <c:v>1.5506227971474616E-4</c:v>
                </c:pt>
                <c:pt idx="149">
                  <c:v>1.8023104743808351E-4</c:v>
                </c:pt>
                <c:pt idx="150">
                  <c:v>1.4655621835242465E-3</c:v>
                </c:pt>
                <c:pt idx="151">
                  <c:v>1.0252718938503491E-3</c:v>
                </c:pt>
                <c:pt idx="152">
                  <c:v>2.316419936452873E-2</c:v>
                </c:pt>
                <c:pt idx="153">
                  <c:v>2.316419936452873E-2</c:v>
                </c:pt>
                <c:pt idx="154">
                  <c:v>1.5046408604116324E-3</c:v>
                </c:pt>
                <c:pt idx="155">
                  <c:v>1.4238561802666164E-6</c:v>
                </c:pt>
                <c:pt idx="156">
                  <c:v>2.3376080004740575E-4</c:v>
                </c:pt>
                <c:pt idx="157">
                  <c:v>9.5172505391953103E-5</c:v>
                </c:pt>
                <c:pt idx="158">
                  <c:v>1.1436148459056255E-3</c:v>
                </c:pt>
                <c:pt idx="159">
                  <c:v>2.1733643760585776E-3</c:v>
                </c:pt>
                <c:pt idx="160">
                  <c:v>2.2529194388815677E-3</c:v>
                </c:pt>
                <c:pt idx="161">
                  <c:v>2.2368422014933248E-3</c:v>
                </c:pt>
                <c:pt idx="162">
                  <c:v>4.2539976023981011E-5</c:v>
                </c:pt>
                <c:pt idx="163">
                  <c:v>1.1100183441474852E-3</c:v>
                </c:pt>
                <c:pt idx="164">
                  <c:v>2.2569858277979855E-3</c:v>
                </c:pt>
                <c:pt idx="165">
                  <c:v>2.5875251944054132E-6</c:v>
                </c:pt>
                <c:pt idx="166">
                  <c:v>1.9781140173576188E-3</c:v>
                </c:pt>
                <c:pt idx="167">
                  <c:v>5.1445370943420648E-4</c:v>
                </c:pt>
                <c:pt idx="168">
                  <c:v>2.2050654031271909E-3</c:v>
                </c:pt>
                <c:pt idx="169">
                  <c:v>9.7496099281538229E-4</c:v>
                </c:pt>
                <c:pt idx="170">
                  <c:v>1.2807151208521709E-3</c:v>
                </c:pt>
                <c:pt idx="171">
                  <c:v>9.5292339853806697E-4</c:v>
                </c:pt>
                <c:pt idx="172">
                  <c:v>1.9083112440223412E-3</c:v>
                </c:pt>
                <c:pt idx="173">
                  <c:v>4.3563575398886093E-6</c:v>
                </c:pt>
                <c:pt idx="174">
                  <c:v>2.2443776465300644E-3</c:v>
                </c:pt>
                <c:pt idx="175">
                  <c:v>1.7465251739131641E-3</c:v>
                </c:pt>
                <c:pt idx="176">
                  <c:v>1.851205052063545E-3</c:v>
                </c:pt>
                <c:pt idx="177">
                  <c:v>2.7104601556095652E-3</c:v>
                </c:pt>
                <c:pt idx="178">
                  <c:v>2.8875194456706404E-5</c:v>
                </c:pt>
                <c:pt idx="179">
                  <c:v>6.5732660035616773E-4</c:v>
                </c:pt>
                <c:pt idx="180">
                  <c:v>1.5153887847294473E-6</c:v>
                </c:pt>
                <c:pt idx="181">
                  <c:v>7.9490880529467956E-4</c:v>
                </c:pt>
                <c:pt idx="182">
                  <c:v>5.2067791722220811E-4</c:v>
                </c:pt>
                <c:pt idx="183">
                  <c:v>4.3724263232613206E-4</c:v>
                </c:pt>
                <c:pt idx="184">
                  <c:v>9.4763417089141044E-5</c:v>
                </c:pt>
                <c:pt idx="185">
                  <c:v>5.6985850967762185E-4</c:v>
                </c:pt>
                <c:pt idx="186">
                  <c:v>2.3376080004740575E-4</c:v>
                </c:pt>
                <c:pt idx="187">
                  <c:v>7.2912719559616328E-4</c:v>
                </c:pt>
                <c:pt idx="188">
                  <c:v>1.4526421115746986E-10</c:v>
                </c:pt>
                <c:pt idx="189">
                  <c:v>4.3277366838271794E-5</c:v>
                </c:pt>
                <c:pt idx="190">
                  <c:v>7.9574150108420239E-6</c:v>
                </c:pt>
                <c:pt idx="191">
                  <c:v>3.1573514705533122E-5</c:v>
                </c:pt>
                <c:pt idx="192">
                  <c:v>1.423746369481291E-4</c:v>
                </c:pt>
                <c:pt idx="193">
                  <c:v>4.1502967110699005E-4</c:v>
                </c:pt>
                <c:pt idx="194">
                  <c:v>3.0608875558330185E-3</c:v>
                </c:pt>
                <c:pt idx="195">
                  <c:v>4.3563575398886093E-6</c:v>
                </c:pt>
                <c:pt idx="196">
                  <c:v>6.5732660035616773E-4</c:v>
                </c:pt>
                <c:pt idx="197">
                  <c:v>5.1445370943420648E-4</c:v>
                </c:pt>
                <c:pt idx="198">
                  <c:v>7.8511065190129924E-3</c:v>
                </c:pt>
                <c:pt idx="199">
                  <c:v>5.5609703281403401E-4</c:v>
                </c:pt>
                <c:pt idx="200">
                  <c:v>2.6834024904767808E-3</c:v>
                </c:pt>
                <c:pt idx="201">
                  <c:v>8.8682374801642029E-6</c:v>
                </c:pt>
                <c:pt idx="202">
                  <c:v>5.7388497378806894E-4</c:v>
                </c:pt>
                <c:pt idx="203">
                  <c:v>4.6910665853454279E-5</c:v>
                </c:pt>
                <c:pt idx="204">
                  <c:v>4.8312790475057234E-4</c:v>
                </c:pt>
                <c:pt idx="205">
                  <c:v>5.6603466796968449E-3</c:v>
                </c:pt>
                <c:pt idx="206">
                  <c:v>3.6974973641958064E-4</c:v>
                </c:pt>
                <c:pt idx="207">
                  <c:v>6.3552401197974886E-3</c:v>
                </c:pt>
                <c:pt idx="208">
                  <c:v>4.762900665962039E-4</c:v>
                </c:pt>
                <c:pt idx="209">
                  <c:v>1.0026129042495016E-3</c:v>
                </c:pt>
                <c:pt idx="210">
                  <c:v>4.0121684493181729E-3</c:v>
                </c:pt>
                <c:pt idx="211">
                  <c:v>6.0671759954483619E-4</c:v>
                </c:pt>
                <c:pt idx="212">
                  <c:v>2.0940391210730724E-3</c:v>
                </c:pt>
                <c:pt idx="213">
                  <c:v>3.6974973641958064E-4</c:v>
                </c:pt>
                <c:pt idx="214">
                  <c:v>3.4089826838666924E-4</c:v>
                </c:pt>
                <c:pt idx="215">
                  <c:v>1.9052652664946644E-4</c:v>
                </c:pt>
                <c:pt idx="216">
                  <c:v>3.4207369567450002E-3</c:v>
                </c:pt>
                <c:pt idx="217">
                  <c:v>2.4393486526469644E-4</c:v>
                </c:pt>
                <c:pt idx="218">
                  <c:v>1.3673310023935086E-3</c:v>
                </c:pt>
                <c:pt idx="219">
                  <c:v>7.8987557954873105E-4</c:v>
                </c:pt>
                <c:pt idx="220">
                  <c:v>3.8968253690279135E-4</c:v>
                </c:pt>
                <c:pt idx="221">
                  <c:v>2.1774742847366056E-5</c:v>
                </c:pt>
                <c:pt idx="222">
                  <c:v>3.5315981636692705E-4</c:v>
                </c:pt>
                <c:pt idx="223">
                  <c:v>9.2449360995696512E-4</c:v>
                </c:pt>
                <c:pt idx="224">
                  <c:v>1.8962683120425861E-4</c:v>
                </c:pt>
                <c:pt idx="225">
                  <c:v>9.4452228363682946E-4</c:v>
                </c:pt>
                <c:pt idx="226">
                  <c:v>1.4269110673087099E-3</c:v>
                </c:pt>
                <c:pt idx="227">
                  <c:v>3.1544178495230592E-3</c:v>
                </c:pt>
                <c:pt idx="228">
                  <c:v>1.0519265959007843E-3</c:v>
                </c:pt>
                <c:pt idx="229">
                  <c:v>4.9531867108269494E-3</c:v>
                </c:pt>
                <c:pt idx="230">
                  <c:v>2.0536495948266821E-4</c:v>
                </c:pt>
                <c:pt idx="231">
                  <c:v>1.4396572242431506E-5</c:v>
                </c:pt>
                <c:pt idx="232">
                  <c:v>8.5645981642554962E-4</c:v>
                </c:pt>
                <c:pt idx="233">
                  <c:v>5.647545814185575E-4</c:v>
                </c:pt>
                <c:pt idx="234">
                  <c:v>3.8285555204048985E-4</c:v>
                </c:pt>
                <c:pt idx="235">
                  <c:v>3.8314723168302794E-5</c:v>
                </c:pt>
                <c:pt idx="236">
                  <c:v>2.1827614529364822E-3</c:v>
                </c:pt>
                <c:pt idx="237">
                  <c:v>2.0089534128518403E-5</c:v>
                </c:pt>
                <c:pt idx="238">
                  <c:v>2.7166894543681497E-4</c:v>
                </c:pt>
                <c:pt idx="239">
                  <c:v>8.5677891102409269E-5</c:v>
                </c:pt>
                <c:pt idx="240">
                  <c:v>3.3418061139339037E-3</c:v>
                </c:pt>
                <c:pt idx="241">
                  <c:v>1.570990523421947E-2</c:v>
                </c:pt>
                <c:pt idx="242">
                  <c:v>2.1500008545633598E-2</c:v>
                </c:pt>
                <c:pt idx="243">
                  <c:v>3.4763816070151323E-3</c:v>
                </c:pt>
                <c:pt idx="244">
                  <c:v>5.2257800840571536E-4</c:v>
                </c:pt>
                <c:pt idx="245">
                  <c:v>7.77844744323649E-3</c:v>
                </c:pt>
                <c:pt idx="246">
                  <c:v>3.5097135468415207E-3</c:v>
                </c:pt>
                <c:pt idx="247">
                  <c:v>9.9529905605586855E-4</c:v>
                </c:pt>
                <c:pt idx="248">
                  <c:v>2.2018396403099419E-3</c:v>
                </c:pt>
                <c:pt idx="249">
                  <c:v>3.1435189030576986E-3</c:v>
                </c:pt>
                <c:pt idx="250">
                  <c:v>5.4103568221772398E-4</c:v>
                </c:pt>
                <c:pt idx="251">
                  <c:v>6.1324355656521706E-4</c:v>
                </c:pt>
                <c:pt idx="252">
                  <c:v>1.9689620206179148E-3</c:v>
                </c:pt>
                <c:pt idx="253">
                  <c:v>5.6459536733403709E-4</c:v>
                </c:pt>
                <c:pt idx="254">
                  <c:v>3.4803952305905898E-4</c:v>
                </c:pt>
                <c:pt idx="255">
                  <c:v>1.8769914826179993E-3</c:v>
                </c:pt>
                <c:pt idx="256">
                  <c:v>1.7005545895883173E-4</c:v>
                </c:pt>
                <c:pt idx="257">
                  <c:v>1.410900731340197E-3</c:v>
                </c:pt>
                <c:pt idx="258">
                  <c:v>5.2437940738172899E-4</c:v>
                </c:pt>
                <c:pt idx="259">
                  <c:v>4.2590488986177179E-4</c:v>
                </c:pt>
                <c:pt idx="260">
                  <c:v>2.3066264816063633E-3</c:v>
                </c:pt>
                <c:pt idx="261">
                  <c:v>6.852895264074059E-5</c:v>
                </c:pt>
                <c:pt idx="262">
                  <c:v>9.2218607541500429E-4</c:v>
                </c:pt>
                <c:pt idx="263">
                  <c:v>5.6985850967762185E-4</c:v>
                </c:pt>
                <c:pt idx="264">
                  <c:v>2.6989606604135072E-5</c:v>
                </c:pt>
                <c:pt idx="265">
                  <c:v>1.7804063116818468E-5</c:v>
                </c:pt>
                <c:pt idx="266">
                  <c:v>9.1038353278363331E-6</c:v>
                </c:pt>
                <c:pt idx="267">
                  <c:v>3.125200520590456E-4</c:v>
                </c:pt>
                <c:pt idx="268">
                  <c:v>3.7476787448816966E-3</c:v>
                </c:pt>
                <c:pt idx="269">
                  <c:v>1.3783224172521865E-3</c:v>
                </c:pt>
                <c:pt idx="270">
                  <c:v>1.3482971096503301E-3</c:v>
                </c:pt>
                <c:pt idx="271">
                  <c:v>1.0194238232723533E-3</c:v>
                </c:pt>
                <c:pt idx="272">
                  <c:v>8.5936459103756063E-4</c:v>
                </c:pt>
                <c:pt idx="273">
                  <c:v>7.4037260738115751E-4</c:v>
                </c:pt>
                <c:pt idx="274">
                  <c:v>3.0748453075268717E-3</c:v>
                </c:pt>
                <c:pt idx="275">
                  <c:v>1.1037480683057316E-3</c:v>
                </c:pt>
                <c:pt idx="276">
                  <c:v>4.083173858222183E-4</c:v>
                </c:pt>
                <c:pt idx="277">
                  <c:v>5.9659059452443103E-7</c:v>
                </c:pt>
                <c:pt idx="278">
                  <c:v>2.8330050964235042E-8</c:v>
                </c:pt>
                <c:pt idx="279">
                  <c:v>2.3925474526694185E-3</c:v>
                </c:pt>
                <c:pt idx="280">
                  <c:v>2.4450161727835595E-3</c:v>
                </c:pt>
                <c:pt idx="281">
                  <c:v>1.2406634762374327E-3</c:v>
                </c:pt>
                <c:pt idx="282">
                  <c:v>8.5595404047930906E-5</c:v>
                </c:pt>
                <c:pt idx="283">
                  <c:v>6.6840084612441121E-5</c:v>
                </c:pt>
                <c:pt idx="284">
                  <c:v>2.3388425483188166E-4</c:v>
                </c:pt>
                <c:pt idx="285">
                  <c:v>9.6476976757716581E-5</c:v>
                </c:pt>
                <c:pt idx="286">
                  <c:v>8.1068118729122132E-4</c:v>
                </c:pt>
                <c:pt idx="287">
                  <c:v>9.3592232726891385E-4</c:v>
                </c:pt>
                <c:pt idx="288">
                  <c:v>2.7885138447510043E-6</c:v>
                </c:pt>
                <c:pt idx="289">
                  <c:v>1.1666074357237208E-3</c:v>
                </c:pt>
                <c:pt idx="290">
                  <c:v>1.9407843861758117E-3</c:v>
                </c:pt>
                <c:pt idx="291">
                  <c:v>5.5944766569425127E-4</c:v>
                </c:pt>
                <c:pt idx="292">
                  <c:v>1.6481211685262385E-3</c:v>
                </c:pt>
                <c:pt idx="293">
                  <c:v>3.8869457982574633E-3</c:v>
                </c:pt>
                <c:pt idx="294">
                  <c:v>6.9537919033912227E-5</c:v>
                </c:pt>
                <c:pt idx="295">
                  <c:v>1.3314857454862526E-4</c:v>
                </c:pt>
                <c:pt idx="296">
                  <c:v>7.883437499331623E-3</c:v>
                </c:pt>
                <c:pt idx="297">
                  <c:v>2.8342677158870664E-4</c:v>
                </c:pt>
                <c:pt idx="298">
                  <c:v>8.7928654118178424E-3</c:v>
                </c:pt>
                <c:pt idx="299">
                  <c:v>1.8536606082673501E-3</c:v>
                </c:pt>
                <c:pt idx="300">
                  <c:v>2.0846956586791161E-3</c:v>
                </c:pt>
                <c:pt idx="301">
                  <c:v>3.8081838656069247E-4</c:v>
                </c:pt>
                <c:pt idx="302">
                  <c:v>4.876582605707701E-3</c:v>
                </c:pt>
                <c:pt idx="303">
                  <c:v>6.9244817793533375E-5</c:v>
                </c:pt>
                <c:pt idx="304">
                  <c:v>2.3622438960127748E-3</c:v>
                </c:pt>
                <c:pt idx="305">
                  <c:v>1.2419237246140196E-3</c:v>
                </c:pt>
                <c:pt idx="306">
                  <c:v>3.1849010246961587E-3</c:v>
                </c:pt>
                <c:pt idx="307">
                  <c:v>1.1646105813169516E-2</c:v>
                </c:pt>
                <c:pt idx="308">
                  <c:v>6.2403617325328354E-3</c:v>
                </c:pt>
                <c:pt idx="309">
                  <c:v>6.1623094001104128E-4</c:v>
                </c:pt>
                <c:pt idx="310">
                  <c:v>4.762737396640869E-3</c:v>
                </c:pt>
                <c:pt idx="311">
                  <c:v>2.0681875240775726E-5</c:v>
                </c:pt>
                <c:pt idx="312">
                  <c:v>1.4008200029791038E-4</c:v>
                </c:pt>
                <c:pt idx="313">
                  <c:v>9.2162017240369262E-4</c:v>
                </c:pt>
                <c:pt idx="314">
                  <c:v>2.1494547205069348E-3</c:v>
                </c:pt>
                <c:pt idx="315">
                  <c:v>2.3644463494972194E-3</c:v>
                </c:pt>
                <c:pt idx="316">
                  <c:v>4.6349769416756284E-4</c:v>
                </c:pt>
                <c:pt idx="317">
                  <c:v>4.4357930900105531E-4</c:v>
                </c:pt>
                <c:pt idx="318">
                  <c:v>8.8199871041645291E-3</c:v>
                </c:pt>
                <c:pt idx="319">
                  <c:v>8.2215617579874274E-4</c:v>
                </c:pt>
                <c:pt idx="320">
                  <c:v>2.4079531659716949E-2</c:v>
                </c:pt>
                <c:pt idx="321">
                  <c:v>4.2175515360836187E-4</c:v>
                </c:pt>
                <c:pt idx="322">
                  <c:v>1.0406298953163137E-2</c:v>
                </c:pt>
                <c:pt idx="323">
                  <c:v>2.6028914522262598E-2</c:v>
                </c:pt>
                <c:pt idx="324">
                  <c:v>2.2591685204073085E-2</c:v>
                </c:pt>
                <c:pt idx="325">
                  <c:v>9.5134841267382336E-3</c:v>
                </c:pt>
                <c:pt idx="326">
                  <c:v>2.0089534128518403E-5</c:v>
                </c:pt>
                <c:pt idx="327">
                  <c:v>1.8238014635288485E-2</c:v>
                </c:pt>
                <c:pt idx="328">
                  <c:v>1.4795625175452192E-3</c:v>
                </c:pt>
                <c:pt idx="329">
                  <c:v>1.5335565202231204E-6</c:v>
                </c:pt>
                <c:pt idx="330">
                  <c:v>1.1818498948941247E-2</c:v>
                </c:pt>
                <c:pt idx="331">
                  <c:v>7.3365121538678645E-3</c:v>
                </c:pt>
                <c:pt idx="332">
                  <c:v>4.4966076833282392E-3</c:v>
                </c:pt>
                <c:pt idx="333">
                  <c:v>8.131540896032743E-4</c:v>
                </c:pt>
                <c:pt idx="334">
                  <c:v>5.3501107934926318E-5</c:v>
                </c:pt>
                <c:pt idx="335">
                  <c:v>1.5806234968222344E-4</c:v>
                </c:pt>
                <c:pt idx="336">
                  <c:v>2.2608603799278008E-4</c:v>
                </c:pt>
                <c:pt idx="337">
                  <c:v>1.1103204218717799E-4</c:v>
                </c:pt>
                <c:pt idx="338">
                  <c:v>2.9660213040107246E-4</c:v>
                </c:pt>
                <c:pt idx="339">
                  <c:v>8.1271963253562382E-3</c:v>
                </c:pt>
                <c:pt idx="340">
                  <c:v>7.3756364955769229E-3</c:v>
                </c:pt>
                <c:pt idx="341">
                  <c:v>2.437028909231686E-3</c:v>
                </c:pt>
                <c:pt idx="342">
                  <c:v>6.2754061118719558E-4</c:v>
                </c:pt>
                <c:pt idx="343">
                  <c:v>4.5130622016648237E-3</c:v>
                </c:pt>
                <c:pt idx="344">
                  <c:v>5.5279459075468019E-3</c:v>
                </c:pt>
                <c:pt idx="345">
                  <c:v>1.719079176347885E-3</c:v>
                </c:pt>
                <c:pt idx="346">
                  <c:v>2.0956365168388873E-3</c:v>
                </c:pt>
                <c:pt idx="347">
                  <c:v>1.8789579551211125E-3</c:v>
                </c:pt>
                <c:pt idx="348">
                  <c:v>4.4041158047857137E-6</c:v>
                </c:pt>
                <c:pt idx="349">
                  <c:v>1.2112503963233366E-3</c:v>
                </c:pt>
                <c:pt idx="350">
                  <c:v>1.7106362010097572E-3</c:v>
                </c:pt>
                <c:pt idx="351">
                  <c:v>9.2202161500950554E-4</c:v>
                </c:pt>
                <c:pt idx="352">
                  <c:v>4.8733096456729961E-3</c:v>
                </c:pt>
                <c:pt idx="353">
                  <c:v>5.2582335510038261E-4</c:v>
                </c:pt>
                <c:pt idx="354">
                  <c:v>5.6530395281755918E-6</c:v>
                </c:pt>
                <c:pt idx="355">
                  <c:v>6.3976385748713829E-3</c:v>
                </c:pt>
                <c:pt idx="356">
                  <c:v>7.0324833775326943E-4</c:v>
                </c:pt>
                <c:pt idx="357">
                  <c:v>4.5802203475633555E-4</c:v>
                </c:pt>
                <c:pt idx="358">
                  <c:v>9.1870811275308613E-6</c:v>
                </c:pt>
                <c:pt idx="359">
                  <c:v>2.3286728345364636E-2</c:v>
                </c:pt>
                <c:pt idx="360">
                  <c:v>1.4988043032018563E-3</c:v>
                </c:pt>
                <c:pt idx="361">
                  <c:v>5.4593547161750008E-3</c:v>
                </c:pt>
                <c:pt idx="362">
                  <c:v>8.0771160992068228E-6</c:v>
                </c:pt>
                <c:pt idx="363">
                  <c:v>4.0087956740688448E-5</c:v>
                </c:pt>
                <c:pt idx="364">
                  <c:v>3.3504669110398701E-3</c:v>
                </c:pt>
                <c:pt idx="365">
                  <c:v>7.2945357884930944E-4</c:v>
                </c:pt>
                <c:pt idx="366">
                  <c:v>7.1555938436654464E-5</c:v>
                </c:pt>
                <c:pt idx="367">
                  <c:v>2.3875950769645618E-5</c:v>
                </c:pt>
                <c:pt idx="368">
                  <c:v>1.0592506328935963E-3</c:v>
                </c:pt>
                <c:pt idx="369">
                  <c:v>3.6292693768517192E-3</c:v>
                </c:pt>
                <c:pt idx="370">
                  <c:v>4.5042600714284729E-3</c:v>
                </c:pt>
                <c:pt idx="371">
                  <c:v>1.971404455002075E-4</c:v>
                </c:pt>
                <c:pt idx="372">
                  <c:v>5.9110208469836147E-3</c:v>
                </c:pt>
                <c:pt idx="373">
                  <c:v>3.4433435989305E-3</c:v>
                </c:pt>
                <c:pt idx="374">
                  <c:v>5.8110558288923019E-3</c:v>
                </c:pt>
                <c:pt idx="375">
                  <c:v>3.6981701268864477E-3</c:v>
                </c:pt>
                <c:pt idx="376">
                  <c:v>1.7071732668147812E-3</c:v>
                </c:pt>
                <c:pt idx="377">
                  <c:v>5.7798281292384878E-3</c:v>
                </c:pt>
                <c:pt idx="378">
                  <c:v>5.0032279248455745E-4</c:v>
                </c:pt>
                <c:pt idx="379">
                  <c:v>5.7798281292384878E-3</c:v>
                </c:pt>
                <c:pt idx="380">
                  <c:v>4.3151086090265615E-4</c:v>
                </c:pt>
                <c:pt idx="381">
                  <c:v>2.4865359588825409E-2</c:v>
                </c:pt>
                <c:pt idx="382">
                  <c:v>1.7136394225593493E-4</c:v>
                </c:pt>
                <c:pt idx="383">
                  <c:v>2.1181777489290389E-6</c:v>
                </c:pt>
                <c:pt idx="384">
                  <c:v>2.7047669161319701E-3</c:v>
                </c:pt>
                <c:pt idx="385">
                  <c:v>4.8721152408061153E-3</c:v>
                </c:pt>
                <c:pt idx="386">
                  <c:v>2.3875950769645618E-5</c:v>
                </c:pt>
                <c:pt idx="387">
                  <c:v>5.9567323256843759E-5</c:v>
                </c:pt>
                <c:pt idx="388">
                  <c:v>2.2584472331631914E-2</c:v>
                </c:pt>
                <c:pt idx="389">
                  <c:v>1.2074425084182706E-3</c:v>
                </c:pt>
                <c:pt idx="390">
                  <c:v>1.5576399557296047E-5</c:v>
                </c:pt>
                <c:pt idx="391">
                  <c:v>5.7941064983457746E-4</c:v>
                </c:pt>
              </c:numCache>
            </c:numRef>
          </c:val>
          <c:extLst>
            <c:ext xmlns:c16="http://schemas.microsoft.com/office/drawing/2014/chart" uri="{C3380CC4-5D6E-409C-BE32-E72D297353CC}">
              <c16:uniqueId val="{00000001-F383-40F9-8602-450ED947E109}"/>
            </c:ext>
          </c:extLst>
        </c:ser>
        <c:dLbls>
          <c:showLegendKey val="0"/>
          <c:showVal val="0"/>
          <c:showCatName val="0"/>
          <c:showSerName val="0"/>
          <c:showPercent val="0"/>
          <c:showBubbleSize val="0"/>
        </c:dLbls>
        <c:gapWidth val="150"/>
        <c:axId val="398456799"/>
        <c:axId val="392104847"/>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1.727454769028625E-2</c:v>
                </c:pt>
                <c:pt idx="7">
                  <c:v>1.2902133074302234E-2</c:v>
                </c:pt>
                <c:pt idx="8">
                  <c:v>2.2742482481113362E-2</c:v>
                </c:pt>
                <c:pt idx="9">
                  <c:v>#N/A</c:v>
                </c:pt>
                <c:pt idx="10">
                  <c:v>#N/A</c:v>
                </c:pt>
                <c:pt idx="11">
                  <c:v>#N/A</c:v>
                </c:pt>
                <c:pt idx="12">
                  <c:v>#N/A</c:v>
                </c:pt>
                <c:pt idx="13">
                  <c:v>2.2742482481113362E-2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2.7416725483792134E-2</c:v>
                </c:pt>
                <c:pt idx="71">
                  <c:v>#N/A</c:v>
                </c:pt>
                <c:pt idx="72">
                  <c:v>#N/A</c:v>
                </c:pt>
                <c:pt idx="73">
                  <c:v>#N/A</c:v>
                </c:pt>
                <c:pt idx="74">
                  <c:v>#N/A</c:v>
                </c:pt>
                <c:pt idx="75">
                  <c:v>1.132118569809845E-2</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3.0424022063268347E-2</c:v>
                </c:pt>
                <c:pt idx="111">
                  <c:v>#N/A</c:v>
                </c:pt>
                <c:pt idx="112">
                  <c:v>#N/A</c:v>
                </c:pt>
                <c:pt idx="113">
                  <c:v>#N/A</c:v>
                </c:pt>
                <c:pt idx="114">
                  <c:v>#N/A</c:v>
                </c:pt>
                <c:pt idx="115">
                  <c:v>5.1525157037105626E-2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2.316419936452873E-2</c:v>
                </c:pt>
                <c:pt idx="153">
                  <c:v>2.316419936452873E-2</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1.570990523421947E-2</c:v>
                </c:pt>
                <c:pt idx="242">
                  <c:v>2.1500008545633598E-2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1.1646105813169516E-2</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2.4079531659716949E-2</c:v>
                </c:pt>
                <c:pt idx="321">
                  <c:v>#N/A</c:v>
                </c:pt>
                <c:pt idx="322">
                  <c:v>1.0406298953163137E-2</c:v>
                </c:pt>
                <c:pt idx="323">
                  <c:v>2.6028914522262598E-2</c:v>
                </c:pt>
                <c:pt idx="324">
                  <c:v>2.2591685204073085E-2</c:v>
                </c:pt>
                <c:pt idx="325">
                  <c:v>#N/A</c:v>
                </c:pt>
                <c:pt idx="326">
                  <c:v>#N/A</c:v>
                </c:pt>
                <c:pt idx="327">
                  <c:v>1.8238014635288485E-2</c:v>
                </c:pt>
                <c:pt idx="328">
                  <c:v>#N/A</c:v>
                </c:pt>
                <c:pt idx="329">
                  <c:v>#N/A</c:v>
                </c:pt>
                <c:pt idx="330">
                  <c:v>1.1818498948941247E-2</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2.3286728345364636E-2</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2.4865359588825409E-2</c:v>
                </c:pt>
                <c:pt idx="382">
                  <c:v>#N/A</c:v>
                </c:pt>
                <c:pt idx="383">
                  <c:v>#N/A</c:v>
                </c:pt>
                <c:pt idx="384">
                  <c:v>#N/A</c:v>
                </c:pt>
                <c:pt idx="385">
                  <c:v>#N/A</c:v>
                </c:pt>
                <c:pt idx="386">
                  <c:v>#N/A</c:v>
                </c:pt>
                <c:pt idx="387">
                  <c:v>#N/A</c:v>
                </c:pt>
                <c:pt idx="388">
                  <c:v>2.2584472331631914E-2</c:v>
                </c:pt>
                <c:pt idx="389">
                  <c:v>#N/A</c:v>
                </c:pt>
                <c:pt idx="390">
                  <c:v>#N/A</c:v>
                </c:pt>
                <c:pt idx="391">
                  <c:v>#N/A</c:v>
                </c:pt>
              </c:numCache>
            </c:numRef>
          </c:val>
          <c:smooth val="0"/>
          <c:extLst>
            <c:ext xmlns:c16="http://schemas.microsoft.com/office/drawing/2014/chart" uri="{C3380CC4-5D6E-409C-BE32-E72D297353CC}">
              <c16:uniqueId val="{00000002-F383-40F9-8602-450ED947E109}"/>
            </c:ext>
          </c:extLst>
        </c:ser>
        <c:dLbls>
          <c:showLegendKey val="0"/>
          <c:showVal val="0"/>
          <c:showCatName val="0"/>
          <c:showSerName val="0"/>
          <c:showPercent val="0"/>
          <c:showBubbleSize val="0"/>
        </c:dLbls>
        <c:marker val="1"/>
        <c:smooth val="0"/>
        <c:axId val="398456799"/>
        <c:axId val="392104847"/>
      </c:lineChart>
      <c:catAx>
        <c:axId val="398456799"/>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392104847"/>
        <c:crosses val="autoZero"/>
        <c:auto val="1"/>
        <c:lblAlgn val="ctr"/>
        <c:lblOffset val="100"/>
        <c:noMultiLvlLbl val="0"/>
      </c:catAx>
      <c:valAx>
        <c:axId val="392104847"/>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39845679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1.1204199527405607E-2</c:v>
                </c:pt>
                <c:pt idx="1">
                  <c:v>9.0920471527640764E-3</c:v>
                </c:pt>
                <c:pt idx="2">
                  <c:v>8.2076576737747202E-3</c:v>
                </c:pt>
                <c:pt idx="3">
                  <c:v>8.2076576737747202E-3</c:v>
                </c:pt>
                <c:pt idx="4">
                  <c:v>9.1093960540734702E-3</c:v>
                </c:pt>
                <c:pt idx="5">
                  <c:v>2.0486779543364905E-2</c:v>
                </c:pt>
                <c:pt idx="6">
                  <c:v>3.5301311616617259E-2</c:v>
                </c:pt>
                <c:pt idx="7">
                  <c:v>3.1427319844520754E-2</c:v>
                </c:pt>
                <c:pt idx="8">
                  <c:v>3.9473569661972151E-2</c:v>
                </c:pt>
                <c:pt idx="9">
                  <c:v>1.6531355082913195E-2</c:v>
                </c:pt>
                <c:pt idx="10">
                  <c:v>9.9833761922772327E-3</c:v>
                </c:pt>
                <c:pt idx="11">
                  <c:v>8.4989843865092979E-3</c:v>
                </c:pt>
                <c:pt idx="12">
                  <c:v>8.2076576737747202E-3</c:v>
                </c:pt>
                <c:pt idx="13">
                  <c:v>3.9473569661972151E-2</c:v>
                </c:pt>
                <c:pt idx="14">
                  <c:v>6.5036286637345023E-3</c:v>
                </c:pt>
                <c:pt idx="15">
                  <c:v>5.0677331783451334E-3</c:v>
                </c:pt>
                <c:pt idx="16">
                  <c:v>4.6259610309465887E-3</c:v>
                </c:pt>
                <c:pt idx="17">
                  <c:v>7.9924329711578042E-3</c:v>
                </c:pt>
                <c:pt idx="18">
                  <c:v>5.2484190645161813E-3</c:v>
                </c:pt>
                <c:pt idx="19">
                  <c:v>9.9938012765195018E-3</c:v>
                </c:pt>
                <c:pt idx="20">
                  <c:v>5.1168260112063315E-3</c:v>
                </c:pt>
                <c:pt idx="21">
                  <c:v>5.5473971239268956E-3</c:v>
                </c:pt>
                <c:pt idx="22">
                  <c:v>6.5036286637345023E-3</c:v>
                </c:pt>
                <c:pt idx="23">
                  <c:v>1.2415706949620936E-2</c:v>
                </c:pt>
                <c:pt idx="24">
                  <c:v>6.3809499381223024E-3</c:v>
                </c:pt>
                <c:pt idx="25">
                  <c:v>3.1427319844520754E-2</c:v>
                </c:pt>
                <c:pt idx="26">
                  <c:v>2.1594942167781156E-2</c:v>
                </c:pt>
                <c:pt idx="27">
                  <c:v>2.7851594345682545E-2</c:v>
                </c:pt>
                <c:pt idx="28">
                  <c:v>1.7925159373605091E-2</c:v>
                </c:pt>
                <c:pt idx="29">
                  <c:v>5.2484190645161813E-3</c:v>
                </c:pt>
                <c:pt idx="30">
                  <c:v>5.5473971239268956E-3</c:v>
                </c:pt>
                <c:pt idx="31">
                  <c:v>6.5036286637345023E-3</c:v>
                </c:pt>
                <c:pt idx="32">
                  <c:v>4.052782691826292E-3</c:v>
                </c:pt>
                <c:pt idx="33">
                  <c:v>3.3360984785658094E-3</c:v>
                </c:pt>
                <c:pt idx="34">
                  <c:v>4.052782691826292E-3</c:v>
                </c:pt>
                <c:pt idx="35">
                  <c:v>6.9897511985455001E-3</c:v>
                </c:pt>
                <c:pt idx="36">
                  <c:v>4.052782691826292E-3</c:v>
                </c:pt>
                <c:pt idx="37">
                  <c:v>9.0920471527640764E-3</c:v>
                </c:pt>
                <c:pt idx="38">
                  <c:v>1.1172971505048715E-2</c:v>
                </c:pt>
                <c:pt idx="39">
                  <c:v>8.1697838528265784E-3</c:v>
                </c:pt>
                <c:pt idx="40">
                  <c:v>8.2076576737747202E-3</c:v>
                </c:pt>
                <c:pt idx="41">
                  <c:v>1.2660833091078551E-2</c:v>
                </c:pt>
                <c:pt idx="42">
                  <c:v>9.9833761922772327E-3</c:v>
                </c:pt>
                <c:pt idx="43">
                  <c:v>1.1172971505048715E-2</c:v>
                </c:pt>
                <c:pt idx="44">
                  <c:v>2.917680538563657E-3</c:v>
                </c:pt>
                <c:pt idx="45">
                  <c:v>4.5746083231985452E-3</c:v>
                </c:pt>
                <c:pt idx="46">
                  <c:v>4.052782691826292E-3</c:v>
                </c:pt>
                <c:pt idx="47">
                  <c:v>6.9897511985455001E-3</c:v>
                </c:pt>
                <c:pt idx="48">
                  <c:v>4.9971636088268082E-3</c:v>
                </c:pt>
                <c:pt idx="49">
                  <c:v>5.5473971239268956E-3</c:v>
                </c:pt>
                <c:pt idx="50">
                  <c:v>4.7051336972798391E-3</c:v>
                </c:pt>
                <c:pt idx="51">
                  <c:v>4.4567253861999443E-3</c:v>
                </c:pt>
                <c:pt idx="52">
                  <c:v>5.240233523763925E-3</c:v>
                </c:pt>
                <c:pt idx="53">
                  <c:v>4.7882923607159931E-3</c:v>
                </c:pt>
                <c:pt idx="54">
                  <c:v>6.0735996235063523E-3</c:v>
                </c:pt>
                <c:pt idx="55">
                  <c:v>4.7051336972798391E-3</c:v>
                </c:pt>
                <c:pt idx="56">
                  <c:v>6.5036286637345023E-3</c:v>
                </c:pt>
                <c:pt idx="57">
                  <c:v>4.5297328640866892E-3</c:v>
                </c:pt>
                <c:pt idx="58">
                  <c:v>7.4673504238982674E-3</c:v>
                </c:pt>
                <c:pt idx="59">
                  <c:v>5.5473971239268956E-3</c:v>
                </c:pt>
                <c:pt idx="60">
                  <c:v>4.9971636088268082E-3</c:v>
                </c:pt>
                <c:pt idx="61">
                  <c:v>9.0920471527640764E-3</c:v>
                </c:pt>
                <c:pt idx="62">
                  <c:v>1.1172971505048715E-2</c:v>
                </c:pt>
                <c:pt idx="63">
                  <c:v>8.2076576737747202E-3</c:v>
                </c:pt>
                <c:pt idx="64">
                  <c:v>8.1697838528265784E-3</c:v>
                </c:pt>
                <c:pt idx="65">
                  <c:v>8.2076576737747202E-3</c:v>
                </c:pt>
                <c:pt idx="66">
                  <c:v>2.650481870265959E-2</c:v>
                </c:pt>
                <c:pt idx="67">
                  <c:v>8.2041878935128383E-3</c:v>
                </c:pt>
                <c:pt idx="68">
                  <c:v>8.4989843865092979E-3</c:v>
                </c:pt>
                <c:pt idx="69">
                  <c:v>1.6531355082913195E-2</c:v>
                </c:pt>
                <c:pt idx="70">
                  <c:v>1.7253808838312758E-2</c:v>
                </c:pt>
                <c:pt idx="71">
                  <c:v>8.2076576737747202E-3</c:v>
                </c:pt>
                <c:pt idx="72">
                  <c:v>1.1204199527405607E-2</c:v>
                </c:pt>
                <c:pt idx="73">
                  <c:v>9.1093960540734702E-3</c:v>
                </c:pt>
                <c:pt idx="74">
                  <c:v>8.2076576737747202E-3</c:v>
                </c:pt>
                <c:pt idx="75">
                  <c:v>1.1985847623052744E-2</c:v>
                </c:pt>
                <c:pt idx="76">
                  <c:v>4.4567253861999443E-3</c:v>
                </c:pt>
                <c:pt idx="77">
                  <c:v>5.1168260112063315E-3</c:v>
                </c:pt>
                <c:pt idx="78">
                  <c:v>4.7882923607159931E-3</c:v>
                </c:pt>
                <c:pt idx="79">
                  <c:v>4.9971636088268082E-3</c:v>
                </c:pt>
                <c:pt idx="80">
                  <c:v>5.894097787058938E-3</c:v>
                </c:pt>
                <c:pt idx="81">
                  <c:v>6.9696358361698695E-3</c:v>
                </c:pt>
                <c:pt idx="82">
                  <c:v>4.5297328640866892E-3</c:v>
                </c:pt>
                <c:pt idx="83">
                  <c:v>5.2484190645161813E-3</c:v>
                </c:pt>
                <c:pt idx="84">
                  <c:v>1.1172971505048715E-2</c:v>
                </c:pt>
                <c:pt idx="85">
                  <c:v>8.2076576737747202E-3</c:v>
                </c:pt>
                <c:pt idx="86">
                  <c:v>8.5093937272949383E-3</c:v>
                </c:pt>
                <c:pt idx="87">
                  <c:v>9.6125652613046186E-3</c:v>
                </c:pt>
                <c:pt idx="88">
                  <c:v>8.2076576737747202E-3</c:v>
                </c:pt>
                <c:pt idx="89">
                  <c:v>2.0486779543364905E-2</c:v>
                </c:pt>
                <c:pt idx="90">
                  <c:v>8.2076576737747202E-3</c:v>
                </c:pt>
                <c:pt idx="91">
                  <c:v>8.3452738365197027E-3</c:v>
                </c:pt>
                <c:pt idx="92">
                  <c:v>8.2076576737747202E-3</c:v>
                </c:pt>
                <c:pt idx="93">
                  <c:v>3.1427319844520754E-2</c:v>
                </c:pt>
                <c:pt idx="94">
                  <c:v>3.9473569661972151E-2</c:v>
                </c:pt>
                <c:pt idx="95">
                  <c:v>1.1172971505048715E-2</c:v>
                </c:pt>
                <c:pt idx="96">
                  <c:v>3.3360984785658094E-3</c:v>
                </c:pt>
                <c:pt idx="97">
                  <c:v>4.052782691826292E-3</c:v>
                </c:pt>
                <c:pt idx="98">
                  <c:v>4.052782691826292E-3</c:v>
                </c:pt>
                <c:pt idx="99">
                  <c:v>6.9897511985455001E-3</c:v>
                </c:pt>
                <c:pt idx="100">
                  <c:v>5.0677331783451334E-3</c:v>
                </c:pt>
                <c:pt idx="101">
                  <c:v>9.9938012765195018E-3</c:v>
                </c:pt>
                <c:pt idx="102">
                  <c:v>8.2076576737747202E-3</c:v>
                </c:pt>
                <c:pt idx="103">
                  <c:v>9.4127868157783418E-3</c:v>
                </c:pt>
                <c:pt idx="104">
                  <c:v>9.9833761922772327E-3</c:v>
                </c:pt>
                <c:pt idx="105">
                  <c:v>1.2660833091078551E-2</c:v>
                </c:pt>
                <c:pt idx="106">
                  <c:v>4.052782691826292E-3</c:v>
                </c:pt>
                <c:pt idx="107">
                  <c:v>5.2484190645161813E-3</c:v>
                </c:pt>
                <c:pt idx="108">
                  <c:v>4.5746083231985452E-3</c:v>
                </c:pt>
                <c:pt idx="109">
                  <c:v>6.2885210539123104E-3</c:v>
                </c:pt>
                <c:pt idx="110">
                  <c:v>1.4242956316360437E-2</c:v>
                </c:pt>
                <c:pt idx="111">
                  <c:v>4.8894318573776182E-3</c:v>
                </c:pt>
                <c:pt idx="112">
                  <c:v>3.1329393497739454E-3</c:v>
                </c:pt>
                <c:pt idx="113">
                  <c:v>5.5473971239268956E-3</c:v>
                </c:pt>
                <c:pt idx="114">
                  <c:v>8.5093937272949383E-3</c:v>
                </c:pt>
                <c:pt idx="115">
                  <c:v>4.3944093980585332E-2</c:v>
                </c:pt>
                <c:pt idx="116">
                  <c:v>8.9569023248090383E-3</c:v>
                </c:pt>
                <c:pt idx="117">
                  <c:v>4.4683001440540973E-3</c:v>
                </c:pt>
                <c:pt idx="118">
                  <c:v>5.7147821300277454E-3</c:v>
                </c:pt>
                <c:pt idx="119">
                  <c:v>1.1985847623052744E-2</c:v>
                </c:pt>
                <c:pt idx="120">
                  <c:v>8.2076576737747202E-3</c:v>
                </c:pt>
                <c:pt idx="121">
                  <c:v>1.1161920922707359E-2</c:v>
                </c:pt>
                <c:pt idx="122">
                  <c:v>3.1304038774525207E-3</c:v>
                </c:pt>
                <c:pt idx="123">
                  <c:v>1.2660833091078551E-2</c:v>
                </c:pt>
                <c:pt idx="124">
                  <c:v>5.0677331783451334E-3</c:v>
                </c:pt>
                <c:pt idx="125">
                  <c:v>4.052782691826292E-3</c:v>
                </c:pt>
                <c:pt idx="126">
                  <c:v>4.052782691826292E-3</c:v>
                </c:pt>
                <c:pt idx="127">
                  <c:v>4.9904016403792923E-3</c:v>
                </c:pt>
                <c:pt idx="128">
                  <c:v>4.5297328640866892E-3</c:v>
                </c:pt>
                <c:pt idx="129">
                  <c:v>5.240233523763925E-3</c:v>
                </c:pt>
                <c:pt idx="130">
                  <c:v>4.4683001440540973E-3</c:v>
                </c:pt>
                <c:pt idx="131">
                  <c:v>4.052782691826292E-3</c:v>
                </c:pt>
                <c:pt idx="132">
                  <c:v>2.917680538563657E-3</c:v>
                </c:pt>
                <c:pt idx="133">
                  <c:v>3.3360984785658094E-3</c:v>
                </c:pt>
                <c:pt idx="134">
                  <c:v>9.1093960540734702E-3</c:v>
                </c:pt>
                <c:pt idx="135">
                  <c:v>8.2076576737747202E-3</c:v>
                </c:pt>
                <c:pt idx="136">
                  <c:v>8.2076576737747202E-3</c:v>
                </c:pt>
                <c:pt idx="137">
                  <c:v>9.1093960540734702E-3</c:v>
                </c:pt>
                <c:pt idx="138">
                  <c:v>8.2076576737747202E-3</c:v>
                </c:pt>
                <c:pt idx="139">
                  <c:v>4.7097603072702486E-3</c:v>
                </c:pt>
                <c:pt idx="140">
                  <c:v>4.9904016403792923E-3</c:v>
                </c:pt>
                <c:pt idx="141">
                  <c:v>4.4693678232826531E-3</c:v>
                </c:pt>
                <c:pt idx="142">
                  <c:v>8.0273792314715757E-3</c:v>
                </c:pt>
                <c:pt idx="143">
                  <c:v>5.8830651016971991E-3</c:v>
                </c:pt>
                <c:pt idx="144">
                  <c:v>4.4683001440540973E-3</c:v>
                </c:pt>
                <c:pt idx="145">
                  <c:v>4.4683001440540973E-3</c:v>
                </c:pt>
                <c:pt idx="146">
                  <c:v>4.4683001440540973E-3</c:v>
                </c:pt>
                <c:pt idx="147">
                  <c:v>6.9696358361698695E-3</c:v>
                </c:pt>
                <c:pt idx="148">
                  <c:v>6.0853440950204615E-3</c:v>
                </c:pt>
                <c:pt idx="149">
                  <c:v>4.9904016403792923E-3</c:v>
                </c:pt>
                <c:pt idx="150">
                  <c:v>5.0677331783451334E-3</c:v>
                </c:pt>
                <c:pt idx="151">
                  <c:v>3.3360984785658094E-3</c:v>
                </c:pt>
                <c:pt idx="152">
                  <c:v>1.3578175015899155E-2</c:v>
                </c:pt>
                <c:pt idx="153">
                  <c:v>1.3578175015899155E-2</c:v>
                </c:pt>
                <c:pt idx="154">
                  <c:v>9.9833761922772327E-3</c:v>
                </c:pt>
                <c:pt idx="155">
                  <c:v>8.5093937272949383E-3</c:v>
                </c:pt>
                <c:pt idx="156">
                  <c:v>8.2076576737747202E-3</c:v>
                </c:pt>
                <c:pt idx="157">
                  <c:v>8.2925601423917954E-3</c:v>
                </c:pt>
                <c:pt idx="158">
                  <c:v>2.917680538563657E-3</c:v>
                </c:pt>
                <c:pt idx="159">
                  <c:v>3.3360984785658094E-3</c:v>
                </c:pt>
                <c:pt idx="160">
                  <c:v>2.917680538563657E-3</c:v>
                </c:pt>
                <c:pt idx="161">
                  <c:v>5.0677331783451334E-3</c:v>
                </c:pt>
                <c:pt idx="162">
                  <c:v>2.917680538563657E-3</c:v>
                </c:pt>
                <c:pt idx="163">
                  <c:v>1.8973001753169925E-2</c:v>
                </c:pt>
                <c:pt idx="164">
                  <c:v>1.1479298454855659E-2</c:v>
                </c:pt>
                <c:pt idx="165">
                  <c:v>4.4683001440540973E-3</c:v>
                </c:pt>
                <c:pt idx="166">
                  <c:v>4.7097603072702486E-3</c:v>
                </c:pt>
                <c:pt idx="167">
                  <c:v>4.052782691826292E-3</c:v>
                </c:pt>
                <c:pt idx="168">
                  <c:v>4.4693678232826531E-3</c:v>
                </c:pt>
                <c:pt idx="169">
                  <c:v>6.7306669244870179E-3</c:v>
                </c:pt>
                <c:pt idx="170">
                  <c:v>4.6339056847740255E-3</c:v>
                </c:pt>
                <c:pt idx="171">
                  <c:v>6.9696358361698695E-3</c:v>
                </c:pt>
                <c:pt idx="172">
                  <c:v>4.6259610309465887E-3</c:v>
                </c:pt>
                <c:pt idx="173">
                  <c:v>4.7051336972798391E-3</c:v>
                </c:pt>
                <c:pt idx="174">
                  <c:v>6.3809499381223024E-3</c:v>
                </c:pt>
                <c:pt idx="175">
                  <c:v>6.5036286637345023E-3</c:v>
                </c:pt>
                <c:pt idx="176">
                  <c:v>5.2484190645161813E-3</c:v>
                </c:pt>
                <c:pt idx="177">
                  <c:v>7.2205353987830623E-3</c:v>
                </c:pt>
                <c:pt idx="178">
                  <c:v>1.3311217555548323E-2</c:v>
                </c:pt>
                <c:pt idx="179">
                  <c:v>7.7413995022197531E-3</c:v>
                </c:pt>
                <c:pt idx="180">
                  <c:v>4.9971636088268082E-3</c:v>
                </c:pt>
                <c:pt idx="181">
                  <c:v>4.5778113608842073E-3</c:v>
                </c:pt>
                <c:pt idx="182">
                  <c:v>5.894097787058938E-3</c:v>
                </c:pt>
                <c:pt idx="183">
                  <c:v>4.493585018219501E-3</c:v>
                </c:pt>
                <c:pt idx="184">
                  <c:v>4.7097603072702486E-3</c:v>
                </c:pt>
                <c:pt idx="185">
                  <c:v>9.1093960540734702E-3</c:v>
                </c:pt>
                <c:pt idx="186">
                  <c:v>8.2076576737747202E-3</c:v>
                </c:pt>
                <c:pt idx="187">
                  <c:v>1.4492068093771095E-2</c:v>
                </c:pt>
                <c:pt idx="188">
                  <c:v>8.1704778088789488E-3</c:v>
                </c:pt>
                <c:pt idx="189">
                  <c:v>4.052782691826292E-3</c:v>
                </c:pt>
                <c:pt idx="190">
                  <c:v>3.3360984785658094E-3</c:v>
                </c:pt>
                <c:pt idx="191">
                  <c:v>9.4963711143322138E-3</c:v>
                </c:pt>
                <c:pt idx="192">
                  <c:v>6.3809499381223024E-3</c:v>
                </c:pt>
                <c:pt idx="193">
                  <c:v>8.0273792314715757E-3</c:v>
                </c:pt>
                <c:pt idx="194">
                  <c:v>6.0735996235063523E-3</c:v>
                </c:pt>
                <c:pt idx="195">
                  <c:v>4.7051336972798391E-3</c:v>
                </c:pt>
                <c:pt idx="196">
                  <c:v>7.7413995022197531E-3</c:v>
                </c:pt>
                <c:pt idx="197">
                  <c:v>4.052782691826292E-3</c:v>
                </c:pt>
                <c:pt idx="198">
                  <c:v>1.0749596556481528E-2</c:v>
                </c:pt>
                <c:pt idx="199">
                  <c:v>2.917680538563657E-3</c:v>
                </c:pt>
                <c:pt idx="200">
                  <c:v>5.0677331783451334E-3</c:v>
                </c:pt>
                <c:pt idx="201">
                  <c:v>4.6339056847740255E-3</c:v>
                </c:pt>
                <c:pt idx="202">
                  <c:v>4.7051336972798391E-3</c:v>
                </c:pt>
                <c:pt idx="203">
                  <c:v>4.4683001440540973E-3</c:v>
                </c:pt>
                <c:pt idx="204">
                  <c:v>4.5746083231985452E-3</c:v>
                </c:pt>
                <c:pt idx="205">
                  <c:v>8.3434401585391598E-3</c:v>
                </c:pt>
                <c:pt idx="206">
                  <c:v>8.2076576737747202E-3</c:v>
                </c:pt>
                <c:pt idx="207">
                  <c:v>5.2484190645161813E-3</c:v>
                </c:pt>
                <c:pt idx="208">
                  <c:v>3.04925576177352E-3</c:v>
                </c:pt>
                <c:pt idx="209">
                  <c:v>2.9756434783343778E-3</c:v>
                </c:pt>
                <c:pt idx="210">
                  <c:v>1.2660833091078551E-2</c:v>
                </c:pt>
                <c:pt idx="211">
                  <c:v>8.5093937272949383E-3</c:v>
                </c:pt>
                <c:pt idx="212">
                  <c:v>1.1204199527405607E-2</c:v>
                </c:pt>
                <c:pt idx="213">
                  <c:v>8.2076576737747202E-3</c:v>
                </c:pt>
                <c:pt idx="214">
                  <c:v>4.8833816750824743E-3</c:v>
                </c:pt>
                <c:pt idx="215">
                  <c:v>4.5297328640866892E-3</c:v>
                </c:pt>
                <c:pt idx="216">
                  <c:v>6.4904606199156552E-3</c:v>
                </c:pt>
                <c:pt idx="217">
                  <c:v>6.7306669244870179E-3</c:v>
                </c:pt>
                <c:pt idx="218">
                  <c:v>4.7051336972798391E-3</c:v>
                </c:pt>
                <c:pt idx="219">
                  <c:v>8.5093937272949383E-3</c:v>
                </c:pt>
                <c:pt idx="220">
                  <c:v>1.8973001753169925E-2</c:v>
                </c:pt>
                <c:pt idx="221">
                  <c:v>8.5093937272949383E-3</c:v>
                </c:pt>
                <c:pt idx="222">
                  <c:v>1.1204199527405607E-2</c:v>
                </c:pt>
                <c:pt idx="223">
                  <c:v>2.917680538563657E-3</c:v>
                </c:pt>
                <c:pt idx="224">
                  <c:v>3.3360984785658094E-3</c:v>
                </c:pt>
                <c:pt idx="225">
                  <c:v>4.052782691826292E-3</c:v>
                </c:pt>
                <c:pt idx="226">
                  <c:v>4.4229709336428263E-3</c:v>
                </c:pt>
                <c:pt idx="227">
                  <c:v>1.2660833091078551E-2</c:v>
                </c:pt>
                <c:pt idx="228">
                  <c:v>9.9833761922772327E-3</c:v>
                </c:pt>
                <c:pt idx="229">
                  <c:v>1.6531355082913195E-2</c:v>
                </c:pt>
                <c:pt idx="230">
                  <c:v>8.2441435826180916E-3</c:v>
                </c:pt>
                <c:pt idx="231">
                  <c:v>4.4693678232826531E-3</c:v>
                </c:pt>
                <c:pt idx="232">
                  <c:v>5.2484190645161813E-3</c:v>
                </c:pt>
                <c:pt idx="233">
                  <c:v>4.4683001440540973E-3</c:v>
                </c:pt>
                <c:pt idx="234">
                  <c:v>5.3919427687563713E-3</c:v>
                </c:pt>
                <c:pt idx="235">
                  <c:v>5.5377880108698979E-3</c:v>
                </c:pt>
                <c:pt idx="236">
                  <c:v>4.7097603072702486E-3</c:v>
                </c:pt>
                <c:pt idx="237">
                  <c:v>4.9904016403792923E-3</c:v>
                </c:pt>
                <c:pt idx="238">
                  <c:v>4.4693678232826531E-3</c:v>
                </c:pt>
                <c:pt idx="239">
                  <c:v>4.6259610309465887E-3</c:v>
                </c:pt>
                <c:pt idx="240">
                  <c:v>1.1161920922707359E-2</c:v>
                </c:pt>
                <c:pt idx="241">
                  <c:v>2.4396376714310455E-2</c:v>
                </c:pt>
                <c:pt idx="242">
                  <c:v>9.2906046577821942E-3</c:v>
                </c:pt>
                <c:pt idx="243">
                  <c:v>5.1093522566064437E-3</c:v>
                </c:pt>
                <c:pt idx="244">
                  <c:v>8.0273792314715757E-3</c:v>
                </c:pt>
                <c:pt idx="245">
                  <c:v>4.7051336972798391E-3</c:v>
                </c:pt>
                <c:pt idx="246">
                  <c:v>6.0735996235063523E-3</c:v>
                </c:pt>
                <c:pt idx="247">
                  <c:v>1.8973001753169925E-2</c:v>
                </c:pt>
                <c:pt idx="248">
                  <c:v>9.1093960540734702E-3</c:v>
                </c:pt>
                <c:pt idx="249">
                  <c:v>9.2651884722202045E-3</c:v>
                </c:pt>
                <c:pt idx="250">
                  <c:v>3.3360984785658094E-3</c:v>
                </c:pt>
                <c:pt idx="251">
                  <c:v>5.0677331783451334E-3</c:v>
                </c:pt>
                <c:pt idx="252">
                  <c:v>7.9924329711578042E-3</c:v>
                </c:pt>
                <c:pt idx="253">
                  <c:v>5.2484190645161813E-3</c:v>
                </c:pt>
                <c:pt idx="254">
                  <c:v>4.052782691826292E-3</c:v>
                </c:pt>
                <c:pt idx="255">
                  <c:v>6.3809499381223024E-3</c:v>
                </c:pt>
                <c:pt idx="256">
                  <c:v>3.3360984785658094E-3</c:v>
                </c:pt>
                <c:pt idx="257">
                  <c:v>7.9924329711578042E-3</c:v>
                </c:pt>
                <c:pt idx="258">
                  <c:v>2.917680538563657E-3</c:v>
                </c:pt>
                <c:pt idx="259">
                  <c:v>2.9756434783343778E-3</c:v>
                </c:pt>
                <c:pt idx="260">
                  <c:v>8.5093937272949383E-3</c:v>
                </c:pt>
                <c:pt idx="261">
                  <c:v>1.8000657233590359E-2</c:v>
                </c:pt>
                <c:pt idx="262">
                  <c:v>9.2651884722202045E-3</c:v>
                </c:pt>
                <c:pt idx="263">
                  <c:v>9.1093960540734702E-3</c:v>
                </c:pt>
                <c:pt idx="264">
                  <c:v>4.8833816750824743E-3</c:v>
                </c:pt>
                <c:pt idx="265">
                  <c:v>6.5036286637345023E-3</c:v>
                </c:pt>
                <c:pt idx="266">
                  <c:v>6.9696358361698695E-3</c:v>
                </c:pt>
                <c:pt idx="267">
                  <c:v>4.4683001440540973E-3</c:v>
                </c:pt>
                <c:pt idx="268">
                  <c:v>6.5036286637345023E-3</c:v>
                </c:pt>
                <c:pt idx="269">
                  <c:v>9.3108905631247314E-3</c:v>
                </c:pt>
                <c:pt idx="270">
                  <c:v>4.8894318573776182E-3</c:v>
                </c:pt>
                <c:pt idx="271">
                  <c:v>6.9696358361698695E-3</c:v>
                </c:pt>
                <c:pt idx="272">
                  <c:v>3.0830413935977611E-3</c:v>
                </c:pt>
                <c:pt idx="273">
                  <c:v>3.4520243581072415E-3</c:v>
                </c:pt>
                <c:pt idx="274">
                  <c:v>1.3311217555548323E-2</c:v>
                </c:pt>
                <c:pt idx="275">
                  <c:v>4.8346276141211699E-3</c:v>
                </c:pt>
                <c:pt idx="276">
                  <c:v>4.6339056847740255E-3</c:v>
                </c:pt>
                <c:pt idx="277">
                  <c:v>4.8833816750824743E-3</c:v>
                </c:pt>
                <c:pt idx="278">
                  <c:v>2.7975288718198425E-3</c:v>
                </c:pt>
                <c:pt idx="279">
                  <c:v>7.9924329711578042E-3</c:v>
                </c:pt>
                <c:pt idx="280">
                  <c:v>5.2484190645161813E-3</c:v>
                </c:pt>
                <c:pt idx="281">
                  <c:v>6.3809499381223024E-3</c:v>
                </c:pt>
                <c:pt idx="282">
                  <c:v>2.917680538563657E-3</c:v>
                </c:pt>
                <c:pt idx="283">
                  <c:v>1.1204199527405607E-2</c:v>
                </c:pt>
                <c:pt idx="284">
                  <c:v>1.1479298454855659E-2</c:v>
                </c:pt>
                <c:pt idx="285">
                  <c:v>9.4329115412972453E-3</c:v>
                </c:pt>
                <c:pt idx="286">
                  <c:v>1.0007664654110382E-2</c:v>
                </c:pt>
                <c:pt idx="287">
                  <c:v>8.2041878935128383E-3</c:v>
                </c:pt>
                <c:pt idx="288">
                  <c:v>8.8336031705710579E-3</c:v>
                </c:pt>
                <c:pt idx="289">
                  <c:v>1.2699000673959179E-2</c:v>
                </c:pt>
                <c:pt idx="290">
                  <c:v>8.2076576737747202E-3</c:v>
                </c:pt>
                <c:pt idx="291">
                  <c:v>4.6339056847740255E-3</c:v>
                </c:pt>
                <c:pt idx="292">
                  <c:v>5.240233523763925E-3</c:v>
                </c:pt>
                <c:pt idx="293">
                  <c:v>4.5297328640866892E-3</c:v>
                </c:pt>
                <c:pt idx="294">
                  <c:v>4.5297328640866892E-3</c:v>
                </c:pt>
                <c:pt idx="295">
                  <c:v>4.7866952759903023E-3</c:v>
                </c:pt>
                <c:pt idx="296">
                  <c:v>1.2699000673959179E-2</c:v>
                </c:pt>
                <c:pt idx="297">
                  <c:v>4.6339056847740255E-3</c:v>
                </c:pt>
                <c:pt idx="298">
                  <c:v>3.1514064351067683E-2</c:v>
                </c:pt>
                <c:pt idx="299">
                  <c:v>4.7051336972798391E-3</c:v>
                </c:pt>
                <c:pt idx="300">
                  <c:v>4.7051336972798391E-3</c:v>
                </c:pt>
                <c:pt idx="301">
                  <c:v>5.240233523763925E-3</c:v>
                </c:pt>
                <c:pt idx="302">
                  <c:v>4.7882923607159931E-3</c:v>
                </c:pt>
                <c:pt idx="303">
                  <c:v>5.5473971239268956E-3</c:v>
                </c:pt>
                <c:pt idx="304">
                  <c:v>2.7975288718198425E-3</c:v>
                </c:pt>
                <c:pt idx="305">
                  <c:v>2.7975288718198425E-3</c:v>
                </c:pt>
                <c:pt idx="306">
                  <c:v>5.5473971239268956E-3</c:v>
                </c:pt>
                <c:pt idx="307">
                  <c:v>4.4567253861999443E-3</c:v>
                </c:pt>
                <c:pt idx="308">
                  <c:v>6.0735996235063523E-3</c:v>
                </c:pt>
                <c:pt idx="309">
                  <c:v>4.7051336972798391E-3</c:v>
                </c:pt>
                <c:pt idx="310">
                  <c:v>5.240233523763925E-3</c:v>
                </c:pt>
                <c:pt idx="311">
                  <c:v>5.5473971239268956E-3</c:v>
                </c:pt>
                <c:pt idx="312">
                  <c:v>5.2484190645161813E-3</c:v>
                </c:pt>
                <c:pt idx="313">
                  <c:v>5.5473971239268956E-3</c:v>
                </c:pt>
                <c:pt idx="314">
                  <c:v>6.3809499381223024E-3</c:v>
                </c:pt>
                <c:pt idx="315">
                  <c:v>4.4693678232826531E-3</c:v>
                </c:pt>
                <c:pt idx="316">
                  <c:v>5.5473971239268956E-3</c:v>
                </c:pt>
                <c:pt idx="317">
                  <c:v>4.4683001440540973E-3</c:v>
                </c:pt>
                <c:pt idx="318">
                  <c:v>5.894097787058938E-3</c:v>
                </c:pt>
                <c:pt idx="319">
                  <c:v>4.4683001440540973E-3</c:v>
                </c:pt>
                <c:pt idx="320">
                  <c:v>5.240233523763925E-3</c:v>
                </c:pt>
                <c:pt idx="321">
                  <c:v>9.3108905631247314E-3</c:v>
                </c:pt>
                <c:pt idx="322">
                  <c:v>5.240233523763925E-3</c:v>
                </c:pt>
                <c:pt idx="323">
                  <c:v>9.2906046577821942E-3</c:v>
                </c:pt>
                <c:pt idx="324">
                  <c:v>9.2906046577821942E-3</c:v>
                </c:pt>
                <c:pt idx="325">
                  <c:v>7.5894639366782431E-3</c:v>
                </c:pt>
                <c:pt idx="326">
                  <c:v>4.9904016403792923E-3</c:v>
                </c:pt>
                <c:pt idx="327">
                  <c:v>4.9904016403792923E-3</c:v>
                </c:pt>
                <c:pt idx="328">
                  <c:v>4.9904016403792923E-3</c:v>
                </c:pt>
                <c:pt idx="329">
                  <c:v>5.7044612308183801E-3</c:v>
                </c:pt>
                <c:pt idx="330">
                  <c:v>4.6200449288632695E-3</c:v>
                </c:pt>
                <c:pt idx="331">
                  <c:v>1.8723133968818761E-2</c:v>
                </c:pt>
                <c:pt idx="332">
                  <c:v>5.2484190645161813E-3</c:v>
                </c:pt>
                <c:pt idx="333">
                  <c:v>4.5746083231985452E-3</c:v>
                </c:pt>
                <c:pt idx="334">
                  <c:v>4.7936307568587693E-3</c:v>
                </c:pt>
                <c:pt idx="335">
                  <c:v>4.7936307568587693E-3</c:v>
                </c:pt>
                <c:pt idx="336">
                  <c:v>5.894097787058938E-3</c:v>
                </c:pt>
                <c:pt idx="337">
                  <c:v>2.917680538563657E-3</c:v>
                </c:pt>
                <c:pt idx="338">
                  <c:v>4.7936307568587693E-3</c:v>
                </c:pt>
                <c:pt idx="339">
                  <c:v>6.4904606199156552E-3</c:v>
                </c:pt>
                <c:pt idx="340">
                  <c:v>5.3830454418517439E-3</c:v>
                </c:pt>
                <c:pt idx="341">
                  <c:v>6.0735996235063523E-3</c:v>
                </c:pt>
                <c:pt idx="342">
                  <c:v>4.9904016403792923E-3</c:v>
                </c:pt>
                <c:pt idx="343">
                  <c:v>5.240233523763925E-3</c:v>
                </c:pt>
                <c:pt idx="344">
                  <c:v>5.7044612308183801E-3</c:v>
                </c:pt>
                <c:pt idx="345">
                  <c:v>4.8833816750824743E-3</c:v>
                </c:pt>
                <c:pt idx="346">
                  <c:v>5.5377880108698979E-3</c:v>
                </c:pt>
                <c:pt idx="347">
                  <c:v>5.240233523763925E-3</c:v>
                </c:pt>
                <c:pt idx="348">
                  <c:v>5.240233523763925E-3</c:v>
                </c:pt>
                <c:pt idx="349">
                  <c:v>4.4918055528385768E-3</c:v>
                </c:pt>
                <c:pt idx="350">
                  <c:v>4.4683001440540973E-3</c:v>
                </c:pt>
                <c:pt idx="351">
                  <c:v>4.4683001440540973E-3</c:v>
                </c:pt>
                <c:pt idx="352">
                  <c:v>7.75812647680044E-3</c:v>
                </c:pt>
                <c:pt idx="353">
                  <c:v>4.4918055528385768E-3</c:v>
                </c:pt>
                <c:pt idx="354">
                  <c:v>4.5297328640866892E-3</c:v>
                </c:pt>
                <c:pt idx="355">
                  <c:v>1.1644733439232727E-2</c:v>
                </c:pt>
                <c:pt idx="356">
                  <c:v>2.8092904912620847E-3</c:v>
                </c:pt>
                <c:pt idx="357">
                  <c:v>2.9756434783343778E-3</c:v>
                </c:pt>
                <c:pt idx="358">
                  <c:v>2.917680538563657E-3</c:v>
                </c:pt>
                <c:pt idx="359">
                  <c:v>2.1660867992756863E-2</c:v>
                </c:pt>
                <c:pt idx="360">
                  <c:v>6.9897511985455001E-3</c:v>
                </c:pt>
                <c:pt idx="361">
                  <c:v>7.9924329711578042E-3</c:v>
                </c:pt>
                <c:pt idx="362">
                  <c:v>5.2484190645161813E-3</c:v>
                </c:pt>
                <c:pt idx="363">
                  <c:v>5.2484190645161813E-3</c:v>
                </c:pt>
                <c:pt idx="364">
                  <c:v>5.2484190645161813E-3</c:v>
                </c:pt>
                <c:pt idx="365">
                  <c:v>4.8894318573776182E-3</c:v>
                </c:pt>
                <c:pt idx="366">
                  <c:v>4.7936307568587693E-3</c:v>
                </c:pt>
                <c:pt idx="367">
                  <c:v>5.5473971239268956E-3</c:v>
                </c:pt>
                <c:pt idx="368">
                  <c:v>5.894097787058938E-3</c:v>
                </c:pt>
                <c:pt idx="369">
                  <c:v>4.4918055528385768E-3</c:v>
                </c:pt>
                <c:pt idx="370">
                  <c:v>4.8833816750824743E-3</c:v>
                </c:pt>
                <c:pt idx="371">
                  <c:v>4.8833816750824743E-3</c:v>
                </c:pt>
                <c:pt idx="372">
                  <c:v>5.5377880108698979E-3</c:v>
                </c:pt>
                <c:pt idx="373">
                  <c:v>4.7051336972798391E-3</c:v>
                </c:pt>
                <c:pt idx="374">
                  <c:v>5.2484190645161813E-3</c:v>
                </c:pt>
                <c:pt idx="375">
                  <c:v>4.4683001440540973E-3</c:v>
                </c:pt>
                <c:pt idx="376">
                  <c:v>4.7051336972798391E-3</c:v>
                </c:pt>
                <c:pt idx="377">
                  <c:v>4.9904016403792923E-3</c:v>
                </c:pt>
                <c:pt idx="378">
                  <c:v>4.9904016403792923E-3</c:v>
                </c:pt>
                <c:pt idx="379">
                  <c:v>4.9904016403792923E-3</c:v>
                </c:pt>
                <c:pt idx="380">
                  <c:v>2.917680538563657E-3</c:v>
                </c:pt>
                <c:pt idx="381">
                  <c:v>7.9924329711578042E-3</c:v>
                </c:pt>
                <c:pt idx="382">
                  <c:v>5.894097787058938E-3</c:v>
                </c:pt>
                <c:pt idx="383">
                  <c:v>2.8338279190751282E-3</c:v>
                </c:pt>
                <c:pt idx="384">
                  <c:v>6.7306669244870179E-3</c:v>
                </c:pt>
                <c:pt idx="385">
                  <c:v>4.7936307568587693E-3</c:v>
                </c:pt>
                <c:pt idx="386">
                  <c:v>5.5473971239268956E-3</c:v>
                </c:pt>
                <c:pt idx="387">
                  <c:v>4.9971636088268082E-3</c:v>
                </c:pt>
                <c:pt idx="388">
                  <c:v>8.0273792314715757E-3</c:v>
                </c:pt>
                <c:pt idx="389">
                  <c:v>4.7936307568587693E-3</c:v>
                </c:pt>
                <c:pt idx="390">
                  <c:v>4.493585018219501E-3</c:v>
                </c:pt>
                <c:pt idx="391">
                  <c:v>4.6378205086120596E-3</c:v>
                </c:pt>
              </c:numCache>
            </c:numRef>
          </c:xVal>
          <c:yVal>
            <c:numRef>
              <c:f>Regression!RegChartStudResid</c:f>
              <c:numCache>
                <c:formatCode>0.0000</c:formatCode>
                <c:ptCount val="392"/>
                <c:pt idx="0">
                  <c:v>0.35243154659916875</c:v>
                </c:pt>
                <c:pt idx="1">
                  <c:v>0.35520132790581171</c:v>
                </c:pt>
                <c:pt idx="2">
                  <c:v>0.72924770746745926</c:v>
                </c:pt>
                <c:pt idx="3">
                  <c:v>0.29110336652836843</c:v>
                </c:pt>
                <c:pt idx="4">
                  <c:v>0.32164730554922211</c:v>
                </c:pt>
                <c:pt idx="5">
                  <c:v>0.98377764146278912</c:v>
                </c:pt>
                <c:pt idx="6">
                  <c:v>1.1900477645127265</c:v>
                </c:pt>
                <c:pt idx="7">
                  <c:v>1.092204145566714</c:v>
                </c:pt>
                <c:pt idx="8">
                  <c:v>1.2884899056093879</c:v>
                </c:pt>
                <c:pt idx="9">
                  <c:v>0.83022032487102126</c:v>
                </c:pt>
                <c:pt idx="10">
                  <c:v>0.44978299663282789</c:v>
                </c:pt>
                <c:pt idx="11">
                  <c:v>4.1639627292631085E-2</c:v>
                </c:pt>
                <c:pt idx="12">
                  <c:v>7.2031196058822966E-2</c:v>
                </c:pt>
                <c:pt idx="13">
                  <c:v>1.2884899056093879</c:v>
                </c:pt>
                <c:pt idx="14">
                  <c:v>-0.67576611506154949</c:v>
                </c:pt>
                <c:pt idx="15">
                  <c:v>-0.27290036054907113</c:v>
                </c:pt>
                <c:pt idx="16">
                  <c:v>-1.1098835170428225</c:v>
                </c:pt>
                <c:pt idx="17">
                  <c:v>-0.68100477723248198</c:v>
                </c:pt>
                <c:pt idx="18">
                  <c:v>-0.15097695247620252</c:v>
                </c:pt>
                <c:pt idx="19">
                  <c:v>-1.1637554225080031</c:v>
                </c:pt>
                <c:pt idx="20">
                  <c:v>-0.60726829885664901</c:v>
                </c:pt>
                <c:pt idx="21">
                  <c:v>-0.76965211770235342</c:v>
                </c:pt>
                <c:pt idx="22">
                  <c:v>-0.45688189975409549</c:v>
                </c:pt>
                <c:pt idx="23">
                  <c:v>0.10162784818039022</c:v>
                </c:pt>
                <c:pt idx="24">
                  <c:v>-0.58620182918557573</c:v>
                </c:pt>
                <c:pt idx="25">
                  <c:v>0.20547400588399048</c:v>
                </c:pt>
                <c:pt idx="26">
                  <c:v>-8.0502387241465176E-2</c:v>
                </c:pt>
                <c:pt idx="27">
                  <c:v>0.3310846408377961</c:v>
                </c:pt>
                <c:pt idx="28">
                  <c:v>-0.43322913474712527</c:v>
                </c:pt>
                <c:pt idx="29">
                  <c:v>-0.15097695247620252</c:v>
                </c:pt>
                <c:pt idx="30">
                  <c:v>0.10546369916852878</c:v>
                </c:pt>
                <c:pt idx="31">
                  <c:v>-0.45688189975409549</c:v>
                </c:pt>
                <c:pt idx="32">
                  <c:v>-0.83446520795977142</c:v>
                </c:pt>
                <c:pt idx="33">
                  <c:v>-1.3956670734227141</c:v>
                </c:pt>
                <c:pt idx="34">
                  <c:v>-1.2716946723299885</c:v>
                </c:pt>
                <c:pt idx="35">
                  <c:v>-1.061968818424303</c:v>
                </c:pt>
                <c:pt idx="36">
                  <c:v>-1.0530799401448798</c:v>
                </c:pt>
                <c:pt idx="37">
                  <c:v>0.13603141782692912</c:v>
                </c:pt>
                <c:pt idx="38">
                  <c:v>0.32513165167370728</c:v>
                </c:pt>
                <c:pt idx="39">
                  <c:v>-9.0436901951403761E-2</c:v>
                </c:pt>
                <c:pt idx="40">
                  <c:v>-0.14704097441072247</c:v>
                </c:pt>
                <c:pt idx="41">
                  <c:v>-1.9205022324902794E-2</c:v>
                </c:pt>
                <c:pt idx="42">
                  <c:v>1.1245898418594844E-2</c:v>
                </c:pt>
                <c:pt idx="43">
                  <c:v>0.10573124814331297</c:v>
                </c:pt>
                <c:pt idx="44">
                  <c:v>-0.86430702594766007</c:v>
                </c:pt>
                <c:pt idx="45">
                  <c:v>-1.5456137585462526</c:v>
                </c:pt>
                <c:pt idx="46">
                  <c:v>-0.83446520795977142</c:v>
                </c:pt>
                <c:pt idx="47">
                  <c:v>-1.2809066039393426</c:v>
                </c:pt>
                <c:pt idx="48">
                  <c:v>-1.0635056742558247</c:v>
                </c:pt>
                <c:pt idx="49">
                  <c:v>0.10546369916852878</c:v>
                </c:pt>
                <c:pt idx="50">
                  <c:v>0.16610736899485454</c:v>
                </c:pt>
                <c:pt idx="51">
                  <c:v>0.27907787225852959</c:v>
                </c:pt>
                <c:pt idx="52">
                  <c:v>0.29070078214316813</c:v>
                </c:pt>
                <c:pt idx="53">
                  <c:v>1.2407568041047297</c:v>
                </c:pt>
                <c:pt idx="54">
                  <c:v>-0.67876072309281366</c:v>
                </c:pt>
                <c:pt idx="55">
                  <c:v>-0.7086380882596055</c:v>
                </c:pt>
                <c:pt idx="56">
                  <c:v>-0.67576611506154949</c:v>
                </c:pt>
                <c:pt idx="57">
                  <c:v>-0.73891713310851737</c:v>
                </c:pt>
                <c:pt idx="58">
                  <c:v>-1.6683614105691487</c:v>
                </c:pt>
                <c:pt idx="59">
                  <c:v>-1.6447679345732358</c:v>
                </c:pt>
                <c:pt idx="60">
                  <c:v>-1.5009425818703794</c:v>
                </c:pt>
                <c:pt idx="61">
                  <c:v>-8.3138492251953466E-2</c:v>
                </c:pt>
                <c:pt idx="62">
                  <c:v>0.32513165167370728</c:v>
                </c:pt>
                <c:pt idx="63">
                  <c:v>7.2031196058822966E-2</c:v>
                </c:pt>
                <c:pt idx="64">
                  <c:v>-9.0436901951403761E-2</c:v>
                </c:pt>
                <c:pt idx="65">
                  <c:v>0.51017553699791385</c:v>
                </c:pt>
                <c:pt idx="66">
                  <c:v>0.29276767691947903</c:v>
                </c:pt>
                <c:pt idx="67">
                  <c:v>-0.27177542663229604</c:v>
                </c:pt>
                <c:pt idx="68">
                  <c:v>-0.39656907756226206</c:v>
                </c:pt>
                <c:pt idx="69">
                  <c:v>0.39022574866526683</c:v>
                </c:pt>
                <c:pt idx="70">
                  <c:v>-2.1644452901855202</c:v>
                </c:pt>
                <c:pt idx="71">
                  <c:v>7.2031196058822966E-2</c:v>
                </c:pt>
                <c:pt idx="72">
                  <c:v>-0.74458779360466054</c:v>
                </c:pt>
                <c:pt idx="73">
                  <c:v>-0.55504000935819897</c:v>
                </c:pt>
                <c:pt idx="74">
                  <c:v>-0.14704097441072247</c:v>
                </c:pt>
                <c:pt idx="75">
                  <c:v>-1.6732228663761315</c:v>
                </c:pt>
                <c:pt idx="76">
                  <c:v>-1.4701947618363536</c:v>
                </c:pt>
                <c:pt idx="77">
                  <c:v>-1.4821947264715534</c:v>
                </c:pt>
                <c:pt idx="78">
                  <c:v>-0.72750270223370062</c:v>
                </c:pt>
                <c:pt idx="79">
                  <c:v>-1.2822241280631019</c:v>
                </c:pt>
                <c:pt idx="80">
                  <c:v>0.14317304990868077</c:v>
                </c:pt>
                <c:pt idx="81">
                  <c:v>-0.85714885799950735</c:v>
                </c:pt>
                <c:pt idx="82">
                  <c:v>-8.2915841181284339E-2</c:v>
                </c:pt>
                <c:pt idx="83">
                  <c:v>-0.15097695247620252</c:v>
                </c:pt>
                <c:pt idx="84">
                  <c:v>0.10573124814331297</c:v>
                </c:pt>
                <c:pt idx="85">
                  <c:v>-0.14704097441072247</c:v>
                </c:pt>
                <c:pt idx="86">
                  <c:v>-0.46052044583529883</c:v>
                </c:pt>
                <c:pt idx="87">
                  <c:v>-0.39259596712187428</c:v>
                </c:pt>
                <c:pt idx="88">
                  <c:v>7.2031196058822966E-2</c:v>
                </c:pt>
                <c:pt idx="89">
                  <c:v>0.3224545455949826</c:v>
                </c:pt>
                <c:pt idx="90">
                  <c:v>-0.36611314488026792</c:v>
                </c:pt>
                <c:pt idx="91">
                  <c:v>-0.21518848608563401</c:v>
                </c:pt>
                <c:pt idx="92">
                  <c:v>-0.14704097441072247</c:v>
                </c:pt>
                <c:pt idx="93">
                  <c:v>0.87052161064603317</c:v>
                </c:pt>
                <c:pt idx="94">
                  <c:v>0.8432716924701481</c:v>
                </c:pt>
                <c:pt idx="95">
                  <c:v>0.10573124814331297</c:v>
                </c:pt>
                <c:pt idx="96">
                  <c:v>-0.95859483949228097</c:v>
                </c:pt>
                <c:pt idx="97">
                  <c:v>-1.4903094045150971</c:v>
                </c:pt>
                <c:pt idx="98">
                  <c:v>-1.0530799401448798</c:v>
                </c:pt>
                <c:pt idx="99">
                  <c:v>-1.2809066039393426</c:v>
                </c:pt>
                <c:pt idx="100">
                  <c:v>-5.4174150136665843E-2</c:v>
                </c:pt>
                <c:pt idx="101">
                  <c:v>-1.1637554225080031</c:v>
                </c:pt>
                <c:pt idx="102">
                  <c:v>-0.80425748581935874</c:v>
                </c:pt>
                <c:pt idx="103">
                  <c:v>-0.26459949626391299</c:v>
                </c:pt>
                <c:pt idx="104">
                  <c:v>1.1245898418594844E-2</c:v>
                </c:pt>
                <c:pt idx="105">
                  <c:v>-1.9205022324902794E-2</c:v>
                </c:pt>
                <c:pt idx="106">
                  <c:v>-1.0530799401448798</c:v>
                </c:pt>
                <c:pt idx="107">
                  <c:v>-1.6821994714415485</c:v>
                </c:pt>
                <c:pt idx="108">
                  <c:v>-1.7642857847409479</c:v>
                </c:pt>
                <c:pt idx="109">
                  <c:v>-1.1322632369526964</c:v>
                </c:pt>
                <c:pt idx="110">
                  <c:v>-2.5133548803803922</c:v>
                </c:pt>
                <c:pt idx="111">
                  <c:v>-1.9571105263772794</c:v>
                </c:pt>
                <c:pt idx="112">
                  <c:v>-0.26531688637162615</c:v>
                </c:pt>
                <c:pt idx="113">
                  <c:v>-0.33209420926691235</c:v>
                </c:pt>
                <c:pt idx="114">
                  <c:v>-2.2309440680360997E-2</c:v>
                </c:pt>
                <c:pt idx="115">
                  <c:v>1.8338409920627767</c:v>
                </c:pt>
                <c:pt idx="116">
                  <c:v>-0.44905782636707342</c:v>
                </c:pt>
                <c:pt idx="117">
                  <c:v>-1.0517145886062083</c:v>
                </c:pt>
                <c:pt idx="118">
                  <c:v>-1.6260625932235175</c:v>
                </c:pt>
                <c:pt idx="119">
                  <c:v>-1.4537322269517876</c:v>
                </c:pt>
                <c:pt idx="120">
                  <c:v>7.2031196058822966E-2</c:v>
                </c:pt>
                <c:pt idx="121">
                  <c:v>-0.39392179191486232</c:v>
                </c:pt>
                <c:pt idx="122">
                  <c:v>-0.20154002715469738</c:v>
                </c:pt>
                <c:pt idx="123">
                  <c:v>-0.23877067532347371</c:v>
                </c:pt>
                <c:pt idx="124">
                  <c:v>-0.71035278137388169</c:v>
                </c:pt>
                <c:pt idx="125">
                  <c:v>-0.83446520795977142</c:v>
                </c:pt>
                <c:pt idx="126">
                  <c:v>-1.7089241367002055</c:v>
                </c:pt>
                <c:pt idx="127">
                  <c:v>0.32833812645198651</c:v>
                </c:pt>
                <c:pt idx="128">
                  <c:v>-0.52025003579943963</c:v>
                </c:pt>
                <c:pt idx="129">
                  <c:v>0.5094459562855943</c:v>
                </c:pt>
                <c:pt idx="130">
                  <c:v>-0.83305423820524749</c:v>
                </c:pt>
                <c:pt idx="131">
                  <c:v>-1.4903094045150971</c:v>
                </c:pt>
                <c:pt idx="132">
                  <c:v>-1.3012875432514226</c:v>
                </c:pt>
                <c:pt idx="133">
                  <c:v>-0.95859483949228097</c:v>
                </c:pt>
                <c:pt idx="134">
                  <c:v>0.10247547682236685</c:v>
                </c:pt>
                <c:pt idx="135">
                  <c:v>-0.36611314488026792</c:v>
                </c:pt>
                <c:pt idx="136">
                  <c:v>-0.14704097441072247</c:v>
                </c:pt>
                <c:pt idx="137">
                  <c:v>-0.33586818063134366</c:v>
                </c:pt>
                <c:pt idx="138">
                  <c:v>-0.14704097441072247</c:v>
                </c:pt>
                <c:pt idx="139">
                  <c:v>0.19226632799068005</c:v>
                </c:pt>
                <c:pt idx="140">
                  <c:v>-0.76525042661573339</c:v>
                </c:pt>
                <c:pt idx="141">
                  <c:v>-0.55789824447052005</c:v>
                </c:pt>
                <c:pt idx="142">
                  <c:v>4.5854344299489626E-2</c:v>
                </c:pt>
                <c:pt idx="143">
                  <c:v>0.43422913739196117</c:v>
                </c:pt>
                <c:pt idx="144">
                  <c:v>-0.17707318700236546</c:v>
                </c:pt>
                <c:pt idx="145">
                  <c:v>-1.0517145886062083</c:v>
                </c:pt>
                <c:pt idx="146">
                  <c:v>-0.61439388780428683</c:v>
                </c:pt>
                <c:pt idx="147">
                  <c:v>-0.63821328995704207</c:v>
                </c:pt>
                <c:pt idx="148">
                  <c:v>-0.27564218684348796</c:v>
                </c:pt>
                <c:pt idx="149">
                  <c:v>0.32833812645198651</c:v>
                </c:pt>
                <c:pt idx="150">
                  <c:v>-0.92907899178628706</c:v>
                </c:pt>
                <c:pt idx="151">
                  <c:v>-0.95859483949228097</c:v>
                </c:pt>
                <c:pt idx="152">
                  <c:v>-2.2468801609092361</c:v>
                </c:pt>
                <c:pt idx="153">
                  <c:v>-2.2468801609092361</c:v>
                </c:pt>
                <c:pt idx="154">
                  <c:v>0.66905154573994441</c:v>
                </c:pt>
                <c:pt idx="155">
                  <c:v>-2.2309440680360997E-2</c:v>
                </c:pt>
                <c:pt idx="156">
                  <c:v>0.29110336652836843</c:v>
                </c:pt>
                <c:pt idx="157">
                  <c:v>-0.18478378093408979</c:v>
                </c:pt>
                <c:pt idx="158">
                  <c:v>-1.0827972845995413</c:v>
                </c:pt>
                <c:pt idx="159">
                  <c:v>-1.3956670734227141</c:v>
                </c:pt>
                <c:pt idx="160">
                  <c:v>-1.5197778019033039</c:v>
                </c:pt>
                <c:pt idx="161">
                  <c:v>-1.1478052021986924</c:v>
                </c:pt>
                <c:pt idx="162">
                  <c:v>-0.20883624999201611</c:v>
                </c:pt>
                <c:pt idx="163">
                  <c:v>0.41495228618534152</c:v>
                </c:pt>
                <c:pt idx="164">
                  <c:v>-0.76359003832862615</c:v>
                </c:pt>
                <c:pt idx="165">
                  <c:v>4.1587163398595209E-2</c:v>
                </c:pt>
                <c:pt idx="166">
                  <c:v>-1.1198549075803419</c:v>
                </c:pt>
                <c:pt idx="167">
                  <c:v>-0.61585047577466279</c:v>
                </c:pt>
                <c:pt idx="168">
                  <c:v>-1.2138796474341278</c:v>
                </c:pt>
                <c:pt idx="169">
                  <c:v>-0.65698992744513074</c:v>
                </c:pt>
                <c:pt idx="170">
                  <c:v>-0.90845772512271084</c:v>
                </c:pt>
                <c:pt idx="171">
                  <c:v>-0.63821328995704207</c:v>
                </c:pt>
                <c:pt idx="172">
                  <c:v>-1.1098835170428225</c:v>
                </c:pt>
                <c:pt idx="173">
                  <c:v>-5.2578995318760473E-2</c:v>
                </c:pt>
                <c:pt idx="174">
                  <c:v>-1.0239432340852617</c:v>
                </c:pt>
                <c:pt idx="175">
                  <c:v>-0.89465033036900343</c:v>
                </c:pt>
                <c:pt idx="176">
                  <c:v>-1.0259612490278287</c:v>
                </c:pt>
                <c:pt idx="177">
                  <c:v>-1.0573623275614561</c:v>
                </c:pt>
                <c:pt idx="178">
                  <c:v>-8.0131687892265116E-2</c:v>
                </c:pt>
                <c:pt idx="179">
                  <c:v>0.50275213888896431</c:v>
                </c:pt>
                <c:pt idx="180">
                  <c:v>3.0086594780562279E-2</c:v>
                </c:pt>
                <c:pt idx="181">
                  <c:v>-0.72010196089208145</c:v>
                </c:pt>
                <c:pt idx="182">
                  <c:v>-0.51327825356431145</c:v>
                </c:pt>
                <c:pt idx="183">
                  <c:v>-0.53907281029913701</c:v>
                </c:pt>
                <c:pt idx="184">
                  <c:v>-0.24510741719966056</c:v>
                </c:pt>
                <c:pt idx="185">
                  <c:v>0.43123321991264973</c:v>
                </c:pt>
                <c:pt idx="186">
                  <c:v>0.29110336652836843</c:v>
                </c:pt>
                <c:pt idx="187">
                  <c:v>-0.38568003244594273</c:v>
                </c:pt>
                <c:pt idx="188">
                  <c:v>2.3000365133047466E-4</c:v>
                </c:pt>
                <c:pt idx="189">
                  <c:v>-0.17862101140444575</c:v>
                </c:pt>
                <c:pt idx="190">
                  <c:v>-8.4450371631414528E-2</c:v>
                </c:pt>
                <c:pt idx="191">
                  <c:v>-9.9396544937197254E-2</c:v>
                </c:pt>
                <c:pt idx="192">
                  <c:v>-0.25789577551081128</c:v>
                </c:pt>
                <c:pt idx="193">
                  <c:v>-0.39225018124211614</c:v>
                </c:pt>
                <c:pt idx="194">
                  <c:v>-1.2258528713675785</c:v>
                </c:pt>
                <c:pt idx="195">
                  <c:v>-5.2578995318760473E-2</c:v>
                </c:pt>
                <c:pt idx="196">
                  <c:v>0.50275213888896431</c:v>
                </c:pt>
                <c:pt idx="197">
                  <c:v>-0.61585047577466279</c:v>
                </c:pt>
                <c:pt idx="198">
                  <c:v>-1.4722552026101394</c:v>
                </c:pt>
                <c:pt idx="199">
                  <c:v>-0.75506189662171941</c:v>
                </c:pt>
                <c:pt idx="200">
                  <c:v>-1.2571683074048949</c:v>
                </c:pt>
                <c:pt idx="201">
                  <c:v>7.5595703157523106E-2</c:v>
                </c:pt>
                <c:pt idx="202">
                  <c:v>0.60348009762208454</c:v>
                </c:pt>
                <c:pt idx="203">
                  <c:v>-0.17707318700236546</c:v>
                </c:pt>
                <c:pt idx="204">
                  <c:v>-0.5615896406701244</c:v>
                </c:pt>
                <c:pt idx="205">
                  <c:v>-1.4206601870120885</c:v>
                </c:pt>
                <c:pt idx="206">
                  <c:v>-0.36611314488026792</c:v>
                </c:pt>
                <c:pt idx="207">
                  <c:v>-1.9009455455794548</c:v>
                </c:pt>
                <c:pt idx="208">
                  <c:v>-0.68349652954978846</c:v>
                </c:pt>
                <c:pt idx="209">
                  <c:v>-1.0038982760201329</c:v>
                </c:pt>
                <c:pt idx="210">
                  <c:v>0.96884041616866634</c:v>
                </c:pt>
                <c:pt idx="211">
                  <c:v>-0.46052044583529883</c:v>
                </c:pt>
                <c:pt idx="212">
                  <c:v>-0.74458779360466054</c:v>
                </c:pt>
                <c:pt idx="213">
                  <c:v>-0.36611314488026792</c:v>
                </c:pt>
                <c:pt idx="214">
                  <c:v>0.45650935303935508</c:v>
                </c:pt>
                <c:pt idx="215">
                  <c:v>0.354418353436871</c:v>
                </c:pt>
                <c:pt idx="216">
                  <c:v>1.2533395036684445</c:v>
                </c:pt>
                <c:pt idx="217">
                  <c:v>-0.32862608274858007</c:v>
                </c:pt>
                <c:pt idx="218">
                  <c:v>0.93150964409250714</c:v>
                </c:pt>
                <c:pt idx="219">
                  <c:v>0.52545431576331125</c:v>
                </c:pt>
                <c:pt idx="220">
                  <c:v>-0.24586038402592467</c:v>
                </c:pt>
                <c:pt idx="221">
                  <c:v>8.7243310608373453E-2</c:v>
                </c:pt>
                <c:pt idx="222">
                  <c:v>-0.30578005752312881</c:v>
                </c:pt>
                <c:pt idx="223">
                  <c:v>-0.97355215527360073</c:v>
                </c:pt>
                <c:pt idx="224">
                  <c:v>-0.41225454707923942</c:v>
                </c:pt>
                <c:pt idx="225">
                  <c:v>-0.83446520795977142</c:v>
                </c:pt>
                <c:pt idx="226">
                  <c:v>-0.98161112479142443</c:v>
                </c:pt>
                <c:pt idx="227">
                  <c:v>0.85905758966938084</c:v>
                </c:pt>
                <c:pt idx="228">
                  <c:v>0.55941727118638618</c:v>
                </c:pt>
                <c:pt idx="229">
                  <c:v>0.94021896892245982</c:v>
                </c:pt>
                <c:pt idx="230">
                  <c:v>0.27224092558452889</c:v>
                </c:pt>
                <c:pt idx="231">
                  <c:v>9.8083158493087505E-2</c:v>
                </c:pt>
                <c:pt idx="232">
                  <c:v>-0.69784213782096893</c:v>
                </c:pt>
                <c:pt idx="233">
                  <c:v>-0.61439388780428683</c:v>
                </c:pt>
                <c:pt idx="234">
                  <c:v>-0.46028990667948183</c:v>
                </c:pt>
                <c:pt idx="235">
                  <c:v>0.14367111182576714</c:v>
                </c:pt>
                <c:pt idx="236">
                  <c:v>1.1763572546689465</c:v>
                </c:pt>
                <c:pt idx="237">
                  <c:v>0.10962041583844254</c:v>
                </c:pt>
                <c:pt idx="238">
                  <c:v>0.42607385997489128</c:v>
                </c:pt>
                <c:pt idx="239">
                  <c:v>-0.23517284937736221</c:v>
                </c:pt>
                <c:pt idx="240">
                  <c:v>-0.94241973589503336</c:v>
                </c:pt>
                <c:pt idx="241">
                  <c:v>-1.3728448120257164</c:v>
                </c:pt>
                <c:pt idx="242">
                  <c:v>2.6225941881597925</c:v>
                </c:pt>
                <c:pt idx="243">
                  <c:v>1.4250467123585293</c:v>
                </c:pt>
                <c:pt idx="244">
                  <c:v>0.44014841728693421</c:v>
                </c:pt>
                <c:pt idx="245">
                  <c:v>2.2217591935428351</c:v>
                </c:pt>
                <c:pt idx="246">
                  <c:v>1.3126546966273303</c:v>
                </c:pt>
                <c:pt idx="247">
                  <c:v>0.39292519717829899</c:v>
                </c:pt>
                <c:pt idx="248">
                  <c:v>0.8476596944936744</c:v>
                </c:pt>
                <c:pt idx="249">
                  <c:v>1.0042000715035722</c:v>
                </c:pt>
                <c:pt idx="250">
                  <c:v>-0.69635149913402117</c:v>
                </c:pt>
                <c:pt idx="251">
                  <c:v>-0.60098967616767907</c:v>
                </c:pt>
                <c:pt idx="252">
                  <c:v>-0.85624350072879274</c:v>
                </c:pt>
                <c:pt idx="253">
                  <c:v>-0.56659449333822465</c:v>
                </c:pt>
                <c:pt idx="254">
                  <c:v>-0.50654310968210858</c:v>
                </c:pt>
                <c:pt idx="255">
                  <c:v>-0.93639495310532472</c:v>
                </c:pt>
                <c:pt idx="256">
                  <c:v>-0.39040093538271747</c:v>
                </c:pt>
                <c:pt idx="257">
                  <c:v>-0.72481445810655942</c:v>
                </c:pt>
                <c:pt idx="258">
                  <c:v>-0.73321287075653097</c:v>
                </c:pt>
                <c:pt idx="259">
                  <c:v>-0.6543037006170267</c:v>
                </c:pt>
                <c:pt idx="260">
                  <c:v>0.89793367014500824</c:v>
                </c:pt>
                <c:pt idx="261">
                  <c:v>0.10590320217733296</c:v>
                </c:pt>
                <c:pt idx="262">
                  <c:v>0.54390304473768591</c:v>
                </c:pt>
                <c:pt idx="263">
                  <c:v>0.43123321991264973</c:v>
                </c:pt>
                <c:pt idx="264">
                  <c:v>0.12845042911501287</c:v>
                </c:pt>
                <c:pt idx="265">
                  <c:v>9.0328638514539469E-2</c:v>
                </c:pt>
                <c:pt idx="266">
                  <c:v>6.2380527778846714E-2</c:v>
                </c:pt>
                <c:pt idx="267">
                  <c:v>0.45704182916042019</c:v>
                </c:pt>
                <c:pt idx="268">
                  <c:v>-1.3105303394531658</c:v>
                </c:pt>
                <c:pt idx="269">
                  <c:v>-0.66329866092594092</c:v>
                </c:pt>
                <c:pt idx="270">
                  <c:v>-0.90731877851447384</c:v>
                </c:pt>
                <c:pt idx="271">
                  <c:v>-0.66010684676128883</c:v>
                </c:pt>
                <c:pt idx="272">
                  <c:v>-0.91303866455275395</c:v>
                </c:pt>
                <c:pt idx="273">
                  <c:v>-0.80075190092835813</c:v>
                </c:pt>
                <c:pt idx="274">
                  <c:v>-0.82690090618220891</c:v>
                </c:pt>
                <c:pt idx="275">
                  <c:v>-0.82558485889031452</c:v>
                </c:pt>
                <c:pt idx="276">
                  <c:v>0.51295278239318265</c:v>
                </c:pt>
                <c:pt idx="277">
                  <c:v>1.9097454473565451E-2</c:v>
                </c:pt>
                <c:pt idx="278">
                  <c:v>-5.5041300863685741E-3</c:v>
                </c:pt>
                <c:pt idx="279">
                  <c:v>-0.94386286247694762</c:v>
                </c:pt>
                <c:pt idx="280">
                  <c:v>-1.1790835009243632</c:v>
                </c:pt>
                <c:pt idx="281">
                  <c:v>-0.76129839114545028</c:v>
                </c:pt>
                <c:pt idx="282">
                  <c:v>-0.29623235345276833</c:v>
                </c:pt>
                <c:pt idx="283">
                  <c:v>0.13302767855840289</c:v>
                </c:pt>
                <c:pt idx="284">
                  <c:v>0.24580817985276052</c:v>
                </c:pt>
                <c:pt idx="285">
                  <c:v>0.17433779010380832</c:v>
                </c:pt>
                <c:pt idx="286">
                  <c:v>0.49049571625480209</c:v>
                </c:pt>
                <c:pt idx="287">
                  <c:v>0.58260454367833525</c:v>
                </c:pt>
                <c:pt idx="288">
                  <c:v>3.0637362277204226E-2</c:v>
                </c:pt>
                <c:pt idx="289">
                  <c:v>0.5216305429482796</c:v>
                </c:pt>
                <c:pt idx="290">
                  <c:v>0.83878379270223202</c:v>
                </c:pt>
                <c:pt idx="291">
                  <c:v>0.60042419824031423</c:v>
                </c:pt>
                <c:pt idx="292">
                  <c:v>0.96881082198468971</c:v>
                </c:pt>
                <c:pt idx="293">
                  <c:v>1.6008208080986144</c:v>
                </c:pt>
                <c:pt idx="294">
                  <c:v>-0.21411609956673125</c:v>
                </c:pt>
                <c:pt idx="295">
                  <c:v>-0.28818348187427234</c:v>
                </c:pt>
                <c:pt idx="296">
                  <c:v>1.3559961515397421</c:v>
                </c:pt>
                <c:pt idx="297">
                  <c:v>-0.42736493796348551</c:v>
                </c:pt>
                <c:pt idx="298">
                  <c:v>0.90036849601018865</c:v>
                </c:pt>
                <c:pt idx="299">
                  <c:v>1.0845900991120383</c:v>
                </c:pt>
                <c:pt idx="300">
                  <c:v>1.150196008406122</c:v>
                </c:pt>
                <c:pt idx="301">
                  <c:v>0.46569692145710928</c:v>
                </c:pt>
                <c:pt idx="302">
                  <c:v>1.7437564557245502</c:v>
                </c:pt>
                <c:pt idx="303">
                  <c:v>0.19297528085561669</c:v>
                </c:pt>
                <c:pt idx="304">
                  <c:v>1.5893786666815362</c:v>
                </c:pt>
                <c:pt idx="305">
                  <c:v>1.1524244757862199</c:v>
                </c:pt>
                <c:pt idx="306">
                  <c:v>1.308747947365992</c:v>
                </c:pt>
                <c:pt idx="307">
                  <c:v>2.7936572837699241</c:v>
                </c:pt>
                <c:pt idx="308">
                  <c:v>1.7503284152471421</c:v>
                </c:pt>
                <c:pt idx="309">
                  <c:v>0.62534873405344638</c:v>
                </c:pt>
                <c:pt idx="310">
                  <c:v>1.6469208618262112</c:v>
                </c:pt>
                <c:pt idx="311">
                  <c:v>0.10546369916852878</c:v>
                </c:pt>
                <c:pt idx="312">
                  <c:v>-0.28222459695894675</c:v>
                </c:pt>
                <c:pt idx="313">
                  <c:v>-0.70401843143703713</c:v>
                </c:pt>
                <c:pt idx="314">
                  <c:v>-1.002056163840277</c:v>
                </c:pt>
                <c:pt idx="315">
                  <c:v>1.256983637062127</c:v>
                </c:pt>
                <c:pt idx="316">
                  <c:v>0.49926581676042597</c:v>
                </c:pt>
                <c:pt idx="317">
                  <c:v>0.54450596932080497</c:v>
                </c:pt>
                <c:pt idx="318">
                  <c:v>2.1125269603276573</c:v>
                </c:pt>
                <c:pt idx="319">
                  <c:v>0.74130028468166997</c:v>
                </c:pt>
                <c:pt idx="320">
                  <c:v>3.7031254987650177</c:v>
                </c:pt>
                <c:pt idx="321">
                  <c:v>0.36691368464691465</c:v>
                </c:pt>
                <c:pt idx="322">
                  <c:v>2.4344034887389445</c:v>
                </c:pt>
                <c:pt idx="323">
                  <c:v>2.8856244344914175</c:v>
                </c:pt>
                <c:pt idx="324">
                  <c:v>2.6883517497426985</c:v>
                </c:pt>
                <c:pt idx="325">
                  <c:v>1.9318373510721396</c:v>
                </c:pt>
                <c:pt idx="326">
                  <c:v>0.10962041583844254</c:v>
                </c:pt>
                <c:pt idx="327">
                  <c:v>3.302898990796185</c:v>
                </c:pt>
                <c:pt idx="328">
                  <c:v>0.94074771616990915</c:v>
                </c:pt>
                <c:pt idx="329">
                  <c:v>-2.8317893867576063E-2</c:v>
                </c:pt>
                <c:pt idx="330">
                  <c:v>2.7638415002905243</c:v>
                </c:pt>
                <c:pt idx="331">
                  <c:v>-1.0740189788333998</c:v>
                </c:pt>
                <c:pt idx="332">
                  <c:v>1.5989916406270499</c:v>
                </c:pt>
                <c:pt idx="333">
                  <c:v>0.72857531387857688</c:v>
                </c:pt>
                <c:pt idx="334">
                  <c:v>-0.1825434690281979</c:v>
                </c:pt>
                <c:pt idx="335">
                  <c:v>-0.31376112138228479</c:v>
                </c:pt>
                <c:pt idx="336">
                  <c:v>-0.33822457263818001</c:v>
                </c:pt>
                <c:pt idx="337">
                  <c:v>0.33738939663768719</c:v>
                </c:pt>
                <c:pt idx="338">
                  <c:v>0.42980557529087654</c:v>
                </c:pt>
                <c:pt idx="339">
                  <c:v>1.9318760743916459</c:v>
                </c:pt>
                <c:pt idx="340">
                  <c:v>2.0219680354097753</c:v>
                </c:pt>
                <c:pt idx="341">
                  <c:v>1.0938178373174243</c:v>
                </c:pt>
                <c:pt idx="342">
                  <c:v>0.61267115024959307</c:v>
                </c:pt>
                <c:pt idx="343">
                  <c:v>1.6031718269977255</c:v>
                </c:pt>
                <c:pt idx="344">
                  <c:v>1.7001723489453782</c:v>
                </c:pt>
                <c:pt idx="345">
                  <c:v>1.0251448211748819</c:v>
                </c:pt>
                <c:pt idx="346">
                  <c:v>1.0625382801746825</c:v>
                </c:pt>
                <c:pt idx="347">
                  <c:v>1.0344343742274169</c:v>
                </c:pt>
                <c:pt idx="348">
                  <c:v>5.0081090586498962E-2</c:v>
                </c:pt>
                <c:pt idx="349">
                  <c:v>0.89740717853184337</c:v>
                </c:pt>
                <c:pt idx="350">
                  <c:v>1.0692908102831109</c:v>
                </c:pt>
                <c:pt idx="351">
                  <c:v>0.78503235476186117</c:v>
                </c:pt>
                <c:pt idx="352">
                  <c:v>1.3674233086945626</c:v>
                </c:pt>
                <c:pt idx="353">
                  <c:v>0.59127907396769319</c:v>
                </c:pt>
                <c:pt idx="354">
                  <c:v>-6.1049131450376271E-2</c:v>
                </c:pt>
                <c:pt idx="355">
                  <c:v>1.2763278411485941</c:v>
                </c:pt>
                <c:pt idx="356">
                  <c:v>0.86537784369284332</c:v>
                </c:pt>
                <c:pt idx="357">
                  <c:v>0.67852561810731449</c:v>
                </c:pt>
                <c:pt idx="358">
                  <c:v>9.7050112120617413E-2</c:v>
                </c:pt>
                <c:pt idx="359">
                  <c:v>1.776321819299205</c:v>
                </c:pt>
                <c:pt idx="360">
                  <c:v>-0.79924347580625543</c:v>
                </c:pt>
                <c:pt idx="361">
                  <c:v>-1.4257693520918016</c:v>
                </c:pt>
                <c:pt idx="362">
                  <c:v>6.776912166170404E-2</c:v>
                </c:pt>
                <c:pt idx="363">
                  <c:v>-0.15097695247620252</c:v>
                </c:pt>
                <c:pt idx="364">
                  <c:v>1.3802455664891433</c:v>
                </c:pt>
                <c:pt idx="365">
                  <c:v>0.66736884327973411</c:v>
                </c:pt>
                <c:pt idx="366">
                  <c:v>0.21110948803406429</c:v>
                </c:pt>
                <c:pt idx="367">
                  <c:v>-0.11331525504919178</c:v>
                </c:pt>
                <c:pt idx="368">
                  <c:v>-0.73209535472197551</c:v>
                </c:pt>
                <c:pt idx="369">
                  <c:v>1.5533959740264518</c:v>
                </c:pt>
                <c:pt idx="370">
                  <c:v>1.6593920740952766</c:v>
                </c:pt>
                <c:pt idx="371">
                  <c:v>0.34715637839790769</c:v>
                </c:pt>
                <c:pt idx="372">
                  <c:v>1.784505341020258</c:v>
                </c:pt>
                <c:pt idx="373">
                  <c:v>1.4782255548765446</c:v>
                </c:pt>
                <c:pt idx="374">
                  <c:v>1.8177377147649565</c:v>
                </c:pt>
                <c:pt idx="375">
                  <c:v>1.5722096162053198</c:v>
                </c:pt>
                <c:pt idx="376">
                  <c:v>1.0408528262493146</c:v>
                </c:pt>
                <c:pt idx="377">
                  <c:v>1.8593621007467944</c:v>
                </c:pt>
                <c:pt idx="378">
                  <c:v>0.54705583706553051</c:v>
                </c:pt>
                <c:pt idx="379">
                  <c:v>1.8593621007467944</c:v>
                </c:pt>
                <c:pt idx="380">
                  <c:v>0.66512478461550917</c:v>
                </c:pt>
                <c:pt idx="381">
                  <c:v>3.0428180970641172</c:v>
                </c:pt>
                <c:pt idx="382">
                  <c:v>-0.29446115240664739</c:v>
                </c:pt>
                <c:pt idx="383">
                  <c:v>4.7286683926876731E-2</c:v>
                </c:pt>
                <c:pt idx="384">
                  <c:v>1.0942839109364728</c:v>
                </c:pt>
                <c:pt idx="385">
                  <c:v>1.74198209883175</c:v>
                </c:pt>
                <c:pt idx="386">
                  <c:v>-0.11331525504919178</c:v>
                </c:pt>
                <c:pt idx="387">
                  <c:v>-0.18863185902671509</c:v>
                </c:pt>
                <c:pt idx="388">
                  <c:v>2.8935337603199272</c:v>
                </c:pt>
                <c:pt idx="389">
                  <c:v>0.86719774980450104</c:v>
                </c:pt>
                <c:pt idx="390">
                  <c:v>-0.1017465557767618</c:v>
                </c:pt>
                <c:pt idx="391">
                  <c:v>0.61078373474846026</c:v>
                </c:pt>
              </c:numCache>
            </c:numRef>
          </c:yVal>
          <c:smooth val="0"/>
          <c:extLst>
            <c:ext xmlns:c16="http://schemas.microsoft.com/office/drawing/2014/chart" uri="{C3380CC4-5D6E-409C-BE32-E72D297353CC}">
              <c16:uniqueId val="{00000001-7971-410F-87AA-73E276818B29}"/>
            </c:ext>
          </c:extLst>
        </c:ser>
        <c:dLbls>
          <c:showLegendKey val="0"/>
          <c:showVal val="0"/>
          <c:showCatName val="0"/>
          <c:showSerName val="0"/>
          <c:showPercent val="0"/>
          <c:showBubbleSize val="0"/>
        </c:dLbls>
        <c:axId val="398452623"/>
        <c:axId val="392118767"/>
      </c:scatterChart>
      <c:valAx>
        <c:axId val="398452623"/>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392118767"/>
        <c:crosses val="autoZero"/>
        <c:crossBetween val="midCat"/>
      </c:valAx>
      <c:valAx>
        <c:axId val="392118767"/>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39845262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1.6245155868820127</c:v>
                </c:pt>
                <c:pt idx="1">
                  <c:v>1.6355368638358954</c:v>
                </c:pt>
                <c:pt idx="2">
                  <c:v>3.3563489795338635</c:v>
                </c:pt>
                <c:pt idx="3">
                  <c:v>1.3397978179176648</c:v>
                </c:pt>
                <c:pt idx="4">
                  <c:v>1.481049166527117</c:v>
                </c:pt>
                <c:pt idx="5">
                  <c:v>4.5561101016191019</c:v>
                </c:pt>
                <c:pt idx="6">
                  <c:v>5.5535535307208912</c:v>
                </c:pt>
                <c:pt idx="7">
                  <c:v>5.0867468713563486</c:v>
                </c:pt>
                <c:pt idx="8">
                  <c:v>6.0259951008402979</c:v>
                </c:pt>
                <c:pt idx="9">
                  <c:v>3.8372095414634408</c:v>
                </c:pt>
                <c:pt idx="10">
                  <c:v>2.071973533284265</c:v>
                </c:pt>
                <c:pt idx="11">
                  <c:v>0.19167376136372005</c:v>
                </c:pt>
                <c:pt idx="12">
                  <c:v>0.33152223710956552</c:v>
                </c:pt>
                <c:pt idx="13">
                  <c:v>6.0259951008402979</c:v>
                </c:pt>
                <c:pt idx="14">
                  <c:v>-3.107532519405702</c:v>
                </c:pt>
                <c:pt idx="15">
                  <c:v>-1.2540353099301564</c:v>
                </c:pt>
                <c:pt idx="16">
                  <c:v>-5.099019355822791</c:v>
                </c:pt>
                <c:pt idx="17">
                  <c:v>-3.1339717658376238</c:v>
                </c:pt>
                <c:pt idx="18">
                  <c:v>-0.69383427395778063</c:v>
                </c:pt>
                <c:pt idx="19">
                  <c:v>-5.3609921860049683</c:v>
                </c:pt>
                <c:pt idx="20">
                  <c:v>-2.7905960868690372</c:v>
                </c:pt>
                <c:pt idx="21">
                  <c:v>-3.5375683347360445</c:v>
                </c:pt>
                <c:pt idx="22">
                  <c:v>-2.1009863166702183</c:v>
                </c:pt>
                <c:pt idx="23">
                  <c:v>0.46873572695207605</c:v>
                </c:pt>
                <c:pt idx="24">
                  <c:v>-2.6955018121961762</c:v>
                </c:pt>
                <c:pt idx="25">
                  <c:v>0.956958697527304</c:v>
                </c:pt>
                <c:pt idx="26">
                  <c:v>-0.37303692994007792</c:v>
                </c:pt>
                <c:pt idx="27">
                  <c:v>1.5391295045778604</c:v>
                </c:pt>
                <c:pt idx="28">
                  <c:v>-2.003769566934579</c:v>
                </c:pt>
                <c:pt idx="29">
                  <c:v>-0.69383427395778063</c:v>
                </c:pt>
                <c:pt idx="30">
                  <c:v>0.48474503488210791</c:v>
                </c:pt>
                <c:pt idx="31">
                  <c:v>-2.1009863166702183</c:v>
                </c:pt>
                <c:pt idx="32">
                  <c:v>-3.8325910959504919</c:v>
                </c:pt>
                <c:pt idx="33">
                  <c:v>-6.4078137783977915</c:v>
                </c:pt>
                <c:pt idx="34">
                  <c:v>-5.8407296451052959</c:v>
                </c:pt>
                <c:pt idx="35">
                  <c:v>-4.8846934445293515</c:v>
                </c:pt>
                <c:pt idx="36">
                  <c:v>-4.8366603705278939</c:v>
                </c:pt>
                <c:pt idx="37">
                  <c:v>0.62636139286844639</c:v>
                </c:pt>
                <c:pt idx="38">
                  <c:v>1.4986544216816398</c:v>
                </c:pt>
                <c:pt idx="39">
                  <c:v>-0.41622620818387951</c:v>
                </c:pt>
                <c:pt idx="40">
                  <c:v>-0.67675334369853379</c:v>
                </c:pt>
                <c:pt idx="41">
                  <c:v>-8.8589866489680411E-2</c:v>
                </c:pt>
                <c:pt idx="42">
                  <c:v>5.1805435189346195E-2</c:v>
                </c:pt>
                <c:pt idx="43">
                  <c:v>0.48735520434323965</c:v>
                </c:pt>
                <c:pt idx="44">
                  <c:v>-3.9673905021665683</c:v>
                </c:pt>
                <c:pt idx="45">
                  <c:v>-7.1006651234727487</c:v>
                </c:pt>
                <c:pt idx="46">
                  <c:v>-3.8325910959504919</c:v>
                </c:pt>
                <c:pt idx="47">
                  <c:v>-5.8917323962491173</c:v>
                </c:pt>
                <c:pt idx="48">
                  <c:v>-4.8868618919309403</c:v>
                </c:pt>
                <c:pt idx="49">
                  <c:v>0.48474503488210791</c:v>
                </c:pt>
                <c:pt idx="50">
                  <c:v>0.76315970414522483</c:v>
                </c:pt>
                <c:pt idx="51">
                  <c:v>1.2820286933176668</c:v>
                </c:pt>
                <c:pt idx="52">
                  <c:v>1.3359478579649224</c:v>
                </c:pt>
                <c:pt idx="53">
                  <c:v>5.7007414009069759</c:v>
                </c:pt>
                <c:pt idx="54">
                  <c:v>-3.120628022459933</c:v>
                </c:pt>
                <c:pt idx="55">
                  <c:v>-3.2557498024003411</c:v>
                </c:pt>
                <c:pt idx="56">
                  <c:v>-3.107532519405702</c:v>
                </c:pt>
                <c:pt idx="57">
                  <c:v>-3.3945640195111224</c:v>
                </c:pt>
                <c:pt idx="58">
                  <c:v>-7.6757381113062877</c:v>
                </c:pt>
                <c:pt idx="59">
                  <c:v>-7.559881704354197</c:v>
                </c:pt>
                <c:pt idx="60">
                  <c:v>-6.8969064132650733</c:v>
                </c:pt>
                <c:pt idx="61">
                  <c:v>-0.38281407809900264</c:v>
                </c:pt>
                <c:pt idx="62">
                  <c:v>1.4986544216816398</c:v>
                </c:pt>
                <c:pt idx="63">
                  <c:v>0.33152223710956552</c:v>
                </c:pt>
                <c:pt idx="64">
                  <c:v>-0.41622620818387951</c:v>
                </c:pt>
                <c:pt idx="65">
                  <c:v>2.3480733987257643</c:v>
                </c:pt>
                <c:pt idx="66">
                  <c:v>1.3600617823397261</c:v>
                </c:pt>
                <c:pt idx="67">
                  <c:v>-1.2508391468176983</c:v>
                </c:pt>
                <c:pt idx="68">
                  <c:v>-1.8254699112148716</c:v>
                </c:pt>
                <c:pt idx="69">
                  <c:v>1.8035910724489927</c:v>
                </c:pt>
                <c:pt idx="70">
                  <c:v>-10.007563205861683</c:v>
                </c:pt>
                <c:pt idx="71">
                  <c:v>0.33152223710956552</c:v>
                </c:pt>
                <c:pt idx="72">
                  <c:v>-3.4321401934219216</c:v>
                </c:pt>
                <c:pt idx="73">
                  <c:v>-2.555723393502408</c:v>
                </c:pt>
                <c:pt idx="74">
                  <c:v>-0.67675334369853379</c:v>
                </c:pt>
                <c:pt idx="75">
                  <c:v>-7.7156873628065368</c:v>
                </c:pt>
                <c:pt idx="76">
                  <c:v>-6.753784720321665</c:v>
                </c:pt>
                <c:pt idx="77">
                  <c:v>-6.8111686571767303</c:v>
                </c:pt>
                <c:pt idx="78">
                  <c:v>-3.3425605728496102</c:v>
                </c:pt>
                <c:pt idx="79">
                  <c:v>-5.8918841525980064</c:v>
                </c:pt>
                <c:pt idx="80">
                  <c:v>0.65818406551025743</c:v>
                </c:pt>
                <c:pt idx="81">
                  <c:v>-3.9425517290593182</c:v>
                </c:pt>
                <c:pt idx="82">
                  <c:v>-0.38091298538093415</c:v>
                </c:pt>
                <c:pt idx="83">
                  <c:v>-0.69383427395778063</c:v>
                </c:pt>
                <c:pt idx="84">
                  <c:v>0.48735520434323965</c:v>
                </c:pt>
                <c:pt idx="85">
                  <c:v>-0.67675334369853379</c:v>
                </c:pt>
                <c:pt idx="86">
                  <c:v>-2.1198592574834829</c:v>
                </c:pt>
                <c:pt idx="87">
                  <c:v>-1.8081967601634226</c:v>
                </c:pt>
                <c:pt idx="88">
                  <c:v>0.33152223710956552</c:v>
                </c:pt>
                <c:pt idx="89">
                  <c:v>1.4933643036589248</c:v>
                </c:pt>
                <c:pt idx="90">
                  <c:v>-1.685028924506633</c:v>
                </c:pt>
                <c:pt idx="91">
                  <c:v>-0.99046971453245936</c:v>
                </c:pt>
                <c:pt idx="92">
                  <c:v>-0.67675334369853379</c:v>
                </c:pt>
                <c:pt idx="93">
                  <c:v>4.0542998278990874</c:v>
                </c:pt>
                <c:pt idx="94">
                  <c:v>3.9438035683322741</c:v>
                </c:pt>
                <c:pt idx="95">
                  <c:v>0.48735520434323965</c:v>
                </c:pt>
                <c:pt idx="96">
                  <c:v>-4.4011192478274097</c:v>
                </c:pt>
                <c:pt idx="97">
                  <c:v>-6.8447989196826979</c:v>
                </c:pt>
                <c:pt idx="98">
                  <c:v>-4.8366603705278939</c:v>
                </c:pt>
                <c:pt idx="99">
                  <c:v>-5.8917323962491173</c:v>
                </c:pt>
                <c:pt idx="100">
                  <c:v>-0.2489417640202081</c:v>
                </c:pt>
                <c:pt idx="101">
                  <c:v>-5.3609921860049683</c:v>
                </c:pt>
                <c:pt idx="102">
                  <c:v>-3.7015800861228314</c:v>
                </c:pt>
                <c:pt idx="103">
                  <c:v>-1.2185548084893438</c:v>
                </c:pt>
                <c:pt idx="104">
                  <c:v>5.1805435189346195E-2</c:v>
                </c:pt>
                <c:pt idx="105">
                  <c:v>-8.8589866489680411E-2</c:v>
                </c:pt>
                <c:pt idx="106">
                  <c:v>-4.8366603705278939</c:v>
                </c:pt>
                <c:pt idx="107">
                  <c:v>-7.7307670460746785</c:v>
                </c:pt>
                <c:pt idx="108">
                  <c:v>-8.105260755010228</c:v>
                </c:pt>
                <c:pt idx="109">
                  <c:v>-5.2061858424178782</c:v>
                </c:pt>
                <c:pt idx="110">
                  <c:v>-11.603026481775638</c:v>
                </c:pt>
                <c:pt idx="111">
                  <c:v>-8.9925341779094943</c:v>
                </c:pt>
                <c:pt idx="112">
                  <c:v>-1.2180039103832727</c:v>
                </c:pt>
                <c:pt idx="113">
                  <c:v>-1.5264116499269684</c:v>
                </c:pt>
                <c:pt idx="114">
                  <c:v>-0.10269440756264654</c:v>
                </c:pt>
                <c:pt idx="115">
                  <c:v>8.5965154006055666</c:v>
                </c:pt>
                <c:pt idx="116">
                  <c:v>-2.0675613869517946</c:v>
                </c:pt>
                <c:pt idx="117">
                  <c:v>-4.8313974416886039</c:v>
                </c:pt>
                <c:pt idx="118">
                  <c:v>-7.4745350262301562</c:v>
                </c:pt>
                <c:pt idx="119">
                  <c:v>-6.7035561118581395</c:v>
                </c:pt>
                <c:pt idx="120">
                  <c:v>0.33152223710956552</c:v>
                </c:pt>
                <c:pt idx="121">
                  <c:v>-1.8157239798458173</c:v>
                </c:pt>
                <c:pt idx="122">
                  <c:v>-0.92521901773116366</c:v>
                </c:pt>
                <c:pt idx="123">
                  <c:v>-1.1014130517895364</c:v>
                </c:pt>
                <c:pt idx="124">
                  <c:v>-3.264222401750053</c:v>
                </c:pt>
                <c:pt idx="125">
                  <c:v>-3.8325910959504919</c:v>
                </c:pt>
                <c:pt idx="126">
                  <c:v>-7.8488681942600991</c:v>
                </c:pt>
                <c:pt idx="127">
                  <c:v>1.5087250256530051</c:v>
                </c:pt>
                <c:pt idx="128">
                  <c:v>-2.3900136748010596</c:v>
                </c:pt>
                <c:pt idx="129">
                  <c:v>2.3412156961911572</c:v>
                </c:pt>
                <c:pt idx="130">
                  <c:v>-3.8269090862251862</c:v>
                </c:pt>
                <c:pt idx="131">
                  <c:v>-6.8447989196826979</c:v>
                </c:pt>
                <c:pt idx="132">
                  <c:v>-5.9732429387841179</c:v>
                </c:pt>
                <c:pt idx="133">
                  <c:v>-4.4011192478274097</c:v>
                </c:pt>
                <c:pt idx="134">
                  <c:v>0.47185602651973585</c:v>
                </c:pt>
                <c:pt idx="135">
                  <c:v>-1.685028924506633</c:v>
                </c:pt>
                <c:pt idx="136">
                  <c:v>-0.67675334369853379</c:v>
                </c:pt>
                <c:pt idx="137">
                  <c:v>-1.5465302534950267</c:v>
                </c:pt>
                <c:pt idx="138">
                  <c:v>-0.67675334369853379</c:v>
                </c:pt>
                <c:pt idx="139">
                  <c:v>0.88334584980303743</c:v>
                </c:pt>
                <c:pt idx="140">
                  <c:v>-3.5163521276156997</c:v>
                </c:pt>
                <c:pt idx="141">
                  <c:v>-2.5628907553858982</c:v>
                </c:pt>
                <c:pt idx="142">
                  <c:v>0.21102458672119137</c:v>
                </c:pt>
                <c:pt idx="143">
                  <c:v>1.996193510397885</c:v>
                </c:pt>
                <c:pt idx="144">
                  <c:v>-0.81344401983493253</c:v>
                </c:pt>
                <c:pt idx="145">
                  <c:v>-4.8313974416886039</c:v>
                </c:pt>
                <c:pt idx="146">
                  <c:v>-2.8224207307617681</c:v>
                </c:pt>
                <c:pt idx="147">
                  <c:v>-2.9355331764674863</c:v>
                </c:pt>
                <c:pt idx="148">
                  <c:v>-1.2672828365616899</c:v>
                </c:pt>
                <c:pt idx="149">
                  <c:v>1.5087250256530051</c:v>
                </c:pt>
                <c:pt idx="150">
                  <c:v>-4.2693159476600018</c:v>
                </c:pt>
                <c:pt idx="151">
                  <c:v>-4.4011192478274097</c:v>
                </c:pt>
                <c:pt idx="152">
                  <c:v>-10.36933694528477</c:v>
                </c:pt>
                <c:pt idx="153">
                  <c:v>-10.36933694528477</c:v>
                </c:pt>
                <c:pt idx="154">
                  <c:v>3.0820575823317244</c:v>
                </c:pt>
                <c:pt idx="155">
                  <c:v>-0.10269440756264654</c:v>
                </c:pt>
                <c:pt idx="156">
                  <c:v>1.3397978179176648</c:v>
                </c:pt>
                <c:pt idx="157">
                  <c:v>-0.85050031150464167</c:v>
                </c:pt>
                <c:pt idx="158">
                  <c:v>-4.9703167204753429</c:v>
                </c:pt>
                <c:pt idx="159">
                  <c:v>-6.4078137783977915</c:v>
                </c:pt>
                <c:pt idx="160">
                  <c:v>-6.9761691570928921</c:v>
                </c:pt>
                <c:pt idx="161">
                  <c:v>-5.2744094935699497</c:v>
                </c:pt>
                <c:pt idx="162">
                  <c:v>-0.95861184724024384</c:v>
                </c:pt>
                <c:pt idx="163">
                  <c:v>1.9202602655307435</c:v>
                </c:pt>
                <c:pt idx="164">
                  <c:v>-3.5202198150709352</c:v>
                </c:pt>
                <c:pt idx="165">
                  <c:v>0.19104433562848536</c:v>
                </c:pt>
                <c:pt idx="166">
                  <c:v>-5.1450464328866286</c:v>
                </c:pt>
                <c:pt idx="167">
                  <c:v>-2.8285218213730903</c:v>
                </c:pt>
                <c:pt idx="168">
                  <c:v>-5.5763590536345733</c:v>
                </c:pt>
                <c:pt idx="169">
                  <c:v>-3.0215348753877183</c:v>
                </c:pt>
                <c:pt idx="170">
                  <c:v>-4.1736469995543848</c:v>
                </c:pt>
                <c:pt idx="171">
                  <c:v>-2.9355331764674863</c:v>
                </c:pt>
                <c:pt idx="172">
                  <c:v>-5.099019355822791</c:v>
                </c:pt>
                <c:pt idx="173">
                  <c:v>-0.2415676724911667</c:v>
                </c:pt>
                <c:pt idx="174">
                  <c:v>-4.7083456680737887</c:v>
                </c:pt>
                <c:pt idx="175">
                  <c:v>-4.1140787221411852</c:v>
                </c:pt>
                <c:pt idx="176">
                  <c:v>-4.7149387151674365</c:v>
                </c:pt>
                <c:pt idx="177">
                  <c:v>-4.864070420598372</c:v>
                </c:pt>
                <c:pt idx="178">
                  <c:v>-0.36975717406073105</c:v>
                </c:pt>
                <c:pt idx="179">
                  <c:v>2.3133636357327765</c:v>
                </c:pt>
                <c:pt idx="180">
                  <c:v>0.13824941140439137</c:v>
                </c:pt>
                <c:pt idx="181">
                  <c:v>-3.3082075501215606</c:v>
                </c:pt>
                <c:pt idx="182">
                  <c:v>-2.3596030669489854</c:v>
                </c:pt>
                <c:pt idx="183">
                  <c:v>-2.4764399962767309</c:v>
                </c:pt>
                <c:pt idx="184">
                  <c:v>-1.1261182444268512</c:v>
                </c:pt>
                <c:pt idx="185">
                  <c:v>1.9856457365308078</c:v>
                </c:pt>
                <c:pt idx="186">
                  <c:v>1.3397978179176648</c:v>
                </c:pt>
                <c:pt idx="187">
                  <c:v>-1.7807358683321457</c:v>
                </c:pt>
                <c:pt idx="188">
                  <c:v>1.0585676763257836E-3</c:v>
                </c:pt>
                <c:pt idx="189">
                  <c:v>-0.82038327221828633</c:v>
                </c:pt>
                <c:pt idx="190">
                  <c:v>-0.38773018668664472</c:v>
                </c:pt>
                <c:pt idx="191">
                  <c:v>-0.45776824893489465</c:v>
                </c:pt>
                <c:pt idx="192">
                  <c:v>-1.1858689202879671</c:v>
                </c:pt>
                <c:pt idx="193">
                  <c:v>-1.8051600922979782</c:v>
                </c:pt>
                <c:pt idx="194">
                  <c:v>-5.6359048065890338</c:v>
                </c:pt>
                <c:pt idx="195">
                  <c:v>-0.2415676724911667</c:v>
                </c:pt>
                <c:pt idx="196">
                  <c:v>2.3133636357327765</c:v>
                </c:pt>
                <c:pt idx="197">
                  <c:v>-2.8285218213730903</c:v>
                </c:pt>
                <c:pt idx="198">
                  <c:v>-6.7847272462968462</c:v>
                </c:pt>
                <c:pt idx="199">
                  <c:v>-3.4659273930121808</c:v>
                </c:pt>
                <c:pt idx="200">
                  <c:v>-5.7769562665249241</c:v>
                </c:pt>
                <c:pt idx="201">
                  <c:v>0.34730265474927019</c:v>
                </c:pt>
                <c:pt idx="202">
                  <c:v>2.7726144574180078</c:v>
                </c:pt>
                <c:pt idx="203">
                  <c:v>-0.81344401983493253</c:v>
                </c:pt>
                <c:pt idx="204">
                  <c:v>-2.5799847815540868</c:v>
                </c:pt>
                <c:pt idx="205">
                  <c:v>-6.5390096585333648</c:v>
                </c:pt>
                <c:pt idx="206">
                  <c:v>-1.685028924506633</c:v>
                </c:pt>
                <c:pt idx="207">
                  <c:v>-8.7360431563770913</c:v>
                </c:pt>
                <c:pt idx="208">
                  <c:v>-3.137631066313284</c:v>
                </c:pt>
                <c:pt idx="209">
                  <c:v>-4.6082840214217118</c:v>
                </c:pt>
                <c:pt idx="210">
                  <c:v>4.4691144673596721</c:v>
                </c:pt>
                <c:pt idx="211">
                  <c:v>-2.1198592574834829</c:v>
                </c:pt>
                <c:pt idx="212">
                  <c:v>-3.4321401934219216</c:v>
                </c:pt>
                <c:pt idx="213">
                  <c:v>-1.685028924506633</c:v>
                </c:pt>
                <c:pt idx="214">
                  <c:v>2.0975634359538105</c:v>
                </c:pt>
                <c:pt idx="215">
                  <c:v>1.6281877040391914</c:v>
                </c:pt>
                <c:pt idx="216">
                  <c:v>5.7634843885834917</c:v>
                </c:pt>
                <c:pt idx="217">
                  <c:v>-1.5113704617180947</c:v>
                </c:pt>
                <c:pt idx="218">
                  <c:v>4.2797055223725948</c:v>
                </c:pt>
                <c:pt idx="219">
                  <c:v>2.418761654838399</c:v>
                </c:pt>
                <c:pt idx="220">
                  <c:v>-1.1377595497864992</c:v>
                </c:pt>
                <c:pt idx="221">
                  <c:v>0.4015968049175625</c:v>
                </c:pt>
                <c:pt idx="222">
                  <c:v>-1.4094778813003479</c:v>
                </c:pt>
                <c:pt idx="223">
                  <c:v>-4.4688536113209558</c:v>
                </c:pt>
                <c:pt idx="224">
                  <c:v>-1.8927510846144313</c:v>
                </c:pt>
                <c:pt idx="225">
                  <c:v>-3.8325910959504919</c:v>
                </c:pt>
                <c:pt idx="226">
                  <c:v>-4.5092514276856086</c:v>
                </c:pt>
                <c:pt idx="227">
                  <c:v>3.9627028747097435</c:v>
                </c:pt>
                <c:pt idx="228">
                  <c:v>2.5770155578079947</c:v>
                </c:pt>
                <c:pt idx="229">
                  <c:v>4.3456141587170531</c:v>
                </c:pt>
                <c:pt idx="230">
                  <c:v>1.2530068330192916</c:v>
                </c:pt>
                <c:pt idx="231">
                  <c:v>0.45057754286277696</c:v>
                </c:pt>
                <c:pt idx="232">
                  <c:v>-3.2070245497138155</c:v>
                </c:pt>
                <c:pt idx="233">
                  <c:v>-2.8224207307617681</c:v>
                </c:pt>
                <c:pt idx="234">
                  <c:v>-2.1154749092679932</c:v>
                </c:pt>
                <c:pt idx="235">
                  <c:v>0.66035538474970334</c:v>
                </c:pt>
                <c:pt idx="236">
                  <c:v>5.4046400618202872</c:v>
                </c:pt>
                <c:pt idx="237">
                  <c:v>0.50370959499926415</c:v>
                </c:pt>
                <c:pt idx="238">
                  <c:v>1.9573116919871145</c:v>
                </c:pt>
                <c:pt idx="239">
                  <c:v>-1.080429515823597</c:v>
                </c:pt>
                <c:pt idx="240">
                  <c:v>-4.3439437692099236</c:v>
                </c:pt>
                <c:pt idx="241">
                  <c:v>-6.3707000549680952</c:v>
                </c:pt>
                <c:pt idx="242">
                  <c:v>12.077036175689496</c:v>
                </c:pt>
                <c:pt idx="243">
                  <c:v>6.5485302784676049</c:v>
                </c:pt>
                <c:pt idx="244">
                  <c:v>2.0255907978384413</c:v>
                </c:pt>
                <c:pt idx="245">
                  <c:v>10.207597044527303</c:v>
                </c:pt>
                <c:pt idx="246">
                  <c:v>6.0349794717699954</c:v>
                </c:pt>
                <c:pt idx="247">
                  <c:v>1.8183262716868338</c:v>
                </c:pt>
                <c:pt idx="248">
                  <c:v>3.9031127025448304</c:v>
                </c:pt>
                <c:pt idx="249">
                  <c:v>4.6242781605004266</c:v>
                </c:pt>
                <c:pt idx="250">
                  <c:v>-3.1971025294851807</c:v>
                </c:pt>
                <c:pt idx="251">
                  <c:v>-2.761675628795079</c:v>
                </c:pt>
                <c:pt idx="252">
                  <c:v>-3.9404172271319133</c:v>
                </c:pt>
                <c:pt idx="253">
                  <c:v>-2.6038588835323657</c:v>
                </c:pt>
                <c:pt idx="254">
                  <c:v>-2.3264871840843893</c:v>
                </c:pt>
                <c:pt idx="255">
                  <c:v>-4.3057768968982675</c:v>
                </c:pt>
                <c:pt idx="256">
                  <c:v>-1.7924163580859109</c:v>
                </c:pt>
                <c:pt idx="257">
                  <c:v>-3.3355831311611954</c:v>
                </c:pt>
                <c:pt idx="258">
                  <c:v>-3.3656347711813019</c:v>
                </c:pt>
                <c:pt idx="259">
                  <c:v>-3.0035087824476649</c:v>
                </c:pt>
                <c:pt idx="260">
                  <c:v>4.133351777271109</c:v>
                </c:pt>
                <c:pt idx="261">
                  <c:v>0.48984187294760401</c:v>
                </c:pt>
                <c:pt idx="262">
                  <c:v>2.5046393070299842</c:v>
                </c:pt>
                <c:pt idx="263">
                  <c:v>1.9856457365308078</c:v>
                </c:pt>
                <c:pt idx="264">
                  <c:v>0.59020241677501906</c:v>
                </c:pt>
                <c:pt idx="265">
                  <c:v>0.41537919016849106</c:v>
                </c:pt>
                <c:pt idx="266">
                  <c:v>0.28692619182637502</c:v>
                </c:pt>
                <c:pt idx="267">
                  <c:v>2.0995722110089776</c:v>
                </c:pt>
                <c:pt idx="268">
                  <c:v>-6.0265165073386031</c:v>
                </c:pt>
                <c:pt idx="269">
                  <c:v>-3.0545190615617264</c:v>
                </c:pt>
                <c:pt idx="270">
                  <c:v>-4.1689495897574265</c:v>
                </c:pt>
                <c:pt idx="271">
                  <c:v>-3.0362350317266711</c:v>
                </c:pt>
                <c:pt idx="272">
                  <c:v>-4.1914287757390563</c:v>
                </c:pt>
                <c:pt idx="273">
                  <c:v>-3.6766415106867441</c:v>
                </c:pt>
                <c:pt idx="274">
                  <c:v>-3.815625882101314</c:v>
                </c:pt>
                <c:pt idx="275">
                  <c:v>-3.7932940082104332</c:v>
                </c:pt>
                <c:pt idx="276">
                  <c:v>2.3566136122175614</c:v>
                </c:pt>
                <c:pt idx="277">
                  <c:v>8.7748743715421865E-2</c:v>
                </c:pt>
                <c:pt idx="278">
                  <c:v>-2.526384395114999E-2</c:v>
                </c:pt>
                <c:pt idx="279">
                  <c:v>-4.3436399577790565</c:v>
                </c:pt>
                <c:pt idx="280">
                  <c:v>-5.4186319923791251</c:v>
                </c:pt>
                <c:pt idx="281">
                  <c:v>-3.5006393545472219</c:v>
                </c:pt>
                <c:pt idx="282">
                  <c:v>-1.3597823345637523</c:v>
                </c:pt>
                <c:pt idx="283">
                  <c:v>0.61318443082122576</c:v>
                </c:pt>
                <c:pt idx="284">
                  <c:v>1.133198158685</c:v>
                </c:pt>
                <c:pt idx="285">
                  <c:v>0.80288252028911444</c:v>
                </c:pt>
                <c:pt idx="286">
                  <c:v>2.25954875278997</c:v>
                </c:pt>
                <c:pt idx="287">
                  <c:v>2.6814218613395564</c:v>
                </c:pt>
                <c:pt idx="288">
                  <c:v>0.1410524066769957</c:v>
                </c:pt>
                <c:pt idx="289">
                  <c:v>2.4062493963256273</c:v>
                </c:pt>
                <c:pt idx="290">
                  <c:v>3.8604867699379128</c:v>
                </c:pt>
                <c:pt idx="291">
                  <c:v>2.7584758037112183</c:v>
                </c:pt>
                <c:pt idx="292">
                  <c:v>4.4522781564662512</c:v>
                </c:pt>
                <c:pt idx="293">
                  <c:v>7.354124668886552</c:v>
                </c:pt>
                <c:pt idx="294">
                  <c:v>-0.98364319220697316</c:v>
                </c:pt>
                <c:pt idx="295">
                  <c:v>-1.3240775166736412</c:v>
                </c:pt>
                <c:pt idx="296">
                  <c:v>6.2551262865485544</c:v>
                </c:pt>
                <c:pt idx="297">
                  <c:v>-1.9634049463392653</c:v>
                </c:pt>
                <c:pt idx="298">
                  <c:v>4.1934941837436908</c:v>
                </c:pt>
                <c:pt idx="299">
                  <c:v>4.9830146860180715</c:v>
                </c:pt>
                <c:pt idx="300">
                  <c:v>5.2844328990089862</c:v>
                </c:pt>
                <c:pt idx="301">
                  <c:v>2.1401621285459109</c:v>
                </c:pt>
                <c:pt idx="302">
                  <c:v>8.01180746086699</c:v>
                </c:pt>
                <c:pt idx="303">
                  <c:v>0.88697637184392175</c:v>
                </c:pt>
                <c:pt idx="304">
                  <c:v>7.2952154081120559</c:v>
                </c:pt>
                <c:pt idx="305">
                  <c:v>5.2896046541221367</c:v>
                </c:pt>
                <c:pt idx="306">
                  <c:v>6.0154259181070682</c:v>
                </c:pt>
                <c:pt idx="307">
                  <c:v>12.833510475424207</c:v>
                </c:pt>
                <c:pt idx="308">
                  <c:v>8.0472008990732764</c:v>
                </c:pt>
                <c:pt idx="309">
                  <c:v>2.8730871950816486</c:v>
                </c:pt>
                <c:pt idx="310">
                  <c:v>7.5686084549675812</c:v>
                </c:pt>
                <c:pt idx="311">
                  <c:v>0.48474503488210791</c:v>
                </c:pt>
                <c:pt idx="312">
                  <c:v>-1.2969999401392305</c:v>
                </c:pt>
                <c:pt idx="313">
                  <c:v>-3.2358948320146825</c:v>
                </c:pt>
                <c:pt idx="314">
                  <c:v>-4.6077034752799069</c:v>
                </c:pt>
                <c:pt idx="315">
                  <c:v>5.7743715364354333</c:v>
                </c:pt>
                <c:pt idx="316">
                  <c:v>2.2947860512102771</c:v>
                </c:pt>
                <c:pt idx="317">
                  <c:v>2.5013675531943469</c:v>
                </c:pt>
                <c:pt idx="318">
                  <c:v>9.7115454628879867</c:v>
                </c:pt>
                <c:pt idx="319">
                  <c:v>3.4054070731114252</c:v>
                </c:pt>
                <c:pt idx="320">
                  <c:v>17.018126134294185</c:v>
                </c:pt>
                <c:pt idx="321">
                  <c:v>1.6896534091254303</c:v>
                </c:pt>
                <c:pt idx="322">
                  <c:v>11.18757267258202</c:v>
                </c:pt>
                <c:pt idx="323">
                  <c:v>13.288289451010948</c:v>
                </c:pt>
                <c:pt idx="324">
                  <c:v>12.379849494519858</c:v>
                </c:pt>
                <c:pt idx="325">
                  <c:v>8.8884756916518359</c:v>
                </c:pt>
                <c:pt idx="326">
                  <c:v>0.50370959499926415</c:v>
                </c:pt>
                <c:pt idx="327">
                  <c:v>15.176934882543884</c:v>
                </c:pt>
                <c:pt idx="328">
                  <c:v>4.3227682314834768</c:v>
                </c:pt>
                <c:pt idx="329">
                  <c:v>-0.13016841536001994</c:v>
                </c:pt>
                <c:pt idx="330">
                  <c:v>12.697584214008645</c:v>
                </c:pt>
                <c:pt idx="331">
                  <c:v>-4.9695674465444091</c:v>
                </c:pt>
                <c:pt idx="332">
                  <c:v>7.3483746084615307</c:v>
                </c:pt>
                <c:pt idx="333">
                  <c:v>3.3471294445170452</c:v>
                </c:pt>
                <c:pt idx="334">
                  <c:v>-0.83871061512045741</c:v>
                </c:pt>
                <c:pt idx="335">
                  <c:v>-1.4416006473218193</c:v>
                </c:pt>
                <c:pt idx="336">
                  <c:v>-1.5548598316265201</c:v>
                </c:pt>
                <c:pt idx="337">
                  <c:v>1.5487036985316931</c:v>
                </c:pt>
                <c:pt idx="338">
                  <c:v>1.9747762018192421</c:v>
                </c:pt>
                <c:pt idx="339">
                  <c:v>8.8837362604822712</c:v>
                </c:pt>
                <c:pt idx="340">
                  <c:v>9.2928466436824717</c:v>
                </c:pt>
                <c:pt idx="341">
                  <c:v>5.0288687581183549</c:v>
                </c:pt>
                <c:pt idx="342">
                  <c:v>2.8152450855028657</c:v>
                </c:pt>
                <c:pt idx="343">
                  <c:v>7.3675548873223313</c:v>
                </c:pt>
                <c:pt idx="344">
                  <c:v>7.8151553761750927</c:v>
                </c:pt>
                <c:pt idx="345">
                  <c:v>4.7103225358637166</c:v>
                </c:pt>
                <c:pt idx="346">
                  <c:v>4.88374361344784</c:v>
                </c:pt>
                <c:pt idx="347">
                  <c:v>4.7538585079341189</c:v>
                </c:pt>
                <c:pt idx="348">
                  <c:v>0.23015323591606271</c:v>
                </c:pt>
                <c:pt idx="349">
                  <c:v>4.122584187443028</c:v>
                </c:pt>
                <c:pt idx="350">
                  <c:v>4.9121396063065523</c:v>
                </c:pt>
                <c:pt idx="351">
                  <c:v>3.6063047442041047</c:v>
                </c:pt>
                <c:pt idx="352">
                  <c:v>6.2921144947086809</c:v>
                </c:pt>
                <c:pt idx="353">
                  <c:v>2.7162672853732617</c:v>
                </c:pt>
                <c:pt idx="354">
                  <c:v>-0.28045795090992642</c:v>
                </c:pt>
                <c:pt idx="355">
                  <c:v>5.8844803366993919</c:v>
                </c:pt>
                <c:pt idx="356">
                  <c:v>3.9720899381737098</c:v>
                </c:pt>
                <c:pt idx="357">
                  <c:v>3.1146968161408815</c:v>
                </c:pt>
                <c:pt idx="358">
                  <c:v>0.44548485839203944</c:v>
                </c:pt>
                <c:pt idx="359">
                  <c:v>8.2315069940342891</c:v>
                </c:pt>
                <c:pt idx="360">
                  <c:v>-3.6762467024656345</c:v>
                </c:pt>
                <c:pt idx="361">
                  <c:v>-6.5613649763383508</c:v>
                </c:pt>
                <c:pt idx="362">
                  <c:v>0.31144183634463324</c:v>
                </c:pt>
                <c:pt idx="363">
                  <c:v>-0.69383427395778063</c:v>
                </c:pt>
                <c:pt idx="364">
                  <c:v>6.343098498159117</c:v>
                </c:pt>
                <c:pt idx="365">
                  <c:v>3.0664272924706726</c:v>
                </c:pt>
                <c:pt idx="366">
                  <c:v>0.96995948148363542</c:v>
                </c:pt>
                <c:pt idx="367">
                  <c:v>-0.52083330752243018</c:v>
                </c:pt>
                <c:pt idx="368">
                  <c:v>-3.3655321111020666</c:v>
                </c:pt>
                <c:pt idx="369">
                  <c:v>7.1361204061639585</c:v>
                </c:pt>
                <c:pt idx="370">
                  <c:v>7.624553839609379</c:v>
                </c:pt>
                <c:pt idx="371">
                  <c:v>1.5951097628942132</c:v>
                </c:pt>
                <c:pt idx="372">
                  <c:v>8.2021200788535129</c:v>
                </c:pt>
                <c:pt idx="373">
                  <c:v>6.7915239639635736</c:v>
                </c:pt>
                <c:pt idx="374">
                  <c:v>8.3536507187639444</c:v>
                </c:pt>
                <c:pt idx="375">
                  <c:v>7.2224628238724105</c:v>
                </c:pt>
                <c:pt idx="376">
                  <c:v>4.7820692106907909</c:v>
                </c:pt>
                <c:pt idx="377">
                  <c:v>8.5438330402291918</c:v>
                </c:pt>
                <c:pt idx="378">
                  <c:v>2.513740456306746</c:v>
                </c:pt>
                <c:pt idx="379">
                  <c:v>8.5438330402291918</c:v>
                </c:pt>
                <c:pt idx="380">
                  <c:v>3.0530930259948552</c:v>
                </c:pt>
                <c:pt idx="381">
                  <c:v>14.002994286666018</c:v>
                </c:pt>
                <c:pt idx="382">
                  <c:v>-1.3536740227959045</c:v>
                </c:pt>
                <c:pt idx="383">
                  <c:v>0.2170488575994452</c:v>
                </c:pt>
                <c:pt idx="384">
                  <c:v>5.0326753308502736</c:v>
                </c:pt>
                <c:pt idx="385">
                  <c:v>8.0036765238328833</c:v>
                </c:pt>
                <c:pt idx="386">
                  <c:v>-0.52083330752243018</c:v>
                </c:pt>
                <c:pt idx="387">
                  <c:v>-0.86677284926267495</c:v>
                </c:pt>
                <c:pt idx="388">
                  <c:v>13.316225000345794</c:v>
                </c:pt>
                <c:pt idx="389">
                  <c:v>3.9844096424904558</c:v>
                </c:pt>
                <c:pt idx="390">
                  <c:v>-0.46741225933683034</c:v>
                </c:pt>
                <c:pt idx="391">
                  <c:v>2.8060752245087288</c:v>
                </c:pt>
              </c:numCache>
            </c:numRef>
          </c:val>
          <c:extLst>
            <c:ext xmlns:c16="http://schemas.microsoft.com/office/drawing/2014/chart" uri="{C3380CC4-5D6E-409C-BE32-E72D297353CC}">
              <c16:uniqueId val="{00000001-C705-4290-99B7-51C1472B4C16}"/>
            </c:ext>
          </c:extLst>
        </c:ser>
        <c:dLbls>
          <c:showLegendKey val="0"/>
          <c:showVal val="0"/>
          <c:showCatName val="0"/>
          <c:showSerName val="0"/>
          <c:showPercent val="0"/>
          <c:showBubbleSize val="0"/>
        </c:dLbls>
        <c:gapWidth val="150"/>
        <c:axId val="527701983"/>
        <c:axId val="392125487"/>
      </c:barChart>
      <c:catAx>
        <c:axId val="52770198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392125487"/>
        <c:crosses val="autoZero"/>
        <c:auto val="1"/>
        <c:lblAlgn val="ctr"/>
        <c:lblOffset val="100"/>
        <c:noMultiLvlLbl val="0"/>
      </c:catAx>
      <c:valAx>
        <c:axId val="392125487"/>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52770198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48</xdr:col>
      <xdr:colOff>0</xdr:colOff>
      <xdr:row>2</xdr:row>
      <xdr:rowOff>0</xdr:rowOff>
    </xdr:from>
    <xdr:to>
      <xdr:col>53</xdr:col>
      <xdr:colOff>12700</xdr:colOff>
      <xdr:row>22</xdr:row>
      <xdr:rowOff>127000</xdr:rowOff>
    </xdr:to>
    <xdr:graphicFrame macro="">
      <xdr:nvGraphicFramePr>
        <xdr:cNvPr id="2" name="Chart 1">
          <a:extLst>
            <a:ext uri="{FF2B5EF4-FFF2-40B4-BE49-F238E27FC236}">
              <a16:creationId xmlns:a16="http://schemas.microsoft.com/office/drawing/2014/main" id="{1B471E11-4FC4-00FF-5C9A-A7F597660E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53</xdr:col>
      <xdr:colOff>139700</xdr:colOff>
      <xdr:row>2</xdr:row>
      <xdr:rowOff>0</xdr:rowOff>
    </xdr:from>
    <xdr:to>
      <xdr:col>59</xdr:col>
      <xdr:colOff>419100</xdr:colOff>
      <xdr:row>22</xdr:row>
      <xdr:rowOff>127000</xdr:rowOff>
    </xdr:to>
    <xdr:graphicFrame macro="">
      <xdr:nvGraphicFramePr>
        <xdr:cNvPr id="3" name="Chart 2">
          <a:extLst>
            <a:ext uri="{FF2B5EF4-FFF2-40B4-BE49-F238E27FC236}">
              <a16:creationId xmlns:a16="http://schemas.microsoft.com/office/drawing/2014/main" id="{5E75B231-FC59-1D67-BF14-85EC5A8F29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48</xdr:col>
      <xdr:colOff>0</xdr:colOff>
      <xdr:row>23</xdr:row>
      <xdr:rowOff>63500</xdr:rowOff>
    </xdr:from>
    <xdr:to>
      <xdr:col>53</xdr:col>
      <xdr:colOff>12700</xdr:colOff>
      <xdr:row>44</xdr:row>
      <xdr:rowOff>0</xdr:rowOff>
    </xdr:to>
    <xdr:graphicFrame macro="">
      <xdr:nvGraphicFramePr>
        <xdr:cNvPr id="4" name="Chart 3">
          <a:extLst>
            <a:ext uri="{FF2B5EF4-FFF2-40B4-BE49-F238E27FC236}">
              <a16:creationId xmlns:a16="http://schemas.microsoft.com/office/drawing/2014/main" id="{7676EAFB-E0F8-20F3-273B-44A44CBF24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53</xdr:col>
      <xdr:colOff>139700</xdr:colOff>
      <xdr:row>23</xdr:row>
      <xdr:rowOff>63500</xdr:rowOff>
    </xdr:from>
    <xdr:to>
      <xdr:col>59</xdr:col>
      <xdr:colOff>419100</xdr:colOff>
      <xdr:row>44</xdr:row>
      <xdr:rowOff>0</xdr:rowOff>
    </xdr:to>
    <xdr:graphicFrame macro="">
      <xdr:nvGraphicFramePr>
        <xdr:cNvPr id="5" name="Chart 4">
          <a:extLst>
            <a:ext uri="{FF2B5EF4-FFF2-40B4-BE49-F238E27FC236}">
              <a16:creationId xmlns:a16="http://schemas.microsoft.com/office/drawing/2014/main" id="{8559F9B1-BF8F-0DEF-6133-CFC7E17463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48</xdr:col>
      <xdr:colOff>0</xdr:colOff>
      <xdr:row>44</xdr:row>
      <xdr:rowOff>127000</xdr:rowOff>
    </xdr:from>
    <xdr:to>
      <xdr:col>53</xdr:col>
      <xdr:colOff>12700</xdr:colOff>
      <xdr:row>65</xdr:row>
      <xdr:rowOff>63500</xdr:rowOff>
    </xdr:to>
    <xdr:graphicFrame macro="">
      <xdr:nvGraphicFramePr>
        <xdr:cNvPr id="6" name="Chart 5">
          <a:extLst>
            <a:ext uri="{FF2B5EF4-FFF2-40B4-BE49-F238E27FC236}">
              <a16:creationId xmlns:a16="http://schemas.microsoft.com/office/drawing/2014/main" id="{310B59BD-9B46-4C02-FB29-0AEE294451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53</xdr:col>
      <xdr:colOff>139700</xdr:colOff>
      <xdr:row>44</xdr:row>
      <xdr:rowOff>127000</xdr:rowOff>
    </xdr:from>
    <xdr:to>
      <xdr:col>59</xdr:col>
      <xdr:colOff>419100</xdr:colOff>
      <xdr:row>65</xdr:row>
      <xdr:rowOff>63500</xdr:rowOff>
    </xdr:to>
    <xdr:graphicFrame macro="">
      <xdr:nvGraphicFramePr>
        <xdr:cNvPr id="7" name="Chart 6">
          <a:extLst>
            <a:ext uri="{FF2B5EF4-FFF2-40B4-BE49-F238E27FC236}">
              <a16:creationId xmlns:a16="http://schemas.microsoft.com/office/drawing/2014/main" id="{0B89B101-1D15-53C0-FA42-6975B30391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0</xdr:colOff>
      <xdr:row>66</xdr:row>
      <xdr:rowOff>0</xdr:rowOff>
    </xdr:from>
    <xdr:to>
      <xdr:col>53</xdr:col>
      <xdr:colOff>12700</xdr:colOff>
      <xdr:row>86</xdr:row>
      <xdr:rowOff>127000</xdr:rowOff>
    </xdr:to>
    <xdr:graphicFrame macro="">
      <xdr:nvGraphicFramePr>
        <xdr:cNvPr id="8" name="Chart 7">
          <a:extLst>
            <a:ext uri="{FF2B5EF4-FFF2-40B4-BE49-F238E27FC236}">
              <a16:creationId xmlns:a16="http://schemas.microsoft.com/office/drawing/2014/main" id="{0647CDF8-1710-4E1F-F995-F19BC11E60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61</xdr:col>
      <xdr:colOff>0</xdr:colOff>
      <xdr:row>2</xdr:row>
      <xdr:rowOff>0</xdr:rowOff>
    </xdr:from>
    <xdr:to>
      <xdr:col>67</xdr:col>
      <xdr:colOff>292950</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8"/>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292950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9"/>
        <a:stretch>
          <a:fillRect/>
        </a:stretch>
      </xdr:blipFill>
      <xdr:spPr>
        <a:xfrm>
          <a:off x="50206275" y="952500"/>
          <a:ext cx="3950550" cy="39505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C44BB22-3A42-416D-9A66-DF636D35FDB4}" name="MileageData" displayName="MileageData" ref="A1:L407" totalsRowShown="0">
  <autoFilter ref="A1:L407" xr:uid="{0C44BB22-3A42-416D-9A66-DF636D35FDB4}"/>
  <tableColumns count="12">
    <tableColumn id="1" xr3:uid="{FA4C5327-EDCE-4931-BEF2-7A257962E08D}" name="MPG"/>
    <tableColumn id="2" xr3:uid="{CE610BF1-58F1-41E8-8ADD-A4745F41165A}" name="Cylinders"/>
    <tableColumn id="3" xr3:uid="{403F1023-3D74-4021-B671-2BA13A02E9C5}" name="Displacement"/>
    <tableColumn id="4" xr3:uid="{CA8B9866-1124-4253-A39E-FBEF6BE24ED2}" name="Horsepower"/>
    <tableColumn id="5" xr3:uid="{ABDCDCF1-DB7E-4B5B-B244-0031C12E9E92}" name="Weight"/>
    <tableColumn id="6" xr3:uid="{AA6CDC64-4A2F-4988-B089-3BCCFDB68CD9}" name="Acceleration"/>
    <tableColumn id="7" xr3:uid="{F879BA92-F68E-4FDE-81A8-62AFD1B35EA7}" name="Model Year"/>
    <tableColumn id="8" xr3:uid="{7FD61C15-D521-4437-86B4-178BFAA83AA2}" name="Origin"/>
    <tableColumn id="9" xr3:uid="{3457E44E-02C1-4EAB-927B-93D0772518C4}" name="Car Name"/>
    <tableColumn id="10" xr3:uid="{EFD2A568-08D8-4638-9DE8-890607379BD9}" name="Make"/>
    <tableColumn id="11" xr3:uid="{35488752-58BC-491D-80FF-3750F711F0D5}" name="Model?"/>
    <tableColumn id="12" xr3:uid="{CA850886-A404-4671-BF1A-952C0EBCF17A}"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BBD436-7BFF-42F7-8A16-1E58E89B5E8E}" name="LifeExpectancyData" displayName="LifeExpectancyData" ref="A1:W2939" totalsRowShown="0">
  <autoFilter ref="A1:W2939" xr:uid="{EFBBD436-7BFF-42F7-8A16-1E58E89B5E8E}"/>
  <tableColumns count="23">
    <tableColumn id="1" xr3:uid="{70EAABA1-D348-41C2-BD81-E16B5DEF3984}" name="Country"/>
    <tableColumn id="2" xr3:uid="{11369251-5A32-4B3F-B364-43F62C8FD023}" name="Year"/>
    <tableColumn id="3" xr3:uid="{E641C8F2-57A1-4F32-9B8A-406EA0FEFD40}" name="Status"/>
    <tableColumn id="4" xr3:uid="{A27B2969-2E87-4B26-96D9-9703AA77814F}" name="Life expectancy"/>
    <tableColumn id="5" xr3:uid="{BFCF7667-9F4F-4331-83A9-42A0BAF37043}" name="Adult Mortality"/>
    <tableColumn id="6" xr3:uid="{D0302957-DC64-4288-959E-2CA1CD9635FE}" name="infant deaths"/>
    <tableColumn id="7" xr3:uid="{25BCABE0-21F2-4495-97AE-ABE97E09D723}" name="Alcohol"/>
    <tableColumn id="8" xr3:uid="{7A52278C-A96D-4446-A680-141583A8768E}" name="percentage expenditure"/>
    <tableColumn id="9" xr3:uid="{B89325BA-E4DF-4DCE-A41B-7537BADA6009}" name="Hepatitis B"/>
    <tableColumn id="10" xr3:uid="{0DFB4AEA-5C18-4FD2-982E-09A363BA27D2}" name="Measles"/>
    <tableColumn id="11" xr3:uid="{39A8DD5B-085C-4187-82C3-E8C9B2A35C39}" name="BMI"/>
    <tableColumn id="12" xr3:uid="{FC9897F0-7D3A-424D-8D84-D5F880F327B2}" name="under-five deaths"/>
    <tableColumn id="13" xr3:uid="{77FD487F-92F6-458A-B3CB-BB2A1A056286}" name="Polio"/>
    <tableColumn id="14" xr3:uid="{8132FFBF-3995-422F-9CB0-2B9763DB5821}" name="Total expenditure"/>
    <tableColumn id="15" xr3:uid="{9039AF5B-DC09-4442-86D2-47FB48AE0B3B}" name="Diphtheria"/>
    <tableColumn id="16" xr3:uid="{2CAC84DB-2D13-4A57-B6DA-F377EA2BD6E3}" name="HIV/AIDS"/>
    <tableColumn id="17" xr3:uid="{1199AB3C-DA20-40D8-9E20-E56702101315}" name="GDP"/>
    <tableColumn id="18" xr3:uid="{94F26B08-FEAD-405C-A2E9-59F795706143}" name="Population"/>
    <tableColumn id="19" xr3:uid="{FF6A9B06-C9BC-4763-9DDD-6EC66ADBA729}" name="thinness 1-19 years"/>
    <tableColumn id="20" xr3:uid="{5BA70AD5-402B-4FBA-83BB-34377FA467B2}" name="thinness 5-9 years"/>
    <tableColumn id="21" xr3:uid="{0D3FBBD5-F17B-4B8B-B241-00C5EECC1A39}" name="Income composition of resources"/>
    <tableColumn id="22" xr3:uid="{2824C3FA-B0CD-4014-9791-9079162762ED}" name="Schooling"/>
    <tableColumn id="23" xr3:uid="{81BD3283-9251-46C3-8DF1-66E36834A6D6}"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796868-56A2-4A28-B9DF-211961EE960D}" name="ProductionLotsData" displayName="ProductionLotsData" ref="A1:K52" totalsRowShown="0">
  <autoFilter ref="A1:K52" xr:uid="{99796868-56A2-4A28-B9DF-211961EE960D}"/>
  <tableColumns count="11">
    <tableColumn id="1" xr3:uid="{5247101C-EB33-436B-9225-926650DE6270}" name="Lot_ID"/>
    <tableColumn id="2" xr3:uid="{1F46C1AF-97A0-4812-A33C-42B6B3CBE6A5}" name="Facility"/>
    <tableColumn id="3" xr3:uid="{DB4168BA-8222-4641-8A00-93B4DF1F807D}" name="Fiscal_Year"/>
    <tableColumn id="4" xr3:uid="{5CE4824F-FBD7-459F-8572-F168D1C8A922}" name="Lot_Quantity"/>
    <tableColumn id="5" xr3:uid="{B8ADDBFD-32C9-434D-A1C9-F50451023B5D}" name="Cumulative_Units"/>
    <tableColumn id="6" xr3:uid="{DD854037-E8A0-427D-B174-B5838C8896F9}" name="Experience_Stock"/>
    <tableColumn id="7" xr3:uid="{CA84991F-00EE-41BF-B194-C585498886E8}" name="Unit_Cost_BY"/>
    <tableColumn id="8" xr3:uid="{157C89B1-8879-4C23-A9AE-AB9379282029}" name="log Cum Units"/>
    <tableColumn id="9" xr3:uid="{29810F33-0865-44E1-ACB1-3381BA74E9DF}" name="log experience"/>
    <tableColumn id="10" xr3:uid="{71731984-E796-40AE-8331-F82F23A15FAC}" name="log Unit Cost"/>
    <tableColumn id="11" xr3:uid="{FC44BA8A-E69E-4E9A-8877-3FD2DC160B47}"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CD0678D-4270-44BE-AA3A-EF52B9D5972C}" name="SpecTable" displayName="SpecTable" ref="B3:L15" totalsRowShown="0" headerRowDxfId="50">
  <autoFilter ref="B3:L15" xr:uid="{1CD0678D-4270-44BE-AA3A-EF52B9D5972C}"/>
  <tableColumns count="11">
    <tableColumn id="1" xr3:uid="{34F02D7C-EC17-48C0-A230-01D4D44CB688}" name="Role"/>
    <tableColumn id="2" xr3:uid="{138BC6C5-D245-4259-9309-40E32739ABC0}" name="Include"/>
    <tableColumn id="3" xr3:uid="{C6D8EFE8-9039-4D4D-82C8-F837EF6DB387}" name="Type"/>
    <tableColumn id="4" xr3:uid="{80CD77E0-8389-4845-B0D4-FB7C4ED54A54}" name="Reference Level"/>
    <tableColumn id="5" xr3:uid="{245E1C2F-B609-4EBA-9378-3282908786F2}" name="Order"/>
    <tableColumn id="6" xr3:uid="{AFADC039-7BAA-4F56-8393-420651D47E17}" name="Transform"/>
    <tableColumn id="7" xr3:uid="{8C86EA43-FDE4-4A81-BB88-27E90C8F8DB7}" name="Sequence"/>
    <tableColumn id="8" xr3:uid="{D61162D9-A5AE-40F3-976A-00F0AB5A25CB}" name="Sequence Period"/>
    <tableColumn id="9" xr3:uid="{F133F319-CE7D-4A2A-9714-1EA9BA8974DE}" name="Period In Use" dataDxfId="49">
      <calculatedColumnFormula>IF(SpecTable[[#This Row],[Sequence]]&lt;&gt;TRUE,"",IF(N(SpecTable[[#This Row],[Sequence Period]])&lt;&gt;0,SpecTable[[#This Row],[Sequence Period]],IFERROR(Base_Period_Delta_Candidate(),"")))</calculatedColumnFormula>
    </tableColumn>
    <tableColumn id="10" xr3:uid="{379925EB-E62F-4284-9401-2804E0F4C75F}" name="Levels" dataDxfId="4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8CC5AA50-3FF1-483E-B764-07BE7E871C5E}" name="Reference In Use" dataDxfId="4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0587BA-9524-4C35-AF6E-4F71D4666802}" name="LAMBDAFunctionsCatalog" displayName="LAMBDAFunctionsCatalog" ref="A1:G127" totalsRowShown="0" headerRowDxfId="46" dataDxfId="45">
  <autoFilter ref="A1:G127" xr:uid="{650587BA-9524-4C35-AF6E-4F71D4666802}"/>
  <tableColumns count="7">
    <tableColumn id="1" xr3:uid="{10CF8608-A4DD-40DA-BAD6-D7EBCE76E75E}" name="Function Name" dataDxfId="44"/>
    <tableColumn id="2" xr3:uid="{0ED148BB-C2AD-4CE3-A6D4-04AC5E77D8D0}" name="Scope" dataDxfId="43"/>
    <tableColumn id="3" xr3:uid="{09306A27-F038-4D5E-BC2A-C0EEE4A8B584}" name="Definition" dataDxfId="42"/>
    <tableColumn id="4" xr3:uid="{CC6E0A21-5D58-4055-BF58-CD27A16B1D31}" name="Arguments" dataDxfId="41"/>
    <tableColumn id="5" xr3:uid="{1358F287-B89A-4B81-9EC4-FD2AEA503CFD}" name="Yields" dataDxfId="40"/>
    <tableColumn id="6" xr3:uid="{1093F46D-561D-4E20-A09B-8D1C232E27E7}" name="Plain-Language Summary" dataDxfId="39"/>
    <tableColumn id="7" xr3:uid="{CFF0C73F-3FEB-47CE-AAA5-87839D7074CC}" name="Description"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951</v>
      </c>
      <c r="B1" t="s">
        <v>952</v>
      </c>
      <c r="C1" t="s">
        <v>953</v>
      </c>
      <c r="D1" t="s">
        <v>954</v>
      </c>
      <c r="E1" t="s">
        <v>955</v>
      </c>
      <c r="F1" t="s">
        <v>956</v>
      </c>
      <c r="G1" t="s">
        <v>957</v>
      </c>
      <c r="H1" t="s">
        <v>958</v>
      </c>
      <c r="I1" t="s">
        <v>959</v>
      </c>
      <c r="J1" t="s">
        <v>960</v>
      </c>
      <c r="K1" t="s">
        <v>961</v>
      </c>
      <c r="L1" t="s">
        <v>361</v>
      </c>
    </row>
    <row r="2" spans="1:12" x14ac:dyDescent="0.25">
      <c r="A2">
        <v>18</v>
      </c>
      <c r="B2">
        <v>8</v>
      </c>
      <c r="C2">
        <v>307</v>
      </c>
      <c r="D2">
        <v>130</v>
      </c>
      <c r="E2">
        <v>3504</v>
      </c>
      <c r="F2">
        <v>12</v>
      </c>
      <c r="G2">
        <v>70</v>
      </c>
      <c r="H2" t="s">
        <v>1620</v>
      </c>
      <c r="I2" t="s">
        <v>962</v>
      </c>
      <c r="J2" t="s">
        <v>963</v>
      </c>
      <c r="K2" t="s">
        <v>964</v>
      </c>
      <c r="L2" t="b">
        <f>Data_Completeness(MileageData[[#This Row],[MPG]:[Acceleration]])</f>
        <v>1</v>
      </c>
    </row>
    <row r="3" spans="1:12" x14ac:dyDescent="0.25">
      <c r="A3">
        <v>15</v>
      </c>
      <c r="B3">
        <v>8</v>
      </c>
      <c r="C3">
        <v>350</v>
      </c>
      <c r="D3">
        <v>165</v>
      </c>
      <c r="E3">
        <v>3693</v>
      </c>
      <c r="F3">
        <v>11.5</v>
      </c>
      <c r="G3">
        <v>70</v>
      </c>
      <c r="H3" t="s">
        <v>1620</v>
      </c>
      <c r="I3" t="s">
        <v>965</v>
      </c>
      <c r="J3" t="s">
        <v>966</v>
      </c>
      <c r="K3" t="s">
        <v>967</v>
      </c>
      <c r="L3" t="b">
        <f>Data_Completeness(MileageData[[#This Row],[MPG]:[Acceleration]])</f>
        <v>1</v>
      </c>
    </row>
    <row r="4" spans="1:12" x14ac:dyDescent="0.25">
      <c r="A4">
        <v>18</v>
      </c>
      <c r="B4">
        <v>8</v>
      </c>
      <c r="C4">
        <v>318</v>
      </c>
      <c r="D4">
        <v>150</v>
      </c>
      <c r="E4">
        <v>3436</v>
      </c>
      <c r="F4">
        <v>11</v>
      </c>
      <c r="G4">
        <v>70</v>
      </c>
      <c r="H4" t="s">
        <v>1620</v>
      </c>
      <c r="I4" t="s">
        <v>968</v>
      </c>
      <c r="J4" t="s">
        <v>969</v>
      </c>
      <c r="K4" t="s">
        <v>970</v>
      </c>
      <c r="L4" t="b">
        <f>Data_Completeness(MileageData[[#This Row],[MPG]:[Acceleration]])</f>
        <v>1</v>
      </c>
    </row>
    <row r="5" spans="1:12" x14ac:dyDescent="0.25">
      <c r="A5">
        <v>16</v>
      </c>
      <c r="B5">
        <v>8</v>
      </c>
      <c r="C5">
        <v>304</v>
      </c>
      <c r="D5">
        <v>150</v>
      </c>
      <c r="E5">
        <v>3433</v>
      </c>
      <c r="F5">
        <v>12</v>
      </c>
      <c r="G5">
        <v>70</v>
      </c>
      <c r="H5" t="s">
        <v>1620</v>
      </c>
      <c r="I5" t="s">
        <v>971</v>
      </c>
      <c r="J5" t="s">
        <v>972</v>
      </c>
      <c r="K5" t="s">
        <v>973</v>
      </c>
      <c r="L5" t="b">
        <f>Data_Completeness(MileageData[[#This Row],[MPG]:[Acceleration]])</f>
        <v>1</v>
      </c>
    </row>
    <row r="6" spans="1:12" x14ac:dyDescent="0.25">
      <c r="A6">
        <v>17</v>
      </c>
      <c r="B6">
        <v>8</v>
      </c>
      <c r="C6">
        <v>302</v>
      </c>
      <c r="D6">
        <v>140</v>
      </c>
      <c r="E6">
        <v>3449</v>
      </c>
      <c r="F6">
        <v>10.5</v>
      </c>
      <c r="G6">
        <v>70</v>
      </c>
      <c r="H6" t="s">
        <v>1620</v>
      </c>
      <c r="I6" t="s">
        <v>974</v>
      </c>
      <c r="J6" t="s">
        <v>975</v>
      </c>
      <c r="K6" t="s">
        <v>976</v>
      </c>
      <c r="L6" t="b">
        <f>Data_Completeness(MileageData[[#This Row],[MPG]:[Acceleration]])</f>
        <v>1</v>
      </c>
    </row>
    <row r="7" spans="1:12" x14ac:dyDescent="0.25">
      <c r="A7">
        <v>15</v>
      </c>
      <c r="B7">
        <v>8</v>
      </c>
      <c r="C7">
        <v>429</v>
      </c>
      <c r="D7">
        <v>198</v>
      </c>
      <c r="E7">
        <v>4341</v>
      </c>
      <c r="F7">
        <v>10</v>
      </c>
      <c r="G7">
        <v>70</v>
      </c>
      <c r="H7" t="s">
        <v>1620</v>
      </c>
      <c r="I7" t="s">
        <v>977</v>
      </c>
      <c r="J7" t="s">
        <v>975</v>
      </c>
      <c r="K7" t="s">
        <v>978</v>
      </c>
      <c r="L7" t="b">
        <f>Data_Completeness(MileageData[[#This Row],[MPG]:[Acceleration]])</f>
        <v>1</v>
      </c>
    </row>
    <row r="8" spans="1:12" x14ac:dyDescent="0.25">
      <c r="A8">
        <v>14</v>
      </c>
      <c r="B8">
        <v>8</v>
      </c>
      <c r="C8">
        <v>454</v>
      </c>
      <c r="D8">
        <v>220</v>
      </c>
      <c r="E8">
        <v>4354</v>
      </c>
      <c r="F8">
        <v>9</v>
      </c>
      <c r="G8">
        <v>70</v>
      </c>
      <c r="H8" t="s">
        <v>1620</v>
      </c>
      <c r="I8" t="s">
        <v>979</v>
      </c>
      <c r="J8" t="s">
        <v>963</v>
      </c>
      <c r="K8" t="s">
        <v>980</v>
      </c>
      <c r="L8" t="b">
        <f>Data_Completeness(MileageData[[#This Row],[MPG]:[Acceleration]])</f>
        <v>1</v>
      </c>
    </row>
    <row r="9" spans="1:12" x14ac:dyDescent="0.25">
      <c r="A9">
        <v>14</v>
      </c>
      <c r="B9">
        <v>8</v>
      </c>
      <c r="C9">
        <v>440</v>
      </c>
      <c r="D9">
        <v>215</v>
      </c>
      <c r="E9">
        <v>4312</v>
      </c>
      <c r="F9">
        <v>8.5</v>
      </c>
      <c r="G9">
        <v>70</v>
      </c>
      <c r="H9" t="s">
        <v>1620</v>
      </c>
      <c r="I9" t="s">
        <v>981</v>
      </c>
      <c r="J9" t="s">
        <v>969</v>
      </c>
      <c r="K9" t="s">
        <v>982</v>
      </c>
      <c r="L9" t="b">
        <f>Data_Completeness(MileageData[[#This Row],[MPG]:[Acceleration]])</f>
        <v>1</v>
      </c>
    </row>
    <row r="10" spans="1:12" x14ac:dyDescent="0.25">
      <c r="A10">
        <v>14</v>
      </c>
      <c r="B10">
        <v>8</v>
      </c>
      <c r="C10">
        <v>455</v>
      </c>
      <c r="D10">
        <v>225</v>
      </c>
      <c r="E10">
        <v>4425</v>
      </c>
      <c r="F10">
        <v>10</v>
      </c>
      <c r="G10">
        <v>70</v>
      </c>
      <c r="H10" t="s">
        <v>1620</v>
      </c>
      <c r="I10" t="s">
        <v>983</v>
      </c>
      <c r="J10" t="s">
        <v>984</v>
      </c>
      <c r="K10" t="s">
        <v>985</v>
      </c>
      <c r="L10" t="b">
        <f>Data_Completeness(MileageData[[#This Row],[MPG]:[Acceleration]])</f>
        <v>1</v>
      </c>
    </row>
    <row r="11" spans="1:12" x14ac:dyDescent="0.25">
      <c r="A11">
        <v>15</v>
      </c>
      <c r="B11">
        <v>8</v>
      </c>
      <c r="C11">
        <v>390</v>
      </c>
      <c r="D11">
        <v>190</v>
      </c>
      <c r="E11">
        <v>3850</v>
      </c>
      <c r="F11">
        <v>8.5</v>
      </c>
      <c r="G11">
        <v>70</v>
      </c>
      <c r="H11" t="s">
        <v>1620</v>
      </c>
      <c r="I11" t="s">
        <v>986</v>
      </c>
      <c r="J11" t="s">
        <v>972</v>
      </c>
      <c r="K11" t="s">
        <v>987</v>
      </c>
      <c r="L11" t="b">
        <f>Data_Completeness(MileageData[[#This Row],[MPG]:[Acceleration]])</f>
        <v>1</v>
      </c>
    </row>
    <row r="12" spans="1:12" x14ac:dyDescent="0.25">
      <c r="B12">
        <v>4</v>
      </c>
      <c r="C12">
        <v>133</v>
      </c>
      <c r="D12">
        <v>115</v>
      </c>
      <c r="E12">
        <v>3090</v>
      </c>
      <c r="F12">
        <v>17.5</v>
      </c>
      <c r="G12">
        <v>70</v>
      </c>
      <c r="H12" t="s">
        <v>1621</v>
      </c>
      <c r="I12" t="s">
        <v>988</v>
      </c>
      <c r="J12" t="s">
        <v>989</v>
      </c>
      <c r="K12" t="s">
        <v>990</v>
      </c>
      <c r="L12" t="b">
        <f>Data_Completeness(MileageData[[#This Row],[MPG]:[Acceleration]])</f>
        <v>0</v>
      </c>
    </row>
    <row r="13" spans="1:12" x14ac:dyDescent="0.25">
      <c r="B13">
        <v>8</v>
      </c>
      <c r="C13">
        <v>350</v>
      </c>
      <c r="D13">
        <v>165</v>
      </c>
      <c r="E13">
        <v>4142</v>
      </c>
      <c r="F13">
        <v>11.5</v>
      </c>
      <c r="G13">
        <v>70</v>
      </c>
      <c r="H13" t="s">
        <v>1620</v>
      </c>
      <c r="I13" t="s">
        <v>991</v>
      </c>
      <c r="J13" t="s">
        <v>963</v>
      </c>
      <c r="K13" t="s">
        <v>992</v>
      </c>
      <c r="L13" t="b">
        <f>Data_Completeness(MileageData[[#This Row],[MPG]:[Acceleration]])</f>
        <v>0</v>
      </c>
    </row>
    <row r="14" spans="1:12" x14ac:dyDescent="0.25">
      <c r="B14">
        <v>8</v>
      </c>
      <c r="C14">
        <v>351</v>
      </c>
      <c r="D14">
        <v>153</v>
      </c>
      <c r="E14">
        <v>4034</v>
      </c>
      <c r="F14">
        <v>11</v>
      </c>
      <c r="G14">
        <v>70</v>
      </c>
      <c r="H14" t="s">
        <v>1620</v>
      </c>
      <c r="I14" t="s">
        <v>993</v>
      </c>
      <c r="J14" t="s">
        <v>975</v>
      </c>
      <c r="K14" t="s">
        <v>994</v>
      </c>
      <c r="L14" t="b">
        <f>Data_Completeness(MileageData[[#This Row],[MPG]:[Acceleration]])</f>
        <v>0</v>
      </c>
    </row>
    <row r="15" spans="1:12" x14ac:dyDescent="0.25">
      <c r="B15">
        <v>8</v>
      </c>
      <c r="C15">
        <v>383</v>
      </c>
      <c r="D15">
        <v>175</v>
      </c>
      <c r="E15">
        <v>4166</v>
      </c>
      <c r="F15">
        <v>10.5</v>
      </c>
      <c r="G15">
        <v>70</v>
      </c>
      <c r="H15" t="s">
        <v>1620</v>
      </c>
      <c r="I15" t="s">
        <v>995</v>
      </c>
      <c r="J15" t="s">
        <v>969</v>
      </c>
      <c r="K15" t="s">
        <v>996</v>
      </c>
      <c r="L15" t="b">
        <f>Data_Completeness(MileageData[[#This Row],[MPG]:[Acceleration]])</f>
        <v>0</v>
      </c>
    </row>
    <row r="16" spans="1:12" x14ac:dyDescent="0.25">
      <c r="B16">
        <v>8</v>
      </c>
      <c r="C16">
        <v>360</v>
      </c>
      <c r="D16">
        <v>175</v>
      </c>
      <c r="E16">
        <v>3850</v>
      </c>
      <c r="F16">
        <v>11</v>
      </c>
      <c r="G16">
        <v>70</v>
      </c>
      <c r="H16" t="s">
        <v>1620</v>
      </c>
      <c r="I16" t="s">
        <v>997</v>
      </c>
      <c r="J16" t="s">
        <v>972</v>
      </c>
      <c r="K16" t="s">
        <v>998</v>
      </c>
      <c r="L16" t="b">
        <f>Data_Completeness(MileageData[[#This Row],[MPG]:[Acceleration]])</f>
        <v>0</v>
      </c>
    </row>
    <row r="17" spans="1:12" x14ac:dyDescent="0.25">
      <c r="A17">
        <v>15</v>
      </c>
      <c r="B17">
        <v>8</v>
      </c>
      <c r="C17">
        <v>383</v>
      </c>
      <c r="D17">
        <v>170</v>
      </c>
      <c r="E17">
        <v>3563</v>
      </c>
      <c r="F17">
        <v>10</v>
      </c>
      <c r="G17">
        <v>70</v>
      </c>
      <c r="H17" t="s">
        <v>1620</v>
      </c>
      <c r="I17" t="s">
        <v>999</v>
      </c>
      <c r="J17" t="s">
        <v>1000</v>
      </c>
      <c r="K17" t="s">
        <v>1001</v>
      </c>
      <c r="L17" t="b">
        <f>Data_Completeness(MileageData[[#This Row],[MPG]:[Acceleration]])</f>
        <v>1</v>
      </c>
    </row>
    <row r="18" spans="1:12" x14ac:dyDescent="0.25">
      <c r="A18">
        <v>14</v>
      </c>
      <c r="B18">
        <v>8</v>
      </c>
      <c r="C18">
        <v>340</v>
      </c>
      <c r="D18">
        <v>160</v>
      </c>
      <c r="E18">
        <v>3609</v>
      </c>
      <c r="F18">
        <v>8</v>
      </c>
      <c r="G18">
        <v>70</v>
      </c>
      <c r="H18" t="s">
        <v>1620</v>
      </c>
      <c r="I18" t="s">
        <v>1002</v>
      </c>
      <c r="J18" t="s">
        <v>969</v>
      </c>
      <c r="K18" s="34" t="s">
        <v>1611</v>
      </c>
      <c r="L18" t="b">
        <f>Data_Completeness(MileageData[[#This Row],[MPG]:[Acceleration]])</f>
        <v>1</v>
      </c>
    </row>
    <row r="19" spans="1:12" x14ac:dyDescent="0.25">
      <c r="B19">
        <v>8</v>
      </c>
      <c r="C19">
        <v>302</v>
      </c>
      <c r="D19">
        <v>140</v>
      </c>
      <c r="E19">
        <v>3353</v>
      </c>
      <c r="F19">
        <v>8</v>
      </c>
      <c r="G19">
        <v>70</v>
      </c>
      <c r="H19" t="s">
        <v>1620</v>
      </c>
      <c r="I19" t="s">
        <v>1003</v>
      </c>
      <c r="J19" t="s">
        <v>975</v>
      </c>
      <c r="K19" t="s">
        <v>1004</v>
      </c>
      <c r="L19" t="b">
        <f>Data_Completeness(MileageData[[#This Row],[MPG]:[Acceleration]])</f>
        <v>0</v>
      </c>
    </row>
    <row r="20" spans="1:12" x14ac:dyDescent="0.25">
      <c r="A20">
        <v>15</v>
      </c>
      <c r="B20">
        <v>8</v>
      </c>
      <c r="C20">
        <v>400</v>
      </c>
      <c r="D20">
        <v>150</v>
      </c>
      <c r="E20">
        <v>3761</v>
      </c>
      <c r="F20">
        <v>9.5</v>
      </c>
      <c r="G20">
        <v>70</v>
      </c>
      <c r="H20" t="s">
        <v>1620</v>
      </c>
      <c r="I20" t="s">
        <v>1005</v>
      </c>
      <c r="J20" t="s">
        <v>963</v>
      </c>
      <c r="K20" t="s">
        <v>1006</v>
      </c>
      <c r="L20" t="b">
        <f>Data_Completeness(MileageData[[#This Row],[MPG]:[Acceleration]])</f>
        <v>1</v>
      </c>
    </row>
    <row r="21" spans="1:12" x14ac:dyDescent="0.25">
      <c r="A21">
        <v>14</v>
      </c>
      <c r="B21">
        <v>8</v>
      </c>
      <c r="C21">
        <v>455</v>
      </c>
      <c r="D21">
        <v>225</v>
      </c>
      <c r="E21">
        <v>3086</v>
      </c>
      <c r="F21">
        <v>10</v>
      </c>
      <c r="G21">
        <v>70</v>
      </c>
      <c r="H21" t="s">
        <v>1620</v>
      </c>
      <c r="I21" t="s">
        <v>1007</v>
      </c>
      <c r="J21" t="s">
        <v>966</v>
      </c>
      <c r="K21" t="s">
        <v>1008</v>
      </c>
      <c r="L21" t="b">
        <f>Data_Completeness(MileageData[[#This Row],[MPG]:[Acceleration]])</f>
        <v>1</v>
      </c>
    </row>
    <row r="22" spans="1:12" x14ac:dyDescent="0.25">
      <c r="A22">
        <v>24</v>
      </c>
      <c r="B22">
        <v>4</v>
      </c>
      <c r="C22">
        <v>113</v>
      </c>
      <c r="D22">
        <v>95</v>
      </c>
      <c r="E22">
        <v>2372</v>
      </c>
      <c r="F22">
        <v>15</v>
      </c>
      <c r="G22">
        <v>70</v>
      </c>
      <c r="H22" t="s">
        <v>1622</v>
      </c>
      <c r="I22" t="s">
        <v>1009</v>
      </c>
      <c r="J22" t="s">
        <v>1010</v>
      </c>
      <c r="K22" t="s">
        <v>1011</v>
      </c>
      <c r="L22" t="b">
        <f>Data_Completeness(MileageData[[#This Row],[MPG]:[Acceleration]])</f>
        <v>1</v>
      </c>
    </row>
    <row r="23" spans="1:12" x14ac:dyDescent="0.25">
      <c r="A23">
        <v>22</v>
      </c>
      <c r="B23">
        <v>6</v>
      </c>
      <c r="C23">
        <v>198</v>
      </c>
      <c r="D23">
        <v>95</v>
      </c>
      <c r="E23">
        <v>2833</v>
      </c>
      <c r="F23">
        <v>15.5</v>
      </c>
      <c r="G23">
        <v>70</v>
      </c>
      <c r="H23" t="s">
        <v>1620</v>
      </c>
      <c r="I23" t="s">
        <v>1012</v>
      </c>
      <c r="J23" t="s">
        <v>969</v>
      </c>
      <c r="K23" t="s">
        <v>1013</v>
      </c>
      <c r="L23" t="b">
        <f>Data_Completeness(MileageData[[#This Row],[MPG]:[Acceleration]])</f>
        <v>1</v>
      </c>
    </row>
    <row r="24" spans="1:12" x14ac:dyDescent="0.25">
      <c r="A24">
        <v>18</v>
      </c>
      <c r="B24">
        <v>6</v>
      </c>
      <c r="C24">
        <v>199</v>
      </c>
      <c r="D24">
        <v>97</v>
      </c>
      <c r="E24">
        <v>2774</v>
      </c>
      <c r="F24">
        <v>15.5</v>
      </c>
      <c r="G24">
        <v>70</v>
      </c>
      <c r="H24" t="s">
        <v>1620</v>
      </c>
      <c r="I24" t="s">
        <v>1014</v>
      </c>
      <c r="J24" t="s">
        <v>972</v>
      </c>
      <c r="K24" t="s">
        <v>1015</v>
      </c>
      <c r="L24" t="b">
        <f>Data_Completeness(MileageData[[#This Row],[MPG]:[Acceleration]])</f>
        <v>1</v>
      </c>
    </row>
    <row r="25" spans="1:12" x14ac:dyDescent="0.25">
      <c r="A25">
        <v>21</v>
      </c>
      <c r="B25">
        <v>6</v>
      </c>
      <c r="C25">
        <v>200</v>
      </c>
      <c r="D25">
        <v>85</v>
      </c>
      <c r="E25">
        <v>2587</v>
      </c>
      <c r="F25">
        <v>16</v>
      </c>
      <c r="G25">
        <v>70</v>
      </c>
      <c r="H25" t="s">
        <v>1620</v>
      </c>
      <c r="I25" t="s">
        <v>1016</v>
      </c>
      <c r="J25" t="s">
        <v>975</v>
      </c>
      <c r="K25" t="s">
        <v>1017</v>
      </c>
      <c r="L25" t="b">
        <f>Data_Completeness(MileageData[[#This Row],[MPG]:[Acceleration]])</f>
        <v>1</v>
      </c>
    </row>
    <row r="26" spans="1:12" x14ac:dyDescent="0.25">
      <c r="A26">
        <v>27</v>
      </c>
      <c r="B26">
        <v>4</v>
      </c>
      <c r="C26">
        <v>97</v>
      </c>
      <c r="D26">
        <v>88</v>
      </c>
      <c r="E26">
        <v>2130</v>
      </c>
      <c r="F26">
        <v>14.5</v>
      </c>
      <c r="G26">
        <v>70</v>
      </c>
      <c r="H26" t="s">
        <v>1622</v>
      </c>
      <c r="I26" t="s">
        <v>1018</v>
      </c>
      <c r="J26" t="s">
        <v>1019</v>
      </c>
      <c r="K26" t="s">
        <v>1020</v>
      </c>
      <c r="L26" t="b">
        <f>Data_Completeness(MileageData[[#This Row],[MPG]:[Acceleration]])</f>
        <v>1</v>
      </c>
    </row>
    <row r="27" spans="1:12" x14ac:dyDescent="0.25">
      <c r="A27">
        <v>26</v>
      </c>
      <c r="B27">
        <v>4</v>
      </c>
      <c r="C27">
        <v>97</v>
      </c>
      <c r="D27">
        <v>46</v>
      </c>
      <c r="E27">
        <v>1835</v>
      </c>
      <c r="F27">
        <v>20.5</v>
      </c>
      <c r="G27">
        <v>70</v>
      </c>
      <c r="H27" t="s">
        <v>1621</v>
      </c>
      <c r="I27" t="s">
        <v>1021</v>
      </c>
      <c r="J27" t="s">
        <v>1022</v>
      </c>
      <c r="K27" t="s">
        <v>1023</v>
      </c>
      <c r="L27" t="b">
        <f>Data_Completeness(MileageData[[#This Row],[MPG]:[Acceleration]])</f>
        <v>1</v>
      </c>
    </row>
    <row r="28" spans="1:12" x14ac:dyDescent="0.25">
      <c r="A28">
        <v>25</v>
      </c>
      <c r="B28">
        <v>4</v>
      </c>
      <c r="C28">
        <v>110</v>
      </c>
      <c r="D28">
        <v>87</v>
      </c>
      <c r="E28">
        <v>2672</v>
      </c>
      <c r="F28">
        <v>17.5</v>
      </c>
      <c r="G28">
        <v>70</v>
      </c>
      <c r="H28" t="s">
        <v>1621</v>
      </c>
      <c r="I28" t="s">
        <v>1024</v>
      </c>
      <c r="J28" t="s">
        <v>1025</v>
      </c>
      <c r="K28">
        <v>504</v>
      </c>
      <c r="L28" t="b">
        <f>Data_Completeness(MileageData[[#This Row],[MPG]:[Acceleration]])</f>
        <v>1</v>
      </c>
    </row>
    <row r="29" spans="1:12" x14ac:dyDescent="0.25">
      <c r="A29">
        <v>24</v>
      </c>
      <c r="B29">
        <v>4</v>
      </c>
      <c r="C29">
        <v>107</v>
      </c>
      <c r="D29">
        <v>90</v>
      </c>
      <c r="E29">
        <v>2430</v>
      </c>
      <c r="F29">
        <v>14.5</v>
      </c>
      <c r="G29">
        <v>70</v>
      </c>
      <c r="H29" t="s">
        <v>1621</v>
      </c>
      <c r="I29" t="s">
        <v>1026</v>
      </c>
      <c r="J29" t="s">
        <v>1027</v>
      </c>
      <c r="K29" t="s">
        <v>1028</v>
      </c>
      <c r="L29" t="b">
        <f>Data_Completeness(MileageData[[#This Row],[MPG]:[Acceleration]])</f>
        <v>1</v>
      </c>
    </row>
    <row r="30" spans="1:12" x14ac:dyDescent="0.25">
      <c r="A30">
        <v>25</v>
      </c>
      <c r="B30">
        <v>4</v>
      </c>
      <c r="C30">
        <v>104</v>
      </c>
      <c r="D30">
        <v>95</v>
      </c>
      <c r="E30">
        <v>2375</v>
      </c>
      <c r="F30">
        <v>17.5</v>
      </c>
      <c r="G30">
        <v>70</v>
      </c>
      <c r="H30" t="s">
        <v>1621</v>
      </c>
      <c r="I30" t="s">
        <v>1029</v>
      </c>
      <c r="J30" t="s">
        <v>1030</v>
      </c>
      <c r="K30" t="s">
        <v>1031</v>
      </c>
      <c r="L30" t="b">
        <f>Data_Completeness(MileageData[[#This Row],[MPG]:[Acceleration]])</f>
        <v>1</v>
      </c>
    </row>
    <row r="31" spans="1:12" x14ac:dyDescent="0.25">
      <c r="A31">
        <v>26</v>
      </c>
      <c r="B31">
        <v>4</v>
      </c>
      <c r="C31">
        <v>121</v>
      </c>
      <c r="D31">
        <v>113</v>
      </c>
      <c r="E31">
        <v>2234</v>
      </c>
      <c r="F31">
        <v>12.5</v>
      </c>
      <c r="G31">
        <v>70</v>
      </c>
      <c r="H31" t="s">
        <v>1621</v>
      </c>
      <c r="I31" t="s">
        <v>1032</v>
      </c>
      <c r="J31" t="s">
        <v>1033</v>
      </c>
      <c r="K31">
        <v>2002</v>
      </c>
      <c r="L31" t="b">
        <f>Data_Completeness(MileageData[[#This Row],[MPG]:[Acceleration]])</f>
        <v>1</v>
      </c>
    </row>
    <row r="32" spans="1:12" x14ac:dyDescent="0.25">
      <c r="A32">
        <v>21</v>
      </c>
      <c r="B32">
        <v>6</v>
      </c>
      <c r="C32">
        <v>199</v>
      </c>
      <c r="D32">
        <v>90</v>
      </c>
      <c r="E32">
        <v>2648</v>
      </c>
      <c r="F32">
        <v>15</v>
      </c>
      <c r="G32">
        <v>70</v>
      </c>
      <c r="H32" t="s">
        <v>1620</v>
      </c>
      <c r="I32" t="s">
        <v>1034</v>
      </c>
      <c r="J32" t="s">
        <v>972</v>
      </c>
      <c r="K32" t="s">
        <v>1035</v>
      </c>
      <c r="L32" t="b">
        <f>Data_Completeness(MileageData[[#This Row],[MPG]:[Acceleration]])</f>
        <v>1</v>
      </c>
    </row>
    <row r="33" spans="1:12" x14ac:dyDescent="0.25">
      <c r="A33">
        <v>10</v>
      </c>
      <c r="B33">
        <v>8</v>
      </c>
      <c r="C33">
        <v>360</v>
      </c>
      <c r="D33">
        <v>215</v>
      </c>
      <c r="E33">
        <v>4615</v>
      </c>
      <c r="F33">
        <v>14</v>
      </c>
      <c r="G33">
        <v>70</v>
      </c>
      <c r="H33" t="s">
        <v>1620</v>
      </c>
      <c r="I33" t="s">
        <v>1036</v>
      </c>
      <c r="J33" t="s">
        <v>975</v>
      </c>
      <c r="K33" t="s">
        <v>1037</v>
      </c>
      <c r="L33" t="b">
        <f>Data_Completeness(MileageData[[#This Row],[MPG]:[Acceleration]])</f>
        <v>1</v>
      </c>
    </row>
    <row r="34" spans="1:12" x14ac:dyDescent="0.25">
      <c r="A34">
        <v>10</v>
      </c>
      <c r="B34">
        <v>8</v>
      </c>
      <c r="C34">
        <v>307</v>
      </c>
      <c r="D34">
        <v>200</v>
      </c>
      <c r="E34">
        <v>4376</v>
      </c>
      <c r="F34">
        <v>15</v>
      </c>
      <c r="G34">
        <v>70</v>
      </c>
      <c r="H34" t="s">
        <v>1620</v>
      </c>
      <c r="I34" t="s">
        <v>1038</v>
      </c>
      <c r="J34" t="s">
        <v>1039</v>
      </c>
      <c r="K34" t="s">
        <v>1040</v>
      </c>
      <c r="L34" t="b">
        <f>Data_Completeness(MileageData[[#This Row],[MPG]:[Acceleration]])</f>
        <v>1</v>
      </c>
    </row>
    <row r="35" spans="1:12" x14ac:dyDescent="0.25">
      <c r="A35">
        <v>11</v>
      </c>
      <c r="B35">
        <v>8</v>
      </c>
      <c r="C35">
        <v>318</v>
      </c>
      <c r="D35">
        <v>210</v>
      </c>
      <c r="E35">
        <v>4382</v>
      </c>
      <c r="F35">
        <v>13.5</v>
      </c>
      <c r="G35">
        <v>70</v>
      </c>
      <c r="H35" t="s">
        <v>1620</v>
      </c>
      <c r="I35" t="s">
        <v>1041</v>
      </c>
      <c r="J35" t="s">
        <v>1000</v>
      </c>
      <c r="K35" t="s">
        <v>1042</v>
      </c>
      <c r="L35" t="b">
        <f>Data_Completeness(MileageData[[#This Row],[MPG]:[Acceleration]])</f>
        <v>1</v>
      </c>
    </row>
    <row r="36" spans="1:12" x14ac:dyDescent="0.25">
      <c r="A36">
        <v>9</v>
      </c>
      <c r="B36">
        <v>8</v>
      </c>
      <c r="C36">
        <v>304</v>
      </c>
      <c r="D36">
        <v>193</v>
      </c>
      <c r="E36">
        <v>4732</v>
      </c>
      <c r="F36">
        <v>18.5</v>
      </c>
      <c r="G36">
        <v>70</v>
      </c>
      <c r="H36" t="s">
        <v>1620</v>
      </c>
      <c r="I36" t="s">
        <v>1043</v>
      </c>
      <c r="J36" t="s">
        <v>1044</v>
      </c>
      <c r="K36" t="s">
        <v>1045</v>
      </c>
      <c r="L36" t="b">
        <f>Data_Completeness(MileageData[[#This Row],[MPG]:[Acceleration]])</f>
        <v>1</v>
      </c>
    </row>
    <row r="37" spans="1:12" x14ac:dyDescent="0.25">
      <c r="A37">
        <v>27</v>
      </c>
      <c r="B37">
        <v>4</v>
      </c>
      <c r="C37">
        <v>97</v>
      </c>
      <c r="D37">
        <v>88</v>
      </c>
      <c r="E37">
        <v>2130</v>
      </c>
      <c r="F37">
        <v>14.5</v>
      </c>
      <c r="G37">
        <v>71</v>
      </c>
      <c r="H37" t="s">
        <v>1622</v>
      </c>
      <c r="I37" t="s">
        <v>1018</v>
      </c>
      <c r="J37" t="s">
        <v>1019</v>
      </c>
      <c r="K37" t="s">
        <v>1020</v>
      </c>
      <c r="L37" t="b">
        <f>Data_Completeness(MileageData[[#This Row],[MPG]:[Acceleration]])</f>
        <v>1</v>
      </c>
    </row>
    <row r="38" spans="1:12" x14ac:dyDescent="0.25">
      <c r="A38">
        <v>28</v>
      </c>
      <c r="B38">
        <v>4</v>
      </c>
      <c r="C38">
        <v>140</v>
      </c>
      <c r="D38">
        <v>90</v>
      </c>
      <c r="E38">
        <v>2264</v>
      </c>
      <c r="F38">
        <v>15.5</v>
      </c>
      <c r="G38">
        <v>71</v>
      </c>
      <c r="H38" t="s">
        <v>1620</v>
      </c>
      <c r="I38" t="s">
        <v>1046</v>
      </c>
      <c r="J38" t="s">
        <v>963</v>
      </c>
      <c r="K38" t="s">
        <v>1047</v>
      </c>
      <c r="L38" t="b">
        <f>Data_Completeness(MileageData[[#This Row],[MPG]:[Acceleration]])</f>
        <v>1</v>
      </c>
    </row>
    <row r="39" spans="1:12" x14ac:dyDescent="0.25">
      <c r="A39">
        <v>25</v>
      </c>
      <c r="B39">
        <v>4</v>
      </c>
      <c r="C39">
        <v>113</v>
      </c>
      <c r="D39">
        <v>95</v>
      </c>
      <c r="E39">
        <v>2228</v>
      </c>
      <c r="F39">
        <v>14</v>
      </c>
      <c r="G39">
        <v>71</v>
      </c>
      <c r="H39" t="s">
        <v>1622</v>
      </c>
      <c r="I39" t="s">
        <v>1048</v>
      </c>
      <c r="J39" t="s">
        <v>1010</v>
      </c>
      <c r="K39" t="s">
        <v>1049</v>
      </c>
      <c r="L39" t="b">
        <f>Data_Completeness(MileageData[[#This Row],[MPG]:[Acceleration]])</f>
        <v>1</v>
      </c>
    </row>
    <row r="40" spans="1:12" x14ac:dyDescent="0.25">
      <c r="A40">
        <v>25</v>
      </c>
      <c r="B40">
        <v>4</v>
      </c>
      <c r="C40">
        <v>98</v>
      </c>
      <c r="E40">
        <v>2046</v>
      </c>
      <c r="F40">
        <v>19</v>
      </c>
      <c r="G40">
        <v>71</v>
      </c>
      <c r="H40" t="s">
        <v>1620</v>
      </c>
      <c r="I40" t="s">
        <v>1050</v>
      </c>
      <c r="J40" t="s">
        <v>975</v>
      </c>
      <c r="K40" t="s">
        <v>1051</v>
      </c>
      <c r="L40" t="b">
        <f>Data_Completeness(MileageData[[#This Row],[MPG]:[Acceleration]])</f>
        <v>0</v>
      </c>
    </row>
    <row r="41" spans="1:12" x14ac:dyDescent="0.25">
      <c r="B41">
        <v>4</v>
      </c>
      <c r="C41">
        <v>97</v>
      </c>
      <c r="D41">
        <v>48</v>
      </c>
      <c r="E41">
        <v>1978</v>
      </c>
      <c r="F41">
        <v>20</v>
      </c>
      <c r="G41">
        <v>71</v>
      </c>
      <c r="H41" t="s">
        <v>1621</v>
      </c>
      <c r="I41" t="s">
        <v>1052</v>
      </c>
      <c r="J41" t="s">
        <v>1022</v>
      </c>
      <c r="K41" t="s">
        <v>1053</v>
      </c>
      <c r="L41" t="b">
        <f>Data_Completeness(MileageData[[#This Row],[MPG]:[Acceleration]])</f>
        <v>0</v>
      </c>
    </row>
    <row r="42" spans="1:12" x14ac:dyDescent="0.25">
      <c r="A42">
        <v>19</v>
      </c>
      <c r="B42">
        <v>6</v>
      </c>
      <c r="C42">
        <v>232</v>
      </c>
      <c r="D42">
        <v>100</v>
      </c>
      <c r="E42">
        <v>2634</v>
      </c>
      <c r="F42">
        <v>13</v>
      </c>
      <c r="G42">
        <v>71</v>
      </c>
      <c r="H42" t="s">
        <v>1620</v>
      </c>
      <c r="I42" t="s">
        <v>1034</v>
      </c>
      <c r="J42" t="s">
        <v>972</v>
      </c>
      <c r="K42" t="s">
        <v>1035</v>
      </c>
      <c r="L42" t="b">
        <f>Data_Completeness(MileageData[[#This Row],[MPG]:[Acceleration]])</f>
        <v>1</v>
      </c>
    </row>
    <row r="43" spans="1:12" x14ac:dyDescent="0.25">
      <c r="A43">
        <v>16</v>
      </c>
      <c r="B43">
        <v>6</v>
      </c>
      <c r="C43">
        <v>225</v>
      </c>
      <c r="D43">
        <v>105</v>
      </c>
      <c r="E43">
        <v>3439</v>
      </c>
      <c r="F43">
        <v>15.5</v>
      </c>
      <c r="G43">
        <v>71</v>
      </c>
      <c r="H43" t="s">
        <v>1620</v>
      </c>
      <c r="I43" t="s">
        <v>1054</v>
      </c>
      <c r="J43" t="s">
        <v>969</v>
      </c>
      <c r="K43" t="s">
        <v>1055</v>
      </c>
      <c r="L43" t="b">
        <f>Data_Completeness(MileageData[[#This Row],[MPG]:[Acceleration]])</f>
        <v>1</v>
      </c>
    </row>
    <row r="44" spans="1:12" x14ac:dyDescent="0.25">
      <c r="A44">
        <v>17</v>
      </c>
      <c r="B44">
        <v>6</v>
      </c>
      <c r="C44">
        <v>250</v>
      </c>
      <c r="D44">
        <v>100</v>
      </c>
      <c r="E44">
        <v>3329</v>
      </c>
      <c r="F44">
        <v>15.5</v>
      </c>
      <c r="G44">
        <v>71</v>
      </c>
      <c r="H44" t="s">
        <v>1620</v>
      </c>
      <c r="I44" t="s">
        <v>962</v>
      </c>
      <c r="J44" t="s">
        <v>963</v>
      </c>
      <c r="K44" t="s">
        <v>964</v>
      </c>
      <c r="L44" t="b">
        <f>Data_Completeness(MileageData[[#This Row],[MPG]:[Acceleration]])</f>
        <v>1</v>
      </c>
    </row>
    <row r="45" spans="1:12" x14ac:dyDescent="0.25">
      <c r="A45">
        <v>19</v>
      </c>
      <c r="B45">
        <v>6</v>
      </c>
      <c r="C45">
        <v>250</v>
      </c>
      <c r="D45">
        <v>88</v>
      </c>
      <c r="E45">
        <v>3302</v>
      </c>
      <c r="F45">
        <v>15.5</v>
      </c>
      <c r="G45">
        <v>71</v>
      </c>
      <c r="H45" t="s">
        <v>1620</v>
      </c>
      <c r="I45" t="s">
        <v>1056</v>
      </c>
      <c r="J45" t="s">
        <v>975</v>
      </c>
      <c r="K45" t="s">
        <v>1057</v>
      </c>
      <c r="L45" t="b">
        <f>Data_Completeness(MileageData[[#This Row],[MPG]:[Acceleration]])</f>
        <v>1</v>
      </c>
    </row>
    <row r="46" spans="1:12" x14ac:dyDescent="0.25">
      <c r="A46">
        <v>18</v>
      </c>
      <c r="B46">
        <v>6</v>
      </c>
      <c r="C46">
        <v>232</v>
      </c>
      <c r="D46">
        <v>100</v>
      </c>
      <c r="E46">
        <v>3288</v>
      </c>
      <c r="F46">
        <v>15.5</v>
      </c>
      <c r="G46">
        <v>71</v>
      </c>
      <c r="H46" t="s">
        <v>1620</v>
      </c>
      <c r="I46" t="s">
        <v>1058</v>
      </c>
      <c r="J46" t="s">
        <v>972</v>
      </c>
      <c r="K46" t="s">
        <v>1059</v>
      </c>
      <c r="L46" t="b">
        <f>Data_Completeness(MileageData[[#This Row],[MPG]:[Acceleration]])</f>
        <v>1</v>
      </c>
    </row>
    <row r="47" spans="1:12" x14ac:dyDescent="0.25">
      <c r="A47">
        <v>14</v>
      </c>
      <c r="B47">
        <v>8</v>
      </c>
      <c r="C47">
        <v>350</v>
      </c>
      <c r="D47">
        <v>165</v>
      </c>
      <c r="E47">
        <v>4209</v>
      </c>
      <c r="F47">
        <v>12</v>
      </c>
      <c r="G47">
        <v>71</v>
      </c>
      <c r="H47" t="s">
        <v>1620</v>
      </c>
      <c r="I47" t="s">
        <v>979</v>
      </c>
      <c r="J47" t="s">
        <v>963</v>
      </c>
      <c r="K47" t="s">
        <v>980</v>
      </c>
      <c r="L47" t="b">
        <f>Data_Completeness(MileageData[[#This Row],[MPG]:[Acceleration]])</f>
        <v>1</v>
      </c>
    </row>
    <row r="48" spans="1:12" x14ac:dyDescent="0.25">
      <c r="A48">
        <v>14</v>
      </c>
      <c r="B48">
        <v>8</v>
      </c>
      <c r="C48">
        <v>400</v>
      </c>
      <c r="D48">
        <v>175</v>
      </c>
      <c r="E48">
        <v>4464</v>
      </c>
      <c r="F48">
        <v>11.5</v>
      </c>
      <c r="G48">
        <v>71</v>
      </c>
      <c r="H48" t="s">
        <v>1620</v>
      </c>
      <c r="I48" t="s">
        <v>1060</v>
      </c>
      <c r="J48" t="s">
        <v>984</v>
      </c>
      <c r="K48" t="s">
        <v>1061</v>
      </c>
      <c r="L48" t="b">
        <f>Data_Completeness(MileageData[[#This Row],[MPG]:[Acceleration]])</f>
        <v>1</v>
      </c>
    </row>
    <row r="49" spans="1:12" x14ac:dyDescent="0.25">
      <c r="A49">
        <v>14</v>
      </c>
      <c r="B49">
        <v>8</v>
      </c>
      <c r="C49">
        <v>351</v>
      </c>
      <c r="D49">
        <v>153</v>
      </c>
      <c r="E49">
        <v>4154</v>
      </c>
      <c r="F49">
        <v>13.5</v>
      </c>
      <c r="G49">
        <v>71</v>
      </c>
      <c r="H49" t="s">
        <v>1620</v>
      </c>
      <c r="I49" t="s">
        <v>977</v>
      </c>
      <c r="J49" t="s">
        <v>975</v>
      </c>
      <c r="K49" t="s">
        <v>978</v>
      </c>
      <c r="L49" t="b">
        <f>Data_Completeness(MileageData[[#This Row],[MPG]:[Acceleration]])</f>
        <v>1</v>
      </c>
    </row>
    <row r="50" spans="1:12" x14ac:dyDescent="0.25">
      <c r="A50">
        <v>14</v>
      </c>
      <c r="B50">
        <v>8</v>
      </c>
      <c r="C50">
        <v>318</v>
      </c>
      <c r="D50">
        <v>150</v>
      </c>
      <c r="E50">
        <v>4096</v>
      </c>
      <c r="F50">
        <v>13</v>
      </c>
      <c r="G50">
        <v>71</v>
      </c>
      <c r="H50" t="s">
        <v>1620</v>
      </c>
      <c r="I50" t="s">
        <v>981</v>
      </c>
      <c r="J50" t="s">
        <v>969</v>
      </c>
      <c r="K50" t="s">
        <v>982</v>
      </c>
      <c r="L50" t="b">
        <f>Data_Completeness(MileageData[[#This Row],[MPG]:[Acceleration]])</f>
        <v>1</v>
      </c>
    </row>
    <row r="51" spans="1:12" x14ac:dyDescent="0.25">
      <c r="A51">
        <v>12</v>
      </c>
      <c r="B51">
        <v>8</v>
      </c>
      <c r="C51">
        <v>383</v>
      </c>
      <c r="D51">
        <v>180</v>
      </c>
      <c r="E51">
        <v>4955</v>
      </c>
      <c r="F51">
        <v>11.5</v>
      </c>
      <c r="G51">
        <v>71</v>
      </c>
      <c r="H51" t="s">
        <v>1620</v>
      </c>
      <c r="I51" t="s">
        <v>1062</v>
      </c>
      <c r="J51" t="s">
        <v>1000</v>
      </c>
      <c r="K51" t="s">
        <v>1063</v>
      </c>
      <c r="L51" t="b">
        <f>Data_Completeness(MileageData[[#This Row],[MPG]:[Acceleration]])</f>
        <v>1</v>
      </c>
    </row>
    <row r="52" spans="1:12" x14ac:dyDescent="0.25">
      <c r="A52">
        <v>13</v>
      </c>
      <c r="B52">
        <v>8</v>
      </c>
      <c r="C52">
        <v>400</v>
      </c>
      <c r="D52">
        <v>170</v>
      </c>
      <c r="E52">
        <v>4746</v>
      </c>
      <c r="F52">
        <v>12</v>
      </c>
      <c r="G52">
        <v>71</v>
      </c>
      <c r="H52" t="s">
        <v>1620</v>
      </c>
      <c r="I52" t="s">
        <v>1064</v>
      </c>
      <c r="J52" t="s">
        <v>975</v>
      </c>
      <c r="K52" t="s">
        <v>1065</v>
      </c>
      <c r="L52" t="b">
        <f>Data_Completeness(MileageData[[#This Row],[MPG]:[Acceleration]])</f>
        <v>1</v>
      </c>
    </row>
    <row r="53" spans="1:12" x14ac:dyDescent="0.25">
      <c r="A53">
        <v>13</v>
      </c>
      <c r="B53">
        <v>8</v>
      </c>
      <c r="C53">
        <v>400</v>
      </c>
      <c r="D53">
        <v>175</v>
      </c>
      <c r="E53">
        <v>5140</v>
      </c>
      <c r="F53">
        <v>12</v>
      </c>
      <c r="G53">
        <v>71</v>
      </c>
      <c r="H53" t="s">
        <v>1620</v>
      </c>
      <c r="I53" t="s">
        <v>1066</v>
      </c>
      <c r="J53" t="s">
        <v>984</v>
      </c>
      <c r="K53" t="s">
        <v>1067</v>
      </c>
      <c r="L53" t="b">
        <f>Data_Completeness(MileageData[[#This Row],[MPG]:[Acceleration]])</f>
        <v>1</v>
      </c>
    </row>
    <row r="54" spans="1:12" x14ac:dyDescent="0.25">
      <c r="A54">
        <v>18</v>
      </c>
      <c r="B54">
        <v>6</v>
      </c>
      <c r="C54">
        <v>258</v>
      </c>
      <c r="D54">
        <v>110</v>
      </c>
      <c r="E54">
        <v>2962</v>
      </c>
      <c r="F54">
        <v>13.5</v>
      </c>
      <c r="G54">
        <v>71</v>
      </c>
      <c r="H54" t="s">
        <v>1620</v>
      </c>
      <c r="I54" t="s">
        <v>1068</v>
      </c>
      <c r="J54" t="s">
        <v>972</v>
      </c>
      <c r="K54" t="s">
        <v>1069</v>
      </c>
      <c r="L54" t="b">
        <f>Data_Completeness(MileageData[[#This Row],[MPG]:[Acceleration]])</f>
        <v>1</v>
      </c>
    </row>
    <row r="55" spans="1:12" x14ac:dyDescent="0.25">
      <c r="A55">
        <v>22</v>
      </c>
      <c r="B55">
        <v>4</v>
      </c>
      <c r="C55">
        <v>140</v>
      </c>
      <c r="D55">
        <v>72</v>
      </c>
      <c r="E55">
        <v>2408</v>
      </c>
      <c r="F55">
        <v>19</v>
      </c>
      <c r="G55">
        <v>71</v>
      </c>
      <c r="H55" t="s">
        <v>1620</v>
      </c>
      <c r="I55" t="s">
        <v>1070</v>
      </c>
      <c r="J55" t="s">
        <v>963</v>
      </c>
      <c r="K55" t="s">
        <v>1071</v>
      </c>
      <c r="L55" t="b">
        <f>Data_Completeness(MileageData[[#This Row],[MPG]:[Acceleration]])</f>
        <v>1</v>
      </c>
    </row>
    <row r="56" spans="1:12" x14ac:dyDescent="0.25">
      <c r="A56">
        <v>19</v>
      </c>
      <c r="B56">
        <v>6</v>
      </c>
      <c r="C56">
        <v>250</v>
      </c>
      <c r="D56">
        <v>100</v>
      </c>
      <c r="E56">
        <v>3282</v>
      </c>
      <c r="F56">
        <v>15</v>
      </c>
      <c r="G56">
        <v>71</v>
      </c>
      <c r="H56" t="s">
        <v>1620</v>
      </c>
      <c r="I56" t="s">
        <v>1072</v>
      </c>
      <c r="J56" t="s">
        <v>984</v>
      </c>
      <c r="K56" t="s">
        <v>1073</v>
      </c>
      <c r="L56" t="b">
        <f>Data_Completeness(MileageData[[#This Row],[MPG]:[Acceleration]])</f>
        <v>1</v>
      </c>
    </row>
    <row r="57" spans="1:12" x14ac:dyDescent="0.25">
      <c r="A57">
        <v>18</v>
      </c>
      <c r="B57">
        <v>6</v>
      </c>
      <c r="C57">
        <v>250</v>
      </c>
      <c r="D57">
        <v>88</v>
      </c>
      <c r="E57">
        <v>3139</v>
      </c>
      <c r="F57">
        <v>14.5</v>
      </c>
      <c r="G57">
        <v>71</v>
      </c>
      <c r="H57" t="s">
        <v>1620</v>
      </c>
      <c r="I57" t="s">
        <v>1074</v>
      </c>
      <c r="J57" t="s">
        <v>975</v>
      </c>
      <c r="K57" t="s">
        <v>1075</v>
      </c>
      <c r="L57" t="b">
        <f>Data_Completeness(MileageData[[#This Row],[MPG]:[Acceleration]])</f>
        <v>1</v>
      </c>
    </row>
    <row r="58" spans="1:12" x14ac:dyDescent="0.25">
      <c r="A58">
        <v>23</v>
      </c>
      <c r="B58">
        <v>4</v>
      </c>
      <c r="C58">
        <v>122</v>
      </c>
      <c r="D58">
        <v>86</v>
      </c>
      <c r="E58">
        <v>2220</v>
      </c>
      <c r="F58">
        <v>14</v>
      </c>
      <c r="G58">
        <v>71</v>
      </c>
      <c r="H58" t="s">
        <v>1620</v>
      </c>
      <c r="I58" t="s">
        <v>1076</v>
      </c>
      <c r="J58" t="s">
        <v>1077</v>
      </c>
      <c r="K58" t="s">
        <v>1078</v>
      </c>
      <c r="L58" t="b">
        <f>Data_Completeness(MileageData[[#This Row],[MPG]:[Acceleration]])</f>
        <v>1</v>
      </c>
    </row>
    <row r="59" spans="1:12" x14ac:dyDescent="0.25">
      <c r="A59">
        <v>28</v>
      </c>
      <c r="B59">
        <v>4</v>
      </c>
      <c r="C59">
        <v>116</v>
      </c>
      <c r="D59">
        <v>90</v>
      </c>
      <c r="E59">
        <v>2123</v>
      </c>
      <c r="F59">
        <v>14</v>
      </c>
      <c r="G59">
        <v>71</v>
      </c>
      <c r="H59" t="s">
        <v>1621</v>
      </c>
      <c r="I59" t="s">
        <v>1079</v>
      </c>
      <c r="J59" t="s">
        <v>1080</v>
      </c>
      <c r="K59">
        <v>1900</v>
      </c>
      <c r="L59" t="b">
        <f>Data_Completeness(MileageData[[#This Row],[MPG]:[Acceleration]])</f>
        <v>1</v>
      </c>
    </row>
    <row r="60" spans="1:12" x14ac:dyDescent="0.25">
      <c r="A60">
        <v>30</v>
      </c>
      <c r="B60">
        <v>4</v>
      </c>
      <c r="C60">
        <v>79</v>
      </c>
      <c r="D60">
        <v>70</v>
      </c>
      <c r="E60">
        <v>2074</v>
      </c>
      <c r="F60">
        <v>19.5</v>
      </c>
      <c r="G60">
        <v>71</v>
      </c>
      <c r="H60" t="s">
        <v>1621</v>
      </c>
      <c r="I60" t="s">
        <v>1081</v>
      </c>
      <c r="J60" t="s">
        <v>1025</v>
      </c>
      <c r="K60">
        <v>304</v>
      </c>
      <c r="L60" t="b">
        <f>Data_Completeness(MileageData[[#This Row],[MPG]:[Acceleration]])</f>
        <v>1</v>
      </c>
    </row>
    <row r="61" spans="1:12" x14ac:dyDescent="0.25">
      <c r="A61">
        <v>30</v>
      </c>
      <c r="B61">
        <v>4</v>
      </c>
      <c r="C61">
        <v>88</v>
      </c>
      <c r="D61">
        <v>76</v>
      </c>
      <c r="E61">
        <v>2065</v>
      </c>
      <c r="F61">
        <v>14.5</v>
      </c>
      <c r="G61">
        <v>71</v>
      </c>
      <c r="H61" t="s">
        <v>1621</v>
      </c>
      <c r="I61" t="s">
        <v>1082</v>
      </c>
      <c r="J61" t="s">
        <v>1083</v>
      </c>
      <c r="K61" t="s">
        <v>1084</v>
      </c>
      <c r="L61" t="b">
        <f>Data_Completeness(MileageData[[#This Row],[MPG]:[Acceleration]])</f>
        <v>1</v>
      </c>
    </row>
    <row r="62" spans="1:12" x14ac:dyDescent="0.25">
      <c r="A62">
        <v>31</v>
      </c>
      <c r="B62">
        <v>4</v>
      </c>
      <c r="C62">
        <v>71</v>
      </c>
      <c r="D62">
        <v>65</v>
      </c>
      <c r="E62">
        <v>1773</v>
      </c>
      <c r="F62">
        <v>19</v>
      </c>
      <c r="G62">
        <v>71</v>
      </c>
      <c r="H62" t="s">
        <v>1622</v>
      </c>
      <c r="I62" t="s">
        <v>1085</v>
      </c>
      <c r="J62" t="s">
        <v>1010</v>
      </c>
      <c r="K62" t="s">
        <v>1086</v>
      </c>
      <c r="L62" t="b">
        <f>Data_Completeness(MileageData[[#This Row],[MPG]:[Acceleration]])</f>
        <v>1</v>
      </c>
    </row>
    <row r="63" spans="1:12" x14ac:dyDescent="0.25">
      <c r="A63">
        <v>35</v>
      </c>
      <c r="B63">
        <v>4</v>
      </c>
      <c r="C63">
        <v>72</v>
      </c>
      <c r="D63">
        <v>69</v>
      </c>
      <c r="E63">
        <v>1613</v>
      </c>
      <c r="F63">
        <v>18</v>
      </c>
      <c r="G63">
        <v>71</v>
      </c>
      <c r="H63" t="s">
        <v>1622</v>
      </c>
      <c r="I63" t="s">
        <v>1087</v>
      </c>
      <c r="J63" t="s">
        <v>1019</v>
      </c>
      <c r="K63">
        <v>1200</v>
      </c>
      <c r="L63" t="b">
        <f>Data_Completeness(MileageData[[#This Row],[MPG]:[Acceleration]])</f>
        <v>1</v>
      </c>
    </row>
    <row r="64" spans="1:12" x14ac:dyDescent="0.25">
      <c r="A64">
        <v>27</v>
      </c>
      <c r="B64">
        <v>4</v>
      </c>
      <c r="C64">
        <v>97</v>
      </c>
      <c r="D64">
        <v>60</v>
      </c>
      <c r="E64">
        <v>1834</v>
      </c>
      <c r="F64">
        <v>19</v>
      </c>
      <c r="G64">
        <v>71</v>
      </c>
      <c r="H64" t="s">
        <v>1621</v>
      </c>
      <c r="I64" t="s">
        <v>1088</v>
      </c>
      <c r="J64" t="s">
        <v>1022</v>
      </c>
      <c r="K64" t="s">
        <v>1089</v>
      </c>
      <c r="L64" t="b">
        <f>Data_Completeness(MileageData[[#This Row],[MPG]:[Acceleration]])</f>
        <v>1</v>
      </c>
    </row>
    <row r="65" spans="1:12" x14ac:dyDescent="0.25">
      <c r="A65">
        <v>26</v>
      </c>
      <c r="B65">
        <v>4</v>
      </c>
      <c r="C65">
        <v>91</v>
      </c>
      <c r="D65">
        <v>70</v>
      </c>
      <c r="E65">
        <v>1955</v>
      </c>
      <c r="F65">
        <v>20.5</v>
      </c>
      <c r="G65">
        <v>71</v>
      </c>
      <c r="H65" t="s">
        <v>1620</v>
      </c>
      <c r="I65" t="s">
        <v>1090</v>
      </c>
      <c r="J65" t="s">
        <v>969</v>
      </c>
      <c r="K65" t="s">
        <v>1091</v>
      </c>
      <c r="L65" t="b">
        <f>Data_Completeness(MileageData[[#This Row],[MPG]:[Acceleration]])</f>
        <v>1</v>
      </c>
    </row>
    <row r="66" spans="1:12" x14ac:dyDescent="0.25">
      <c r="A66">
        <v>24</v>
      </c>
      <c r="B66">
        <v>4</v>
      </c>
      <c r="C66">
        <v>113</v>
      </c>
      <c r="D66">
        <v>95</v>
      </c>
      <c r="E66">
        <v>2278</v>
      </c>
      <c r="F66">
        <v>15.5</v>
      </c>
      <c r="G66">
        <v>72</v>
      </c>
      <c r="H66" t="s">
        <v>1622</v>
      </c>
      <c r="I66" t="s">
        <v>1092</v>
      </c>
      <c r="J66" t="s">
        <v>1010</v>
      </c>
      <c r="K66" t="s">
        <v>1093</v>
      </c>
      <c r="L66" t="b">
        <f>Data_Completeness(MileageData[[#This Row],[MPG]:[Acceleration]])</f>
        <v>1</v>
      </c>
    </row>
    <row r="67" spans="1:12" x14ac:dyDescent="0.25">
      <c r="A67">
        <v>25</v>
      </c>
      <c r="B67">
        <v>4</v>
      </c>
      <c r="C67">
        <v>97.5</v>
      </c>
      <c r="D67">
        <v>80</v>
      </c>
      <c r="E67">
        <v>2126</v>
      </c>
      <c r="F67">
        <v>17</v>
      </c>
      <c r="G67">
        <v>72</v>
      </c>
      <c r="H67" t="s">
        <v>1620</v>
      </c>
      <c r="I67" t="s">
        <v>1094</v>
      </c>
      <c r="J67" t="s">
        <v>1000</v>
      </c>
      <c r="K67" t="s">
        <v>1095</v>
      </c>
      <c r="L67" t="b">
        <f>Data_Completeness(MileageData[[#This Row],[MPG]:[Acceleration]])</f>
        <v>1</v>
      </c>
    </row>
    <row r="68" spans="1:12" x14ac:dyDescent="0.25">
      <c r="A68">
        <v>23</v>
      </c>
      <c r="B68">
        <v>4</v>
      </c>
      <c r="C68">
        <v>97</v>
      </c>
      <c r="D68">
        <v>54</v>
      </c>
      <c r="E68">
        <v>2254</v>
      </c>
      <c r="F68">
        <v>23.5</v>
      </c>
      <c r="G68">
        <v>72</v>
      </c>
      <c r="H68" t="s">
        <v>1621</v>
      </c>
      <c r="I68" t="s">
        <v>1096</v>
      </c>
      <c r="J68" t="s">
        <v>1022</v>
      </c>
      <c r="K68" t="s">
        <v>1097</v>
      </c>
      <c r="L68" t="b">
        <f>Data_Completeness(MileageData[[#This Row],[MPG]:[Acceleration]])</f>
        <v>1</v>
      </c>
    </row>
    <row r="69" spans="1:12" x14ac:dyDescent="0.25">
      <c r="A69">
        <v>20</v>
      </c>
      <c r="B69">
        <v>4</v>
      </c>
      <c r="C69">
        <v>140</v>
      </c>
      <c r="D69">
        <v>90</v>
      </c>
      <c r="E69">
        <v>2408</v>
      </c>
      <c r="F69">
        <v>19.5</v>
      </c>
      <c r="G69">
        <v>72</v>
      </c>
      <c r="H69" t="s">
        <v>1620</v>
      </c>
      <c r="I69" t="s">
        <v>1098</v>
      </c>
      <c r="J69" t="s">
        <v>963</v>
      </c>
      <c r="K69" t="s">
        <v>1099</v>
      </c>
      <c r="L69" t="b">
        <f>Data_Completeness(MileageData[[#This Row],[MPG]:[Acceleration]])</f>
        <v>1</v>
      </c>
    </row>
    <row r="70" spans="1:12" x14ac:dyDescent="0.25">
      <c r="A70">
        <v>21</v>
      </c>
      <c r="B70">
        <v>4</v>
      </c>
      <c r="C70">
        <v>122</v>
      </c>
      <c r="D70">
        <v>86</v>
      </c>
      <c r="E70">
        <v>2226</v>
      </c>
      <c r="F70">
        <v>16.5</v>
      </c>
      <c r="G70">
        <v>72</v>
      </c>
      <c r="H70" t="s">
        <v>1620</v>
      </c>
      <c r="I70" t="s">
        <v>1100</v>
      </c>
      <c r="J70" t="s">
        <v>975</v>
      </c>
      <c r="K70" t="s">
        <v>1101</v>
      </c>
      <c r="L70" t="b">
        <f>Data_Completeness(MileageData[[#This Row],[MPG]:[Acceleration]])</f>
        <v>1</v>
      </c>
    </row>
    <row r="71" spans="1:12" x14ac:dyDescent="0.25">
      <c r="A71">
        <v>13</v>
      </c>
      <c r="B71">
        <v>8</v>
      </c>
      <c r="C71">
        <v>350</v>
      </c>
      <c r="D71">
        <v>165</v>
      </c>
      <c r="E71">
        <v>4274</v>
      </c>
      <c r="F71">
        <v>12</v>
      </c>
      <c r="G71">
        <v>72</v>
      </c>
      <c r="H71" t="s">
        <v>1620</v>
      </c>
      <c r="I71" t="s">
        <v>979</v>
      </c>
      <c r="J71" t="s">
        <v>963</v>
      </c>
      <c r="K71" t="s">
        <v>980</v>
      </c>
      <c r="L71" t="b">
        <f>Data_Completeness(MileageData[[#This Row],[MPG]:[Acceleration]])</f>
        <v>1</v>
      </c>
    </row>
    <row r="72" spans="1:12" x14ac:dyDescent="0.25">
      <c r="A72">
        <v>14</v>
      </c>
      <c r="B72">
        <v>8</v>
      </c>
      <c r="C72">
        <v>400</v>
      </c>
      <c r="D72">
        <v>175</v>
      </c>
      <c r="E72">
        <v>4385</v>
      </c>
      <c r="F72">
        <v>12</v>
      </c>
      <c r="G72">
        <v>72</v>
      </c>
      <c r="H72" t="s">
        <v>1620</v>
      </c>
      <c r="I72" t="s">
        <v>983</v>
      </c>
      <c r="J72" t="s">
        <v>984</v>
      </c>
      <c r="K72" t="s">
        <v>985</v>
      </c>
      <c r="L72" t="b">
        <f>Data_Completeness(MileageData[[#This Row],[MPG]:[Acceleration]])</f>
        <v>1</v>
      </c>
    </row>
    <row r="73" spans="1:12" x14ac:dyDescent="0.25">
      <c r="A73">
        <v>15</v>
      </c>
      <c r="B73">
        <v>8</v>
      </c>
      <c r="C73">
        <v>318</v>
      </c>
      <c r="D73">
        <v>150</v>
      </c>
      <c r="E73">
        <v>4135</v>
      </c>
      <c r="F73">
        <v>13.5</v>
      </c>
      <c r="G73">
        <v>72</v>
      </c>
      <c r="H73" t="s">
        <v>1620</v>
      </c>
      <c r="I73" t="s">
        <v>981</v>
      </c>
      <c r="J73" t="s">
        <v>969</v>
      </c>
      <c r="K73" t="s">
        <v>982</v>
      </c>
      <c r="L73" t="b">
        <f>Data_Completeness(MileageData[[#This Row],[MPG]:[Acceleration]])</f>
        <v>1</v>
      </c>
    </row>
    <row r="74" spans="1:12" x14ac:dyDescent="0.25">
      <c r="A74">
        <v>14</v>
      </c>
      <c r="B74">
        <v>8</v>
      </c>
      <c r="C74">
        <v>351</v>
      </c>
      <c r="D74">
        <v>153</v>
      </c>
      <c r="E74">
        <v>4129</v>
      </c>
      <c r="F74">
        <v>13</v>
      </c>
      <c r="G74">
        <v>72</v>
      </c>
      <c r="H74" t="s">
        <v>1620</v>
      </c>
      <c r="I74" t="s">
        <v>977</v>
      </c>
      <c r="J74" t="s">
        <v>975</v>
      </c>
      <c r="K74" t="s">
        <v>978</v>
      </c>
      <c r="L74" t="b">
        <f>Data_Completeness(MileageData[[#This Row],[MPG]:[Acceleration]])</f>
        <v>1</v>
      </c>
    </row>
    <row r="75" spans="1:12" x14ac:dyDescent="0.25">
      <c r="A75">
        <v>17</v>
      </c>
      <c r="B75">
        <v>8</v>
      </c>
      <c r="C75">
        <v>304</v>
      </c>
      <c r="D75">
        <v>150</v>
      </c>
      <c r="E75">
        <v>3672</v>
      </c>
      <c r="F75">
        <v>11.5</v>
      </c>
      <c r="G75">
        <v>72</v>
      </c>
      <c r="H75" t="s">
        <v>1620</v>
      </c>
      <c r="I75" t="s">
        <v>1102</v>
      </c>
      <c r="J75" t="s">
        <v>972</v>
      </c>
      <c r="K75" t="s">
        <v>1103</v>
      </c>
      <c r="L75" t="b">
        <f>Data_Completeness(MileageData[[#This Row],[MPG]:[Acceleration]])</f>
        <v>1</v>
      </c>
    </row>
    <row r="76" spans="1:12" x14ac:dyDescent="0.25">
      <c r="A76">
        <v>11</v>
      </c>
      <c r="B76">
        <v>8</v>
      </c>
      <c r="C76">
        <v>429</v>
      </c>
      <c r="D76">
        <v>208</v>
      </c>
      <c r="E76">
        <v>4633</v>
      </c>
      <c r="F76">
        <v>11</v>
      </c>
      <c r="G76">
        <v>72</v>
      </c>
      <c r="H76" t="s">
        <v>1620</v>
      </c>
      <c r="I76" t="s">
        <v>1104</v>
      </c>
      <c r="J76" t="s">
        <v>1077</v>
      </c>
      <c r="K76" t="s">
        <v>1105</v>
      </c>
      <c r="L76" t="b">
        <f>Data_Completeness(MileageData[[#This Row],[MPG]:[Acceleration]])</f>
        <v>1</v>
      </c>
    </row>
    <row r="77" spans="1:12" x14ac:dyDescent="0.25">
      <c r="A77">
        <v>13</v>
      </c>
      <c r="B77">
        <v>8</v>
      </c>
      <c r="C77">
        <v>350</v>
      </c>
      <c r="D77">
        <v>155</v>
      </c>
      <c r="E77">
        <v>4502</v>
      </c>
      <c r="F77">
        <v>13.5</v>
      </c>
      <c r="G77">
        <v>72</v>
      </c>
      <c r="H77" t="s">
        <v>1620</v>
      </c>
      <c r="I77" t="s">
        <v>1106</v>
      </c>
      <c r="J77" t="s">
        <v>966</v>
      </c>
      <c r="K77" t="s">
        <v>1107</v>
      </c>
      <c r="L77" t="b">
        <f>Data_Completeness(MileageData[[#This Row],[MPG]:[Acceleration]])</f>
        <v>1</v>
      </c>
    </row>
    <row r="78" spans="1:12" x14ac:dyDescent="0.25">
      <c r="A78">
        <v>12</v>
      </c>
      <c r="B78">
        <v>8</v>
      </c>
      <c r="C78">
        <v>350</v>
      </c>
      <c r="D78">
        <v>160</v>
      </c>
      <c r="E78">
        <v>4456</v>
      </c>
      <c r="F78">
        <v>13.5</v>
      </c>
      <c r="G78">
        <v>72</v>
      </c>
      <c r="H78" t="s">
        <v>1620</v>
      </c>
      <c r="I78" t="s">
        <v>1108</v>
      </c>
      <c r="J78" t="s">
        <v>1109</v>
      </c>
      <c r="K78" t="s">
        <v>1110</v>
      </c>
      <c r="L78" t="b">
        <f>Data_Completeness(MileageData[[#This Row],[MPG]:[Acceleration]])</f>
        <v>1</v>
      </c>
    </row>
    <row r="79" spans="1:12" x14ac:dyDescent="0.25">
      <c r="A79">
        <v>13</v>
      </c>
      <c r="B79">
        <v>8</v>
      </c>
      <c r="C79">
        <v>400</v>
      </c>
      <c r="D79">
        <v>190</v>
      </c>
      <c r="E79">
        <v>4422</v>
      </c>
      <c r="F79">
        <v>12.5</v>
      </c>
      <c r="G79">
        <v>72</v>
      </c>
      <c r="H79" t="s">
        <v>1620</v>
      </c>
      <c r="I79" t="s">
        <v>1111</v>
      </c>
      <c r="J79" t="s">
        <v>1112</v>
      </c>
      <c r="K79" t="s">
        <v>1113</v>
      </c>
      <c r="L79" t="b">
        <f>Data_Completeness(MileageData[[#This Row],[MPG]:[Acceleration]])</f>
        <v>1</v>
      </c>
    </row>
    <row r="80" spans="1:12" x14ac:dyDescent="0.25">
      <c r="A80">
        <v>19</v>
      </c>
      <c r="B80">
        <v>3</v>
      </c>
      <c r="C80">
        <v>70</v>
      </c>
      <c r="D80">
        <v>97</v>
      </c>
      <c r="E80">
        <v>2330</v>
      </c>
      <c r="F80">
        <v>13.5</v>
      </c>
      <c r="G80">
        <v>72</v>
      </c>
      <c r="H80" t="s">
        <v>1622</v>
      </c>
      <c r="I80" t="s">
        <v>1114</v>
      </c>
      <c r="J80" t="s">
        <v>1115</v>
      </c>
      <c r="K80" t="s">
        <v>1116</v>
      </c>
      <c r="L80" t="b">
        <f>Data_Completeness(MileageData[[#This Row],[MPG]:[Acceleration]])</f>
        <v>1</v>
      </c>
    </row>
    <row r="81" spans="1:12" x14ac:dyDescent="0.25">
      <c r="A81">
        <v>15</v>
      </c>
      <c r="B81">
        <v>8</v>
      </c>
      <c r="C81">
        <v>304</v>
      </c>
      <c r="D81">
        <v>150</v>
      </c>
      <c r="E81">
        <v>3892</v>
      </c>
      <c r="F81">
        <v>12.5</v>
      </c>
      <c r="G81">
        <v>72</v>
      </c>
      <c r="H81" t="s">
        <v>1620</v>
      </c>
      <c r="I81" t="s">
        <v>1117</v>
      </c>
      <c r="J81" t="s">
        <v>972</v>
      </c>
      <c r="K81" t="s">
        <v>1118</v>
      </c>
      <c r="L81" t="b">
        <f>Data_Completeness(MileageData[[#This Row],[MPG]:[Acceleration]])</f>
        <v>1</v>
      </c>
    </row>
    <row r="82" spans="1:12" x14ac:dyDescent="0.25">
      <c r="A82">
        <v>13</v>
      </c>
      <c r="B82">
        <v>8</v>
      </c>
      <c r="C82">
        <v>307</v>
      </c>
      <c r="D82">
        <v>130</v>
      </c>
      <c r="E82">
        <v>4098</v>
      </c>
      <c r="F82">
        <v>14</v>
      </c>
      <c r="G82">
        <v>72</v>
      </c>
      <c r="H82" t="s">
        <v>1620</v>
      </c>
      <c r="I82" t="s">
        <v>991</v>
      </c>
      <c r="J82" t="s">
        <v>963</v>
      </c>
      <c r="K82" t="s">
        <v>992</v>
      </c>
      <c r="L82" t="b">
        <f>Data_Completeness(MileageData[[#This Row],[MPG]:[Acceleration]])</f>
        <v>1</v>
      </c>
    </row>
    <row r="83" spans="1:12" x14ac:dyDescent="0.25">
      <c r="A83">
        <v>13</v>
      </c>
      <c r="B83">
        <v>8</v>
      </c>
      <c r="C83">
        <v>302</v>
      </c>
      <c r="D83">
        <v>140</v>
      </c>
      <c r="E83">
        <v>4294</v>
      </c>
      <c r="F83">
        <v>16</v>
      </c>
      <c r="G83">
        <v>72</v>
      </c>
      <c r="H83" t="s">
        <v>1620</v>
      </c>
      <c r="I83" t="s">
        <v>1119</v>
      </c>
      <c r="J83" t="s">
        <v>975</v>
      </c>
      <c r="K83" t="s">
        <v>1120</v>
      </c>
      <c r="L83" t="b">
        <f>Data_Completeness(MileageData[[#This Row],[MPG]:[Acceleration]])</f>
        <v>1</v>
      </c>
    </row>
    <row r="84" spans="1:12" x14ac:dyDescent="0.25">
      <c r="A84">
        <v>14</v>
      </c>
      <c r="B84">
        <v>8</v>
      </c>
      <c r="C84">
        <v>318</v>
      </c>
      <c r="D84">
        <v>150</v>
      </c>
      <c r="E84">
        <v>4077</v>
      </c>
      <c r="F84">
        <v>14</v>
      </c>
      <c r="G84">
        <v>72</v>
      </c>
      <c r="H84" t="s">
        <v>1620</v>
      </c>
      <c r="I84" t="s">
        <v>1121</v>
      </c>
      <c r="J84" t="s">
        <v>969</v>
      </c>
      <c r="K84" t="s">
        <v>1122</v>
      </c>
      <c r="L84" t="b">
        <f>Data_Completeness(MileageData[[#This Row],[MPG]:[Acceleration]])</f>
        <v>1</v>
      </c>
    </row>
    <row r="85" spans="1:12" x14ac:dyDescent="0.25">
      <c r="A85">
        <v>18</v>
      </c>
      <c r="B85">
        <v>4</v>
      </c>
      <c r="C85">
        <v>121</v>
      </c>
      <c r="D85">
        <v>112</v>
      </c>
      <c r="E85">
        <v>2933</v>
      </c>
      <c r="F85">
        <v>14.5</v>
      </c>
      <c r="G85">
        <v>72</v>
      </c>
      <c r="H85" t="s">
        <v>1621</v>
      </c>
      <c r="I85" t="s">
        <v>1123</v>
      </c>
      <c r="J85" t="s">
        <v>1124</v>
      </c>
      <c r="K85" t="s">
        <v>1125</v>
      </c>
      <c r="L85" t="b">
        <f>Data_Completeness(MileageData[[#This Row],[MPG]:[Acceleration]])</f>
        <v>1</v>
      </c>
    </row>
    <row r="86" spans="1:12" x14ac:dyDescent="0.25">
      <c r="A86">
        <v>22</v>
      </c>
      <c r="B86">
        <v>4</v>
      </c>
      <c r="C86">
        <v>121</v>
      </c>
      <c r="D86">
        <v>76</v>
      </c>
      <c r="E86">
        <v>2511</v>
      </c>
      <c r="F86">
        <v>18</v>
      </c>
      <c r="G86">
        <v>72</v>
      </c>
      <c r="H86" t="s">
        <v>1621</v>
      </c>
      <c r="I86" t="s">
        <v>1126</v>
      </c>
      <c r="J86" t="s">
        <v>1022</v>
      </c>
      <c r="K86" t="s">
        <v>1127</v>
      </c>
      <c r="L86" t="b">
        <f>Data_Completeness(MileageData[[#This Row],[MPG]:[Acceleration]])</f>
        <v>1</v>
      </c>
    </row>
    <row r="87" spans="1:12" x14ac:dyDescent="0.25">
      <c r="A87">
        <v>21</v>
      </c>
      <c r="B87">
        <v>4</v>
      </c>
      <c r="C87">
        <v>120</v>
      </c>
      <c r="D87">
        <v>87</v>
      </c>
      <c r="E87">
        <v>2979</v>
      </c>
      <c r="F87">
        <v>19.5</v>
      </c>
      <c r="G87">
        <v>72</v>
      </c>
      <c r="H87" t="s">
        <v>1621</v>
      </c>
      <c r="I87" t="s">
        <v>1128</v>
      </c>
      <c r="J87" t="s">
        <v>1025</v>
      </c>
      <c r="K87" t="s">
        <v>1129</v>
      </c>
      <c r="L87" t="b">
        <f>Data_Completeness(MileageData[[#This Row],[MPG]:[Acceleration]])</f>
        <v>1</v>
      </c>
    </row>
    <row r="88" spans="1:12" x14ac:dyDescent="0.25">
      <c r="A88">
        <v>26</v>
      </c>
      <c r="B88">
        <v>4</v>
      </c>
      <c r="C88">
        <v>96</v>
      </c>
      <c r="D88">
        <v>69</v>
      </c>
      <c r="E88">
        <v>2189</v>
      </c>
      <c r="F88">
        <v>18</v>
      </c>
      <c r="G88">
        <v>72</v>
      </c>
      <c r="H88" t="s">
        <v>1621</v>
      </c>
      <c r="I88" t="s">
        <v>1130</v>
      </c>
      <c r="J88" t="s">
        <v>1131</v>
      </c>
      <c r="K88" t="s">
        <v>1132</v>
      </c>
      <c r="L88" t="b">
        <f>Data_Completeness(MileageData[[#This Row],[MPG]:[Acceleration]])</f>
        <v>1</v>
      </c>
    </row>
    <row r="89" spans="1:12" x14ac:dyDescent="0.25">
      <c r="A89">
        <v>22</v>
      </c>
      <c r="B89">
        <v>4</v>
      </c>
      <c r="C89">
        <v>122</v>
      </c>
      <c r="D89">
        <v>86</v>
      </c>
      <c r="E89">
        <v>2395</v>
      </c>
      <c r="F89">
        <v>16</v>
      </c>
      <c r="G89">
        <v>72</v>
      </c>
      <c r="H89" t="s">
        <v>1620</v>
      </c>
      <c r="I89" t="s">
        <v>1133</v>
      </c>
      <c r="J89" t="s">
        <v>975</v>
      </c>
      <c r="K89" t="s">
        <v>1134</v>
      </c>
      <c r="L89" t="b">
        <f>Data_Completeness(MileageData[[#This Row],[MPG]:[Acceleration]])</f>
        <v>1</v>
      </c>
    </row>
    <row r="90" spans="1:12" x14ac:dyDescent="0.25">
      <c r="A90">
        <v>28</v>
      </c>
      <c r="B90">
        <v>4</v>
      </c>
      <c r="C90">
        <v>97</v>
      </c>
      <c r="D90">
        <v>92</v>
      </c>
      <c r="E90">
        <v>2288</v>
      </c>
      <c r="F90">
        <v>17</v>
      </c>
      <c r="G90">
        <v>72</v>
      </c>
      <c r="H90" t="s">
        <v>1622</v>
      </c>
      <c r="I90" t="s">
        <v>1135</v>
      </c>
      <c r="J90" t="s">
        <v>1019</v>
      </c>
      <c r="K90" t="s">
        <v>1136</v>
      </c>
      <c r="L90" t="b">
        <f>Data_Completeness(MileageData[[#This Row],[MPG]:[Acceleration]])</f>
        <v>1</v>
      </c>
    </row>
    <row r="91" spans="1:12" x14ac:dyDescent="0.25">
      <c r="A91">
        <v>23</v>
      </c>
      <c r="B91">
        <v>4</v>
      </c>
      <c r="C91">
        <v>120</v>
      </c>
      <c r="D91">
        <v>97</v>
      </c>
      <c r="E91">
        <v>2506</v>
      </c>
      <c r="F91">
        <v>14.5</v>
      </c>
      <c r="G91">
        <v>72</v>
      </c>
      <c r="H91" t="s">
        <v>1622</v>
      </c>
      <c r="I91" t="s">
        <v>1137</v>
      </c>
      <c r="J91" t="s">
        <v>1138</v>
      </c>
      <c r="K91" t="s">
        <v>1139</v>
      </c>
      <c r="L91" t="b">
        <f>Data_Completeness(MileageData[[#This Row],[MPG]:[Acceleration]])</f>
        <v>1</v>
      </c>
    </row>
    <row r="92" spans="1:12" x14ac:dyDescent="0.25">
      <c r="A92">
        <v>28</v>
      </c>
      <c r="B92">
        <v>4</v>
      </c>
      <c r="C92">
        <v>98</v>
      </c>
      <c r="D92">
        <v>80</v>
      </c>
      <c r="E92">
        <v>2164</v>
      </c>
      <c r="F92">
        <v>15</v>
      </c>
      <c r="G92">
        <v>72</v>
      </c>
      <c r="H92" t="s">
        <v>1620</v>
      </c>
      <c r="I92" t="s">
        <v>1140</v>
      </c>
      <c r="J92" t="s">
        <v>1000</v>
      </c>
      <c r="K92" t="s">
        <v>1141</v>
      </c>
      <c r="L92" t="b">
        <f>Data_Completeness(MileageData[[#This Row],[MPG]:[Acceleration]])</f>
        <v>1</v>
      </c>
    </row>
    <row r="93" spans="1:12" x14ac:dyDescent="0.25">
      <c r="A93">
        <v>27</v>
      </c>
      <c r="B93">
        <v>4</v>
      </c>
      <c r="C93">
        <v>97</v>
      </c>
      <c r="D93">
        <v>88</v>
      </c>
      <c r="E93">
        <v>2100</v>
      </c>
      <c r="F93">
        <v>16.5</v>
      </c>
      <c r="G93">
        <v>72</v>
      </c>
      <c r="H93" t="s">
        <v>1622</v>
      </c>
      <c r="I93" t="s">
        <v>1142</v>
      </c>
      <c r="J93" t="s">
        <v>1010</v>
      </c>
      <c r="K93" t="s">
        <v>1143</v>
      </c>
      <c r="L93" t="b">
        <f>Data_Completeness(MileageData[[#This Row],[MPG]:[Acceleration]])</f>
        <v>1</v>
      </c>
    </row>
    <row r="94" spans="1:12" x14ac:dyDescent="0.25">
      <c r="A94">
        <v>13</v>
      </c>
      <c r="B94">
        <v>8</v>
      </c>
      <c r="C94">
        <v>350</v>
      </c>
      <c r="D94">
        <v>175</v>
      </c>
      <c r="E94">
        <v>4100</v>
      </c>
      <c r="F94">
        <v>13</v>
      </c>
      <c r="G94">
        <v>73</v>
      </c>
      <c r="H94" t="s">
        <v>1620</v>
      </c>
      <c r="I94" t="s">
        <v>1144</v>
      </c>
      <c r="J94" t="s">
        <v>966</v>
      </c>
      <c r="K94" t="s">
        <v>1145</v>
      </c>
      <c r="L94" t="b">
        <f>Data_Completeness(MileageData[[#This Row],[MPG]:[Acceleration]])</f>
        <v>1</v>
      </c>
    </row>
    <row r="95" spans="1:12" x14ac:dyDescent="0.25">
      <c r="A95">
        <v>14</v>
      </c>
      <c r="B95">
        <v>8</v>
      </c>
      <c r="C95">
        <v>304</v>
      </c>
      <c r="D95">
        <v>150</v>
      </c>
      <c r="E95">
        <v>3672</v>
      </c>
      <c r="F95">
        <v>11.5</v>
      </c>
      <c r="G95">
        <v>73</v>
      </c>
      <c r="H95" t="s">
        <v>1620</v>
      </c>
      <c r="I95" t="s">
        <v>1058</v>
      </c>
      <c r="J95" t="s">
        <v>972</v>
      </c>
      <c r="K95" t="s">
        <v>1059</v>
      </c>
      <c r="L95" t="b">
        <f>Data_Completeness(MileageData[[#This Row],[MPG]:[Acceleration]])</f>
        <v>1</v>
      </c>
    </row>
    <row r="96" spans="1:12" x14ac:dyDescent="0.25">
      <c r="A96">
        <v>13</v>
      </c>
      <c r="B96">
        <v>8</v>
      </c>
      <c r="C96">
        <v>350</v>
      </c>
      <c r="D96">
        <v>145</v>
      </c>
      <c r="E96">
        <v>3988</v>
      </c>
      <c r="F96">
        <v>13</v>
      </c>
      <c r="G96">
        <v>73</v>
      </c>
      <c r="H96" t="s">
        <v>1620</v>
      </c>
      <c r="I96" t="s">
        <v>1146</v>
      </c>
      <c r="J96" t="s">
        <v>963</v>
      </c>
      <c r="K96" t="s">
        <v>1147</v>
      </c>
      <c r="L96" t="b">
        <f>Data_Completeness(MileageData[[#This Row],[MPG]:[Acceleration]])</f>
        <v>1</v>
      </c>
    </row>
    <row r="97" spans="1:12" x14ac:dyDescent="0.25">
      <c r="A97">
        <v>14</v>
      </c>
      <c r="B97">
        <v>8</v>
      </c>
      <c r="C97">
        <v>302</v>
      </c>
      <c r="D97">
        <v>137</v>
      </c>
      <c r="E97">
        <v>4042</v>
      </c>
      <c r="F97">
        <v>14.5</v>
      </c>
      <c r="G97">
        <v>73</v>
      </c>
      <c r="H97" t="s">
        <v>1620</v>
      </c>
      <c r="I97" t="s">
        <v>1148</v>
      </c>
      <c r="J97" t="s">
        <v>975</v>
      </c>
      <c r="K97" t="s">
        <v>1149</v>
      </c>
      <c r="L97" t="b">
        <f>Data_Completeness(MileageData[[#This Row],[MPG]:[Acceleration]])</f>
        <v>1</v>
      </c>
    </row>
    <row r="98" spans="1:12" x14ac:dyDescent="0.25">
      <c r="A98">
        <v>15</v>
      </c>
      <c r="B98">
        <v>8</v>
      </c>
      <c r="C98">
        <v>318</v>
      </c>
      <c r="D98">
        <v>150</v>
      </c>
      <c r="E98">
        <v>3777</v>
      </c>
      <c r="F98">
        <v>12.5</v>
      </c>
      <c r="G98">
        <v>73</v>
      </c>
      <c r="H98" t="s">
        <v>1620</v>
      </c>
      <c r="I98" t="s">
        <v>1150</v>
      </c>
      <c r="J98" t="s">
        <v>1000</v>
      </c>
      <c r="K98" t="s">
        <v>1151</v>
      </c>
      <c r="L98" t="b">
        <f>Data_Completeness(MileageData[[#This Row],[MPG]:[Acceleration]])</f>
        <v>1</v>
      </c>
    </row>
    <row r="99" spans="1:12" x14ac:dyDescent="0.25">
      <c r="A99">
        <v>12</v>
      </c>
      <c r="B99">
        <v>8</v>
      </c>
      <c r="C99">
        <v>429</v>
      </c>
      <c r="D99">
        <v>198</v>
      </c>
      <c r="E99">
        <v>4952</v>
      </c>
      <c r="F99">
        <v>11.5</v>
      </c>
      <c r="G99">
        <v>73</v>
      </c>
      <c r="H99" t="s">
        <v>1620</v>
      </c>
      <c r="I99" t="s">
        <v>1152</v>
      </c>
      <c r="J99" t="s">
        <v>1077</v>
      </c>
      <c r="K99" t="s">
        <v>1153</v>
      </c>
      <c r="L99" t="b">
        <f>Data_Completeness(MileageData[[#This Row],[MPG]:[Acceleration]])</f>
        <v>1</v>
      </c>
    </row>
    <row r="100" spans="1:12" x14ac:dyDescent="0.25">
      <c r="A100">
        <v>13</v>
      </c>
      <c r="B100">
        <v>8</v>
      </c>
      <c r="C100">
        <v>400</v>
      </c>
      <c r="D100">
        <v>150</v>
      </c>
      <c r="E100">
        <v>4464</v>
      </c>
      <c r="F100">
        <v>12</v>
      </c>
      <c r="G100">
        <v>73</v>
      </c>
      <c r="H100" t="s">
        <v>1620</v>
      </c>
      <c r="I100" t="s">
        <v>1154</v>
      </c>
      <c r="J100" t="s">
        <v>963</v>
      </c>
      <c r="K100" t="s">
        <v>1155</v>
      </c>
      <c r="L100" t="b">
        <f>Data_Completeness(MileageData[[#This Row],[MPG]:[Acceleration]])</f>
        <v>1</v>
      </c>
    </row>
    <row r="101" spans="1:12" x14ac:dyDescent="0.25">
      <c r="A101">
        <v>13</v>
      </c>
      <c r="B101">
        <v>8</v>
      </c>
      <c r="C101">
        <v>351</v>
      </c>
      <c r="D101">
        <v>158</v>
      </c>
      <c r="E101">
        <v>4363</v>
      </c>
      <c r="F101">
        <v>13</v>
      </c>
      <c r="G101">
        <v>73</v>
      </c>
      <c r="H101" t="s">
        <v>1620</v>
      </c>
      <c r="I101" t="s">
        <v>1156</v>
      </c>
      <c r="J101" t="s">
        <v>975</v>
      </c>
      <c r="K101" t="s">
        <v>1157</v>
      </c>
      <c r="L101" t="b">
        <f>Data_Completeness(MileageData[[#This Row],[MPG]:[Acceleration]])</f>
        <v>1</v>
      </c>
    </row>
    <row r="102" spans="1:12" x14ac:dyDescent="0.25">
      <c r="A102">
        <v>14</v>
      </c>
      <c r="B102">
        <v>8</v>
      </c>
      <c r="C102">
        <v>318</v>
      </c>
      <c r="D102">
        <v>150</v>
      </c>
      <c r="E102">
        <v>4237</v>
      </c>
      <c r="F102">
        <v>14.5</v>
      </c>
      <c r="G102">
        <v>73</v>
      </c>
      <c r="H102" t="s">
        <v>1620</v>
      </c>
      <c r="I102" t="s">
        <v>1158</v>
      </c>
      <c r="J102" t="s">
        <v>969</v>
      </c>
      <c r="K102" t="s">
        <v>1159</v>
      </c>
      <c r="L102" t="b">
        <f>Data_Completeness(MileageData[[#This Row],[MPG]:[Acceleration]])</f>
        <v>1</v>
      </c>
    </row>
    <row r="103" spans="1:12" x14ac:dyDescent="0.25">
      <c r="A103">
        <v>13</v>
      </c>
      <c r="B103">
        <v>8</v>
      </c>
      <c r="C103">
        <v>440</v>
      </c>
      <c r="D103">
        <v>215</v>
      </c>
      <c r="E103">
        <v>4735</v>
      </c>
      <c r="F103">
        <v>11</v>
      </c>
      <c r="G103">
        <v>73</v>
      </c>
      <c r="H103" t="s">
        <v>1620</v>
      </c>
      <c r="I103" t="s">
        <v>1160</v>
      </c>
      <c r="J103" t="s">
        <v>1112</v>
      </c>
      <c r="K103" t="s">
        <v>1161</v>
      </c>
      <c r="L103" t="b">
        <f>Data_Completeness(MileageData[[#This Row],[MPG]:[Acceleration]])</f>
        <v>1</v>
      </c>
    </row>
    <row r="104" spans="1:12" x14ac:dyDescent="0.25">
      <c r="A104">
        <v>12</v>
      </c>
      <c r="B104">
        <v>8</v>
      </c>
      <c r="C104">
        <v>455</v>
      </c>
      <c r="D104">
        <v>225</v>
      </c>
      <c r="E104">
        <v>4951</v>
      </c>
      <c r="F104">
        <v>11</v>
      </c>
      <c r="G104">
        <v>73</v>
      </c>
      <c r="H104" t="s">
        <v>1620</v>
      </c>
      <c r="I104" t="s">
        <v>1162</v>
      </c>
      <c r="J104" t="s">
        <v>966</v>
      </c>
      <c r="K104" t="s">
        <v>1163</v>
      </c>
      <c r="L104" t="b">
        <f>Data_Completeness(MileageData[[#This Row],[MPG]:[Acceleration]])</f>
        <v>1</v>
      </c>
    </row>
    <row r="105" spans="1:12" x14ac:dyDescent="0.25">
      <c r="A105">
        <v>13</v>
      </c>
      <c r="B105">
        <v>8</v>
      </c>
      <c r="C105">
        <v>360</v>
      </c>
      <c r="D105">
        <v>175</v>
      </c>
      <c r="E105">
        <v>3821</v>
      </c>
      <c r="F105">
        <v>11</v>
      </c>
      <c r="G105">
        <v>73</v>
      </c>
      <c r="H105" t="s">
        <v>1620</v>
      </c>
      <c r="I105" t="s">
        <v>1164</v>
      </c>
      <c r="J105" t="s">
        <v>972</v>
      </c>
      <c r="K105" t="s">
        <v>1165</v>
      </c>
      <c r="L105" t="b">
        <f>Data_Completeness(MileageData[[#This Row],[MPG]:[Acceleration]])</f>
        <v>1</v>
      </c>
    </row>
    <row r="106" spans="1:12" x14ac:dyDescent="0.25">
      <c r="A106">
        <v>18</v>
      </c>
      <c r="B106">
        <v>6</v>
      </c>
      <c r="C106">
        <v>225</v>
      </c>
      <c r="D106">
        <v>105</v>
      </c>
      <c r="E106">
        <v>3121</v>
      </c>
      <c r="F106">
        <v>16.5</v>
      </c>
      <c r="G106">
        <v>73</v>
      </c>
      <c r="H106" t="s">
        <v>1620</v>
      </c>
      <c r="I106" t="s">
        <v>1166</v>
      </c>
      <c r="J106" t="s">
        <v>969</v>
      </c>
      <c r="K106" t="s">
        <v>1167</v>
      </c>
      <c r="L106" t="b">
        <f>Data_Completeness(MileageData[[#This Row],[MPG]:[Acceleration]])</f>
        <v>1</v>
      </c>
    </row>
    <row r="107" spans="1:12" x14ac:dyDescent="0.25">
      <c r="A107">
        <v>16</v>
      </c>
      <c r="B107">
        <v>6</v>
      </c>
      <c r="C107">
        <v>250</v>
      </c>
      <c r="D107">
        <v>100</v>
      </c>
      <c r="E107">
        <v>3278</v>
      </c>
      <c r="F107">
        <v>18</v>
      </c>
      <c r="G107">
        <v>73</v>
      </c>
      <c r="H107" t="s">
        <v>1620</v>
      </c>
      <c r="I107" t="s">
        <v>1168</v>
      </c>
      <c r="J107" t="s">
        <v>963</v>
      </c>
      <c r="K107" t="s">
        <v>1169</v>
      </c>
      <c r="L107" t="b">
        <f>Data_Completeness(MileageData[[#This Row],[MPG]:[Acceleration]])</f>
        <v>1</v>
      </c>
    </row>
    <row r="108" spans="1:12" x14ac:dyDescent="0.25">
      <c r="A108">
        <v>18</v>
      </c>
      <c r="B108">
        <v>6</v>
      </c>
      <c r="C108">
        <v>232</v>
      </c>
      <c r="D108">
        <v>100</v>
      </c>
      <c r="E108">
        <v>2945</v>
      </c>
      <c r="F108">
        <v>16</v>
      </c>
      <c r="G108">
        <v>73</v>
      </c>
      <c r="H108" t="s">
        <v>1620</v>
      </c>
      <c r="I108" t="s">
        <v>1014</v>
      </c>
      <c r="J108" t="s">
        <v>972</v>
      </c>
      <c r="K108" t="s">
        <v>1015</v>
      </c>
      <c r="L108" t="b">
        <f>Data_Completeness(MileageData[[#This Row],[MPG]:[Acceleration]])</f>
        <v>1</v>
      </c>
    </row>
    <row r="109" spans="1:12" x14ac:dyDescent="0.25">
      <c r="A109">
        <v>18</v>
      </c>
      <c r="B109">
        <v>6</v>
      </c>
      <c r="C109">
        <v>250</v>
      </c>
      <c r="D109">
        <v>88</v>
      </c>
      <c r="E109">
        <v>3021</v>
      </c>
      <c r="F109">
        <v>16.5</v>
      </c>
      <c r="G109">
        <v>73</v>
      </c>
      <c r="H109" t="s">
        <v>1620</v>
      </c>
      <c r="I109" t="s">
        <v>1016</v>
      </c>
      <c r="J109" t="s">
        <v>975</v>
      </c>
      <c r="K109" t="s">
        <v>1017</v>
      </c>
      <c r="L109" t="b">
        <f>Data_Completeness(MileageData[[#This Row],[MPG]:[Acceleration]])</f>
        <v>1</v>
      </c>
    </row>
    <row r="110" spans="1:12" x14ac:dyDescent="0.25">
      <c r="A110">
        <v>23</v>
      </c>
      <c r="B110">
        <v>6</v>
      </c>
      <c r="C110">
        <v>198</v>
      </c>
      <c r="D110">
        <v>95</v>
      </c>
      <c r="E110">
        <v>2904</v>
      </c>
      <c r="F110">
        <v>16</v>
      </c>
      <c r="G110">
        <v>73</v>
      </c>
      <c r="H110" t="s">
        <v>1620</v>
      </c>
      <c r="I110" t="s">
        <v>1012</v>
      </c>
      <c r="J110" t="s">
        <v>969</v>
      </c>
      <c r="K110" t="s">
        <v>1013</v>
      </c>
      <c r="L110" t="b">
        <f>Data_Completeness(MileageData[[#This Row],[MPG]:[Acceleration]])</f>
        <v>1</v>
      </c>
    </row>
    <row r="111" spans="1:12" x14ac:dyDescent="0.25">
      <c r="A111">
        <v>26</v>
      </c>
      <c r="B111">
        <v>4</v>
      </c>
      <c r="C111">
        <v>97</v>
      </c>
      <c r="D111">
        <v>46</v>
      </c>
      <c r="E111">
        <v>1950</v>
      </c>
      <c r="F111">
        <v>21</v>
      </c>
      <c r="G111">
        <v>73</v>
      </c>
      <c r="H111" t="s">
        <v>1621</v>
      </c>
      <c r="I111" t="s">
        <v>1170</v>
      </c>
      <c r="J111" t="s">
        <v>1022</v>
      </c>
      <c r="K111" t="s">
        <v>1171</v>
      </c>
      <c r="L111" t="b">
        <f>Data_Completeness(MileageData[[#This Row],[MPG]:[Acceleration]])</f>
        <v>1</v>
      </c>
    </row>
    <row r="112" spans="1:12" x14ac:dyDescent="0.25">
      <c r="A112">
        <v>11</v>
      </c>
      <c r="B112">
        <v>8</v>
      </c>
      <c r="C112">
        <v>400</v>
      </c>
      <c r="D112">
        <v>150</v>
      </c>
      <c r="E112">
        <v>4997</v>
      </c>
      <c r="F112">
        <v>14</v>
      </c>
      <c r="G112">
        <v>73</v>
      </c>
      <c r="H112" t="s">
        <v>1620</v>
      </c>
      <c r="I112" t="s">
        <v>979</v>
      </c>
      <c r="J112" t="s">
        <v>963</v>
      </c>
      <c r="K112" t="s">
        <v>980</v>
      </c>
      <c r="L112" t="b">
        <f>Data_Completeness(MileageData[[#This Row],[MPG]:[Acceleration]])</f>
        <v>1</v>
      </c>
    </row>
    <row r="113" spans="1:12" x14ac:dyDescent="0.25">
      <c r="A113">
        <v>12</v>
      </c>
      <c r="B113">
        <v>8</v>
      </c>
      <c r="C113">
        <v>400</v>
      </c>
      <c r="D113">
        <v>167</v>
      </c>
      <c r="E113">
        <v>4906</v>
      </c>
      <c r="F113">
        <v>12.5</v>
      </c>
      <c r="G113">
        <v>73</v>
      </c>
      <c r="H113" t="s">
        <v>1620</v>
      </c>
      <c r="I113" t="s">
        <v>1172</v>
      </c>
      <c r="J113" t="s">
        <v>975</v>
      </c>
      <c r="K113" t="s">
        <v>1173</v>
      </c>
      <c r="L113" t="b">
        <f>Data_Completeness(MileageData[[#This Row],[MPG]:[Acceleration]])</f>
        <v>1</v>
      </c>
    </row>
    <row r="114" spans="1:12" x14ac:dyDescent="0.25">
      <c r="A114">
        <v>13</v>
      </c>
      <c r="B114">
        <v>8</v>
      </c>
      <c r="C114">
        <v>360</v>
      </c>
      <c r="D114">
        <v>170</v>
      </c>
      <c r="E114">
        <v>4654</v>
      </c>
      <c r="F114">
        <v>13</v>
      </c>
      <c r="G114">
        <v>73</v>
      </c>
      <c r="H114" t="s">
        <v>1620</v>
      </c>
      <c r="I114" t="s">
        <v>1174</v>
      </c>
      <c r="J114" t="s">
        <v>969</v>
      </c>
      <c r="K114" t="s">
        <v>1175</v>
      </c>
      <c r="L114" t="b">
        <f>Data_Completeness(MileageData[[#This Row],[MPG]:[Acceleration]])</f>
        <v>1</v>
      </c>
    </row>
    <row r="115" spans="1:12" x14ac:dyDescent="0.25">
      <c r="A115">
        <v>12</v>
      </c>
      <c r="B115">
        <v>8</v>
      </c>
      <c r="C115">
        <v>350</v>
      </c>
      <c r="D115">
        <v>180</v>
      </c>
      <c r="E115">
        <v>4499</v>
      </c>
      <c r="F115">
        <v>12.5</v>
      </c>
      <c r="G115">
        <v>73</v>
      </c>
      <c r="H115" t="s">
        <v>1620</v>
      </c>
      <c r="I115" t="s">
        <v>1176</v>
      </c>
      <c r="J115" t="s">
        <v>1109</v>
      </c>
      <c r="K115" t="s">
        <v>1177</v>
      </c>
      <c r="L115" t="b">
        <f>Data_Completeness(MileageData[[#This Row],[MPG]:[Acceleration]])</f>
        <v>1</v>
      </c>
    </row>
    <row r="116" spans="1:12" x14ac:dyDescent="0.25">
      <c r="A116">
        <v>18</v>
      </c>
      <c r="B116">
        <v>6</v>
      </c>
      <c r="C116">
        <v>232</v>
      </c>
      <c r="D116">
        <v>100</v>
      </c>
      <c r="E116">
        <v>2789</v>
      </c>
      <c r="F116">
        <v>15</v>
      </c>
      <c r="G116">
        <v>73</v>
      </c>
      <c r="H116" t="s">
        <v>1620</v>
      </c>
      <c r="I116" t="s">
        <v>1034</v>
      </c>
      <c r="J116" t="s">
        <v>972</v>
      </c>
      <c r="K116" t="s">
        <v>1035</v>
      </c>
      <c r="L116" t="b">
        <f>Data_Completeness(MileageData[[#This Row],[MPG]:[Acceleration]])</f>
        <v>1</v>
      </c>
    </row>
    <row r="117" spans="1:12" x14ac:dyDescent="0.25">
      <c r="A117">
        <v>20</v>
      </c>
      <c r="B117">
        <v>4</v>
      </c>
      <c r="C117">
        <v>97</v>
      </c>
      <c r="D117">
        <v>88</v>
      </c>
      <c r="E117">
        <v>2279</v>
      </c>
      <c r="F117">
        <v>19</v>
      </c>
      <c r="G117">
        <v>73</v>
      </c>
      <c r="H117" t="s">
        <v>1622</v>
      </c>
      <c r="I117" t="s">
        <v>1178</v>
      </c>
      <c r="J117" t="s">
        <v>1010</v>
      </c>
      <c r="K117" t="s">
        <v>1179</v>
      </c>
      <c r="L117" t="b">
        <f>Data_Completeness(MileageData[[#This Row],[MPG]:[Acceleration]])</f>
        <v>1</v>
      </c>
    </row>
    <row r="118" spans="1:12" x14ac:dyDescent="0.25">
      <c r="A118">
        <v>21</v>
      </c>
      <c r="B118">
        <v>4</v>
      </c>
      <c r="C118">
        <v>140</v>
      </c>
      <c r="D118">
        <v>72</v>
      </c>
      <c r="E118">
        <v>2401</v>
      </c>
      <c r="F118">
        <v>19.5</v>
      </c>
      <c r="G118">
        <v>73</v>
      </c>
      <c r="H118" t="s">
        <v>1620</v>
      </c>
      <c r="I118" t="s">
        <v>1098</v>
      </c>
      <c r="J118" t="s">
        <v>963</v>
      </c>
      <c r="K118" t="s">
        <v>1099</v>
      </c>
      <c r="L118" t="b">
        <f>Data_Completeness(MileageData[[#This Row],[MPG]:[Acceleration]])</f>
        <v>1</v>
      </c>
    </row>
    <row r="119" spans="1:12" x14ac:dyDescent="0.25">
      <c r="A119">
        <v>22</v>
      </c>
      <c r="B119">
        <v>4</v>
      </c>
      <c r="C119">
        <v>108</v>
      </c>
      <c r="D119">
        <v>94</v>
      </c>
      <c r="E119">
        <v>2379</v>
      </c>
      <c r="F119">
        <v>16.5</v>
      </c>
      <c r="G119">
        <v>73</v>
      </c>
      <c r="H119" t="s">
        <v>1622</v>
      </c>
      <c r="I119" t="s">
        <v>1180</v>
      </c>
      <c r="J119" t="s">
        <v>1019</v>
      </c>
      <c r="K119">
        <v>610</v>
      </c>
      <c r="L119" t="b">
        <f>Data_Completeness(MileageData[[#This Row],[MPG]:[Acceleration]])</f>
        <v>1</v>
      </c>
    </row>
    <row r="120" spans="1:12" x14ac:dyDescent="0.25">
      <c r="A120">
        <v>18</v>
      </c>
      <c r="B120">
        <v>3</v>
      </c>
      <c r="C120">
        <v>70</v>
      </c>
      <c r="D120">
        <v>90</v>
      </c>
      <c r="E120">
        <v>2124</v>
      </c>
      <c r="F120">
        <v>13.5</v>
      </c>
      <c r="G120">
        <v>73</v>
      </c>
      <c r="H120" t="s">
        <v>1622</v>
      </c>
      <c r="I120" t="s">
        <v>1181</v>
      </c>
      <c r="J120" t="s">
        <v>1182</v>
      </c>
      <c r="K120" t="s">
        <v>1183</v>
      </c>
      <c r="L120" t="b">
        <f>Data_Completeness(MileageData[[#This Row],[MPG]:[Acceleration]])</f>
        <v>1</v>
      </c>
    </row>
    <row r="121" spans="1:12" x14ac:dyDescent="0.25">
      <c r="A121">
        <v>19</v>
      </c>
      <c r="B121">
        <v>4</v>
      </c>
      <c r="C121">
        <v>122</v>
      </c>
      <c r="D121">
        <v>85</v>
      </c>
      <c r="E121">
        <v>2310</v>
      </c>
      <c r="F121">
        <v>18.5</v>
      </c>
      <c r="G121">
        <v>73</v>
      </c>
      <c r="H121" t="s">
        <v>1620</v>
      </c>
      <c r="I121" t="s">
        <v>1050</v>
      </c>
      <c r="J121" t="s">
        <v>975</v>
      </c>
      <c r="K121" t="s">
        <v>1051</v>
      </c>
      <c r="L121" t="b">
        <f>Data_Completeness(MileageData[[#This Row],[MPG]:[Acceleration]])</f>
        <v>1</v>
      </c>
    </row>
    <row r="122" spans="1:12" x14ac:dyDescent="0.25">
      <c r="A122">
        <v>21</v>
      </c>
      <c r="B122">
        <v>6</v>
      </c>
      <c r="C122">
        <v>155</v>
      </c>
      <c r="D122">
        <v>107</v>
      </c>
      <c r="E122">
        <v>2472</v>
      </c>
      <c r="F122">
        <v>14</v>
      </c>
      <c r="G122">
        <v>73</v>
      </c>
      <c r="H122" t="s">
        <v>1620</v>
      </c>
      <c r="I122" t="s">
        <v>1184</v>
      </c>
      <c r="J122" t="s">
        <v>1077</v>
      </c>
      <c r="K122" t="s">
        <v>1185</v>
      </c>
      <c r="L122" t="b">
        <f>Data_Completeness(MileageData[[#This Row],[MPG]:[Acceleration]])</f>
        <v>1</v>
      </c>
    </row>
    <row r="123" spans="1:12" x14ac:dyDescent="0.25">
      <c r="A123">
        <v>26</v>
      </c>
      <c r="B123">
        <v>4</v>
      </c>
      <c r="C123">
        <v>98</v>
      </c>
      <c r="D123">
        <v>90</v>
      </c>
      <c r="E123">
        <v>2265</v>
      </c>
      <c r="F123">
        <v>15.5</v>
      </c>
      <c r="G123">
        <v>73</v>
      </c>
      <c r="H123" t="s">
        <v>1621</v>
      </c>
      <c r="I123" t="s">
        <v>1186</v>
      </c>
      <c r="J123" t="s">
        <v>1083</v>
      </c>
      <c r="K123" t="s">
        <v>1187</v>
      </c>
      <c r="L123" t="b">
        <f>Data_Completeness(MileageData[[#This Row],[MPG]:[Acceleration]])</f>
        <v>1</v>
      </c>
    </row>
    <row r="124" spans="1:12" x14ac:dyDescent="0.25">
      <c r="A124">
        <v>15</v>
      </c>
      <c r="B124">
        <v>8</v>
      </c>
      <c r="C124">
        <v>350</v>
      </c>
      <c r="D124">
        <v>145</v>
      </c>
      <c r="E124">
        <v>4082</v>
      </c>
      <c r="F124">
        <v>13</v>
      </c>
      <c r="G124">
        <v>73</v>
      </c>
      <c r="H124" t="s">
        <v>1620</v>
      </c>
      <c r="I124" t="s">
        <v>1188</v>
      </c>
      <c r="J124" t="s">
        <v>963</v>
      </c>
      <c r="K124" t="s">
        <v>1189</v>
      </c>
      <c r="L124" t="b">
        <f>Data_Completeness(MileageData[[#This Row],[MPG]:[Acceleration]])</f>
        <v>1</v>
      </c>
    </row>
    <row r="125" spans="1:12" x14ac:dyDescent="0.25">
      <c r="A125">
        <v>16</v>
      </c>
      <c r="B125">
        <v>8</v>
      </c>
      <c r="C125">
        <v>400</v>
      </c>
      <c r="D125">
        <v>230</v>
      </c>
      <c r="E125">
        <v>4278</v>
      </c>
      <c r="F125">
        <v>9.5</v>
      </c>
      <c r="G125">
        <v>73</v>
      </c>
      <c r="H125" t="s">
        <v>1620</v>
      </c>
      <c r="I125" t="s">
        <v>1190</v>
      </c>
      <c r="J125" t="s">
        <v>984</v>
      </c>
      <c r="K125" t="s">
        <v>1191</v>
      </c>
      <c r="L125" t="b">
        <f>Data_Completeness(MileageData[[#This Row],[MPG]:[Acceleration]])</f>
        <v>1</v>
      </c>
    </row>
    <row r="126" spans="1:12" x14ac:dyDescent="0.25">
      <c r="A126">
        <v>29</v>
      </c>
      <c r="B126">
        <v>4</v>
      </c>
      <c r="C126">
        <v>68</v>
      </c>
      <c r="D126">
        <v>49</v>
      </c>
      <c r="E126">
        <v>1867</v>
      </c>
      <c r="F126">
        <v>19.5</v>
      </c>
      <c r="G126">
        <v>73</v>
      </c>
      <c r="H126" t="s">
        <v>1621</v>
      </c>
      <c r="I126" t="s">
        <v>1192</v>
      </c>
      <c r="J126" t="s">
        <v>1083</v>
      </c>
      <c r="K126">
        <v>128</v>
      </c>
      <c r="L126" t="b">
        <f>Data_Completeness(MileageData[[#This Row],[MPG]:[Acceleration]])</f>
        <v>1</v>
      </c>
    </row>
    <row r="127" spans="1:12" x14ac:dyDescent="0.25">
      <c r="A127">
        <v>24</v>
      </c>
      <c r="B127">
        <v>4</v>
      </c>
      <c r="C127">
        <v>116</v>
      </c>
      <c r="D127">
        <v>75</v>
      </c>
      <c r="E127">
        <v>2158</v>
      </c>
      <c r="F127">
        <v>15.5</v>
      </c>
      <c r="G127">
        <v>73</v>
      </c>
      <c r="H127" t="s">
        <v>1621</v>
      </c>
      <c r="I127" t="s">
        <v>1193</v>
      </c>
      <c r="J127" t="s">
        <v>1080</v>
      </c>
      <c r="K127" t="s">
        <v>1194</v>
      </c>
      <c r="L127" t="b">
        <f>Data_Completeness(MileageData[[#This Row],[MPG]:[Acceleration]])</f>
        <v>1</v>
      </c>
    </row>
    <row r="128" spans="1:12" x14ac:dyDescent="0.25">
      <c r="A128">
        <v>20</v>
      </c>
      <c r="B128">
        <v>4</v>
      </c>
      <c r="C128">
        <v>114</v>
      </c>
      <c r="D128">
        <v>91</v>
      </c>
      <c r="E128">
        <v>2582</v>
      </c>
      <c r="F128">
        <v>14</v>
      </c>
      <c r="G128">
        <v>73</v>
      </c>
      <c r="H128" t="s">
        <v>1621</v>
      </c>
      <c r="I128" t="s">
        <v>1195</v>
      </c>
      <c r="J128" t="s">
        <v>1027</v>
      </c>
      <c r="K128" t="s">
        <v>1196</v>
      </c>
      <c r="L128" t="b">
        <f>Data_Completeness(MileageData[[#This Row],[MPG]:[Acceleration]])</f>
        <v>1</v>
      </c>
    </row>
    <row r="129" spans="1:12" x14ac:dyDescent="0.25">
      <c r="A129">
        <v>19</v>
      </c>
      <c r="B129">
        <v>4</v>
      </c>
      <c r="C129">
        <v>121</v>
      </c>
      <c r="D129">
        <v>112</v>
      </c>
      <c r="E129">
        <v>2868</v>
      </c>
      <c r="F129">
        <v>15.5</v>
      </c>
      <c r="G129">
        <v>73</v>
      </c>
      <c r="H129" t="s">
        <v>1621</v>
      </c>
      <c r="I129" t="s">
        <v>1197</v>
      </c>
      <c r="J129" t="s">
        <v>1124</v>
      </c>
      <c r="K129" t="s">
        <v>1198</v>
      </c>
      <c r="L129" t="b">
        <f>Data_Completeness(MileageData[[#This Row],[MPG]:[Acceleration]])</f>
        <v>1</v>
      </c>
    </row>
    <row r="130" spans="1:12" x14ac:dyDescent="0.25">
      <c r="A130">
        <v>15</v>
      </c>
      <c r="B130">
        <v>8</v>
      </c>
      <c r="C130">
        <v>318</v>
      </c>
      <c r="D130">
        <v>150</v>
      </c>
      <c r="E130">
        <v>3399</v>
      </c>
      <c r="F130">
        <v>11</v>
      </c>
      <c r="G130">
        <v>73</v>
      </c>
      <c r="H130" t="s">
        <v>1620</v>
      </c>
      <c r="I130" t="s">
        <v>1199</v>
      </c>
      <c r="J130" t="s">
        <v>1000</v>
      </c>
      <c r="K130" t="s">
        <v>1200</v>
      </c>
      <c r="L130" t="b">
        <f>Data_Completeness(MileageData[[#This Row],[MPG]:[Acceleration]])</f>
        <v>1</v>
      </c>
    </row>
    <row r="131" spans="1:12" x14ac:dyDescent="0.25">
      <c r="A131">
        <v>24</v>
      </c>
      <c r="B131">
        <v>4</v>
      </c>
      <c r="C131">
        <v>121</v>
      </c>
      <c r="D131">
        <v>110</v>
      </c>
      <c r="E131">
        <v>2660</v>
      </c>
      <c r="F131">
        <v>14</v>
      </c>
      <c r="G131">
        <v>73</v>
      </c>
      <c r="H131" t="s">
        <v>1621</v>
      </c>
      <c r="I131" t="s">
        <v>1201</v>
      </c>
      <c r="J131" t="s">
        <v>1030</v>
      </c>
      <c r="K131" t="s">
        <v>1202</v>
      </c>
      <c r="L131" t="b">
        <f>Data_Completeness(MileageData[[#This Row],[MPG]:[Acceleration]])</f>
        <v>1</v>
      </c>
    </row>
    <row r="132" spans="1:12" x14ac:dyDescent="0.25">
      <c r="A132">
        <v>20</v>
      </c>
      <c r="B132">
        <v>6</v>
      </c>
      <c r="C132">
        <v>156</v>
      </c>
      <c r="D132">
        <v>122</v>
      </c>
      <c r="E132">
        <v>2807</v>
      </c>
      <c r="F132">
        <v>13.5</v>
      </c>
      <c r="G132">
        <v>73</v>
      </c>
      <c r="H132" t="s">
        <v>1622</v>
      </c>
      <c r="I132" t="s">
        <v>1203</v>
      </c>
      <c r="J132" t="s">
        <v>1010</v>
      </c>
      <c r="K132" t="s">
        <v>1204</v>
      </c>
      <c r="L132" t="b">
        <f>Data_Completeness(MileageData[[#This Row],[MPG]:[Acceleration]])</f>
        <v>1</v>
      </c>
    </row>
    <row r="133" spans="1:12" x14ac:dyDescent="0.25">
      <c r="A133">
        <v>11</v>
      </c>
      <c r="B133">
        <v>8</v>
      </c>
      <c r="C133">
        <v>350</v>
      </c>
      <c r="D133">
        <v>180</v>
      </c>
      <c r="E133">
        <v>3664</v>
      </c>
      <c r="F133">
        <v>11</v>
      </c>
      <c r="G133">
        <v>73</v>
      </c>
      <c r="H133" t="s">
        <v>1620</v>
      </c>
      <c r="I133" t="s">
        <v>1205</v>
      </c>
      <c r="J133" t="s">
        <v>1109</v>
      </c>
      <c r="K133" t="s">
        <v>1206</v>
      </c>
      <c r="L133" t="b">
        <f>Data_Completeness(MileageData[[#This Row],[MPG]:[Acceleration]])</f>
        <v>1</v>
      </c>
    </row>
    <row r="134" spans="1:12" x14ac:dyDescent="0.25">
      <c r="A134">
        <v>20</v>
      </c>
      <c r="B134">
        <v>6</v>
      </c>
      <c r="C134">
        <v>198</v>
      </c>
      <c r="D134">
        <v>95</v>
      </c>
      <c r="E134">
        <v>3102</v>
      </c>
      <c r="F134">
        <v>16.5</v>
      </c>
      <c r="G134">
        <v>74</v>
      </c>
      <c r="H134" t="s">
        <v>1620</v>
      </c>
      <c r="I134" t="s">
        <v>1012</v>
      </c>
      <c r="J134" t="s">
        <v>969</v>
      </c>
      <c r="K134" t="s">
        <v>1013</v>
      </c>
      <c r="L134" t="b">
        <f>Data_Completeness(MileageData[[#This Row],[MPG]:[Acceleration]])</f>
        <v>1</v>
      </c>
    </row>
    <row r="135" spans="1:12" x14ac:dyDescent="0.25">
      <c r="A135">
        <v>21</v>
      </c>
      <c r="B135">
        <v>6</v>
      </c>
      <c r="C135">
        <v>200</v>
      </c>
      <c r="E135">
        <v>2875</v>
      </c>
      <c r="F135">
        <v>17</v>
      </c>
      <c r="G135">
        <v>74</v>
      </c>
      <c r="H135" t="s">
        <v>1620</v>
      </c>
      <c r="I135" t="s">
        <v>1016</v>
      </c>
      <c r="J135" t="s">
        <v>975</v>
      </c>
      <c r="K135" t="s">
        <v>1017</v>
      </c>
      <c r="L135" t="b">
        <f>Data_Completeness(MileageData[[#This Row],[MPG]:[Acceleration]])</f>
        <v>0</v>
      </c>
    </row>
    <row r="136" spans="1:12" x14ac:dyDescent="0.25">
      <c r="A136">
        <v>19</v>
      </c>
      <c r="B136">
        <v>6</v>
      </c>
      <c r="C136">
        <v>232</v>
      </c>
      <c r="D136">
        <v>100</v>
      </c>
      <c r="E136">
        <v>2901</v>
      </c>
      <c r="F136">
        <v>16</v>
      </c>
      <c r="G136">
        <v>74</v>
      </c>
      <c r="H136" t="s">
        <v>1620</v>
      </c>
      <c r="I136" t="s">
        <v>1014</v>
      </c>
      <c r="J136" t="s">
        <v>972</v>
      </c>
      <c r="K136" t="s">
        <v>1015</v>
      </c>
      <c r="L136" t="b">
        <f>Data_Completeness(MileageData[[#This Row],[MPG]:[Acceleration]])</f>
        <v>1</v>
      </c>
    </row>
    <row r="137" spans="1:12" x14ac:dyDescent="0.25">
      <c r="A137">
        <v>15</v>
      </c>
      <c r="B137">
        <v>6</v>
      </c>
      <c r="C137">
        <v>250</v>
      </c>
      <c r="D137">
        <v>100</v>
      </c>
      <c r="E137">
        <v>3336</v>
      </c>
      <c r="F137">
        <v>17</v>
      </c>
      <c r="G137">
        <v>74</v>
      </c>
      <c r="H137" t="s">
        <v>1620</v>
      </c>
      <c r="I137" t="s">
        <v>1207</v>
      </c>
      <c r="J137" t="s">
        <v>963</v>
      </c>
      <c r="K137" t="s">
        <v>1208</v>
      </c>
      <c r="L137" t="b">
        <f>Data_Completeness(MileageData[[#This Row],[MPG]:[Acceleration]])</f>
        <v>1</v>
      </c>
    </row>
    <row r="138" spans="1:12" x14ac:dyDescent="0.25">
      <c r="A138">
        <v>31</v>
      </c>
      <c r="B138">
        <v>4</v>
      </c>
      <c r="C138">
        <v>79</v>
      </c>
      <c r="D138">
        <v>67</v>
      </c>
      <c r="E138">
        <v>1950</v>
      </c>
      <c r="F138">
        <v>19</v>
      </c>
      <c r="G138">
        <v>74</v>
      </c>
      <c r="H138" t="s">
        <v>1622</v>
      </c>
      <c r="I138" t="s">
        <v>1209</v>
      </c>
      <c r="J138" t="s">
        <v>1019</v>
      </c>
      <c r="K138" t="s">
        <v>1210</v>
      </c>
      <c r="L138" t="b">
        <f>Data_Completeness(MileageData[[#This Row],[MPG]:[Acceleration]])</f>
        <v>1</v>
      </c>
    </row>
    <row r="139" spans="1:12" x14ac:dyDescent="0.25">
      <c r="A139">
        <v>26</v>
      </c>
      <c r="B139">
        <v>4</v>
      </c>
      <c r="C139">
        <v>122</v>
      </c>
      <c r="D139">
        <v>80</v>
      </c>
      <c r="E139">
        <v>2451</v>
      </c>
      <c r="F139">
        <v>16.5</v>
      </c>
      <c r="G139">
        <v>74</v>
      </c>
      <c r="H139" t="s">
        <v>1620</v>
      </c>
      <c r="I139" t="s">
        <v>1050</v>
      </c>
      <c r="J139" t="s">
        <v>975</v>
      </c>
      <c r="K139" t="s">
        <v>1051</v>
      </c>
      <c r="L139" t="b">
        <f>Data_Completeness(MileageData[[#This Row],[MPG]:[Acceleration]])</f>
        <v>1</v>
      </c>
    </row>
    <row r="140" spans="1:12" x14ac:dyDescent="0.25">
      <c r="A140">
        <v>32</v>
      </c>
      <c r="B140">
        <v>4</v>
      </c>
      <c r="C140">
        <v>71</v>
      </c>
      <c r="D140">
        <v>65</v>
      </c>
      <c r="E140">
        <v>1836</v>
      </c>
      <c r="F140">
        <v>21</v>
      </c>
      <c r="G140">
        <v>74</v>
      </c>
      <c r="H140" t="s">
        <v>1622</v>
      </c>
      <c r="I140" t="s">
        <v>1085</v>
      </c>
      <c r="J140" t="s">
        <v>1010</v>
      </c>
      <c r="K140" t="s">
        <v>1086</v>
      </c>
      <c r="L140" t="b">
        <f>Data_Completeness(MileageData[[#This Row],[MPG]:[Acceleration]])</f>
        <v>1</v>
      </c>
    </row>
    <row r="141" spans="1:12" x14ac:dyDescent="0.25">
      <c r="A141">
        <v>25</v>
      </c>
      <c r="B141">
        <v>4</v>
      </c>
      <c r="C141">
        <v>140</v>
      </c>
      <c r="D141">
        <v>75</v>
      </c>
      <c r="E141">
        <v>2542</v>
      </c>
      <c r="F141">
        <v>17</v>
      </c>
      <c r="G141">
        <v>74</v>
      </c>
      <c r="H141" t="s">
        <v>1620</v>
      </c>
      <c r="I141" t="s">
        <v>1098</v>
      </c>
      <c r="J141" t="s">
        <v>963</v>
      </c>
      <c r="K141" t="s">
        <v>1099</v>
      </c>
      <c r="L141" t="b">
        <f>Data_Completeness(MileageData[[#This Row],[MPG]:[Acceleration]])</f>
        <v>1</v>
      </c>
    </row>
    <row r="142" spans="1:12" x14ac:dyDescent="0.25">
      <c r="A142">
        <v>16</v>
      </c>
      <c r="B142">
        <v>6</v>
      </c>
      <c r="C142">
        <v>250</v>
      </c>
      <c r="D142">
        <v>100</v>
      </c>
      <c r="E142">
        <v>3781</v>
      </c>
      <c r="F142">
        <v>17</v>
      </c>
      <c r="G142">
        <v>74</v>
      </c>
      <c r="H142" t="s">
        <v>1620</v>
      </c>
      <c r="I142" t="s">
        <v>1211</v>
      </c>
      <c r="J142" t="s">
        <v>963</v>
      </c>
      <c r="K142" t="s">
        <v>1212</v>
      </c>
      <c r="L142" t="b">
        <f>Data_Completeness(MileageData[[#This Row],[MPG]:[Acceleration]])</f>
        <v>1</v>
      </c>
    </row>
    <row r="143" spans="1:12" x14ac:dyDescent="0.25">
      <c r="A143">
        <v>16</v>
      </c>
      <c r="B143">
        <v>6</v>
      </c>
      <c r="C143">
        <v>258</v>
      </c>
      <c r="D143">
        <v>110</v>
      </c>
      <c r="E143">
        <v>3632</v>
      </c>
      <c r="F143">
        <v>18</v>
      </c>
      <c r="G143">
        <v>74</v>
      </c>
      <c r="H143" t="s">
        <v>1620</v>
      </c>
      <c r="I143" t="s">
        <v>1058</v>
      </c>
      <c r="J143" t="s">
        <v>972</v>
      </c>
      <c r="K143" t="s">
        <v>1059</v>
      </c>
      <c r="L143" t="b">
        <f>Data_Completeness(MileageData[[#This Row],[MPG]:[Acceleration]])</f>
        <v>1</v>
      </c>
    </row>
    <row r="144" spans="1:12" x14ac:dyDescent="0.25">
      <c r="A144">
        <v>18</v>
      </c>
      <c r="B144">
        <v>6</v>
      </c>
      <c r="C144">
        <v>225</v>
      </c>
      <c r="D144">
        <v>105</v>
      </c>
      <c r="E144">
        <v>3613</v>
      </c>
      <c r="F144">
        <v>16.5</v>
      </c>
      <c r="G144">
        <v>74</v>
      </c>
      <c r="H144" t="s">
        <v>1620</v>
      </c>
      <c r="I144" t="s">
        <v>1213</v>
      </c>
      <c r="J144" t="s">
        <v>969</v>
      </c>
      <c r="K144" t="s">
        <v>1214</v>
      </c>
      <c r="L144" t="b">
        <f>Data_Completeness(MileageData[[#This Row],[MPG]:[Acceleration]])</f>
        <v>1</v>
      </c>
    </row>
    <row r="145" spans="1:12" x14ac:dyDescent="0.25">
      <c r="A145">
        <v>16</v>
      </c>
      <c r="B145">
        <v>8</v>
      </c>
      <c r="C145">
        <v>302</v>
      </c>
      <c r="D145">
        <v>140</v>
      </c>
      <c r="E145">
        <v>4141</v>
      </c>
      <c r="F145">
        <v>14</v>
      </c>
      <c r="G145">
        <v>74</v>
      </c>
      <c r="H145" t="s">
        <v>1620</v>
      </c>
      <c r="I145" t="s">
        <v>1148</v>
      </c>
      <c r="J145" t="s">
        <v>975</v>
      </c>
      <c r="K145" t="s">
        <v>1149</v>
      </c>
      <c r="L145" t="b">
        <f>Data_Completeness(MileageData[[#This Row],[MPG]:[Acceleration]])</f>
        <v>1</v>
      </c>
    </row>
    <row r="146" spans="1:12" x14ac:dyDescent="0.25">
      <c r="A146">
        <v>13</v>
      </c>
      <c r="B146">
        <v>8</v>
      </c>
      <c r="C146">
        <v>350</v>
      </c>
      <c r="D146">
        <v>150</v>
      </c>
      <c r="E146">
        <v>4699</v>
      </c>
      <c r="F146">
        <v>14.5</v>
      </c>
      <c r="G146">
        <v>74</v>
      </c>
      <c r="H146" t="s">
        <v>1620</v>
      </c>
      <c r="I146" t="s">
        <v>1215</v>
      </c>
      <c r="J146" t="s">
        <v>966</v>
      </c>
      <c r="K146" t="s">
        <v>1216</v>
      </c>
      <c r="L146" t="b">
        <f>Data_Completeness(MileageData[[#This Row],[MPG]:[Acceleration]])</f>
        <v>1</v>
      </c>
    </row>
    <row r="147" spans="1:12" x14ac:dyDescent="0.25">
      <c r="A147">
        <v>14</v>
      </c>
      <c r="B147">
        <v>8</v>
      </c>
      <c r="C147">
        <v>318</v>
      </c>
      <c r="D147">
        <v>150</v>
      </c>
      <c r="E147">
        <v>4457</v>
      </c>
      <c r="F147">
        <v>13.5</v>
      </c>
      <c r="G147">
        <v>74</v>
      </c>
      <c r="H147" t="s">
        <v>1620</v>
      </c>
      <c r="I147" t="s">
        <v>1217</v>
      </c>
      <c r="J147" t="s">
        <v>1000</v>
      </c>
      <c r="K147" t="s">
        <v>1218</v>
      </c>
      <c r="L147" t="b">
        <f>Data_Completeness(MileageData[[#This Row],[MPG]:[Acceleration]])</f>
        <v>1</v>
      </c>
    </row>
    <row r="148" spans="1:12" x14ac:dyDescent="0.25">
      <c r="A148">
        <v>14</v>
      </c>
      <c r="B148">
        <v>8</v>
      </c>
      <c r="C148">
        <v>302</v>
      </c>
      <c r="D148">
        <v>140</v>
      </c>
      <c r="E148">
        <v>4638</v>
      </c>
      <c r="F148">
        <v>16</v>
      </c>
      <c r="G148">
        <v>74</v>
      </c>
      <c r="H148" t="s">
        <v>1620</v>
      </c>
      <c r="I148" t="s">
        <v>1119</v>
      </c>
      <c r="J148" t="s">
        <v>975</v>
      </c>
      <c r="K148" t="s">
        <v>1120</v>
      </c>
      <c r="L148" t="b">
        <f>Data_Completeness(MileageData[[#This Row],[MPG]:[Acceleration]])</f>
        <v>1</v>
      </c>
    </row>
    <row r="149" spans="1:12" x14ac:dyDescent="0.25">
      <c r="A149">
        <v>14</v>
      </c>
      <c r="B149">
        <v>8</v>
      </c>
      <c r="C149">
        <v>304</v>
      </c>
      <c r="D149">
        <v>150</v>
      </c>
      <c r="E149">
        <v>4257</v>
      </c>
      <c r="F149">
        <v>15.5</v>
      </c>
      <c r="G149">
        <v>74</v>
      </c>
      <c r="H149" t="s">
        <v>1620</v>
      </c>
      <c r="I149" t="s">
        <v>1117</v>
      </c>
      <c r="J149" t="s">
        <v>972</v>
      </c>
      <c r="K149" t="s">
        <v>1118</v>
      </c>
      <c r="L149" t="b">
        <f>Data_Completeness(MileageData[[#This Row],[MPG]:[Acceleration]])</f>
        <v>1</v>
      </c>
    </row>
    <row r="150" spans="1:12" x14ac:dyDescent="0.25">
      <c r="A150">
        <v>29</v>
      </c>
      <c r="B150">
        <v>4</v>
      </c>
      <c r="C150">
        <v>98</v>
      </c>
      <c r="D150">
        <v>83</v>
      </c>
      <c r="E150">
        <v>2219</v>
      </c>
      <c r="F150">
        <v>16.5</v>
      </c>
      <c r="G150">
        <v>74</v>
      </c>
      <c r="H150" t="s">
        <v>1621</v>
      </c>
      <c r="I150" t="s">
        <v>1219</v>
      </c>
      <c r="J150" t="s">
        <v>1027</v>
      </c>
      <c r="K150" t="s">
        <v>1220</v>
      </c>
      <c r="L150" t="b">
        <f>Data_Completeness(MileageData[[#This Row],[MPG]:[Acceleration]])</f>
        <v>1</v>
      </c>
    </row>
    <row r="151" spans="1:12" x14ac:dyDescent="0.25">
      <c r="A151">
        <v>26</v>
      </c>
      <c r="B151">
        <v>4</v>
      </c>
      <c r="C151">
        <v>79</v>
      </c>
      <c r="D151">
        <v>67</v>
      </c>
      <c r="E151">
        <v>1963</v>
      </c>
      <c r="F151">
        <v>15.5</v>
      </c>
      <c r="G151">
        <v>74</v>
      </c>
      <c r="H151" t="s">
        <v>1621</v>
      </c>
      <c r="I151" t="s">
        <v>1221</v>
      </c>
      <c r="J151" t="s">
        <v>1022</v>
      </c>
      <c r="K151" t="s">
        <v>1222</v>
      </c>
      <c r="L151" t="b">
        <f>Data_Completeness(MileageData[[#This Row],[MPG]:[Acceleration]])</f>
        <v>1</v>
      </c>
    </row>
    <row r="152" spans="1:12" x14ac:dyDescent="0.25">
      <c r="A152">
        <v>26</v>
      </c>
      <c r="B152">
        <v>4</v>
      </c>
      <c r="C152">
        <v>97</v>
      </c>
      <c r="D152">
        <v>78</v>
      </c>
      <c r="E152">
        <v>2300</v>
      </c>
      <c r="F152">
        <v>14.5</v>
      </c>
      <c r="G152">
        <v>74</v>
      </c>
      <c r="H152" t="s">
        <v>1621</v>
      </c>
      <c r="I152" t="s">
        <v>1193</v>
      </c>
      <c r="J152" t="s">
        <v>1080</v>
      </c>
      <c r="K152" t="s">
        <v>1194</v>
      </c>
      <c r="L152" t="b">
        <f>Data_Completeness(MileageData[[#This Row],[MPG]:[Acceleration]])</f>
        <v>1</v>
      </c>
    </row>
    <row r="153" spans="1:12" x14ac:dyDescent="0.25">
      <c r="A153">
        <v>31</v>
      </c>
      <c r="B153">
        <v>4</v>
      </c>
      <c r="C153">
        <v>76</v>
      </c>
      <c r="D153">
        <v>52</v>
      </c>
      <c r="E153">
        <v>1649</v>
      </c>
      <c r="F153">
        <v>16.5</v>
      </c>
      <c r="G153">
        <v>74</v>
      </c>
      <c r="H153" t="s">
        <v>1622</v>
      </c>
      <c r="I153" t="s">
        <v>1048</v>
      </c>
      <c r="J153" t="s">
        <v>1010</v>
      </c>
      <c r="K153" t="s">
        <v>1049</v>
      </c>
      <c r="L153" t="b">
        <f>Data_Completeness(MileageData[[#This Row],[MPG]:[Acceleration]])</f>
        <v>1</v>
      </c>
    </row>
    <row r="154" spans="1:12" x14ac:dyDescent="0.25">
      <c r="A154">
        <v>32</v>
      </c>
      <c r="B154">
        <v>4</v>
      </c>
      <c r="C154">
        <v>83</v>
      </c>
      <c r="D154">
        <v>61</v>
      </c>
      <c r="E154">
        <v>2003</v>
      </c>
      <c r="F154">
        <v>19</v>
      </c>
      <c r="G154">
        <v>74</v>
      </c>
      <c r="H154" t="s">
        <v>1622</v>
      </c>
      <c r="I154" t="s">
        <v>1223</v>
      </c>
      <c r="J154" t="s">
        <v>1019</v>
      </c>
      <c r="K154">
        <v>710</v>
      </c>
      <c r="L154" t="b">
        <f>Data_Completeness(MileageData[[#This Row],[MPG]:[Acceleration]])</f>
        <v>1</v>
      </c>
    </row>
    <row r="155" spans="1:12" x14ac:dyDescent="0.25">
      <c r="A155">
        <v>28</v>
      </c>
      <c r="B155">
        <v>4</v>
      </c>
      <c r="C155">
        <v>90</v>
      </c>
      <c r="D155">
        <v>75</v>
      </c>
      <c r="E155">
        <v>2125</v>
      </c>
      <c r="F155">
        <v>14.5</v>
      </c>
      <c r="G155">
        <v>74</v>
      </c>
      <c r="H155" t="s">
        <v>1620</v>
      </c>
      <c r="I155" t="s">
        <v>1224</v>
      </c>
      <c r="J155" t="s">
        <v>1000</v>
      </c>
      <c r="K155" t="s">
        <v>1225</v>
      </c>
      <c r="L155" t="b">
        <f>Data_Completeness(MileageData[[#This Row],[MPG]:[Acceleration]])</f>
        <v>1</v>
      </c>
    </row>
    <row r="156" spans="1:12" x14ac:dyDescent="0.25">
      <c r="A156">
        <v>24</v>
      </c>
      <c r="B156">
        <v>4</v>
      </c>
      <c r="C156">
        <v>90</v>
      </c>
      <c r="D156">
        <v>75</v>
      </c>
      <c r="E156">
        <v>2108</v>
      </c>
      <c r="F156">
        <v>15.5</v>
      </c>
      <c r="G156">
        <v>74</v>
      </c>
      <c r="H156" t="s">
        <v>1621</v>
      </c>
      <c r="I156" t="s">
        <v>1192</v>
      </c>
      <c r="J156" t="s">
        <v>1083</v>
      </c>
      <c r="K156">
        <v>128</v>
      </c>
      <c r="L156" t="b">
        <f>Data_Completeness(MileageData[[#This Row],[MPG]:[Acceleration]])</f>
        <v>1</v>
      </c>
    </row>
    <row r="157" spans="1:12" x14ac:dyDescent="0.25">
      <c r="A157">
        <v>26</v>
      </c>
      <c r="B157">
        <v>4</v>
      </c>
      <c r="C157">
        <v>116</v>
      </c>
      <c r="D157">
        <v>75</v>
      </c>
      <c r="E157">
        <v>2246</v>
      </c>
      <c r="F157">
        <v>14</v>
      </c>
      <c r="G157">
        <v>74</v>
      </c>
      <c r="H157" t="s">
        <v>1621</v>
      </c>
      <c r="I157" t="s">
        <v>1226</v>
      </c>
      <c r="J157" t="s">
        <v>1083</v>
      </c>
      <c r="K157" t="s">
        <v>1227</v>
      </c>
      <c r="L157" t="b">
        <f>Data_Completeness(MileageData[[#This Row],[MPG]:[Acceleration]])</f>
        <v>1</v>
      </c>
    </row>
    <row r="158" spans="1:12" x14ac:dyDescent="0.25">
      <c r="A158">
        <v>24</v>
      </c>
      <c r="B158">
        <v>4</v>
      </c>
      <c r="C158">
        <v>120</v>
      </c>
      <c r="D158">
        <v>97</v>
      </c>
      <c r="E158">
        <v>2489</v>
      </c>
      <c r="F158">
        <v>15</v>
      </c>
      <c r="G158">
        <v>74</v>
      </c>
      <c r="H158" t="s">
        <v>1622</v>
      </c>
      <c r="I158" t="s">
        <v>1228</v>
      </c>
      <c r="J158" t="s">
        <v>1229</v>
      </c>
      <c r="K158" t="s">
        <v>1230</v>
      </c>
      <c r="L158" t="b">
        <f>Data_Completeness(MileageData[[#This Row],[MPG]:[Acceleration]])</f>
        <v>1</v>
      </c>
    </row>
    <row r="159" spans="1:12" x14ac:dyDescent="0.25">
      <c r="A159">
        <v>26</v>
      </c>
      <c r="B159">
        <v>4</v>
      </c>
      <c r="C159">
        <v>108</v>
      </c>
      <c r="D159">
        <v>93</v>
      </c>
      <c r="E159">
        <v>2391</v>
      </c>
      <c r="F159">
        <v>15.5</v>
      </c>
      <c r="G159">
        <v>74</v>
      </c>
      <c r="H159" t="s">
        <v>1622</v>
      </c>
      <c r="I159" t="s">
        <v>1231</v>
      </c>
      <c r="J159" t="e">
        <v>#VALUE!</v>
      </c>
      <c r="K159" t="e">
        <v>#VALUE!</v>
      </c>
      <c r="L159" t="b">
        <f>Data_Completeness(MileageData[[#This Row],[MPG]:[Acceleration]])</f>
        <v>1</v>
      </c>
    </row>
    <row r="160" spans="1:12" x14ac:dyDescent="0.25">
      <c r="A160">
        <v>31</v>
      </c>
      <c r="B160">
        <v>4</v>
      </c>
      <c r="C160">
        <v>79</v>
      </c>
      <c r="D160">
        <v>67</v>
      </c>
      <c r="E160">
        <v>2000</v>
      </c>
      <c r="F160">
        <v>16</v>
      </c>
      <c r="G160">
        <v>74</v>
      </c>
      <c r="H160" t="s">
        <v>1621</v>
      </c>
      <c r="I160" t="s">
        <v>1232</v>
      </c>
      <c r="J160" t="s">
        <v>1083</v>
      </c>
      <c r="K160" t="s">
        <v>1233</v>
      </c>
      <c r="L160" t="b">
        <f>Data_Completeness(MileageData[[#This Row],[MPG]:[Acceleration]])</f>
        <v>1</v>
      </c>
    </row>
    <row r="161" spans="1:12" x14ac:dyDescent="0.25">
      <c r="A161">
        <v>19</v>
      </c>
      <c r="B161">
        <v>6</v>
      </c>
      <c r="C161">
        <v>225</v>
      </c>
      <c r="D161">
        <v>95</v>
      </c>
      <c r="E161">
        <v>3264</v>
      </c>
      <c r="F161">
        <v>16</v>
      </c>
      <c r="G161">
        <v>75</v>
      </c>
      <c r="H161" t="s">
        <v>1620</v>
      </c>
      <c r="I161" t="s">
        <v>1234</v>
      </c>
      <c r="J161" t="s">
        <v>969</v>
      </c>
      <c r="K161" t="s">
        <v>1235</v>
      </c>
      <c r="L161" t="b">
        <f>Data_Completeness(MileageData[[#This Row],[MPG]:[Acceleration]])</f>
        <v>1</v>
      </c>
    </row>
    <row r="162" spans="1:12" x14ac:dyDescent="0.25">
      <c r="A162">
        <v>18</v>
      </c>
      <c r="B162">
        <v>6</v>
      </c>
      <c r="C162">
        <v>250</v>
      </c>
      <c r="D162">
        <v>105</v>
      </c>
      <c r="E162">
        <v>3459</v>
      </c>
      <c r="F162">
        <v>16</v>
      </c>
      <c r="G162">
        <v>75</v>
      </c>
      <c r="H162" t="s">
        <v>1620</v>
      </c>
      <c r="I162" t="s">
        <v>1207</v>
      </c>
      <c r="J162" t="s">
        <v>963</v>
      </c>
      <c r="K162" t="s">
        <v>1208</v>
      </c>
      <c r="L162" t="b">
        <f>Data_Completeness(MileageData[[#This Row],[MPG]:[Acceleration]])</f>
        <v>1</v>
      </c>
    </row>
    <row r="163" spans="1:12" x14ac:dyDescent="0.25">
      <c r="A163">
        <v>15</v>
      </c>
      <c r="B163">
        <v>6</v>
      </c>
      <c r="C163">
        <v>250</v>
      </c>
      <c r="D163">
        <v>72</v>
      </c>
      <c r="E163">
        <v>3432</v>
      </c>
      <c r="F163">
        <v>21</v>
      </c>
      <c r="G163">
        <v>75</v>
      </c>
      <c r="H163" t="s">
        <v>1620</v>
      </c>
      <c r="I163" t="s">
        <v>1236</v>
      </c>
      <c r="J163" t="s">
        <v>1077</v>
      </c>
      <c r="K163" t="s">
        <v>1237</v>
      </c>
      <c r="L163" t="b">
        <f>Data_Completeness(MileageData[[#This Row],[MPG]:[Acceleration]])</f>
        <v>1</v>
      </c>
    </row>
    <row r="164" spans="1:12" x14ac:dyDescent="0.25">
      <c r="A164">
        <v>15</v>
      </c>
      <c r="B164">
        <v>6</v>
      </c>
      <c r="C164">
        <v>250</v>
      </c>
      <c r="D164">
        <v>72</v>
      </c>
      <c r="E164">
        <v>3158</v>
      </c>
      <c r="F164">
        <v>19.5</v>
      </c>
      <c r="G164">
        <v>75</v>
      </c>
      <c r="H164" t="s">
        <v>1620</v>
      </c>
      <c r="I164" t="s">
        <v>1016</v>
      </c>
      <c r="J164" t="s">
        <v>975</v>
      </c>
      <c r="K164" t="s">
        <v>1017</v>
      </c>
      <c r="L164" t="b">
        <f>Data_Completeness(MileageData[[#This Row],[MPG]:[Acceleration]])</f>
        <v>1</v>
      </c>
    </row>
    <row r="165" spans="1:12" x14ac:dyDescent="0.25">
      <c r="A165">
        <v>16</v>
      </c>
      <c r="B165">
        <v>8</v>
      </c>
      <c r="C165">
        <v>400</v>
      </c>
      <c r="D165">
        <v>170</v>
      </c>
      <c r="E165">
        <v>4668</v>
      </c>
      <c r="F165">
        <v>11.5</v>
      </c>
      <c r="G165">
        <v>75</v>
      </c>
      <c r="H165" t="s">
        <v>1620</v>
      </c>
      <c r="I165" t="s">
        <v>983</v>
      </c>
      <c r="J165" t="s">
        <v>984</v>
      </c>
      <c r="K165" t="s">
        <v>985</v>
      </c>
      <c r="L165" t="b">
        <f>Data_Completeness(MileageData[[#This Row],[MPG]:[Acceleration]])</f>
        <v>1</v>
      </c>
    </row>
    <row r="166" spans="1:12" x14ac:dyDescent="0.25">
      <c r="A166">
        <v>15</v>
      </c>
      <c r="B166">
        <v>8</v>
      </c>
      <c r="C166">
        <v>350</v>
      </c>
      <c r="D166">
        <v>145</v>
      </c>
      <c r="E166">
        <v>4440</v>
      </c>
      <c r="F166">
        <v>14</v>
      </c>
      <c r="G166">
        <v>75</v>
      </c>
      <c r="H166" t="s">
        <v>1620</v>
      </c>
      <c r="I166" t="s">
        <v>1238</v>
      </c>
      <c r="J166" t="s">
        <v>963</v>
      </c>
      <c r="K166" t="s">
        <v>1239</v>
      </c>
      <c r="L166" t="b">
        <f>Data_Completeness(MileageData[[#This Row],[MPG]:[Acceleration]])</f>
        <v>1</v>
      </c>
    </row>
    <row r="167" spans="1:12" x14ac:dyDescent="0.25">
      <c r="A167">
        <v>16</v>
      </c>
      <c r="B167">
        <v>8</v>
      </c>
      <c r="C167">
        <v>318</v>
      </c>
      <c r="D167">
        <v>150</v>
      </c>
      <c r="E167">
        <v>4498</v>
      </c>
      <c r="F167">
        <v>14.5</v>
      </c>
      <c r="G167">
        <v>75</v>
      </c>
      <c r="H167" t="s">
        <v>1620</v>
      </c>
      <c r="I167" t="s">
        <v>1240</v>
      </c>
      <c r="J167" t="s">
        <v>969</v>
      </c>
      <c r="K167" t="s">
        <v>1241</v>
      </c>
      <c r="L167" t="b">
        <f>Data_Completeness(MileageData[[#This Row],[MPG]:[Acceleration]])</f>
        <v>1</v>
      </c>
    </row>
    <row r="168" spans="1:12" x14ac:dyDescent="0.25">
      <c r="A168">
        <v>14</v>
      </c>
      <c r="B168">
        <v>8</v>
      </c>
      <c r="C168">
        <v>351</v>
      </c>
      <c r="D168">
        <v>148</v>
      </c>
      <c r="E168">
        <v>4657</v>
      </c>
      <c r="F168">
        <v>13.5</v>
      </c>
      <c r="G168">
        <v>75</v>
      </c>
      <c r="H168" t="s">
        <v>1620</v>
      </c>
      <c r="I168" t="s">
        <v>1156</v>
      </c>
      <c r="J168" t="s">
        <v>975</v>
      </c>
      <c r="K168" t="s">
        <v>1157</v>
      </c>
      <c r="L168" t="b">
        <f>Data_Completeness(MileageData[[#This Row],[MPG]:[Acceleration]])</f>
        <v>1</v>
      </c>
    </row>
    <row r="169" spans="1:12" x14ac:dyDescent="0.25">
      <c r="A169">
        <v>17</v>
      </c>
      <c r="B169">
        <v>6</v>
      </c>
      <c r="C169">
        <v>231</v>
      </c>
      <c r="D169">
        <v>110</v>
      </c>
      <c r="E169">
        <v>3907</v>
      </c>
      <c r="F169">
        <v>21</v>
      </c>
      <c r="G169">
        <v>75</v>
      </c>
      <c r="H169" t="s">
        <v>1620</v>
      </c>
      <c r="I169" t="s">
        <v>1242</v>
      </c>
      <c r="J169" t="s">
        <v>966</v>
      </c>
      <c r="K169" t="s">
        <v>1243</v>
      </c>
      <c r="L169" t="b">
        <f>Data_Completeness(MileageData[[#This Row],[MPG]:[Acceleration]])</f>
        <v>1</v>
      </c>
    </row>
    <row r="170" spans="1:12" x14ac:dyDescent="0.25">
      <c r="A170">
        <v>16</v>
      </c>
      <c r="B170">
        <v>6</v>
      </c>
      <c r="C170">
        <v>250</v>
      </c>
      <c r="D170">
        <v>105</v>
      </c>
      <c r="E170">
        <v>3897</v>
      </c>
      <c r="F170">
        <v>18.5</v>
      </c>
      <c r="G170">
        <v>75</v>
      </c>
      <c r="H170" t="s">
        <v>1620</v>
      </c>
      <c r="I170" t="s">
        <v>1244</v>
      </c>
      <c r="J170" t="s">
        <v>1245</v>
      </c>
      <c r="K170" t="s">
        <v>964</v>
      </c>
      <c r="L170" t="b">
        <f>Data_Completeness(MileageData[[#This Row],[MPG]:[Acceleration]])</f>
        <v>1</v>
      </c>
    </row>
    <row r="171" spans="1:12" x14ac:dyDescent="0.25">
      <c r="A171">
        <v>15</v>
      </c>
      <c r="B171">
        <v>6</v>
      </c>
      <c r="C171">
        <v>258</v>
      </c>
      <c r="D171">
        <v>110</v>
      </c>
      <c r="E171">
        <v>3730</v>
      </c>
      <c r="F171">
        <v>19</v>
      </c>
      <c r="G171">
        <v>75</v>
      </c>
      <c r="H171" t="s">
        <v>1620</v>
      </c>
      <c r="I171" t="s">
        <v>1058</v>
      </c>
      <c r="J171" t="s">
        <v>972</v>
      </c>
      <c r="K171" t="s">
        <v>1059</v>
      </c>
      <c r="L171" t="b">
        <f>Data_Completeness(MileageData[[#This Row],[MPG]:[Acceleration]])</f>
        <v>1</v>
      </c>
    </row>
    <row r="172" spans="1:12" x14ac:dyDescent="0.25">
      <c r="A172">
        <v>18</v>
      </c>
      <c r="B172">
        <v>6</v>
      </c>
      <c r="C172">
        <v>225</v>
      </c>
      <c r="D172">
        <v>95</v>
      </c>
      <c r="E172">
        <v>3785</v>
      </c>
      <c r="F172">
        <v>19</v>
      </c>
      <c r="G172">
        <v>75</v>
      </c>
      <c r="H172" t="s">
        <v>1620</v>
      </c>
      <c r="I172" t="s">
        <v>1246</v>
      </c>
      <c r="J172" t="s">
        <v>969</v>
      </c>
      <c r="K172" t="s">
        <v>1247</v>
      </c>
      <c r="L172" t="b">
        <f>Data_Completeness(MileageData[[#This Row],[MPG]:[Acceleration]])</f>
        <v>1</v>
      </c>
    </row>
    <row r="173" spans="1:12" x14ac:dyDescent="0.25">
      <c r="A173">
        <v>21</v>
      </c>
      <c r="B173">
        <v>6</v>
      </c>
      <c r="C173">
        <v>231</v>
      </c>
      <c r="D173">
        <v>110</v>
      </c>
      <c r="E173">
        <v>3039</v>
      </c>
      <c r="F173">
        <v>15</v>
      </c>
      <c r="G173">
        <v>75</v>
      </c>
      <c r="H173" t="s">
        <v>1620</v>
      </c>
      <c r="I173" t="s">
        <v>1248</v>
      </c>
      <c r="J173" t="s">
        <v>966</v>
      </c>
      <c r="K173" t="s">
        <v>1249</v>
      </c>
      <c r="L173" t="b">
        <f>Data_Completeness(MileageData[[#This Row],[MPG]:[Acceleration]])</f>
        <v>1</v>
      </c>
    </row>
    <row r="174" spans="1:12" x14ac:dyDescent="0.25">
      <c r="A174">
        <v>20</v>
      </c>
      <c r="B174">
        <v>8</v>
      </c>
      <c r="C174">
        <v>262</v>
      </c>
      <c r="D174">
        <v>110</v>
      </c>
      <c r="E174">
        <v>3221</v>
      </c>
      <c r="F174">
        <v>13.5</v>
      </c>
      <c r="G174">
        <v>75</v>
      </c>
      <c r="H174" t="s">
        <v>1620</v>
      </c>
      <c r="I174" t="s">
        <v>1250</v>
      </c>
      <c r="J174" t="s">
        <v>963</v>
      </c>
      <c r="K174" t="s">
        <v>1251</v>
      </c>
      <c r="L174" t="b">
        <f>Data_Completeness(MileageData[[#This Row],[MPG]:[Acceleration]])</f>
        <v>1</v>
      </c>
    </row>
    <row r="175" spans="1:12" x14ac:dyDescent="0.25">
      <c r="A175">
        <v>13</v>
      </c>
      <c r="B175">
        <v>8</v>
      </c>
      <c r="C175">
        <v>302</v>
      </c>
      <c r="D175">
        <v>129</v>
      </c>
      <c r="E175">
        <v>3169</v>
      </c>
      <c r="F175">
        <v>12</v>
      </c>
      <c r="G175">
        <v>75</v>
      </c>
      <c r="H175" t="s">
        <v>1620</v>
      </c>
      <c r="I175" t="s">
        <v>1252</v>
      </c>
      <c r="J175" t="s">
        <v>975</v>
      </c>
      <c r="K175" t="s">
        <v>1253</v>
      </c>
      <c r="L175" t="b">
        <f>Data_Completeness(MileageData[[#This Row],[MPG]:[Acceleration]])</f>
        <v>1</v>
      </c>
    </row>
    <row r="176" spans="1:12" x14ac:dyDescent="0.25">
      <c r="A176">
        <v>29</v>
      </c>
      <c r="B176">
        <v>4</v>
      </c>
      <c r="C176">
        <v>97</v>
      </c>
      <c r="D176">
        <v>75</v>
      </c>
      <c r="E176">
        <v>2171</v>
      </c>
      <c r="F176">
        <v>16</v>
      </c>
      <c r="G176">
        <v>75</v>
      </c>
      <c r="H176" t="s">
        <v>1622</v>
      </c>
      <c r="I176" t="s">
        <v>1254</v>
      </c>
      <c r="J176" t="s">
        <v>1010</v>
      </c>
      <c r="K176" t="s">
        <v>1255</v>
      </c>
      <c r="L176" t="b">
        <f>Data_Completeness(MileageData[[#This Row],[MPG]:[Acceleration]])</f>
        <v>1</v>
      </c>
    </row>
    <row r="177" spans="1:12" x14ac:dyDescent="0.25">
      <c r="A177">
        <v>23</v>
      </c>
      <c r="B177">
        <v>4</v>
      </c>
      <c r="C177">
        <v>140</v>
      </c>
      <c r="D177">
        <v>83</v>
      </c>
      <c r="E177">
        <v>2639</v>
      </c>
      <c r="F177">
        <v>17</v>
      </c>
      <c r="G177">
        <v>75</v>
      </c>
      <c r="H177" t="s">
        <v>1620</v>
      </c>
      <c r="I177" t="s">
        <v>1050</v>
      </c>
      <c r="J177" t="s">
        <v>975</v>
      </c>
      <c r="K177" t="s">
        <v>1051</v>
      </c>
      <c r="L177" t="b">
        <f>Data_Completeness(MileageData[[#This Row],[MPG]:[Acceleration]])</f>
        <v>1</v>
      </c>
    </row>
    <row r="178" spans="1:12" x14ac:dyDescent="0.25">
      <c r="A178">
        <v>20</v>
      </c>
      <c r="B178">
        <v>6</v>
      </c>
      <c r="C178">
        <v>232</v>
      </c>
      <c r="D178">
        <v>100</v>
      </c>
      <c r="E178">
        <v>2914</v>
      </c>
      <c r="F178">
        <v>16</v>
      </c>
      <c r="G178">
        <v>75</v>
      </c>
      <c r="H178" t="s">
        <v>1620</v>
      </c>
      <c r="I178" t="s">
        <v>1034</v>
      </c>
      <c r="J178" t="s">
        <v>972</v>
      </c>
      <c r="K178" t="s">
        <v>1035</v>
      </c>
      <c r="L178" t="b">
        <f>Data_Completeness(MileageData[[#This Row],[MPG]:[Acceleration]])</f>
        <v>1</v>
      </c>
    </row>
    <row r="179" spans="1:12" x14ac:dyDescent="0.25">
      <c r="A179">
        <v>23</v>
      </c>
      <c r="B179">
        <v>4</v>
      </c>
      <c r="C179">
        <v>140</v>
      </c>
      <c r="D179">
        <v>78</v>
      </c>
      <c r="E179">
        <v>2592</v>
      </c>
      <c r="F179">
        <v>18.5</v>
      </c>
      <c r="G179">
        <v>75</v>
      </c>
      <c r="H179" t="s">
        <v>1620</v>
      </c>
      <c r="I179" t="s">
        <v>1256</v>
      </c>
      <c r="J179" t="s">
        <v>984</v>
      </c>
      <c r="K179" t="s">
        <v>1257</v>
      </c>
      <c r="L179" t="b">
        <f>Data_Completeness(MileageData[[#This Row],[MPG]:[Acceleration]])</f>
        <v>1</v>
      </c>
    </row>
    <row r="180" spans="1:12" x14ac:dyDescent="0.25">
      <c r="A180">
        <v>24</v>
      </c>
      <c r="B180">
        <v>4</v>
      </c>
      <c r="C180">
        <v>134</v>
      </c>
      <c r="D180">
        <v>96</v>
      </c>
      <c r="E180">
        <v>2702</v>
      </c>
      <c r="F180">
        <v>13.5</v>
      </c>
      <c r="G180">
        <v>75</v>
      </c>
      <c r="H180" t="s">
        <v>1622</v>
      </c>
      <c r="I180" t="s">
        <v>1048</v>
      </c>
      <c r="J180" t="s">
        <v>1010</v>
      </c>
      <c r="K180" t="s">
        <v>1049</v>
      </c>
      <c r="L180" t="b">
        <f>Data_Completeness(MileageData[[#This Row],[MPG]:[Acceleration]])</f>
        <v>1</v>
      </c>
    </row>
    <row r="181" spans="1:12" x14ac:dyDescent="0.25">
      <c r="A181">
        <v>25</v>
      </c>
      <c r="B181">
        <v>4</v>
      </c>
      <c r="C181">
        <v>90</v>
      </c>
      <c r="D181">
        <v>71</v>
      </c>
      <c r="E181">
        <v>2223</v>
      </c>
      <c r="F181">
        <v>16.5</v>
      </c>
      <c r="G181">
        <v>75</v>
      </c>
      <c r="H181" t="s">
        <v>1621</v>
      </c>
      <c r="I181" t="s">
        <v>1221</v>
      </c>
      <c r="J181" t="s">
        <v>1022</v>
      </c>
      <c r="K181" t="s">
        <v>1222</v>
      </c>
      <c r="L181" t="b">
        <f>Data_Completeness(MileageData[[#This Row],[MPG]:[Acceleration]])</f>
        <v>1</v>
      </c>
    </row>
    <row r="182" spans="1:12" x14ac:dyDescent="0.25">
      <c r="A182">
        <v>24</v>
      </c>
      <c r="B182">
        <v>4</v>
      </c>
      <c r="C182">
        <v>119</v>
      </c>
      <c r="D182">
        <v>97</v>
      </c>
      <c r="E182">
        <v>2545</v>
      </c>
      <c r="F182">
        <v>17</v>
      </c>
      <c r="G182">
        <v>75</v>
      </c>
      <c r="H182" t="s">
        <v>1622</v>
      </c>
      <c r="I182" t="s">
        <v>1223</v>
      </c>
      <c r="J182" t="s">
        <v>1019</v>
      </c>
      <c r="K182">
        <v>710</v>
      </c>
      <c r="L182" t="b">
        <f>Data_Completeness(MileageData[[#This Row],[MPG]:[Acceleration]])</f>
        <v>1</v>
      </c>
    </row>
    <row r="183" spans="1:12" x14ac:dyDescent="0.25">
      <c r="A183">
        <v>18</v>
      </c>
      <c r="B183">
        <v>6</v>
      </c>
      <c r="C183">
        <v>171</v>
      </c>
      <c r="D183">
        <v>97</v>
      </c>
      <c r="E183">
        <v>2984</v>
      </c>
      <c r="F183">
        <v>14.5</v>
      </c>
      <c r="G183">
        <v>75</v>
      </c>
      <c r="H183" t="s">
        <v>1620</v>
      </c>
      <c r="I183" t="s">
        <v>1050</v>
      </c>
      <c r="J183" t="s">
        <v>975</v>
      </c>
      <c r="K183" t="s">
        <v>1051</v>
      </c>
      <c r="L183" t="b">
        <f>Data_Completeness(MileageData[[#This Row],[MPG]:[Acceleration]])</f>
        <v>1</v>
      </c>
    </row>
    <row r="184" spans="1:12" x14ac:dyDescent="0.25">
      <c r="A184">
        <v>29</v>
      </c>
      <c r="B184">
        <v>4</v>
      </c>
      <c r="C184">
        <v>90</v>
      </c>
      <c r="D184">
        <v>70</v>
      </c>
      <c r="E184">
        <v>1937</v>
      </c>
      <c r="F184">
        <v>14</v>
      </c>
      <c r="G184">
        <v>75</v>
      </c>
      <c r="H184" t="s">
        <v>1621</v>
      </c>
      <c r="I184" t="s">
        <v>1258</v>
      </c>
      <c r="J184" t="s">
        <v>1022</v>
      </c>
      <c r="K184" t="s">
        <v>1259</v>
      </c>
      <c r="L184" t="b">
        <f>Data_Completeness(MileageData[[#This Row],[MPG]:[Acceleration]])</f>
        <v>1</v>
      </c>
    </row>
    <row r="185" spans="1:12" x14ac:dyDescent="0.25">
      <c r="A185">
        <v>19</v>
      </c>
      <c r="B185">
        <v>6</v>
      </c>
      <c r="C185">
        <v>232</v>
      </c>
      <c r="D185">
        <v>90</v>
      </c>
      <c r="E185">
        <v>3211</v>
      </c>
      <c r="F185">
        <v>17</v>
      </c>
      <c r="G185">
        <v>75</v>
      </c>
      <c r="H185" t="s">
        <v>1620</v>
      </c>
      <c r="I185" t="s">
        <v>1260</v>
      </c>
      <c r="J185" t="s">
        <v>972</v>
      </c>
      <c r="K185" t="s">
        <v>1261</v>
      </c>
      <c r="L185" t="b">
        <f>Data_Completeness(MileageData[[#This Row],[MPG]:[Acceleration]])</f>
        <v>1</v>
      </c>
    </row>
    <row r="186" spans="1:12" x14ac:dyDescent="0.25">
      <c r="A186">
        <v>23</v>
      </c>
      <c r="B186">
        <v>4</v>
      </c>
      <c r="C186">
        <v>115</v>
      </c>
      <c r="D186">
        <v>95</v>
      </c>
      <c r="E186">
        <v>2694</v>
      </c>
      <c r="F186">
        <v>15</v>
      </c>
      <c r="G186">
        <v>75</v>
      </c>
      <c r="H186" t="s">
        <v>1621</v>
      </c>
      <c r="I186" t="s">
        <v>1195</v>
      </c>
      <c r="J186" t="s">
        <v>1027</v>
      </c>
      <c r="K186" t="s">
        <v>1196</v>
      </c>
      <c r="L186" t="b">
        <f>Data_Completeness(MileageData[[#This Row],[MPG]:[Acceleration]])</f>
        <v>1</v>
      </c>
    </row>
    <row r="187" spans="1:12" x14ac:dyDescent="0.25">
      <c r="A187">
        <v>23</v>
      </c>
      <c r="B187">
        <v>4</v>
      </c>
      <c r="C187">
        <v>120</v>
      </c>
      <c r="D187">
        <v>88</v>
      </c>
      <c r="E187">
        <v>2957</v>
      </c>
      <c r="F187">
        <v>17</v>
      </c>
      <c r="G187">
        <v>75</v>
      </c>
      <c r="H187" t="s">
        <v>1621</v>
      </c>
      <c r="I187" t="s">
        <v>1024</v>
      </c>
      <c r="J187" t="s">
        <v>1025</v>
      </c>
      <c r="K187">
        <v>504</v>
      </c>
      <c r="L187" t="b">
        <f>Data_Completeness(MileageData[[#This Row],[MPG]:[Acceleration]])</f>
        <v>1</v>
      </c>
    </row>
    <row r="188" spans="1:12" x14ac:dyDescent="0.25">
      <c r="A188">
        <v>22</v>
      </c>
      <c r="B188">
        <v>4</v>
      </c>
      <c r="C188">
        <v>121</v>
      </c>
      <c r="D188">
        <v>98</v>
      </c>
      <c r="E188">
        <v>2945</v>
      </c>
      <c r="F188">
        <v>14.5</v>
      </c>
      <c r="G188">
        <v>75</v>
      </c>
      <c r="H188" t="s">
        <v>1621</v>
      </c>
      <c r="I188" t="s">
        <v>1262</v>
      </c>
      <c r="J188" t="s">
        <v>1124</v>
      </c>
      <c r="K188" t="s">
        <v>1263</v>
      </c>
      <c r="L188" t="b">
        <f>Data_Completeness(MileageData[[#This Row],[MPG]:[Acceleration]])</f>
        <v>1</v>
      </c>
    </row>
    <row r="189" spans="1:12" x14ac:dyDescent="0.25">
      <c r="A189">
        <v>25</v>
      </c>
      <c r="B189">
        <v>4</v>
      </c>
      <c r="C189">
        <v>121</v>
      </c>
      <c r="D189">
        <v>115</v>
      </c>
      <c r="E189">
        <v>2671</v>
      </c>
      <c r="F189">
        <v>13.5</v>
      </c>
      <c r="G189">
        <v>75</v>
      </c>
      <c r="H189" t="s">
        <v>1621</v>
      </c>
      <c r="I189" t="s">
        <v>1201</v>
      </c>
      <c r="J189" t="s">
        <v>1030</v>
      </c>
      <c r="K189" t="s">
        <v>1202</v>
      </c>
      <c r="L189" t="b">
        <f>Data_Completeness(MileageData[[#This Row],[MPG]:[Acceleration]])</f>
        <v>1</v>
      </c>
    </row>
    <row r="190" spans="1:12" x14ac:dyDescent="0.25">
      <c r="A190">
        <v>33</v>
      </c>
      <c r="B190">
        <v>4</v>
      </c>
      <c r="C190">
        <v>91</v>
      </c>
      <c r="D190">
        <v>53</v>
      </c>
      <c r="E190">
        <v>1795</v>
      </c>
      <c r="F190">
        <v>17.5</v>
      </c>
      <c r="G190">
        <v>75</v>
      </c>
      <c r="H190" t="s">
        <v>1622</v>
      </c>
      <c r="I190" t="s">
        <v>1264</v>
      </c>
      <c r="J190" t="s">
        <v>1229</v>
      </c>
      <c r="K190" t="s">
        <v>1265</v>
      </c>
      <c r="L190" t="b">
        <f>Data_Completeness(MileageData[[#This Row],[MPG]:[Acceleration]])</f>
        <v>1</v>
      </c>
    </row>
    <row r="191" spans="1:12" x14ac:dyDescent="0.25">
      <c r="A191">
        <v>28</v>
      </c>
      <c r="B191">
        <v>4</v>
      </c>
      <c r="C191">
        <v>107</v>
      </c>
      <c r="D191">
        <v>86</v>
      </c>
      <c r="E191">
        <v>2464</v>
      </c>
      <c r="F191">
        <v>15.5</v>
      </c>
      <c r="G191">
        <v>76</v>
      </c>
      <c r="H191" t="s">
        <v>1621</v>
      </c>
      <c r="I191" t="s">
        <v>1266</v>
      </c>
      <c r="J191" t="s">
        <v>1083</v>
      </c>
      <c r="K191">
        <v>131</v>
      </c>
      <c r="L191" t="b">
        <f>Data_Completeness(MileageData[[#This Row],[MPG]:[Acceleration]])</f>
        <v>1</v>
      </c>
    </row>
    <row r="192" spans="1:12" x14ac:dyDescent="0.25">
      <c r="A192">
        <v>25</v>
      </c>
      <c r="B192">
        <v>4</v>
      </c>
      <c r="C192">
        <v>116</v>
      </c>
      <c r="D192">
        <v>81</v>
      </c>
      <c r="E192">
        <v>2220</v>
      </c>
      <c r="F192">
        <v>16.899999999999999</v>
      </c>
      <c r="G192">
        <v>76</v>
      </c>
      <c r="H192" t="s">
        <v>1621</v>
      </c>
      <c r="I192" t="s">
        <v>1079</v>
      </c>
      <c r="J192" t="s">
        <v>1080</v>
      </c>
      <c r="K192">
        <v>1900</v>
      </c>
      <c r="L192" t="b">
        <f>Data_Completeness(MileageData[[#This Row],[MPG]:[Acceleration]])</f>
        <v>1</v>
      </c>
    </row>
    <row r="193" spans="1:12" x14ac:dyDescent="0.25">
      <c r="A193">
        <v>25</v>
      </c>
      <c r="B193">
        <v>4</v>
      </c>
      <c r="C193">
        <v>140</v>
      </c>
      <c r="D193">
        <v>92</v>
      </c>
      <c r="E193">
        <v>2572</v>
      </c>
      <c r="F193">
        <v>14.9</v>
      </c>
      <c r="G193">
        <v>76</v>
      </c>
      <c r="H193" t="s">
        <v>1620</v>
      </c>
      <c r="I193" t="s">
        <v>1267</v>
      </c>
      <c r="J193" t="s">
        <v>1268</v>
      </c>
      <c r="K193" t="s">
        <v>1269</v>
      </c>
      <c r="L193" t="b">
        <f>Data_Completeness(MileageData[[#This Row],[MPG]:[Acceleration]])</f>
        <v>1</v>
      </c>
    </row>
    <row r="194" spans="1:12" x14ac:dyDescent="0.25">
      <c r="A194">
        <v>26</v>
      </c>
      <c r="B194">
        <v>4</v>
      </c>
      <c r="C194">
        <v>98</v>
      </c>
      <c r="D194">
        <v>79</v>
      </c>
      <c r="E194">
        <v>2255</v>
      </c>
      <c r="F194">
        <v>17.7</v>
      </c>
      <c r="G194">
        <v>76</v>
      </c>
      <c r="H194" t="s">
        <v>1620</v>
      </c>
      <c r="I194" t="s">
        <v>1224</v>
      </c>
      <c r="J194" t="s">
        <v>1000</v>
      </c>
      <c r="K194" t="s">
        <v>1225</v>
      </c>
      <c r="L194" t="b">
        <f>Data_Completeness(MileageData[[#This Row],[MPG]:[Acceleration]])</f>
        <v>1</v>
      </c>
    </row>
    <row r="195" spans="1:12" x14ac:dyDescent="0.25">
      <c r="A195">
        <v>27</v>
      </c>
      <c r="B195">
        <v>4</v>
      </c>
      <c r="C195">
        <v>101</v>
      </c>
      <c r="D195">
        <v>83</v>
      </c>
      <c r="E195">
        <v>2202</v>
      </c>
      <c r="F195">
        <v>15.3</v>
      </c>
      <c r="G195">
        <v>76</v>
      </c>
      <c r="H195" t="s">
        <v>1621</v>
      </c>
      <c r="I195" t="s">
        <v>1270</v>
      </c>
      <c r="J195" t="s">
        <v>1131</v>
      </c>
      <c r="K195" t="s">
        <v>1271</v>
      </c>
      <c r="L195" t="b">
        <f>Data_Completeness(MileageData[[#This Row],[MPG]:[Acceleration]])</f>
        <v>1</v>
      </c>
    </row>
    <row r="196" spans="1:12" x14ac:dyDescent="0.25">
      <c r="A196">
        <v>17.5</v>
      </c>
      <c r="B196">
        <v>8</v>
      </c>
      <c r="C196">
        <v>305</v>
      </c>
      <c r="D196">
        <v>140</v>
      </c>
      <c r="E196">
        <v>4215</v>
      </c>
      <c r="F196">
        <v>13</v>
      </c>
      <c r="G196">
        <v>76</v>
      </c>
      <c r="H196" t="s">
        <v>1620</v>
      </c>
      <c r="I196" t="s">
        <v>1211</v>
      </c>
      <c r="J196" t="s">
        <v>963</v>
      </c>
      <c r="K196" t="s">
        <v>1212</v>
      </c>
      <c r="L196" t="b">
        <f>Data_Completeness(MileageData[[#This Row],[MPG]:[Acceleration]])</f>
        <v>1</v>
      </c>
    </row>
    <row r="197" spans="1:12" x14ac:dyDescent="0.25">
      <c r="A197">
        <v>16</v>
      </c>
      <c r="B197">
        <v>8</v>
      </c>
      <c r="C197">
        <v>318</v>
      </c>
      <c r="D197">
        <v>150</v>
      </c>
      <c r="E197">
        <v>4190</v>
      </c>
      <c r="F197">
        <v>13</v>
      </c>
      <c r="G197">
        <v>76</v>
      </c>
      <c r="H197" t="s">
        <v>1620</v>
      </c>
      <c r="I197" t="s">
        <v>1272</v>
      </c>
      <c r="J197" t="s">
        <v>1000</v>
      </c>
      <c r="K197" t="s">
        <v>1273</v>
      </c>
      <c r="L197" t="b">
        <f>Data_Completeness(MileageData[[#This Row],[MPG]:[Acceleration]])</f>
        <v>1</v>
      </c>
    </row>
    <row r="198" spans="1:12" x14ac:dyDescent="0.25">
      <c r="A198">
        <v>15.5</v>
      </c>
      <c r="B198">
        <v>8</v>
      </c>
      <c r="C198">
        <v>304</v>
      </c>
      <c r="D198">
        <v>120</v>
      </c>
      <c r="E198">
        <v>3962</v>
      </c>
      <c r="F198">
        <v>13.9</v>
      </c>
      <c r="G198">
        <v>76</v>
      </c>
      <c r="H198" t="s">
        <v>1620</v>
      </c>
      <c r="I198" t="s">
        <v>1058</v>
      </c>
      <c r="J198" t="s">
        <v>972</v>
      </c>
      <c r="K198" t="s">
        <v>1059</v>
      </c>
      <c r="L198" t="b">
        <f>Data_Completeness(MileageData[[#This Row],[MPG]:[Acceleration]])</f>
        <v>1</v>
      </c>
    </row>
    <row r="199" spans="1:12" x14ac:dyDescent="0.25">
      <c r="A199">
        <v>14.5</v>
      </c>
      <c r="B199">
        <v>8</v>
      </c>
      <c r="C199">
        <v>351</v>
      </c>
      <c r="D199">
        <v>152</v>
      </c>
      <c r="E199">
        <v>4215</v>
      </c>
      <c r="F199">
        <v>12.8</v>
      </c>
      <c r="G199">
        <v>76</v>
      </c>
      <c r="H199" t="s">
        <v>1620</v>
      </c>
      <c r="I199" t="s">
        <v>1148</v>
      </c>
      <c r="J199" t="s">
        <v>975</v>
      </c>
      <c r="K199" t="s">
        <v>1149</v>
      </c>
      <c r="L199" t="b">
        <f>Data_Completeness(MileageData[[#This Row],[MPG]:[Acceleration]])</f>
        <v>1</v>
      </c>
    </row>
    <row r="200" spans="1:12" x14ac:dyDescent="0.25">
      <c r="A200">
        <v>22</v>
      </c>
      <c r="B200">
        <v>6</v>
      </c>
      <c r="C200">
        <v>225</v>
      </c>
      <c r="D200">
        <v>100</v>
      </c>
      <c r="E200">
        <v>3233</v>
      </c>
      <c r="F200">
        <v>15.4</v>
      </c>
      <c r="G200">
        <v>76</v>
      </c>
      <c r="H200" t="s">
        <v>1620</v>
      </c>
      <c r="I200" t="s">
        <v>1166</v>
      </c>
      <c r="J200" t="s">
        <v>969</v>
      </c>
      <c r="K200" t="s">
        <v>1167</v>
      </c>
      <c r="L200" t="b">
        <f>Data_Completeness(MileageData[[#This Row],[MPG]:[Acceleration]])</f>
        <v>1</v>
      </c>
    </row>
    <row r="201" spans="1:12" x14ac:dyDescent="0.25">
      <c r="A201">
        <v>22</v>
      </c>
      <c r="B201">
        <v>6</v>
      </c>
      <c r="C201">
        <v>250</v>
      </c>
      <c r="D201">
        <v>105</v>
      </c>
      <c r="E201">
        <v>3353</v>
      </c>
      <c r="F201">
        <v>14.5</v>
      </c>
      <c r="G201">
        <v>76</v>
      </c>
      <c r="H201" t="s">
        <v>1620</v>
      </c>
      <c r="I201" t="s">
        <v>1207</v>
      </c>
      <c r="J201" t="s">
        <v>963</v>
      </c>
      <c r="K201" t="s">
        <v>1208</v>
      </c>
      <c r="L201" t="b">
        <f>Data_Completeness(MileageData[[#This Row],[MPG]:[Acceleration]])</f>
        <v>1</v>
      </c>
    </row>
    <row r="202" spans="1:12" x14ac:dyDescent="0.25">
      <c r="A202">
        <v>24</v>
      </c>
      <c r="B202">
        <v>6</v>
      </c>
      <c r="C202">
        <v>200</v>
      </c>
      <c r="D202">
        <v>81</v>
      </c>
      <c r="E202">
        <v>3012</v>
      </c>
      <c r="F202">
        <v>17.600000000000001</v>
      </c>
      <c r="G202">
        <v>76</v>
      </c>
      <c r="H202" t="s">
        <v>1620</v>
      </c>
      <c r="I202" t="s">
        <v>1016</v>
      </c>
      <c r="J202" t="s">
        <v>975</v>
      </c>
      <c r="K202" t="s">
        <v>1017</v>
      </c>
      <c r="L202" t="b">
        <f>Data_Completeness(MileageData[[#This Row],[MPG]:[Acceleration]])</f>
        <v>1</v>
      </c>
    </row>
    <row r="203" spans="1:12" x14ac:dyDescent="0.25">
      <c r="A203">
        <v>22.5</v>
      </c>
      <c r="B203">
        <v>6</v>
      </c>
      <c r="C203">
        <v>232</v>
      </c>
      <c r="D203">
        <v>90</v>
      </c>
      <c r="E203">
        <v>3085</v>
      </c>
      <c r="F203">
        <v>17.600000000000001</v>
      </c>
      <c r="G203">
        <v>76</v>
      </c>
      <c r="H203" t="s">
        <v>1620</v>
      </c>
      <c r="I203" t="s">
        <v>1014</v>
      </c>
      <c r="J203" t="s">
        <v>972</v>
      </c>
      <c r="K203" t="s">
        <v>1015</v>
      </c>
      <c r="L203" t="b">
        <f>Data_Completeness(MileageData[[#This Row],[MPG]:[Acceleration]])</f>
        <v>1</v>
      </c>
    </row>
    <row r="204" spans="1:12" x14ac:dyDescent="0.25">
      <c r="A204">
        <v>29</v>
      </c>
      <c r="B204">
        <v>4</v>
      </c>
      <c r="C204">
        <v>85</v>
      </c>
      <c r="D204">
        <v>52</v>
      </c>
      <c r="E204">
        <v>2035</v>
      </c>
      <c r="F204">
        <v>22.2</v>
      </c>
      <c r="G204">
        <v>76</v>
      </c>
      <c r="H204" t="s">
        <v>1620</v>
      </c>
      <c r="I204" t="s">
        <v>1274</v>
      </c>
      <c r="J204" t="s">
        <v>963</v>
      </c>
      <c r="K204" t="s">
        <v>1275</v>
      </c>
      <c r="L204" t="b">
        <f>Data_Completeness(MileageData[[#This Row],[MPG]:[Acceleration]])</f>
        <v>1</v>
      </c>
    </row>
    <row r="205" spans="1:12" x14ac:dyDescent="0.25">
      <c r="A205">
        <v>24.5</v>
      </c>
      <c r="B205">
        <v>4</v>
      </c>
      <c r="C205">
        <v>98</v>
      </c>
      <c r="D205">
        <v>60</v>
      </c>
      <c r="E205">
        <v>2164</v>
      </c>
      <c r="F205">
        <v>22.1</v>
      </c>
      <c r="G205">
        <v>76</v>
      </c>
      <c r="H205" t="s">
        <v>1620</v>
      </c>
      <c r="I205" t="s">
        <v>1276</v>
      </c>
      <c r="J205" t="s">
        <v>963</v>
      </c>
      <c r="K205" t="s">
        <v>1277</v>
      </c>
      <c r="L205" t="b">
        <f>Data_Completeness(MileageData[[#This Row],[MPG]:[Acceleration]])</f>
        <v>1</v>
      </c>
    </row>
    <row r="206" spans="1:12" x14ac:dyDescent="0.25">
      <c r="A206">
        <v>29</v>
      </c>
      <c r="B206">
        <v>4</v>
      </c>
      <c r="C206">
        <v>90</v>
      </c>
      <c r="D206">
        <v>70</v>
      </c>
      <c r="E206">
        <v>1937</v>
      </c>
      <c r="F206">
        <v>14.2</v>
      </c>
      <c r="G206">
        <v>76</v>
      </c>
      <c r="H206" t="s">
        <v>1621</v>
      </c>
      <c r="I206" t="s">
        <v>1278</v>
      </c>
      <c r="J206" t="s">
        <v>1279</v>
      </c>
      <c r="K206" t="s">
        <v>1259</v>
      </c>
      <c r="L206" t="b">
        <f>Data_Completeness(MileageData[[#This Row],[MPG]:[Acceleration]])</f>
        <v>1</v>
      </c>
    </row>
    <row r="207" spans="1:12" x14ac:dyDescent="0.25">
      <c r="A207">
        <v>33</v>
      </c>
      <c r="B207">
        <v>4</v>
      </c>
      <c r="C207">
        <v>91</v>
      </c>
      <c r="D207">
        <v>53</v>
      </c>
      <c r="E207">
        <v>1795</v>
      </c>
      <c r="F207">
        <v>17.399999999999999</v>
      </c>
      <c r="G207">
        <v>76</v>
      </c>
      <c r="H207" t="s">
        <v>1622</v>
      </c>
      <c r="I207" t="s">
        <v>1228</v>
      </c>
      <c r="J207" t="s">
        <v>1229</v>
      </c>
      <c r="K207" t="s">
        <v>1230</v>
      </c>
      <c r="L207" t="b">
        <f>Data_Completeness(MileageData[[#This Row],[MPG]:[Acceleration]])</f>
        <v>1</v>
      </c>
    </row>
    <row r="208" spans="1:12" x14ac:dyDescent="0.25">
      <c r="A208">
        <v>20</v>
      </c>
      <c r="B208">
        <v>6</v>
      </c>
      <c r="C208">
        <v>225</v>
      </c>
      <c r="D208">
        <v>100</v>
      </c>
      <c r="E208">
        <v>3651</v>
      </c>
      <c r="F208">
        <v>17.7</v>
      </c>
      <c r="G208">
        <v>76</v>
      </c>
      <c r="H208" t="s">
        <v>1620</v>
      </c>
      <c r="I208" t="s">
        <v>1280</v>
      </c>
      <c r="J208" t="s">
        <v>1000</v>
      </c>
      <c r="K208" t="s">
        <v>1281</v>
      </c>
      <c r="L208" t="b">
        <f>Data_Completeness(MileageData[[#This Row],[MPG]:[Acceleration]])</f>
        <v>1</v>
      </c>
    </row>
    <row r="209" spans="1:12" x14ac:dyDescent="0.25">
      <c r="A209">
        <v>18</v>
      </c>
      <c r="B209">
        <v>6</v>
      </c>
      <c r="C209">
        <v>250</v>
      </c>
      <c r="D209">
        <v>78</v>
      </c>
      <c r="E209">
        <v>3574</v>
      </c>
      <c r="F209">
        <v>21</v>
      </c>
      <c r="G209">
        <v>76</v>
      </c>
      <c r="H209" t="s">
        <v>1620</v>
      </c>
      <c r="I209" t="s">
        <v>1282</v>
      </c>
      <c r="J209" t="s">
        <v>975</v>
      </c>
      <c r="K209" t="s">
        <v>1283</v>
      </c>
      <c r="L209" t="b">
        <f>Data_Completeness(MileageData[[#This Row],[MPG]:[Acceleration]])</f>
        <v>1</v>
      </c>
    </row>
    <row r="210" spans="1:12" x14ac:dyDescent="0.25">
      <c r="A210">
        <v>18.5</v>
      </c>
      <c r="B210">
        <v>6</v>
      </c>
      <c r="C210">
        <v>250</v>
      </c>
      <c r="D210">
        <v>110</v>
      </c>
      <c r="E210">
        <v>3645</v>
      </c>
      <c r="F210">
        <v>16.2</v>
      </c>
      <c r="G210">
        <v>76</v>
      </c>
      <c r="H210" t="s">
        <v>1620</v>
      </c>
      <c r="I210" t="s">
        <v>1284</v>
      </c>
      <c r="J210" t="s">
        <v>984</v>
      </c>
      <c r="K210" t="s">
        <v>1285</v>
      </c>
      <c r="L210" t="b">
        <f>Data_Completeness(MileageData[[#This Row],[MPG]:[Acceleration]])</f>
        <v>1</v>
      </c>
    </row>
    <row r="211" spans="1:12" x14ac:dyDescent="0.25">
      <c r="A211">
        <v>17.5</v>
      </c>
      <c r="B211">
        <v>6</v>
      </c>
      <c r="C211">
        <v>258</v>
      </c>
      <c r="D211">
        <v>95</v>
      </c>
      <c r="E211">
        <v>3193</v>
      </c>
      <c r="F211">
        <v>17.8</v>
      </c>
      <c r="G211">
        <v>76</v>
      </c>
      <c r="H211" t="s">
        <v>1620</v>
      </c>
      <c r="I211" t="s">
        <v>1286</v>
      </c>
      <c r="J211" t="s">
        <v>972</v>
      </c>
      <c r="K211" t="s">
        <v>1287</v>
      </c>
      <c r="L211" t="b">
        <f>Data_Completeness(MileageData[[#This Row],[MPG]:[Acceleration]])</f>
        <v>1</v>
      </c>
    </row>
    <row r="212" spans="1:12" x14ac:dyDescent="0.25">
      <c r="A212">
        <v>29.5</v>
      </c>
      <c r="B212">
        <v>4</v>
      </c>
      <c r="C212">
        <v>97</v>
      </c>
      <c r="D212">
        <v>71</v>
      </c>
      <c r="E212">
        <v>1825</v>
      </c>
      <c r="F212">
        <v>12.2</v>
      </c>
      <c r="G212">
        <v>76</v>
      </c>
      <c r="H212" t="s">
        <v>1621</v>
      </c>
      <c r="I212" t="s">
        <v>1258</v>
      </c>
      <c r="J212" t="s">
        <v>1022</v>
      </c>
      <c r="K212" t="s">
        <v>1259</v>
      </c>
      <c r="L212" t="b">
        <f>Data_Completeness(MileageData[[#This Row],[MPG]:[Acceleration]])</f>
        <v>1</v>
      </c>
    </row>
    <row r="213" spans="1:12" x14ac:dyDescent="0.25">
      <c r="A213">
        <v>32</v>
      </c>
      <c r="B213">
        <v>4</v>
      </c>
      <c r="C213">
        <v>85</v>
      </c>
      <c r="D213">
        <v>70</v>
      </c>
      <c r="E213">
        <v>1990</v>
      </c>
      <c r="F213">
        <v>17</v>
      </c>
      <c r="G213">
        <v>76</v>
      </c>
      <c r="H213" t="s">
        <v>1622</v>
      </c>
      <c r="I213" t="s">
        <v>1288</v>
      </c>
      <c r="J213" t="s">
        <v>1019</v>
      </c>
      <c r="K213" t="s">
        <v>1289</v>
      </c>
      <c r="L213" t="b">
        <f>Data_Completeness(MileageData[[#This Row],[MPG]:[Acceleration]])</f>
        <v>1</v>
      </c>
    </row>
    <row r="214" spans="1:12" x14ac:dyDescent="0.25">
      <c r="A214">
        <v>28</v>
      </c>
      <c r="B214">
        <v>4</v>
      </c>
      <c r="C214">
        <v>97</v>
      </c>
      <c r="D214">
        <v>75</v>
      </c>
      <c r="E214">
        <v>2155</v>
      </c>
      <c r="F214">
        <v>16.399999999999999</v>
      </c>
      <c r="G214">
        <v>76</v>
      </c>
      <c r="H214" t="s">
        <v>1622</v>
      </c>
      <c r="I214" t="s">
        <v>1254</v>
      </c>
      <c r="J214" t="s">
        <v>1010</v>
      </c>
      <c r="K214" t="s">
        <v>1255</v>
      </c>
      <c r="L214" t="b">
        <f>Data_Completeness(MileageData[[#This Row],[MPG]:[Acceleration]])</f>
        <v>1</v>
      </c>
    </row>
    <row r="215" spans="1:12" x14ac:dyDescent="0.25">
      <c r="A215">
        <v>26.5</v>
      </c>
      <c r="B215">
        <v>4</v>
      </c>
      <c r="C215">
        <v>140</v>
      </c>
      <c r="D215">
        <v>72</v>
      </c>
      <c r="E215">
        <v>2565</v>
      </c>
      <c r="F215">
        <v>13.6</v>
      </c>
      <c r="G215">
        <v>76</v>
      </c>
      <c r="H215" t="s">
        <v>1620</v>
      </c>
      <c r="I215" t="s">
        <v>1050</v>
      </c>
      <c r="J215" t="s">
        <v>975</v>
      </c>
      <c r="K215" t="s">
        <v>1051</v>
      </c>
      <c r="L215" t="b">
        <f>Data_Completeness(MileageData[[#This Row],[MPG]:[Acceleration]])</f>
        <v>1</v>
      </c>
    </row>
    <row r="216" spans="1:12" x14ac:dyDescent="0.25">
      <c r="A216">
        <v>20</v>
      </c>
      <c r="B216">
        <v>4</v>
      </c>
      <c r="C216">
        <v>130</v>
      </c>
      <c r="D216">
        <v>102</v>
      </c>
      <c r="E216">
        <v>3150</v>
      </c>
      <c r="F216">
        <v>15.7</v>
      </c>
      <c r="G216">
        <v>76</v>
      </c>
      <c r="H216" t="s">
        <v>1621</v>
      </c>
      <c r="I216" t="s">
        <v>1290</v>
      </c>
      <c r="J216" t="s">
        <v>1124</v>
      </c>
      <c r="K216">
        <v>245</v>
      </c>
      <c r="L216" t="b">
        <f>Data_Completeness(MileageData[[#This Row],[MPG]:[Acceleration]])</f>
        <v>1</v>
      </c>
    </row>
    <row r="217" spans="1:12" x14ac:dyDescent="0.25">
      <c r="A217">
        <v>13</v>
      </c>
      <c r="B217">
        <v>8</v>
      </c>
      <c r="C217">
        <v>318</v>
      </c>
      <c r="D217">
        <v>150</v>
      </c>
      <c r="E217">
        <v>3940</v>
      </c>
      <c r="F217">
        <v>13.2</v>
      </c>
      <c r="G217">
        <v>76</v>
      </c>
      <c r="H217" t="s">
        <v>1620</v>
      </c>
      <c r="I217" t="s">
        <v>1291</v>
      </c>
      <c r="J217" t="s">
        <v>969</v>
      </c>
      <c r="K217" t="s">
        <v>1292</v>
      </c>
      <c r="L217" t="b">
        <f>Data_Completeness(MileageData[[#This Row],[MPG]:[Acceleration]])</f>
        <v>1</v>
      </c>
    </row>
    <row r="218" spans="1:12" x14ac:dyDescent="0.25">
      <c r="A218">
        <v>19</v>
      </c>
      <c r="B218">
        <v>4</v>
      </c>
      <c r="C218">
        <v>120</v>
      </c>
      <c r="D218">
        <v>88</v>
      </c>
      <c r="E218">
        <v>3270</v>
      </c>
      <c r="F218">
        <v>21.9</v>
      </c>
      <c r="G218">
        <v>76</v>
      </c>
      <c r="H218" t="s">
        <v>1621</v>
      </c>
      <c r="I218" t="s">
        <v>1024</v>
      </c>
      <c r="J218" t="s">
        <v>1025</v>
      </c>
      <c r="K218">
        <v>504</v>
      </c>
      <c r="L218" t="b">
        <f>Data_Completeness(MileageData[[#This Row],[MPG]:[Acceleration]])</f>
        <v>1</v>
      </c>
    </row>
    <row r="219" spans="1:12" x14ac:dyDescent="0.25">
      <c r="A219">
        <v>19</v>
      </c>
      <c r="B219">
        <v>6</v>
      </c>
      <c r="C219">
        <v>156</v>
      </c>
      <c r="D219">
        <v>108</v>
      </c>
      <c r="E219">
        <v>2930</v>
      </c>
      <c r="F219">
        <v>15.5</v>
      </c>
      <c r="G219">
        <v>76</v>
      </c>
      <c r="H219" t="s">
        <v>1622</v>
      </c>
      <c r="I219" t="s">
        <v>1203</v>
      </c>
      <c r="J219" t="s">
        <v>1010</v>
      </c>
      <c r="K219" t="s">
        <v>1204</v>
      </c>
      <c r="L219" t="b">
        <f>Data_Completeness(MileageData[[#This Row],[MPG]:[Acceleration]])</f>
        <v>1</v>
      </c>
    </row>
    <row r="220" spans="1:12" x14ac:dyDescent="0.25">
      <c r="A220">
        <v>16.5</v>
      </c>
      <c r="B220">
        <v>6</v>
      </c>
      <c r="C220">
        <v>168</v>
      </c>
      <c r="D220">
        <v>120</v>
      </c>
      <c r="E220">
        <v>3820</v>
      </c>
      <c r="F220">
        <v>16.7</v>
      </c>
      <c r="G220">
        <v>76</v>
      </c>
      <c r="H220" t="s">
        <v>1621</v>
      </c>
      <c r="I220" t="s">
        <v>1293</v>
      </c>
      <c r="J220" t="s">
        <v>1294</v>
      </c>
      <c r="K220" t="s">
        <v>1295</v>
      </c>
      <c r="L220" t="b">
        <f>Data_Completeness(MileageData[[#This Row],[MPG]:[Acceleration]])</f>
        <v>1</v>
      </c>
    </row>
    <row r="221" spans="1:12" x14ac:dyDescent="0.25">
      <c r="A221">
        <v>16.5</v>
      </c>
      <c r="B221">
        <v>8</v>
      </c>
      <c r="C221">
        <v>350</v>
      </c>
      <c r="D221">
        <v>180</v>
      </c>
      <c r="E221">
        <v>4380</v>
      </c>
      <c r="F221">
        <v>12.1</v>
      </c>
      <c r="G221">
        <v>76</v>
      </c>
      <c r="H221" t="s">
        <v>1620</v>
      </c>
      <c r="I221" t="s">
        <v>1296</v>
      </c>
      <c r="J221" t="s">
        <v>1297</v>
      </c>
      <c r="K221" t="s">
        <v>1298</v>
      </c>
      <c r="L221" t="b">
        <f>Data_Completeness(MileageData[[#This Row],[MPG]:[Acceleration]])</f>
        <v>1</v>
      </c>
    </row>
    <row r="222" spans="1:12" x14ac:dyDescent="0.25">
      <c r="A222">
        <v>13</v>
      </c>
      <c r="B222">
        <v>8</v>
      </c>
      <c r="C222">
        <v>350</v>
      </c>
      <c r="D222">
        <v>145</v>
      </c>
      <c r="E222">
        <v>4055</v>
      </c>
      <c r="F222">
        <v>12</v>
      </c>
      <c r="G222">
        <v>76</v>
      </c>
      <c r="H222" t="s">
        <v>1620</v>
      </c>
      <c r="I222" t="s">
        <v>1299</v>
      </c>
      <c r="J222" t="s">
        <v>1039</v>
      </c>
      <c r="K222" t="s">
        <v>1300</v>
      </c>
      <c r="L222" t="b">
        <f>Data_Completeness(MileageData[[#This Row],[MPG]:[Acceleration]])</f>
        <v>1</v>
      </c>
    </row>
    <row r="223" spans="1:12" x14ac:dyDescent="0.25">
      <c r="A223">
        <v>13</v>
      </c>
      <c r="B223">
        <v>8</v>
      </c>
      <c r="C223">
        <v>302</v>
      </c>
      <c r="D223">
        <v>130</v>
      </c>
      <c r="E223">
        <v>3870</v>
      </c>
      <c r="F223">
        <v>15</v>
      </c>
      <c r="G223">
        <v>76</v>
      </c>
      <c r="H223" t="s">
        <v>1620</v>
      </c>
      <c r="I223" t="s">
        <v>1301</v>
      </c>
      <c r="J223" t="s">
        <v>975</v>
      </c>
      <c r="K223" t="s">
        <v>1302</v>
      </c>
      <c r="L223" t="b">
        <f>Data_Completeness(MileageData[[#This Row],[MPG]:[Acceleration]])</f>
        <v>1</v>
      </c>
    </row>
    <row r="224" spans="1:12" x14ac:dyDescent="0.25">
      <c r="A224">
        <v>13</v>
      </c>
      <c r="B224">
        <v>8</v>
      </c>
      <c r="C224">
        <v>318</v>
      </c>
      <c r="D224">
        <v>150</v>
      </c>
      <c r="E224">
        <v>3755</v>
      </c>
      <c r="F224">
        <v>14</v>
      </c>
      <c r="G224">
        <v>76</v>
      </c>
      <c r="H224" t="s">
        <v>1620</v>
      </c>
      <c r="I224" t="s">
        <v>1303</v>
      </c>
      <c r="J224" t="s">
        <v>1000</v>
      </c>
      <c r="K224" t="s">
        <v>1304</v>
      </c>
      <c r="L224" t="b">
        <f>Data_Completeness(MileageData[[#This Row],[MPG]:[Acceleration]])</f>
        <v>1</v>
      </c>
    </row>
    <row r="225" spans="1:12" x14ac:dyDescent="0.25">
      <c r="A225">
        <v>31.5</v>
      </c>
      <c r="B225">
        <v>4</v>
      </c>
      <c r="C225">
        <v>98</v>
      </c>
      <c r="D225">
        <v>68</v>
      </c>
      <c r="E225">
        <v>2045</v>
      </c>
      <c r="F225">
        <v>18.5</v>
      </c>
      <c r="G225">
        <v>77</v>
      </c>
      <c r="H225" t="s">
        <v>1622</v>
      </c>
      <c r="I225" t="s">
        <v>1305</v>
      </c>
      <c r="J225" t="s">
        <v>1229</v>
      </c>
      <c r="K225" t="s">
        <v>1306</v>
      </c>
      <c r="L225" t="b">
        <f>Data_Completeness(MileageData[[#This Row],[MPG]:[Acceleration]])</f>
        <v>1</v>
      </c>
    </row>
    <row r="226" spans="1:12" x14ac:dyDescent="0.25">
      <c r="A226">
        <v>30</v>
      </c>
      <c r="B226">
        <v>4</v>
      </c>
      <c r="C226">
        <v>111</v>
      </c>
      <c r="D226">
        <v>80</v>
      </c>
      <c r="E226">
        <v>2155</v>
      </c>
      <c r="F226">
        <v>14.8</v>
      </c>
      <c r="G226">
        <v>77</v>
      </c>
      <c r="H226" t="s">
        <v>1620</v>
      </c>
      <c r="I226" t="s">
        <v>1307</v>
      </c>
      <c r="J226" t="s">
        <v>966</v>
      </c>
      <c r="K226" t="s">
        <v>1308</v>
      </c>
      <c r="L226" t="b">
        <f>Data_Completeness(MileageData[[#This Row],[MPG]:[Acceleration]])</f>
        <v>1</v>
      </c>
    </row>
    <row r="227" spans="1:12" x14ac:dyDescent="0.25">
      <c r="A227">
        <v>36</v>
      </c>
      <c r="B227">
        <v>4</v>
      </c>
      <c r="C227">
        <v>79</v>
      </c>
      <c r="D227">
        <v>58</v>
      </c>
      <c r="E227">
        <v>1825</v>
      </c>
      <c r="F227">
        <v>18.600000000000001</v>
      </c>
      <c r="G227">
        <v>77</v>
      </c>
      <c r="H227" t="s">
        <v>1621</v>
      </c>
      <c r="I227" t="s">
        <v>1309</v>
      </c>
      <c r="J227" t="s">
        <v>1131</v>
      </c>
      <c r="K227" t="s">
        <v>1310</v>
      </c>
      <c r="L227" t="b">
        <f>Data_Completeness(MileageData[[#This Row],[MPG]:[Acceleration]])</f>
        <v>1</v>
      </c>
    </row>
    <row r="228" spans="1:12" x14ac:dyDescent="0.25">
      <c r="A228">
        <v>25.5</v>
      </c>
      <c r="B228">
        <v>4</v>
      </c>
      <c r="C228">
        <v>122</v>
      </c>
      <c r="D228">
        <v>96</v>
      </c>
      <c r="E228">
        <v>2300</v>
      </c>
      <c r="F228">
        <v>15.5</v>
      </c>
      <c r="G228">
        <v>77</v>
      </c>
      <c r="H228" t="s">
        <v>1620</v>
      </c>
      <c r="I228" t="s">
        <v>1311</v>
      </c>
      <c r="J228" t="s">
        <v>969</v>
      </c>
      <c r="K228" t="s">
        <v>1312</v>
      </c>
      <c r="L228" t="b">
        <f>Data_Completeness(MileageData[[#This Row],[MPG]:[Acceleration]])</f>
        <v>1</v>
      </c>
    </row>
    <row r="229" spans="1:12" x14ac:dyDescent="0.25">
      <c r="A229">
        <v>33.5</v>
      </c>
      <c r="B229">
        <v>4</v>
      </c>
      <c r="C229">
        <v>85</v>
      </c>
      <c r="D229">
        <v>70</v>
      </c>
      <c r="E229">
        <v>1945</v>
      </c>
      <c r="F229">
        <v>16.8</v>
      </c>
      <c r="G229">
        <v>77</v>
      </c>
      <c r="H229" t="s">
        <v>1622</v>
      </c>
      <c r="I229" t="s">
        <v>1313</v>
      </c>
      <c r="J229" t="s">
        <v>1019</v>
      </c>
      <c r="K229" t="s">
        <v>1314</v>
      </c>
      <c r="L229" t="b">
        <f>Data_Completeness(MileageData[[#This Row],[MPG]:[Acceleration]])</f>
        <v>1</v>
      </c>
    </row>
    <row r="230" spans="1:12" x14ac:dyDescent="0.25">
      <c r="A230">
        <v>17.5</v>
      </c>
      <c r="B230">
        <v>8</v>
      </c>
      <c r="C230">
        <v>305</v>
      </c>
      <c r="D230">
        <v>145</v>
      </c>
      <c r="E230">
        <v>3880</v>
      </c>
      <c r="F230">
        <v>12.5</v>
      </c>
      <c r="G230">
        <v>77</v>
      </c>
      <c r="H230" t="s">
        <v>1620</v>
      </c>
      <c r="I230" t="s">
        <v>1154</v>
      </c>
      <c r="J230" t="s">
        <v>963</v>
      </c>
      <c r="K230" t="s">
        <v>1155</v>
      </c>
      <c r="L230" t="b">
        <f>Data_Completeness(MileageData[[#This Row],[MPG]:[Acceleration]])</f>
        <v>1</v>
      </c>
    </row>
    <row r="231" spans="1:12" x14ac:dyDescent="0.25">
      <c r="A231">
        <v>17</v>
      </c>
      <c r="B231">
        <v>8</v>
      </c>
      <c r="C231">
        <v>260</v>
      </c>
      <c r="D231">
        <v>110</v>
      </c>
      <c r="E231">
        <v>4060</v>
      </c>
      <c r="F231">
        <v>19</v>
      </c>
      <c r="G231">
        <v>77</v>
      </c>
      <c r="H231" t="s">
        <v>1620</v>
      </c>
      <c r="I231" t="s">
        <v>1315</v>
      </c>
      <c r="J231" t="s">
        <v>1109</v>
      </c>
      <c r="K231" t="s">
        <v>1316</v>
      </c>
      <c r="L231" t="b">
        <f>Data_Completeness(MileageData[[#This Row],[MPG]:[Acceleration]])</f>
        <v>1</v>
      </c>
    </row>
    <row r="232" spans="1:12" x14ac:dyDescent="0.25">
      <c r="A232">
        <v>15.5</v>
      </c>
      <c r="B232">
        <v>8</v>
      </c>
      <c r="C232">
        <v>318</v>
      </c>
      <c r="D232">
        <v>145</v>
      </c>
      <c r="E232">
        <v>4140</v>
      </c>
      <c r="F232">
        <v>13.7</v>
      </c>
      <c r="G232">
        <v>77</v>
      </c>
      <c r="H232" t="s">
        <v>1620</v>
      </c>
      <c r="I232" t="s">
        <v>1317</v>
      </c>
      <c r="J232" t="s">
        <v>1000</v>
      </c>
      <c r="K232" t="s">
        <v>1318</v>
      </c>
      <c r="L232" t="b">
        <f>Data_Completeness(MileageData[[#This Row],[MPG]:[Acceleration]])</f>
        <v>1</v>
      </c>
    </row>
    <row r="233" spans="1:12" x14ac:dyDescent="0.25">
      <c r="A233">
        <v>15</v>
      </c>
      <c r="B233">
        <v>8</v>
      </c>
      <c r="C233">
        <v>302</v>
      </c>
      <c r="D233">
        <v>130</v>
      </c>
      <c r="E233">
        <v>4295</v>
      </c>
      <c r="F233">
        <v>14.9</v>
      </c>
      <c r="G233">
        <v>77</v>
      </c>
      <c r="H233" t="s">
        <v>1620</v>
      </c>
      <c r="I233" t="s">
        <v>1319</v>
      </c>
      <c r="J233" t="s">
        <v>1077</v>
      </c>
      <c r="K233" t="s">
        <v>1320</v>
      </c>
      <c r="L233" t="b">
        <f>Data_Completeness(MileageData[[#This Row],[MPG]:[Acceleration]])</f>
        <v>1</v>
      </c>
    </row>
    <row r="234" spans="1:12" x14ac:dyDescent="0.25">
      <c r="A234">
        <v>17.5</v>
      </c>
      <c r="B234">
        <v>6</v>
      </c>
      <c r="C234">
        <v>250</v>
      </c>
      <c r="D234">
        <v>110</v>
      </c>
      <c r="E234">
        <v>3520</v>
      </c>
      <c r="F234">
        <v>16.399999999999999</v>
      </c>
      <c r="G234">
        <v>77</v>
      </c>
      <c r="H234" t="s">
        <v>1620</v>
      </c>
      <c r="I234" t="s">
        <v>1321</v>
      </c>
      <c r="J234" t="s">
        <v>963</v>
      </c>
      <c r="K234" t="s">
        <v>1322</v>
      </c>
      <c r="L234" t="b">
        <f>Data_Completeness(MileageData[[#This Row],[MPG]:[Acceleration]])</f>
        <v>1</v>
      </c>
    </row>
    <row r="235" spans="1:12" x14ac:dyDescent="0.25">
      <c r="A235">
        <v>20.5</v>
      </c>
      <c r="B235">
        <v>6</v>
      </c>
      <c r="C235">
        <v>231</v>
      </c>
      <c r="D235">
        <v>105</v>
      </c>
      <c r="E235">
        <v>3425</v>
      </c>
      <c r="F235">
        <v>16.899999999999999</v>
      </c>
      <c r="G235">
        <v>77</v>
      </c>
      <c r="H235" t="s">
        <v>1620</v>
      </c>
      <c r="I235" t="s">
        <v>1323</v>
      </c>
      <c r="J235" t="s">
        <v>966</v>
      </c>
      <c r="K235" t="s">
        <v>1324</v>
      </c>
      <c r="L235" t="b">
        <f>Data_Completeness(MileageData[[#This Row],[MPG]:[Acceleration]])</f>
        <v>1</v>
      </c>
    </row>
    <row r="236" spans="1:12" x14ac:dyDescent="0.25">
      <c r="A236">
        <v>19</v>
      </c>
      <c r="B236">
        <v>6</v>
      </c>
      <c r="C236">
        <v>225</v>
      </c>
      <c r="D236">
        <v>100</v>
      </c>
      <c r="E236">
        <v>3630</v>
      </c>
      <c r="F236">
        <v>17.7</v>
      </c>
      <c r="G236">
        <v>77</v>
      </c>
      <c r="H236" t="s">
        <v>1620</v>
      </c>
      <c r="I236" t="s">
        <v>1325</v>
      </c>
      <c r="J236" t="s">
        <v>969</v>
      </c>
      <c r="K236" t="s">
        <v>1326</v>
      </c>
      <c r="L236" t="b">
        <f>Data_Completeness(MileageData[[#This Row],[MPG]:[Acceleration]])</f>
        <v>1</v>
      </c>
    </row>
    <row r="237" spans="1:12" x14ac:dyDescent="0.25">
      <c r="A237">
        <v>18.5</v>
      </c>
      <c r="B237">
        <v>6</v>
      </c>
      <c r="C237">
        <v>250</v>
      </c>
      <c r="D237">
        <v>98</v>
      </c>
      <c r="E237">
        <v>3525</v>
      </c>
      <c r="F237">
        <v>19</v>
      </c>
      <c r="G237">
        <v>77</v>
      </c>
      <c r="H237" t="s">
        <v>1620</v>
      </c>
      <c r="I237" t="s">
        <v>1327</v>
      </c>
      <c r="J237" t="s">
        <v>975</v>
      </c>
      <c r="K237" t="s">
        <v>1328</v>
      </c>
      <c r="L237" t="b">
        <f>Data_Completeness(MileageData[[#This Row],[MPG]:[Acceleration]])</f>
        <v>1</v>
      </c>
    </row>
    <row r="238" spans="1:12" x14ac:dyDescent="0.25">
      <c r="A238">
        <v>16</v>
      </c>
      <c r="B238">
        <v>8</v>
      </c>
      <c r="C238">
        <v>400</v>
      </c>
      <c r="D238">
        <v>180</v>
      </c>
      <c r="E238">
        <v>4220</v>
      </c>
      <c r="F238">
        <v>11.1</v>
      </c>
      <c r="G238">
        <v>77</v>
      </c>
      <c r="H238" t="s">
        <v>1620</v>
      </c>
      <c r="I238" t="s">
        <v>1329</v>
      </c>
      <c r="J238" t="s">
        <v>984</v>
      </c>
      <c r="K238" t="s">
        <v>1330</v>
      </c>
      <c r="L238" t="b">
        <f>Data_Completeness(MileageData[[#This Row],[MPG]:[Acceleration]])</f>
        <v>1</v>
      </c>
    </row>
    <row r="239" spans="1:12" x14ac:dyDescent="0.25">
      <c r="A239">
        <v>15.5</v>
      </c>
      <c r="B239">
        <v>8</v>
      </c>
      <c r="C239">
        <v>350</v>
      </c>
      <c r="D239">
        <v>170</v>
      </c>
      <c r="E239">
        <v>4165</v>
      </c>
      <c r="F239">
        <v>11.4</v>
      </c>
      <c r="G239">
        <v>77</v>
      </c>
      <c r="H239" t="s">
        <v>1620</v>
      </c>
      <c r="I239" t="s">
        <v>1331</v>
      </c>
      <c r="J239" t="s">
        <v>963</v>
      </c>
      <c r="K239" t="s">
        <v>1332</v>
      </c>
      <c r="L239" t="b">
        <f>Data_Completeness(MileageData[[#This Row],[MPG]:[Acceleration]])</f>
        <v>1</v>
      </c>
    </row>
    <row r="240" spans="1:12" x14ac:dyDescent="0.25">
      <c r="A240">
        <v>15.5</v>
      </c>
      <c r="B240">
        <v>8</v>
      </c>
      <c r="C240">
        <v>400</v>
      </c>
      <c r="D240">
        <v>190</v>
      </c>
      <c r="E240">
        <v>4325</v>
      </c>
      <c r="F240">
        <v>12.2</v>
      </c>
      <c r="G240">
        <v>77</v>
      </c>
      <c r="H240" t="s">
        <v>1620</v>
      </c>
      <c r="I240" t="s">
        <v>1333</v>
      </c>
      <c r="J240" t="s">
        <v>1112</v>
      </c>
      <c r="K240" t="s">
        <v>1334</v>
      </c>
      <c r="L240" t="b">
        <f>Data_Completeness(MileageData[[#This Row],[MPG]:[Acceleration]])</f>
        <v>1</v>
      </c>
    </row>
    <row r="241" spans="1:12" x14ac:dyDescent="0.25">
      <c r="A241">
        <v>16</v>
      </c>
      <c r="B241">
        <v>8</v>
      </c>
      <c r="C241">
        <v>351</v>
      </c>
      <c r="D241">
        <v>149</v>
      </c>
      <c r="E241">
        <v>4335</v>
      </c>
      <c r="F241">
        <v>14.5</v>
      </c>
      <c r="G241">
        <v>77</v>
      </c>
      <c r="H241" t="s">
        <v>1620</v>
      </c>
      <c r="I241" t="s">
        <v>1335</v>
      </c>
      <c r="J241" t="s">
        <v>975</v>
      </c>
      <c r="K241" t="s">
        <v>1336</v>
      </c>
      <c r="L241" t="b">
        <f>Data_Completeness(MileageData[[#This Row],[MPG]:[Acceleration]])</f>
        <v>1</v>
      </c>
    </row>
    <row r="242" spans="1:12" x14ac:dyDescent="0.25">
      <c r="A242">
        <v>29</v>
      </c>
      <c r="B242">
        <v>4</v>
      </c>
      <c r="C242">
        <v>97</v>
      </c>
      <c r="D242">
        <v>78</v>
      </c>
      <c r="E242">
        <v>1940</v>
      </c>
      <c r="F242">
        <v>14.5</v>
      </c>
      <c r="G242">
        <v>77</v>
      </c>
      <c r="H242" t="s">
        <v>1621</v>
      </c>
      <c r="I242" t="s">
        <v>1337</v>
      </c>
      <c r="J242" t="s">
        <v>1022</v>
      </c>
      <c r="K242" t="s">
        <v>1338</v>
      </c>
      <c r="L242" t="b">
        <f>Data_Completeness(MileageData[[#This Row],[MPG]:[Acceleration]])</f>
        <v>1</v>
      </c>
    </row>
    <row r="243" spans="1:12" x14ac:dyDescent="0.25">
      <c r="A243">
        <v>24.5</v>
      </c>
      <c r="B243">
        <v>4</v>
      </c>
      <c r="C243">
        <v>151</v>
      </c>
      <c r="D243">
        <v>88</v>
      </c>
      <c r="E243">
        <v>2740</v>
      </c>
      <c r="F243">
        <v>16</v>
      </c>
      <c r="G243">
        <v>77</v>
      </c>
      <c r="H243" t="s">
        <v>1620</v>
      </c>
      <c r="I243" t="s">
        <v>1339</v>
      </c>
      <c r="J243" t="s">
        <v>984</v>
      </c>
      <c r="K243" t="s">
        <v>1340</v>
      </c>
      <c r="L243" t="b">
        <f>Data_Completeness(MileageData[[#This Row],[MPG]:[Acceleration]])</f>
        <v>1</v>
      </c>
    </row>
    <row r="244" spans="1:12" x14ac:dyDescent="0.25">
      <c r="A244">
        <v>26</v>
      </c>
      <c r="B244">
        <v>4</v>
      </c>
      <c r="C244">
        <v>97</v>
      </c>
      <c r="D244">
        <v>75</v>
      </c>
      <c r="E244">
        <v>2265</v>
      </c>
      <c r="F244">
        <v>18.2</v>
      </c>
      <c r="G244">
        <v>77</v>
      </c>
      <c r="H244" t="s">
        <v>1622</v>
      </c>
      <c r="I244" t="s">
        <v>1341</v>
      </c>
      <c r="J244" t="s">
        <v>1010</v>
      </c>
      <c r="K244" t="s">
        <v>1342</v>
      </c>
      <c r="L244" t="b">
        <f>Data_Completeness(MileageData[[#This Row],[MPG]:[Acceleration]])</f>
        <v>1</v>
      </c>
    </row>
    <row r="245" spans="1:12" x14ac:dyDescent="0.25">
      <c r="A245">
        <v>25.5</v>
      </c>
      <c r="B245">
        <v>4</v>
      </c>
      <c r="C245">
        <v>140</v>
      </c>
      <c r="D245">
        <v>89</v>
      </c>
      <c r="E245">
        <v>2755</v>
      </c>
      <c r="F245">
        <v>15.8</v>
      </c>
      <c r="G245">
        <v>77</v>
      </c>
      <c r="H245" t="s">
        <v>1620</v>
      </c>
      <c r="I245" t="s">
        <v>1343</v>
      </c>
      <c r="J245" t="s">
        <v>975</v>
      </c>
      <c r="K245" t="s">
        <v>1344</v>
      </c>
      <c r="L245" t="b">
        <f>Data_Completeness(MileageData[[#This Row],[MPG]:[Acceleration]])</f>
        <v>1</v>
      </c>
    </row>
    <row r="246" spans="1:12" x14ac:dyDescent="0.25">
      <c r="A246">
        <v>30.5</v>
      </c>
      <c r="B246">
        <v>4</v>
      </c>
      <c r="C246">
        <v>98</v>
      </c>
      <c r="D246">
        <v>63</v>
      </c>
      <c r="E246">
        <v>2051</v>
      </c>
      <c r="F246">
        <v>17</v>
      </c>
      <c r="G246">
        <v>77</v>
      </c>
      <c r="H246" t="s">
        <v>1620</v>
      </c>
      <c r="I246" t="s">
        <v>1274</v>
      </c>
      <c r="J246" t="s">
        <v>963</v>
      </c>
      <c r="K246" t="s">
        <v>1275</v>
      </c>
      <c r="L246" t="b">
        <f>Data_Completeness(MileageData[[#This Row],[MPG]:[Acceleration]])</f>
        <v>1</v>
      </c>
    </row>
    <row r="247" spans="1:12" x14ac:dyDescent="0.25">
      <c r="A247">
        <v>33.5</v>
      </c>
      <c r="B247">
        <v>4</v>
      </c>
      <c r="C247">
        <v>98</v>
      </c>
      <c r="D247">
        <v>83</v>
      </c>
      <c r="E247">
        <v>2075</v>
      </c>
      <c r="F247">
        <v>15.9</v>
      </c>
      <c r="G247">
        <v>77</v>
      </c>
      <c r="H247" t="s">
        <v>1620</v>
      </c>
      <c r="I247" t="s">
        <v>1345</v>
      </c>
      <c r="J247" t="s">
        <v>1000</v>
      </c>
      <c r="K247" t="s">
        <v>1346</v>
      </c>
      <c r="L247" t="b">
        <f>Data_Completeness(MileageData[[#This Row],[MPG]:[Acceleration]])</f>
        <v>1</v>
      </c>
    </row>
    <row r="248" spans="1:12" x14ac:dyDescent="0.25">
      <c r="A248">
        <v>30</v>
      </c>
      <c r="B248">
        <v>4</v>
      </c>
      <c r="C248">
        <v>97</v>
      </c>
      <c r="D248">
        <v>67</v>
      </c>
      <c r="E248">
        <v>1985</v>
      </c>
      <c r="F248">
        <v>16.399999999999999</v>
      </c>
      <c r="G248">
        <v>77</v>
      </c>
      <c r="H248" t="s">
        <v>1622</v>
      </c>
      <c r="I248" t="s">
        <v>1347</v>
      </c>
      <c r="J248" t="s">
        <v>1231</v>
      </c>
      <c r="K248" t="s">
        <v>1348</v>
      </c>
      <c r="L248" t="b">
        <f>Data_Completeness(MileageData[[#This Row],[MPG]:[Acceleration]])</f>
        <v>1</v>
      </c>
    </row>
    <row r="249" spans="1:12" x14ac:dyDescent="0.25">
      <c r="A249">
        <v>30.5</v>
      </c>
      <c r="B249">
        <v>4</v>
      </c>
      <c r="C249">
        <v>97</v>
      </c>
      <c r="D249">
        <v>78</v>
      </c>
      <c r="E249">
        <v>2190</v>
      </c>
      <c r="F249">
        <v>14.1</v>
      </c>
      <c r="G249">
        <v>77</v>
      </c>
      <c r="H249" t="s">
        <v>1621</v>
      </c>
      <c r="I249" t="s">
        <v>1221</v>
      </c>
      <c r="J249" t="s">
        <v>1022</v>
      </c>
      <c r="K249" t="s">
        <v>1222</v>
      </c>
      <c r="L249" t="b">
        <f>Data_Completeness(MileageData[[#This Row],[MPG]:[Acceleration]])</f>
        <v>1</v>
      </c>
    </row>
    <row r="250" spans="1:12" x14ac:dyDescent="0.25">
      <c r="A250">
        <v>22</v>
      </c>
      <c r="B250">
        <v>6</v>
      </c>
      <c r="C250">
        <v>146</v>
      </c>
      <c r="D250">
        <v>97</v>
      </c>
      <c r="E250">
        <v>2815</v>
      </c>
      <c r="F250">
        <v>14.5</v>
      </c>
      <c r="G250">
        <v>77</v>
      </c>
      <c r="H250" t="s">
        <v>1622</v>
      </c>
      <c r="I250" t="s">
        <v>1349</v>
      </c>
      <c r="J250" t="s">
        <v>1019</v>
      </c>
      <c r="K250">
        <v>810</v>
      </c>
      <c r="L250" t="b">
        <f>Data_Completeness(MileageData[[#This Row],[MPG]:[Acceleration]])</f>
        <v>1</v>
      </c>
    </row>
    <row r="251" spans="1:12" x14ac:dyDescent="0.25">
      <c r="A251">
        <v>21.5</v>
      </c>
      <c r="B251">
        <v>4</v>
      </c>
      <c r="C251">
        <v>121</v>
      </c>
      <c r="D251">
        <v>110</v>
      </c>
      <c r="E251">
        <v>2600</v>
      </c>
      <c r="F251">
        <v>12.8</v>
      </c>
      <c r="G251">
        <v>77</v>
      </c>
      <c r="H251" t="s">
        <v>1621</v>
      </c>
      <c r="I251" t="s">
        <v>1350</v>
      </c>
      <c r="J251" t="s">
        <v>1033</v>
      </c>
      <c r="K251" t="s">
        <v>1351</v>
      </c>
      <c r="L251" t="b">
        <f>Data_Completeness(MileageData[[#This Row],[MPG]:[Acceleration]])</f>
        <v>1</v>
      </c>
    </row>
    <row r="252" spans="1:12" x14ac:dyDescent="0.25">
      <c r="A252">
        <v>21.5</v>
      </c>
      <c r="B252">
        <v>3</v>
      </c>
      <c r="C252">
        <v>80</v>
      </c>
      <c r="D252">
        <v>110</v>
      </c>
      <c r="E252">
        <v>2720</v>
      </c>
      <c r="F252">
        <v>13.5</v>
      </c>
      <c r="G252">
        <v>77</v>
      </c>
      <c r="H252" t="s">
        <v>1622</v>
      </c>
      <c r="I252" t="s">
        <v>1352</v>
      </c>
      <c r="J252" t="s">
        <v>1115</v>
      </c>
      <c r="K252" t="s">
        <v>1353</v>
      </c>
      <c r="L252" t="b">
        <f>Data_Completeness(MileageData[[#This Row],[MPG]:[Acceleration]])</f>
        <v>1</v>
      </c>
    </row>
    <row r="253" spans="1:12" x14ac:dyDescent="0.25">
      <c r="A253">
        <v>43.1</v>
      </c>
      <c r="B253">
        <v>4</v>
      </c>
      <c r="C253">
        <v>90</v>
      </c>
      <c r="D253">
        <v>48</v>
      </c>
      <c r="E253">
        <v>1985</v>
      </c>
      <c r="F253">
        <v>21.5</v>
      </c>
      <c r="G253">
        <v>78</v>
      </c>
      <c r="H253" t="s">
        <v>1621</v>
      </c>
      <c r="I253" t="s">
        <v>1354</v>
      </c>
      <c r="J253" t="s">
        <v>1022</v>
      </c>
      <c r="K253" t="s">
        <v>1355</v>
      </c>
      <c r="L253" t="b">
        <f>Data_Completeness(MileageData[[#This Row],[MPG]:[Acceleration]])</f>
        <v>1</v>
      </c>
    </row>
    <row r="254" spans="1:12" x14ac:dyDescent="0.25">
      <c r="A254">
        <v>36.1</v>
      </c>
      <c r="B254">
        <v>4</v>
      </c>
      <c r="C254">
        <v>98</v>
      </c>
      <c r="D254">
        <v>66</v>
      </c>
      <c r="E254">
        <v>1800</v>
      </c>
      <c r="F254">
        <v>14.4</v>
      </c>
      <c r="G254">
        <v>78</v>
      </c>
      <c r="H254" t="s">
        <v>1620</v>
      </c>
      <c r="I254" t="s">
        <v>1356</v>
      </c>
      <c r="J254" t="s">
        <v>975</v>
      </c>
      <c r="K254" t="s">
        <v>1357</v>
      </c>
      <c r="L254" t="b">
        <f>Data_Completeness(MileageData[[#This Row],[MPG]:[Acceleration]])</f>
        <v>1</v>
      </c>
    </row>
    <row r="255" spans="1:12" x14ac:dyDescent="0.25">
      <c r="A255">
        <v>32.799999999999997</v>
      </c>
      <c r="B255">
        <v>4</v>
      </c>
      <c r="C255">
        <v>78</v>
      </c>
      <c r="D255">
        <v>52</v>
      </c>
      <c r="E255">
        <v>1985</v>
      </c>
      <c r="F255">
        <v>19.399999999999999</v>
      </c>
      <c r="G255">
        <v>78</v>
      </c>
      <c r="H255" t="s">
        <v>1622</v>
      </c>
      <c r="I255" t="s">
        <v>1358</v>
      </c>
      <c r="J255" t="s">
        <v>1115</v>
      </c>
      <c r="K255" t="s">
        <v>1359</v>
      </c>
      <c r="L255" t="b">
        <f>Data_Completeness(MileageData[[#This Row],[MPG]:[Acceleration]])</f>
        <v>1</v>
      </c>
    </row>
    <row r="256" spans="1:12" x14ac:dyDescent="0.25">
      <c r="A256">
        <v>39.4</v>
      </c>
      <c r="B256">
        <v>4</v>
      </c>
      <c r="C256">
        <v>85</v>
      </c>
      <c r="D256">
        <v>70</v>
      </c>
      <c r="E256">
        <v>2070</v>
      </c>
      <c r="F256">
        <v>18.600000000000001</v>
      </c>
      <c r="G256">
        <v>78</v>
      </c>
      <c r="H256" t="s">
        <v>1622</v>
      </c>
      <c r="I256" t="s">
        <v>1360</v>
      </c>
      <c r="J256" t="s">
        <v>1019</v>
      </c>
      <c r="K256" t="s">
        <v>1361</v>
      </c>
      <c r="L256" t="b">
        <f>Data_Completeness(MileageData[[#This Row],[MPG]:[Acceleration]])</f>
        <v>1</v>
      </c>
    </row>
    <row r="257" spans="1:12" x14ac:dyDescent="0.25">
      <c r="A257">
        <v>36.1</v>
      </c>
      <c r="B257">
        <v>4</v>
      </c>
      <c r="C257">
        <v>91</v>
      </c>
      <c r="D257">
        <v>60</v>
      </c>
      <c r="E257">
        <v>1800</v>
      </c>
      <c r="F257">
        <v>16.399999999999999</v>
      </c>
      <c r="G257">
        <v>78</v>
      </c>
      <c r="H257" t="s">
        <v>1622</v>
      </c>
      <c r="I257" t="s">
        <v>1264</v>
      </c>
      <c r="J257" t="s">
        <v>1229</v>
      </c>
      <c r="K257" t="s">
        <v>1265</v>
      </c>
      <c r="L257" t="b">
        <f>Data_Completeness(MileageData[[#This Row],[MPG]:[Acceleration]])</f>
        <v>1</v>
      </c>
    </row>
    <row r="258" spans="1:12" x14ac:dyDescent="0.25">
      <c r="A258">
        <v>19.899999999999999</v>
      </c>
      <c r="B258">
        <v>8</v>
      </c>
      <c r="C258">
        <v>260</v>
      </c>
      <c r="D258">
        <v>110</v>
      </c>
      <c r="E258">
        <v>3365</v>
      </c>
      <c r="F258">
        <v>15.5</v>
      </c>
      <c r="G258">
        <v>78</v>
      </c>
      <c r="H258" t="s">
        <v>1620</v>
      </c>
      <c r="I258" t="s">
        <v>1362</v>
      </c>
      <c r="J258" t="s">
        <v>1109</v>
      </c>
      <c r="K258" t="s">
        <v>1363</v>
      </c>
      <c r="L258" t="b">
        <f>Data_Completeness(MileageData[[#This Row],[MPG]:[Acceleration]])</f>
        <v>1</v>
      </c>
    </row>
    <row r="259" spans="1:12" x14ac:dyDescent="0.25">
      <c r="A259">
        <v>19.399999999999999</v>
      </c>
      <c r="B259">
        <v>8</v>
      </c>
      <c r="C259">
        <v>318</v>
      </c>
      <c r="D259">
        <v>140</v>
      </c>
      <c r="E259">
        <v>3735</v>
      </c>
      <c r="F259">
        <v>13.2</v>
      </c>
      <c r="G259">
        <v>78</v>
      </c>
      <c r="H259" t="s">
        <v>1620</v>
      </c>
      <c r="I259" t="s">
        <v>1364</v>
      </c>
      <c r="J259" t="s">
        <v>1000</v>
      </c>
      <c r="K259" t="s">
        <v>1365</v>
      </c>
      <c r="L259" t="b">
        <f>Data_Completeness(MileageData[[#This Row],[MPG]:[Acceleration]])</f>
        <v>1</v>
      </c>
    </row>
    <row r="260" spans="1:12" x14ac:dyDescent="0.25">
      <c r="A260">
        <v>20.2</v>
      </c>
      <c r="B260">
        <v>8</v>
      </c>
      <c r="C260">
        <v>302</v>
      </c>
      <c r="D260">
        <v>139</v>
      </c>
      <c r="E260">
        <v>3570</v>
      </c>
      <c r="F260">
        <v>12.8</v>
      </c>
      <c r="G260">
        <v>78</v>
      </c>
      <c r="H260" t="s">
        <v>1620</v>
      </c>
      <c r="I260" t="s">
        <v>1366</v>
      </c>
      <c r="J260" t="s">
        <v>1077</v>
      </c>
      <c r="K260" t="s">
        <v>1367</v>
      </c>
      <c r="L260" t="b">
        <f>Data_Completeness(MileageData[[#This Row],[MPG]:[Acceleration]])</f>
        <v>1</v>
      </c>
    </row>
    <row r="261" spans="1:12" x14ac:dyDescent="0.25">
      <c r="A261">
        <v>19.2</v>
      </c>
      <c r="B261">
        <v>6</v>
      </c>
      <c r="C261">
        <v>231</v>
      </c>
      <c r="D261">
        <v>105</v>
      </c>
      <c r="E261">
        <v>3535</v>
      </c>
      <c r="F261">
        <v>19.2</v>
      </c>
      <c r="G261">
        <v>78</v>
      </c>
      <c r="H261" t="s">
        <v>1620</v>
      </c>
      <c r="I261" t="s">
        <v>1368</v>
      </c>
      <c r="J261" t="s">
        <v>984</v>
      </c>
      <c r="K261" t="s">
        <v>1369</v>
      </c>
      <c r="L261" t="b">
        <f>Data_Completeness(MileageData[[#This Row],[MPG]:[Acceleration]])</f>
        <v>1</v>
      </c>
    </row>
    <row r="262" spans="1:12" x14ac:dyDescent="0.25">
      <c r="A262">
        <v>20.5</v>
      </c>
      <c r="B262">
        <v>6</v>
      </c>
      <c r="C262">
        <v>200</v>
      </c>
      <c r="D262">
        <v>95</v>
      </c>
      <c r="E262">
        <v>3155</v>
      </c>
      <c r="F262">
        <v>18.2</v>
      </c>
      <c r="G262">
        <v>78</v>
      </c>
      <c r="H262" t="s">
        <v>1620</v>
      </c>
      <c r="I262" t="s">
        <v>1146</v>
      </c>
      <c r="J262" t="s">
        <v>963</v>
      </c>
      <c r="K262" t="s">
        <v>1147</v>
      </c>
      <c r="L262" t="b">
        <f>Data_Completeness(MileageData[[#This Row],[MPG]:[Acceleration]])</f>
        <v>1</v>
      </c>
    </row>
    <row r="263" spans="1:12" x14ac:dyDescent="0.25">
      <c r="A263">
        <v>20.2</v>
      </c>
      <c r="B263">
        <v>6</v>
      </c>
      <c r="C263">
        <v>200</v>
      </c>
      <c r="D263">
        <v>85</v>
      </c>
      <c r="E263">
        <v>2965</v>
      </c>
      <c r="F263">
        <v>15.8</v>
      </c>
      <c r="G263">
        <v>78</v>
      </c>
      <c r="H263" t="s">
        <v>1620</v>
      </c>
      <c r="I263" t="s">
        <v>1370</v>
      </c>
      <c r="J263" t="s">
        <v>975</v>
      </c>
      <c r="K263" t="s">
        <v>1371</v>
      </c>
      <c r="L263" t="b">
        <f>Data_Completeness(MileageData[[#This Row],[MPG]:[Acceleration]])</f>
        <v>1</v>
      </c>
    </row>
    <row r="264" spans="1:12" x14ac:dyDescent="0.25">
      <c r="A264">
        <v>25.1</v>
      </c>
      <c r="B264">
        <v>4</v>
      </c>
      <c r="C264">
        <v>140</v>
      </c>
      <c r="D264">
        <v>88</v>
      </c>
      <c r="E264">
        <v>2720</v>
      </c>
      <c r="F264">
        <v>15.4</v>
      </c>
      <c r="G264">
        <v>78</v>
      </c>
      <c r="H264" t="s">
        <v>1620</v>
      </c>
      <c r="I264" t="s">
        <v>1372</v>
      </c>
      <c r="J264" t="s">
        <v>975</v>
      </c>
      <c r="K264" t="s">
        <v>1373</v>
      </c>
      <c r="L264" t="b">
        <f>Data_Completeness(MileageData[[#This Row],[MPG]:[Acceleration]])</f>
        <v>1</v>
      </c>
    </row>
    <row r="265" spans="1:12" x14ac:dyDescent="0.25">
      <c r="A265">
        <v>20.5</v>
      </c>
      <c r="B265">
        <v>6</v>
      </c>
      <c r="C265">
        <v>225</v>
      </c>
      <c r="D265">
        <v>100</v>
      </c>
      <c r="E265">
        <v>3430</v>
      </c>
      <c r="F265">
        <v>17.2</v>
      </c>
      <c r="G265">
        <v>78</v>
      </c>
      <c r="H265" t="s">
        <v>1620</v>
      </c>
      <c r="I265" t="s">
        <v>1374</v>
      </c>
      <c r="J265" t="s">
        <v>969</v>
      </c>
      <c r="K265" t="s">
        <v>1375</v>
      </c>
      <c r="L265" t="b">
        <f>Data_Completeness(MileageData[[#This Row],[MPG]:[Acceleration]])</f>
        <v>1</v>
      </c>
    </row>
    <row r="266" spans="1:12" x14ac:dyDescent="0.25">
      <c r="A266">
        <v>19.399999999999999</v>
      </c>
      <c r="B266">
        <v>6</v>
      </c>
      <c r="C266">
        <v>232</v>
      </c>
      <c r="D266">
        <v>90</v>
      </c>
      <c r="E266">
        <v>3210</v>
      </c>
      <c r="F266">
        <v>17.2</v>
      </c>
      <c r="G266">
        <v>78</v>
      </c>
      <c r="H266" t="s">
        <v>1620</v>
      </c>
      <c r="I266" t="s">
        <v>1376</v>
      </c>
      <c r="J266" t="s">
        <v>972</v>
      </c>
      <c r="K266" t="s">
        <v>1377</v>
      </c>
      <c r="L266" t="b">
        <f>Data_Completeness(MileageData[[#This Row],[MPG]:[Acceleration]])</f>
        <v>1</v>
      </c>
    </row>
    <row r="267" spans="1:12" x14ac:dyDescent="0.25">
      <c r="A267">
        <v>20.6</v>
      </c>
      <c r="B267">
        <v>6</v>
      </c>
      <c r="C267">
        <v>231</v>
      </c>
      <c r="D267">
        <v>105</v>
      </c>
      <c r="E267">
        <v>3380</v>
      </c>
      <c r="F267">
        <v>15.8</v>
      </c>
      <c r="G267">
        <v>78</v>
      </c>
      <c r="H267" t="s">
        <v>1620</v>
      </c>
      <c r="I267" t="s">
        <v>1378</v>
      </c>
      <c r="J267" t="s">
        <v>966</v>
      </c>
      <c r="K267" t="s">
        <v>1379</v>
      </c>
      <c r="L267" t="b">
        <f>Data_Completeness(MileageData[[#This Row],[MPG]:[Acceleration]])</f>
        <v>1</v>
      </c>
    </row>
    <row r="268" spans="1:12" x14ac:dyDescent="0.25">
      <c r="A268">
        <v>20.8</v>
      </c>
      <c r="B268">
        <v>6</v>
      </c>
      <c r="C268">
        <v>200</v>
      </c>
      <c r="D268">
        <v>85</v>
      </c>
      <c r="E268">
        <v>3070</v>
      </c>
      <c r="F268">
        <v>16.7</v>
      </c>
      <c r="G268">
        <v>78</v>
      </c>
      <c r="H268" t="s">
        <v>1620</v>
      </c>
      <c r="I268" t="s">
        <v>1380</v>
      </c>
      <c r="J268" t="s">
        <v>1077</v>
      </c>
      <c r="K268" t="s">
        <v>1381</v>
      </c>
      <c r="L268" t="b">
        <f>Data_Completeness(MileageData[[#This Row],[MPG]:[Acceleration]])</f>
        <v>1</v>
      </c>
    </row>
    <row r="269" spans="1:12" x14ac:dyDescent="0.25">
      <c r="A269">
        <v>18.600000000000001</v>
      </c>
      <c r="B269">
        <v>6</v>
      </c>
      <c r="C269">
        <v>225</v>
      </c>
      <c r="D269">
        <v>110</v>
      </c>
      <c r="E269">
        <v>3620</v>
      </c>
      <c r="F269">
        <v>18.7</v>
      </c>
      <c r="G269">
        <v>78</v>
      </c>
      <c r="H269" t="s">
        <v>1620</v>
      </c>
      <c r="I269" t="s">
        <v>1382</v>
      </c>
      <c r="J269" t="s">
        <v>1000</v>
      </c>
      <c r="K269" t="s">
        <v>1383</v>
      </c>
      <c r="L269" t="b">
        <f>Data_Completeness(MileageData[[#This Row],[MPG]:[Acceleration]])</f>
        <v>1</v>
      </c>
    </row>
    <row r="270" spans="1:12" x14ac:dyDescent="0.25">
      <c r="A270">
        <v>18.100000000000001</v>
      </c>
      <c r="B270">
        <v>6</v>
      </c>
      <c r="C270">
        <v>258</v>
      </c>
      <c r="D270">
        <v>120</v>
      </c>
      <c r="E270">
        <v>3410</v>
      </c>
      <c r="F270">
        <v>15.1</v>
      </c>
      <c r="G270">
        <v>78</v>
      </c>
      <c r="H270" t="s">
        <v>1620</v>
      </c>
      <c r="I270" t="s">
        <v>1384</v>
      </c>
      <c r="J270" t="s">
        <v>972</v>
      </c>
      <c r="K270" t="s">
        <v>1385</v>
      </c>
      <c r="L270" t="b">
        <f>Data_Completeness(MileageData[[#This Row],[MPG]:[Acceleration]])</f>
        <v>1</v>
      </c>
    </row>
    <row r="271" spans="1:12" x14ac:dyDescent="0.25">
      <c r="A271">
        <v>19.2</v>
      </c>
      <c r="B271">
        <v>8</v>
      </c>
      <c r="C271">
        <v>305</v>
      </c>
      <c r="D271">
        <v>145</v>
      </c>
      <c r="E271">
        <v>3425</v>
      </c>
      <c r="F271">
        <v>13.2</v>
      </c>
      <c r="G271">
        <v>78</v>
      </c>
      <c r="H271" t="s">
        <v>1620</v>
      </c>
      <c r="I271" t="s">
        <v>1331</v>
      </c>
      <c r="J271" t="s">
        <v>963</v>
      </c>
      <c r="K271" t="s">
        <v>1332</v>
      </c>
      <c r="L271" t="b">
        <f>Data_Completeness(MileageData[[#This Row],[MPG]:[Acceleration]])</f>
        <v>1</v>
      </c>
    </row>
    <row r="272" spans="1:12" x14ac:dyDescent="0.25">
      <c r="A272">
        <v>17.7</v>
      </c>
      <c r="B272">
        <v>6</v>
      </c>
      <c r="C272">
        <v>231</v>
      </c>
      <c r="D272">
        <v>165</v>
      </c>
      <c r="E272">
        <v>3445</v>
      </c>
      <c r="F272">
        <v>13.4</v>
      </c>
      <c r="G272">
        <v>78</v>
      </c>
      <c r="H272" t="s">
        <v>1620</v>
      </c>
      <c r="I272" t="s">
        <v>1386</v>
      </c>
      <c r="J272" t="s">
        <v>966</v>
      </c>
      <c r="K272" t="s">
        <v>1387</v>
      </c>
      <c r="L272" t="b">
        <f>Data_Completeness(MileageData[[#This Row],[MPG]:[Acceleration]])</f>
        <v>1</v>
      </c>
    </row>
    <row r="273" spans="1:12" x14ac:dyDescent="0.25">
      <c r="A273">
        <v>18.100000000000001</v>
      </c>
      <c r="B273">
        <v>8</v>
      </c>
      <c r="C273">
        <v>302</v>
      </c>
      <c r="D273">
        <v>139</v>
      </c>
      <c r="E273">
        <v>3205</v>
      </c>
      <c r="F273">
        <v>11.2</v>
      </c>
      <c r="G273">
        <v>78</v>
      </c>
      <c r="H273" t="s">
        <v>1620</v>
      </c>
      <c r="I273" t="s">
        <v>1388</v>
      </c>
      <c r="J273" t="s">
        <v>975</v>
      </c>
      <c r="K273" t="s">
        <v>1389</v>
      </c>
      <c r="L273" t="b">
        <f>Data_Completeness(MileageData[[#This Row],[MPG]:[Acceleration]])</f>
        <v>1</v>
      </c>
    </row>
    <row r="274" spans="1:12" x14ac:dyDescent="0.25">
      <c r="A274">
        <v>17.5</v>
      </c>
      <c r="B274">
        <v>8</v>
      </c>
      <c r="C274">
        <v>318</v>
      </c>
      <c r="D274">
        <v>140</v>
      </c>
      <c r="E274">
        <v>4080</v>
      </c>
      <c r="F274">
        <v>13.7</v>
      </c>
      <c r="G274">
        <v>78</v>
      </c>
      <c r="H274" t="s">
        <v>1620</v>
      </c>
      <c r="I274" t="s">
        <v>1390</v>
      </c>
      <c r="J274" t="s">
        <v>1000</v>
      </c>
      <c r="K274" t="s">
        <v>1391</v>
      </c>
      <c r="L274" t="b">
        <f>Data_Completeness(MileageData[[#This Row],[MPG]:[Acceleration]])</f>
        <v>1</v>
      </c>
    </row>
    <row r="275" spans="1:12" x14ac:dyDescent="0.25">
      <c r="A275">
        <v>30</v>
      </c>
      <c r="B275">
        <v>4</v>
      </c>
      <c r="C275">
        <v>98</v>
      </c>
      <c r="D275">
        <v>68</v>
      </c>
      <c r="E275">
        <v>2155</v>
      </c>
      <c r="F275">
        <v>16.5</v>
      </c>
      <c r="G275">
        <v>78</v>
      </c>
      <c r="H275" t="s">
        <v>1620</v>
      </c>
      <c r="I275" t="s">
        <v>1274</v>
      </c>
      <c r="J275" t="s">
        <v>963</v>
      </c>
      <c r="K275" t="s">
        <v>1275</v>
      </c>
      <c r="L275" t="b">
        <f>Data_Completeness(MileageData[[#This Row],[MPG]:[Acceleration]])</f>
        <v>1</v>
      </c>
    </row>
    <row r="276" spans="1:12" x14ac:dyDescent="0.25">
      <c r="A276">
        <v>27.5</v>
      </c>
      <c r="B276">
        <v>4</v>
      </c>
      <c r="C276">
        <v>134</v>
      </c>
      <c r="D276">
        <v>95</v>
      </c>
      <c r="E276">
        <v>2560</v>
      </c>
      <c r="F276">
        <v>14.2</v>
      </c>
      <c r="G276">
        <v>78</v>
      </c>
      <c r="H276" t="s">
        <v>1622</v>
      </c>
      <c r="I276" t="s">
        <v>1048</v>
      </c>
      <c r="J276" t="s">
        <v>1010</v>
      </c>
      <c r="K276" t="s">
        <v>1049</v>
      </c>
      <c r="L276" t="b">
        <f>Data_Completeness(MileageData[[#This Row],[MPG]:[Acceleration]])</f>
        <v>1</v>
      </c>
    </row>
    <row r="277" spans="1:12" x14ac:dyDescent="0.25">
      <c r="A277">
        <v>27.2</v>
      </c>
      <c r="B277">
        <v>4</v>
      </c>
      <c r="C277">
        <v>119</v>
      </c>
      <c r="D277">
        <v>97</v>
      </c>
      <c r="E277">
        <v>2300</v>
      </c>
      <c r="F277">
        <v>14.7</v>
      </c>
      <c r="G277">
        <v>78</v>
      </c>
      <c r="H277" t="s">
        <v>1622</v>
      </c>
      <c r="I277" t="s">
        <v>1392</v>
      </c>
      <c r="J277" t="s">
        <v>1019</v>
      </c>
      <c r="K277">
        <v>510</v>
      </c>
      <c r="L277" t="b">
        <f>Data_Completeness(MileageData[[#This Row],[MPG]:[Acceleration]])</f>
        <v>1</v>
      </c>
    </row>
    <row r="278" spans="1:12" x14ac:dyDescent="0.25">
      <c r="A278">
        <v>30.9</v>
      </c>
      <c r="B278">
        <v>4</v>
      </c>
      <c r="C278">
        <v>105</v>
      </c>
      <c r="D278">
        <v>75</v>
      </c>
      <c r="E278">
        <v>2230</v>
      </c>
      <c r="F278">
        <v>14.5</v>
      </c>
      <c r="G278">
        <v>78</v>
      </c>
      <c r="H278" t="s">
        <v>1620</v>
      </c>
      <c r="I278" t="s">
        <v>1393</v>
      </c>
      <c r="J278" t="s">
        <v>1000</v>
      </c>
      <c r="K278" t="s">
        <v>1394</v>
      </c>
      <c r="L278" t="b">
        <f>Data_Completeness(MileageData[[#This Row],[MPG]:[Acceleration]])</f>
        <v>1</v>
      </c>
    </row>
    <row r="279" spans="1:12" x14ac:dyDescent="0.25">
      <c r="A279">
        <v>21.1</v>
      </c>
      <c r="B279">
        <v>4</v>
      </c>
      <c r="C279">
        <v>134</v>
      </c>
      <c r="D279">
        <v>95</v>
      </c>
      <c r="E279">
        <v>2515</v>
      </c>
      <c r="F279">
        <v>14.8</v>
      </c>
      <c r="G279">
        <v>78</v>
      </c>
      <c r="H279" t="s">
        <v>1622</v>
      </c>
      <c r="I279" t="s">
        <v>1395</v>
      </c>
      <c r="J279" t="s">
        <v>1010</v>
      </c>
      <c r="K279" t="s">
        <v>1396</v>
      </c>
      <c r="L279" t="b">
        <f>Data_Completeness(MileageData[[#This Row],[MPG]:[Acceleration]])</f>
        <v>1</v>
      </c>
    </row>
    <row r="280" spans="1:12" x14ac:dyDescent="0.25">
      <c r="A280">
        <v>23.2</v>
      </c>
      <c r="B280">
        <v>4</v>
      </c>
      <c r="C280">
        <v>156</v>
      </c>
      <c r="D280">
        <v>105</v>
      </c>
      <c r="E280">
        <v>2745</v>
      </c>
      <c r="F280">
        <v>16.7</v>
      </c>
      <c r="G280">
        <v>78</v>
      </c>
      <c r="H280" t="s">
        <v>1620</v>
      </c>
      <c r="I280" t="s">
        <v>1397</v>
      </c>
      <c r="J280" t="s">
        <v>969</v>
      </c>
      <c r="K280" t="s">
        <v>1398</v>
      </c>
      <c r="L280" t="b">
        <f>Data_Completeness(MileageData[[#This Row],[MPG]:[Acceleration]])</f>
        <v>1</v>
      </c>
    </row>
    <row r="281" spans="1:12" x14ac:dyDescent="0.25">
      <c r="A281">
        <v>23.8</v>
      </c>
      <c r="B281">
        <v>4</v>
      </c>
      <c r="C281">
        <v>151</v>
      </c>
      <c r="D281">
        <v>85</v>
      </c>
      <c r="E281">
        <v>2855</v>
      </c>
      <c r="F281">
        <v>17.600000000000001</v>
      </c>
      <c r="G281">
        <v>78</v>
      </c>
      <c r="H281" t="s">
        <v>1620</v>
      </c>
      <c r="I281" t="s">
        <v>1399</v>
      </c>
      <c r="J281" t="s">
        <v>1109</v>
      </c>
      <c r="K281" t="s">
        <v>1400</v>
      </c>
      <c r="L281" t="b">
        <f>Data_Completeness(MileageData[[#This Row],[MPG]:[Acceleration]])</f>
        <v>1</v>
      </c>
    </row>
    <row r="282" spans="1:12" x14ac:dyDescent="0.25">
      <c r="A282">
        <v>23.9</v>
      </c>
      <c r="B282">
        <v>4</v>
      </c>
      <c r="C282">
        <v>119</v>
      </c>
      <c r="D282">
        <v>97</v>
      </c>
      <c r="E282">
        <v>2405</v>
      </c>
      <c r="F282">
        <v>14.9</v>
      </c>
      <c r="G282">
        <v>78</v>
      </c>
      <c r="H282" t="s">
        <v>1622</v>
      </c>
      <c r="I282" t="s">
        <v>1401</v>
      </c>
      <c r="J282" t="s">
        <v>1019</v>
      </c>
      <c r="K282" t="s">
        <v>1402</v>
      </c>
      <c r="L282" t="b">
        <f>Data_Completeness(MileageData[[#This Row],[MPG]:[Acceleration]])</f>
        <v>1</v>
      </c>
    </row>
    <row r="283" spans="1:12" x14ac:dyDescent="0.25">
      <c r="A283">
        <v>20.3</v>
      </c>
      <c r="B283">
        <v>5</v>
      </c>
      <c r="C283">
        <v>131</v>
      </c>
      <c r="D283">
        <v>103</v>
      </c>
      <c r="E283">
        <v>2830</v>
      </c>
      <c r="F283">
        <v>15.9</v>
      </c>
      <c r="G283">
        <v>78</v>
      </c>
      <c r="H283" t="s">
        <v>1621</v>
      </c>
      <c r="I283" t="s">
        <v>1403</v>
      </c>
      <c r="J283" t="s">
        <v>1027</v>
      </c>
      <c r="K283">
        <v>5000</v>
      </c>
      <c r="L283" t="b">
        <f>Data_Completeness(MileageData[[#This Row],[MPG]:[Acceleration]])</f>
        <v>1</v>
      </c>
    </row>
    <row r="284" spans="1:12" x14ac:dyDescent="0.25">
      <c r="A284">
        <v>17</v>
      </c>
      <c r="B284">
        <v>6</v>
      </c>
      <c r="C284">
        <v>163</v>
      </c>
      <c r="D284">
        <v>125</v>
      </c>
      <c r="E284">
        <v>3140</v>
      </c>
      <c r="F284">
        <v>13.6</v>
      </c>
      <c r="G284">
        <v>78</v>
      </c>
      <c r="H284" t="s">
        <v>1621</v>
      </c>
      <c r="I284" t="s">
        <v>1404</v>
      </c>
      <c r="J284" t="s">
        <v>1124</v>
      </c>
      <c r="K284" t="s">
        <v>1405</v>
      </c>
      <c r="L284" t="b">
        <f>Data_Completeness(MileageData[[#This Row],[MPG]:[Acceleration]])</f>
        <v>1</v>
      </c>
    </row>
    <row r="285" spans="1:12" x14ac:dyDescent="0.25">
      <c r="A285">
        <v>21.6</v>
      </c>
      <c r="B285">
        <v>4</v>
      </c>
      <c r="C285">
        <v>121</v>
      </c>
      <c r="D285">
        <v>115</v>
      </c>
      <c r="E285">
        <v>2795</v>
      </c>
      <c r="F285">
        <v>15.7</v>
      </c>
      <c r="G285">
        <v>78</v>
      </c>
      <c r="H285" t="s">
        <v>1621</v>
      </c>
      <c r="I285" t="s">
        <v>1406</v>
      </c>
      <c r="J285" t="s">
        <v>1030</v>
      </c>
      <c r="K285" t="s">
        <v>1407</v>
      </c>
      <c r="L285" t="b">
        <f>Data_Completeness(MileageData[[#This Row],[MPG]:[Acceleration]])</f>
        <v>1</v>
      </c>
    </row>
    <row r="286" spans="1:12" x14ac:dyDescent="0.25">
      <c r="A286">
        <v>16.2</v>
      </c>
      <c r="B286">
        <v>6</v>
      </c>
      <c r="C286">
        <v>163</v>
      </c>
      <c r="D286">
        <v>133</v>
      </c>
      <c r="E286">
        <v>3410</v>
      </c>
      <c r="F286">
        <v>15.8</v>
      </c>
      <c r="G286">
        <v>78</v>
      </c>
      <c r="H286" t="s">
        <v>1621</v>
      </c>
      <c r="I286" t="s">
        <v>1408</v>
      </c>
      <c r="J286" t="s">
        <v>1025</v>
      </c>
      <c r="K286" t="s">
        <v>1409</v>
      </c>
      <c r="L286" t="b">
        <f>Data_Completeness(MileageData[[#This Row],[MPG]:[Acceleration]])</f>
        <v>1</v>
      </c>
    </row>
    <row r="287" spans="1:12" x14ac:dyDescent="0.25">
      <c r="A287">
        <v>31.5</v>
      </c>
      <c r="B287">
        <v>4</v>
      </c>
      <c r="C287">
        <v>89</v>
      </c>
      <c r="D287">
        <v>71</v>
      </c>
      <c r="E287">
        <v>1990</v>
      </c>
      <c r="F287">
        <v>14.9</v>
      </c>
      <c r="G287">
        <v>78</v>
      </c>
      <c r="H287" t="s">
        <v>1621</v>
      </c>
      <c r="I287" t="s">
        <v>1410</v>
      </c>
      <c r="J287" t="s">
        <v>1022</v>
      </c>
      <c r="K287" t="s">
        <v>1411</v>
      </c>
      <c r="L287" t="b">
        <f>Data_Completeness(MileageData[[#This Row],[MPG]:[Acceleration]])</f>
        <v>1</v>
      </c>
    </row>
    <row r="288" spans="1:12" x14ac:dyDescent="0.25">
      <c r="A288">
        <v>29.5</v>
      </c>
      <c r="B288">
        <v>4</v>
      </c>
      <c r="C288">
        <v>98</v>
      </c>
      <c r="D288">
        <v>68</v>
      </c>
      <c r="E288">
        <v>2135</v>
      </c>
      <c r="F288">
        <v>16.600000000000001</v>
      </c>
      <c r="G288">
        <v>78</v>
      </c>
      <c r="H288" t="s">
        <v>1622</v>
      </c>
      <c r="I288" t="s">
        <v>1412</v>
      </c>
      <c r="J288" t="s">
        <v>1229</v>
      </c>
      <c r="K288" t="s">
        <v>1413</v>
      </c>
      <c r="L288" t="b">
        <f>Data_Completeness(MileageData[[#This Row],[MPG]:[Acceleration]])</f>
        <v>1</v>
      </c>
    </row>
    <row r="289" spans="1:12" x14ac:dyDescent="0.25">
      <c r="A289">
        <v>21.5</v>
      </c>
      <c r="B289">
        <v>6</v>
      </c>
      <c r="C289">
        <v>231</v>
      </c>
      <c r="D289">
        <v>115</v>
      </c>
      <c r="E289">
        <v>3245</v>
      </c>
      <c r="F289">
        <v>15.4</v>
      </c>
      <c r="G289">
        <v>79</v>
      </c>
      <c r="H289" t="s">
        <v>1620</v>
      </c>
      <c r="I289" t="s">
        <v>1414</v>
      </c>
      <c r="J289" t="s">
        <v>984</v>
      </c>
      <c r="K289" t="s">
        <v>1415</v>
      </c>
      <c r="L289" t="b">
        <f>Data_Completeness(MileageData[[#This Row],[MPG]:[Acceleration]])</f>
        <v>1</v>
      </c>
    </row>
    <row r="290" spans="1:12" x14ac:dyDescent="0.25">
      <c r="A290">
        <v>19.8</v>
      </c>
      <c r="B290">
        <v>6</v>
      </c>
      <c r="C290">
        <v>200</v>
      </c>
      <c r="D290">
        <v>85</v>
      </c>
      <c r="E290">
        <v>2990</v>
      </c>
      <c r="F290">
        <v>18.2</v>
      </c>
      <c r="G290">
        <v>79</v>
      </c>
      <c r="H290" t="s">
        <v>1620</v>
      </c>
      <c r="I290" t="s">
        <v>1416</v>
      </c>
      <c r="J290" t="s">
        <v>1077</v>
      </c>
      <c r="K290" t="s">
        <v>1417</v>
      </c>
      <c r="L290" t="b">
        <f>Data_Completeness(MileageData[[#This Row],[MPG]:[Acceleration]])</f>
        <v>1</v>
      </c>
    </row>
    <row r="291" spans="1:12" x14ac:dyDescent="0.25">
      <c r="A291">
        <v>22.3</v>
      </c>
      <c r="B291">
        <v>4</v>
      </c>
      <c r="C291">
        <v>140</v>
      </c>
      <c r="D291">
        <v>88</v>
      </c>
      <c r="E291">
        <v>2890</v>
      </c>
      <c r="F291">
        <v>17.3</v>
      </c>
      <c r="G291">
        <v>79</v>
      </c>
      <c r="H291" t="s">
        <v>1620</v>
      </c>
      <c r="I291" t="s">
        <v>1418</v>
      </c>
      <c r="J291" t="s">
        <v>975</v>
      </c>
      <c r="K291" t="s">
        <v>1419</v>
      </c>
      <c r="L291" t="b">
        <f>Data_Completeness(MileageData[[#This Row],[MPG]:[Acceleration]])</f>
        <v>1</v>
      </c>
    </row>
    <row r="292" spans="1:12" x14ac:dyDescent="0.25">
      <c r="A292">
        <v>20.2</v>
      </c>
      <c r="B292">
        <v>6</v>
      </c>
      <c r="C292">
        <v>232</v>
      </c>
      <c r="D292">
        <v>90</v>
      </c>
      <c r="E292">
        <v>3265</v>
      </c>
      <c r="F292">
        <v>18.2</v>
      </c>
      <c r="G292">
        <v>79</v>
      </c>
      <c r="H292" t="s">
        <v>1620</v>
      </c>
      <c r="I292" t="s">
        <v>1420</v>
      </c>
      <c r="J292" t="s">
        <v>972</v>
      </c>
      <c r="K292" t="s">
        <v>1421</v>
      </c>
      <c r="L292" t="b">
        <f>Data_Completeness(MileageData[[#This Row],[MPG]:[Acceleration]])</f>
        <v>1</v>
      </c>
    </row>
    <row r="293" spans="1:12" x14ac:dyDescent="0.25">
      <c r="A293">
        <v>20.6</v>
      </c>
      <c r="B293">
        <v>6</v>
      </c>
      <c r="C293">
        <v>225</v>
      </c>
      <c r="D293">
        <v>110</v>
      </c>
      <c r="E293">
        <v>3360</v>
      </c>
      <c r="F293">
        <v>16.600000000000001</v>
      </c>
      <c r="G293">
        <v>79</v>
      </c>
      <c r="H293" t="s">
        <v>1620</v>
      </c>
      <c r="I293" t="s">
        <v>1422</v>
      </c>
      <c r="J293" t="s">
        <v>1000</v>
      </c>
      <c r="K293" t="s">
        <v>1423</v>
      </c>
      <c r="L293" t="b">
        <f>Data_Completeness(MileageData[[#This Row],[MPG]:[Acceleration]])</f>
        <v>1</v>
      </c>
    </row>
    <row r="294" spans="1:12" x14ac:dyDescent="0.25">
      <c r="A294">
        <v>17</v>
      </c>
      <c r="B294">
        <v>8</v>
      </c>
      <c r="C294">
        <v>305</v>
      </c>
      <c r="D294">
        <v>130</v>
      </c>
      <c r="E294">
        <v>3840</v>
      </c>
      <c r="F294">
        <v>15.4</v>
      </c>
      <c r="G294">
        <v>79</v>
      </c>
      <c r="H294" t="s">
        <v>1620</v>
      </c>
      <c r="I294" t="s">
        <v>1154</v>
      </c>
      <c r="J294" t="s">
        <v>963</v>
      </c>
      <c r="K294" t="s">
        <v>1155</v>
      </c>
      <c r="L294" t="b">
        <f>Data_Completeness(MileageData[[#This Row],[MPG]:[Acceleration]])</f>
        <v>1</v>
      </c>
    </row>
    <row r="295" spans="1:12" x14ac:dyDescent="0.25">
      <c r="A295">
        <v>17.600000000000001</v>
      </c>
      <c r="B295">
        <v>8</v>
      </c>
      <c r="C295">
        <v>302</v>
      </c>
      <c r="D295">
        <v>129</v>
      </c>
      <c r="E295">
        <v>3725</v>
      </c>
      <c r="F295">
        <v>13.4</v>
      </c>
      <c r="G295">
        <v>79</v>
      </c>
      <c r="H295" t="s">
        <v>1620</v>
      </c>
      <c r="I295" t="s">
        <v>1424</v>
      </c>
      <c r="J295" t="s">
        <v>975</v>
      </c>
      <c r="K295" t="s">
        <v>1425</v>
      </c>
      <c r="L295" t="b">
        <f>Data_Completeness(MileageData[[#This Row],[MPG]:[Acceleration]])</f>
        <v>1</v>
      </c>
    </row>
    <row r="296" spans="1:12" x14ac:dyDescent="0.25">
      <c r="A296">
        <v>16.5</v>
      </c>
      <c r="B296">
        <v>8</v>
      </c>
      <c r="C296">
        <v>351</v>
      </c>
      <c r="D296">
        <v>138</v>
      </c>
      <c r="E296">
        <v>3955</v>
      </c>
      <c r="F296">
        <v>13.2</v>
      </c>
      <c r="G296">
        <v>79</v>
      </c>
      <c r="H296" t="s">
        <v>1620</v>
      </c>
      <c r="I296" t="s">
        <v>1426</v>
      </c>
      <c r="J296" t="s">
        <v>1077</v>
      </c>
      <c r="K296" t="s">
        <v>1427</v>
      </c>
      <c r="L296" t="b">
        <f>Data_Completeness(MileageData[[#This Row],[MPG]:[Acceleration]])</f>
        <v>1</v>
      </c>
    </row>
    <row r="297" spans="1:12" x14ac:dyDescent="0.25">
      <c r="A297">
        <v>18.2</v>
      </c>
      <c r="B297">
        <v>8</v>
      </c>
      <c r="C297">
        <v>318</v>
      </c>
      <c r="D297">
        <v>135</v>
      </c>
      <c r="E297">
        <v>3830</v>
      </c>
      <c r="F297">
        <v>15.2</v>
      </c>
      <c r="G297">
        <v>79</v>
      </c>
      <c r="H297" t="s">
        <v>1620</v>
      </c>
      <c r="I297" t="s">
        <v>1428</v>
      </c>
      <c r="J297" t="s">
        <v>1000</v>
      </c>
      <c r="K297" t="s">
        <v>1429</v>
      </c>
      <c r="L297" t="b">
        <f>Data_Completeness(MileageData[[#This Row],[MPG]:[Acceleration]])</f>
        <v>1</v>
      </c>
    </row>
    <row r="298" spans="1:12" x14ac:dyDescent="0.25">
      <c r="A298">
        <v>16.899999999999999</v>
      </c>
      <c r="B298">
        <v>8</v>
      </c>
      <c r="C298">
        <v>350</v>
      </c>
      <c r="D298">
        <v>155</v>
      </c>
      <c r="E298">
        <v>4360</v>
      </c>
      <c r="F298">
        <v>14.9</v>
      </c>
      <c r="G298">
        <v>79</v>
      </c>
      <c r="H298" t="s">
        <v>1620</v>
      </c>
      <c r="I298" t="s">
        <v>1007</v>
      </c>
      <c r="J298" t="s">
        <v>966</v>
      </c>
      <c r="K298" t="s">
        <v>1008</v>
      </c>
      <c r="L298" t="b">
        <f>Data_Completeness(MileageData[[#This Row],[MPG]:[Acceleration]])</f>
        <v>1</v>
      </c>
    </row>
    <row r="299" spans="1:12" x14ac:dyDescent="0.25">
      <c r="A299">
        <v>15.5</v>
      </c>
      <c r="B299">
        <v>8</v>
      </c>
      <c r="C299">
        <v>351</v>
      </c>
      <c r="D299">
        <v>142</v>
      </c>
      <c r="E299">
        <v>4054</v>
      </c>
      <c r="F299">
        <v>14.3</v>
      </c>
      <c r="G299">
        <v>79</v>
      </c>
      <c r="H299" t="s">
        <v>1620</v>
      </c>
      <c r="I299" t="s">
        <v>1064</v>
      </c>
      <c r="J299" t="s">
        <v>975</v>
      </c>
      <c r="K299" t="s">
        <v>1065</v>
      </c>
      <c r="L299" t="b">
        <f>Data_Completeness(MileageData[[#This Row],[MPG]:[Acceleration]])</f>
        <v>1</v>
      </c>
    </row>
    <row r="300" spans="1:12" x14ac:dyDescent="0.25">
      <c r="A300">
        <v>19.2</v>
      </c>
      <c r="B300">
        <v>8</v>
      </c>
      <c r="C300">
        <v>267</v>
      </c>
      <c r="D300">
        <v>125</v>
      </c>
      <c r="E300">
        <v>3605</v>
      </c>
      <c r="F300">
        <v>15</v>
      </c>
      <c r="G300">
        <v>79</v>
      </c>
      <c r="H300" t="s">
        <v>1620</v>
      </c>
      <c r="I300" t="s">
        <v>1430</v>
      </c>
      <c r="J300" t="s">
        <v>963</v>
      </c>
      <c r="K300" t="s">
        <v>1431</v>
      </c>
      <c r="L300" t="b">
        <f>Data_Completeness(MileageData[[#This Row],[MPG]:[Acceleration]])</f>
        <v>1</v>
      </c>
    </row>
    <row r="301" spans="1:12" x14ac:dyDescent="0.25">
      <c r="A301">
        <v>18.5</v>
      </c>
      <c r="B301">
        <v>8</v>
      </c>
      <c r="C301">
        <v>360</v>
      </c>
      <c r="D301">
        <v>150</v>
      </c>
      <c r="E301">
        <v>3940</v>
      </c>
      <c r="F301">
        <v>13</v>
      </c>
      <c r="G301">
        <v>79</v>
      </c>
      <c r="H301" t="s">
        <v>1620</v>
      </c>
      <c r="I301" t="s">
        <v>1432</v>
      </c>
      <c r="J301" t="s">
        <v>1112</v>
      </c>
      <c r="K301" t="s">
        <v>1433</v>
      </c>
      <c r="L301" t="b">
        <f>Data_Completeness(MileageData[[#This Row],[MPG]:[Acceleration]])</f>
        <v>1</v>
      </c>
    </row>
    <row r="302" spans="1:12" x14ac:dyDescent="0.25">
      <c r="A302">
        <v>31.9</v>
      </c>
      <c r="B302">
        <v>4</v>
      </c>
      <c r="C302">
        <v>89</v>
      </c>
      <c r="D302">
        <v>71</v>
      </c>
      <c r="E302">
        <v>1925</v>
      </c>
      <c r="F302">
        <v>14</v>
      </c>
      <c r="G302">
        <v>79</v>
      </c>
      <c r="H302" t="s">
        <v>1621</v>
      </c>
      <c r="I302" t="s">
        <v>1434</v>
      </c>
      <c r="J302" t="s">
        <v>1279</v>
      </c>
      <c r="K302" t="s">
        <v>1338</v>
      </c>
      <c r="L302" t="b">
        <f>Data_Completeness(MileageData[[#This Row],[MPG]:[Acceleration]])</f>
        <v>1</v>
      </c>
    </row>
    <row r="303" spans="1:12" x14ac:dyDescent="0.25">
      <c r="A303">
        <v>34.1</v>
      </c>
      <c r="B303">
        <v>4</v>
      </c>
      <c r="C303">
        <v>86</v>
      </c>
      <c r="D303">
        <v>65</v>
      </c>
      <c r="E303">
        <v>1975</v>
      </c>
      <c r="F303">
        <v>15.2</v>
      </c>
      <c r="G303">
        <v>79</v>
      </c>
      <c r="H303" t="s">
        <v>1622</v>
      </c>
      <c r="I303" t="s">
        <v>1435</v>
      </c>
      <c r="J303" t="s">
        <v>1182</v>
      </c>
      <c r="K303" t="s">
        <v>1359</v>
      </c>
      <c r="L303" t="b">
        <f>Data_Completeness(MileageData[[#This Row],[MPG]:[Acceleration]])</f>
        <v>1</v>
      </c>
    </row>
    <row r="304" spans="1:12" x14ac:dyDescent="0.25">
      <c r="A304">
        <v>35.700000000000003</v>
      </c>
      <c r="B304">
        <v>4</v>
      </c>
      <c r="C304">
        <v>98</v>
      </c>
      <c r="D304">
        <v>80</v>
      </c>
      <c r="E304">
        <v>1915</v>
      </c>
      <c r="F304">
        <v>14.4</v>
      </c>
      <c r="G304">
        <v>79</v>
      </c>
      <c r="H304" t="s">
        <v>1620</v>
      </c>
      <c r="I304" t="s">
        <v>1436</v>
      </c>
      <c r="J304" t="s">
        <v>1000</v>
      </c>
      <c r="K304" t="s">
        <v>1437</v>
      </c>
      <c r="L304" t="b">
        <f>Data_Completeness(MileageData[[#This Row],[MPG]:[Acceleration]])</f>
        <v>1</v>
      </c>
    </row>
    <row r="305" spans="1:12" x14ac:dyDescent="0.25">
      <c r="A305">
        <v>27.4</v>
      </c>
      <c r="B305">
        <v>4</v>
      </c>
      <c r="C305">
        <v>121</v>
      </c>
      <c r="D305">
        <v>80</v>
      </c>
      <c r="E305">
        <v>2670</v>
      </c>
      <c r="F305">
        <v>15</v>
      </c>
      <c r="G305">
        <v>79</v>
      </c>
      <c r="H305" t="s">
        <v>1620</v>
      </c>
      <c r="I305" t="s">
        <v>1438</v>
      </c>
      <c r="J305" t="s">
        <v>972</v>
      </c>
      <c r="K305" t="s">
        <v>1439</v>
      </c>
      <c r="L305" t="b">
        <f>Data_Completeness(MileageData[[#This Row],[MPG]:[Acceleration]])</f>
        <v>1</v>
      </c>
    </row>
    <row r="306" spans="1:12" x14ac:dyDescent="0.25">
      <c r="A306">
        <v>25.4</v>
      </c>
      <c r="B306">
        <v>5</v>
      </c>
      <c r="C306">
        <v>183</v>
      </c>
      <c r="D306">
        <v>77</v>
      </c>
      <c r="E306">
        <v>3530</v>
      </c>
      <c r="F306">
        <v>20.100000000000001</v>
      </c>
      <c r="G306">
        <v>79</v>
      </c>
      <c r="H306" t="s">
        <v>1621</v>
      </c>
      <c r="I306" t="s">
        <v>1440</v>
      </c>
      <c r="J306" t="s">
        <v>1441</v>
      </c>
      <c r="K306" t="s">
        <v>1442</v>
      </c>
      <c r="L306" t="b">
        <f>Data_Completeness(MileageData[[#This Row],[MPG]:[Acceleration]])</f>
        <v>1</v>
      </c>
    </row>
    <row r="307" spans="1:12" x14ac:dyDescent="0.25">
      <c r="A307">
        <v>23</v>
      </c>
      <c r="B307">
        <v>8</v>
      </c>
      <c r="C307">
        <v>350</v>
      </c>
      <c r="D307">
        <v>125</v>
      </c>
      <c r="E307">
        <v>3900</v>
      </c>
      <c r="F307">
        <v>17.399999999999999</v>
      </c>
      <c r="G307">
        <v>79</v>
      </c>
      <c r="H307" t="s">
        <v>1620</v>
      </c>
      <c r="I307" t="s">
        <v>1443</v>
      </c>
      <c r="J307" t="s">
        <v>1297</v>
      </c>
      <c r="K307" t="s">
        <v>1444</v>
      </c>
      <c r="L307" t="b">
        <f>Data_Completeness(MileageData[[#This Row],[MPG]:[Acceleration]])</f>
        <v>1</v>
      </c>
    </row>
    <row r="308" spans="1:12" x14ac:dyDescent="0.25">
      <c r="A308">
        <v>27.2</v>
      </c>
      <c r="B308">
        <v>4</v>
      </c>
      <c r="C308">
        <v>141</v>
      </c>
      <c r="D308">
        <v>71</v>
      </c>
      <c r="E308">
        <v>3190</v>
      </c>
      <c r="F308">
        <v>24.8</v>
      </c>
      <c r="G308">
        <v>79</v>
      </c>
      <c r="H308" t="s">
        <v>1621</v>
      </c>
      <c r="I308" t="s">
        <v>1024</v>
      </c>
      <c r="J308" t="s">
        <v>1025</v>
      </c>
      <c r="K308">
        <v>504</v>
      </c>
      <c r="L308" t="b">
        <f>Data_Completeness(MileageData[[#This Row],[MPG]:[Acceleration]])</f>
        <v>1</v>
      </c>
    </row>
    <row r="309" spans="1:12" x14ac:dyDescent="0.25">
      <c r="A309">
        <v>23.9</v>
      </c>
      <c r="B309">
        <v>8</v>
      </c>
      <c r="C309">
        <v>260</v>
      </c>
      <c r="D309">
        <v>90</v>
      </c>
      <c r="E309">
        <v>3420</v>
      </c>
      <c r="F309">
        <v>22.2</v>
      </c>
      <c r="G309">
        <v>79</v>
      </c>
      <c r="H309" t="s">
        <v>1620</v>
      </c>
      <c r="I309" t="s">
        <v>1362</v>
      </c>
      <c r="J309" t="s">
        <v>1109</v>
      </c>
      <c r="K309" t="s">
        <v>1363</v>
      </c>
      <c r="L309" t="b">
        <f>Data_Completeness(MileageData[[#This Row],[MPG]:[Acceleration]])</f>
        <v>1</v>
      </c>
    </row>
    <row r="310" spans="1:12" x14ac:dyDescent="0.25">
      <c r="A310">
        <v>34.200000000000003</v>
      </c>
      <c r="B310">
        <v>4</v>
      </c>
      <c r="C310">
        <v>105</v>
      </c>
      <c r="D310">
        <v>70</v>
      </c>
      <c r="E310">
        <v>2200</v>
      </c>
      <c r="F310">
        <v>13.2</v>
      </c>
      <c r="G310">
        <v>79</v>
      </c>
      <c r="H310" t="s">
        <v>1620</v>
      </c>
      <c r="I310" t="s">
        <v>1445</v>
      </c>
      <c r="J310" t="s">
        <v>969</v>
      </c>
      <c r="K310" t="s">
        <v>1446</v>
      </c>
      <c r="L310" t="b">
        <f>Data_Completeness(MileageData[[#This Row],[MPG]:[Acceleration]])</f>
        <v>1</v>
      </c>
    </row>
    <row r="311" spans="1:12" x14ac:dyDescent="0.25">
      <c r="A311">
        <v>34.5</v>
      </c>
      <c r="B311">
        <v>4</v>
      </c>
      <c r="C311">
        <v>105</v>
      </c>
      <c r="D311">
        <v>70</v>
      </c>
      <c r="E311">
        <v>2150</v>
      </c>
      <c r="F311">
        <v>14.9</v>
      </c>
      <c r="G311">
        <v>79</v>
      </c>
      <c r="H311" t="s">
        <v>1620</v>
      </c>
      <c r="I311" t="s">
        <v>1447</v>
      </c>
      <c r="J311" t="s">
        <v>969</v>
      </c>
      <c r="K311" t="s">
        <v>1448</v>
      </c>
      <c r="L311" t="b">
        <f>Data_Completeness(MileageData[[#This Row],[MPG]:[Acceleration]])</f>
        <v>1</v>
      </c>
    </row>
    <row r="312" spans="1:12" x14ac:dyDescent="0.25">
      <c r="A312">
        <v>31.8</v>
      </c>
      <c r="B312">
        <v>4</v>
      </c>
      <c r="C312">
        <v>85</v>
      </c>
      <c r="D312">
        <v>65</v>
      </c>
      <c r="E312">
        <v>2020</v>
      </c>
      <c r="F312">
        <v>19.2</v>
      </c>
      <c r="G312">
        <v>79</v>
      </c>
      <c r="H312" t="s">
        <v>1622</v>
      </c>
      <c r="I312" t="s">
        <v>1449</v>
      </c>
      <c r="J312" t="s">
        <v>1019</v>
      </c>
      <c r="K312">
        <v>210</v>
      </c>
      <c r="L312" t="b">
        <f>Data_Completeness(MileageData[[#This Row],[MPG]:[Acceleration]])</f>
        <v>1</v>
      </c>
    </row>
    <row r="313" spans="1:12" x14ac:dyDescent="0.25">
      <c r="A313">
        <v>37.299999999999997</v>
      </c>
      <c r="B313">
        <v>4</v>
      </c>
      <c r="C313">
        <v>91</v>
      </c>
      <c r="D313">
        <v>69</v>
      </c>
      <c r="E313">
        <v>2130</v>
      </c>
      <c r="F313">
        <v>14.7</v>
      </c>
      <c r="G313">
        <v>79</v>
      </c>
      <c r="H313" t="s">
        <v>1621</v>
      </c>
      <c r="I313" t="s">
        <v>1450</v>
      </c>
      <c r="J313" t="s">
        <v>1083</v>
      </c>
      <c r="K313" t="s">
        <v>1451</v>
      </c>
      <c r="L313" t="b">
        <f>Data_Completeness(MileageData[[#This Row],[MPG]:[Acceleration]])</f>
        <v>1</v>
      </c>
    </row>
    <row r="314" spans="1:12" x14ac:dyDescent="0.25">
      <c r="A314">
        <v>28.4</v>
      </c>
      <c r="B314">
        <v>4</v>
      </c>
      <c r="C314">
        <v>151</v>
      </c>
      <c r="D314">
        <v>90</v>
      </c>
      <c r="E314">
        <v>2670</v>
      </c>
      <c r="F314">
        <v>16</v>
      </c>
      <c r="G314">
        <v>79</v>
      </c>
      <c r="H314" t="s">
        <v>1620</v>
      </c>
      <c r="I314" t="s">
        <v>1452</v>
      </c>
      <c r="J314" t="s">
        <v>966</v>
      </c>
      <c r="K314" t="s">
        <v>1453</v>
      </c>
      <c r="L314" t="b">
        <f>Data_Completeness(MileageData[[#This Row],[MPG]:[Acceleration]])</f>
        <v>1</v>
      </c>
    </row>
    <row r="315" spans="1:12" x14ac:dyDescent="0.25">
      <c r="A315">
        <v>28.8</v>
      </c>
      <c r="B315">
        <v>6</v>
      </c>
      <c r="C315">
        <v>173</v>
      </c>
      <c r="D315">
        <v>115</v>
      </c>
      <c r="E315">
        <v>2595</v>
      </c>
      <c r="F315">
        <v>11.3</v>
      </c>
      <c r="G315">
        <v>79</v>
      </c>
      <c r="H315" t="s">
        <v>1620</v>
      </c>
      <c r="I315" t="s">
        <v>1454</v>
      </c>
      <c r="J315" t="s">
        <v>963</v>
      </c>
      <c r="K315" t="s">
        <v>1455</v>
      </c>
      <c r="L315" t="b">
        <f>Data_Completeness(MileageData[[#This Row],[MPG]:[Acceleration]])</f>
        <v>1</v>
      </c>
    </row>
    <row r="316" spans="1:12" x14ac:dyDescent="0.25">
      <c r="A316">
        <v>26.8</v>
      </c>
      <c r="B316">
        <v>6</v>
      </c>
      <c r="C316">
        <v>173</v>
      </c>
      <c r="D316">
        <v>115</v>
      </c>
      <c r="E316">
        <v>2700</v>
      </c>
      <c r="F316">
        <v>12.9</v>
      </c>
      <c r="G316">
        <v>79</v>
      </c>
      <c r="H316" t="s">
        <v>1620</v>
      </c>
      <c r="I316" t="s">
        <v>1456</v>
      </c>
      <c r="J316" t="s">
        <v>1109</v>
      </c>
      <c r="K316" t="s">
        <v>1457</v>
      </c>
      <c r="L316" t="b">
        <f>Data_Completeness(MileageData[[#This Row],[MPG]:[Acceleration]])</f>
        <v>1</v>
      </c>
    </row>
    <row r="317" spans="1:12" x14ac:dyDescent="0.25">
      <c r="A317">
        <v>33.5</v>
      </c>
      <c r="B317">
        <v>4</v>
      </c>
      <c r="C317">
        <v>151</v>
      </c>
      <c r="D317">
        <v>90</v>
      </c>
      <c r="E317">
        <v>2556</v>
      </c>
      <c r="F317">
        <v>13.2</v>
      </c>
      <c r="G317">
        <v>79</v>
      </c>
      <c r="H317" t="s">
        <v>1620</v>
      </c>
      <c r="I317" t="s">
        <v>1458</v>
      </c>
      <c r="J317" t="s">
        <v>984</v>
      </c>
      <c r="K317" t="s">
        <v>1459</v>
      </c>
      <c r="L317" t="b">
        <f>Data_Completeness(MileageData[[#This Row],[MPG]:[Acceleration]])</f>
        <v>1</v>
      </c>
    </row>
    <row r="318" spans="1:12" x14ac:dyDescent="0.25">
      <c r="A318">
        <v>41.5</v>
      </c>
      <c r="B318">
        <v>4</v>
      </c>
      <c r="C318">
        <v>98</v>
      </c>
      <c r="D318">
        <v>76</v>
      </c>
      <c r="E318">
        <v>2144</v>
      </c>
      <c r="F318">
        <v>14.7</v>
      </c>
      <c r="G318">
        <v>80</v>
      </c>
      <c r="H318" t="s">
        <v>1621</v>
      </c>
      <c r="I318" t="s">
        <v>1278</v>
      </c>
      <c r="J318" t="s">
        <v>1279</v>
      </c>
      <c r="K318" t="s">
        <v>1259</v>
      </c>
      <c r="L318" t="b">
        <f>Data_Completeness(MileageData[[#This Row],[MPG]:[Acceleration]])</f>
        <v>1</v>
      </c>
    </row>
    <row r="319" spans="1:12" x14ac:dyDescent="0.25">
      <c r="A319">
        <v>38.1</v>
      </c>
      <c r="B319">
        <v>4</v>
      </c>
      <c r="C319">
        <v>89</v>
      </c>
      <c r="D319">
        <v>60</v>
      </c>
      <c r="E319">
        <v>1968</v>
      </c>
      <c r="F319">
        <v>18.8</v>
      </c>
      <c r="G319">
        <v>80</v>
      </c>
      <c r="H319" t="s">
        <v>1622</v>
      </c>
      <c r="I319" t="s">
        <v>1460</v>
      </c>
      <c r="J319" t="s">
        <v>1010</v>
      </c>
      <c r="K319" t="s">
        <v>1461</v>
      </c>
      <c r="L319" t="b">
        <f>Data_Completeness(MileageData[[#This Row],[MPG]:[Acceleration]])</f>
        <v>1</v>
      </c>
    </row>
    <row r="320" spans="1:12" x14ac:dyDescent="0.25">
      <c r="A320">
        <v>32.1</v>
      </c>
      <c r="B320">
        <v>4</v>
      </c>
      <c r="C320">
        <v>98</v>
      </c>
      <c r="D320">
        <v>70</v>
      </c>
      <c r="E320">
        <v>2120</v>
      </c>
      <c r="F320">
        <v>15.5</v>
      </c>
      <c r="G320">
        <v>80</v>
      </c>
      <c r="H320" t="s">
        <v>1620</v>
      </c>
      <c r="I320" t="s">
        <v>1274</v>
      </c>
      <c r="J320" t="s">
        <v>963</v>
      </c>
      <c r="K320" t="s">
        <v>1275</v>
      </c>
      <c r="L320" t="b">
        <f>Data_Completeness(MileageData[[#This Row],[MPG]:[Acceleration]])</f>
        <v>1</v>
      </c>
    </row>
    <row r="321" spans="1:12" x14ac:dyDescent="0.25">
      <c r="A321">
        <v>37.200000000000003</v>
      </c>
      <c r="B321">
        <v>4</v>
      </c>
      <c r="C321">
        <v>86</v>
      </c>
      <c r="D321">
        <v>65</v>
      </c>
      <c r="E321">
        <v>2019</v>
      </c>
      <c r="F321">
        <v>16.399999999999999</v>
      </c>
      <c r="G321">
        <v>80</v>
      </c>
      <c r="H321" t="s">
        <v>1622</v>
      </c>
      <c r="I321" t="s">
        <v>1462</v>
      </c>
      <c r="J321" t="s">
        <v>1019</v>
      </c>
      <c r="K321">
        <v>310</v>
      </c>
      <c r="L321" t="b">
        <f>Data_Completeness(MileageData[[#This Row],[MPG]:[Acceleration]])</f>
        <v>1</v>
      </c>
    </row>
    <row r="322" spans="1:12" x14ac:dyDescent="0.25">
      <c r="A322">
        <v>28</v>
      </c>
      <c r="B322">
        <v>4</v>
      </c>
      <c r="C322">
        <v>151</v>
      </c>
      <c r="D322">
        <v>90</v>
      </c>
      <c r="E322">
        <v>2678</v>
      </c>
      <c r="F322">
        <v>16.5</v>
      </c>
      <c r="G322">
        <v>80</v>
      </c>
      <c r="H322" t="s">
        <v>1620</v>
      </c>
      <c r="I322" t="s">
        <v>1454</v>
      </c>
      <c r="J322" t="s">
        <v>963</v>
      </c>
      <c r="K322" t="s">
        <v>1455</v>
      </c>
      <c r="L322" t="b">
        <f>Data_Completeness(MileageData[[#This Row],[MPG]:[Acceleration]])</f>
        <v>1</v>
      </c>
    </row>
    <row r="323" spans="1:12" x14ac:dyDescent="0.25">
      <c r="A323">
        <v>26.4</v>
      </c>
      <c r="B323">
        <v>4</v>
      </c>
      <c r="C323">
        <v>140</v>
      </c>
      <c r="D323">
        <v>88</v>
      </c>
      <c r="E323">
        <v>2870</v>
      </c>
      <c r="F323">
        <v>18.100000000000001</v>
      </c>
      <c r="G323">
        <v>80</v>
      </c>
      <c r="H323" t="s">
        <v>1620</v>
      </c>
      <c r="I323" t="s">
        <v>1463</v>
      </c>
      <c r="J323" t="s">
        <v>975</v>
      </c>
      <c r="K323" t="s">
        <v>1464</v>
      </c>
      <c r="L323" t="b">
        <f>Data_Completeness(MileageData[[#This Row],[MPG]:[Acceleration]])</f>
        <v>1</v>
      </c>
    </row>
    <row r="324" spans="1:12" x14ac:dyDescent="0.25">
      <c r="A324">
        <v>24.3</v>
      </c>
      <c r="B324">
        <v>4</v>
      </c>
      <c r="C324">
        <v>151</v>
      </c>
      <c r="D324">
        <v>90</v>
      </c>
      <c r="E324">
        <v>3003</v>
      </c>
      <c r="F324">
        <v>20.100000000000001</v>
      </c>
      <c r="G324">
        <v>80</v>
      </c>
      <c r="H324" t="s">
        <v>1620</v>
      </c>
      <c r="I324" t="s">
        <v>1376</v>
      </c>
      <c r="J324" t="s">
        <v>972</v>
      </c>
      <c r="K324" t="s">
        <v>1377</v>
      </c>
      <c r="L324" t="b">
        <f>Data_Completeness(MileageData[[#This Row],[MPG]:[Acceleration]])</f>
        <v>1</v>
      </c>
    </row>
    <row r="325" spans="1:12" x14ac:dyDescent="0.25">
      <c r="A325">
        <v>19.100000000000001</v>
      </c>
      <c r="B325">
        <v>6</v>
      </c>
      <c r="C325">
        <v>225</v>
      </c>
      <c r="D325">
        <v>90</v>
      </c>
      <c r="E325">
        <v>3381</v>
      </c>
      <c r="F325">
        <v>18.7</v>
      </c>
      <c r="G325">
        <v>80</v>
      </c>
      <c r="H325" t="s">
        <v>1620</v>
      </c>
      <c r="I325" t="s">
        <v>1382</v>
      </c>
      <c r="J325" t="s">
        <v>1000</v>
      </c>
      <c r="K325" t="s">
        <v>1383</v>
      </c>
      <c r="L325" t="b">
        <f>Data_Completeness(MileageData[[#This Row],[MPG]:[Acceleration]])</f>
        <v>1</v>
      </c>
    </row>
    <row r="326" spans="1:12" x14ac:dyDescent="0.25">
      <c r="A326">
        <v>34.299999999999997</v>
      </c>
      <c r="B326">
        <v>4</v>
      </c>
      <c r="C326">
        <v>97</v>
      </c>
      <c r="D326">
        <v>78</v>
      </c>
      <c r="E326">
        <v>2188</v>
      </c>
      <c r="F326">
        <v>15.8</v>
      </c>
      <c r="G326">
        <v>80</v>
      </c>
      <c r="H326" t="s">
        <v>1621</v>
      </c>
      <c r="I326" t="s">
        <v>1465</v>
      </c>
      <c r="J326" t="s">
        <v>1027</v>
      </c>
      <c r="K326">
        <v>4000</v>
      </c>
      <c r="L326" t="b">
        <f>Data_Completeness(MileageData[[#This Row],[MPG]:[Acceleration]])</f>
        <v>1</v>
      </c>
    </row>
    <row r="327" spans="1:12" x14ac:dyDescent="0.25">
      <c r="A327">
        <v>29.8</v>
      </c>
      <c r="B327">
        <v>4</v>
      </c>
      <c r="C327">
        <v>134</v>
      </c>
      <c r="D327">
        <v>90</v>
      </c>
      <c r="E327">
        <v>2711</v>
      </c>
      <c r="F327">
        <v>15.5</v>
      </c>
      <c r="G327">
        <v>80</v>
      </c>
      <c r="H327" t="s">
        <v>1622</v>
      </c>
      <c r="I327" t="s">
        <v>1466</v>
      </c>
      <c r="J327" t="s">
        <v>1010</v>
      </c>
      <c r="K327" t="s">
        <v>1467</v>
      </c>
      <c r="L327" t="b">
        <f>Data_Completeness(MileageData[[#This Row],[MPG]:[Acceleration]])</f>
        <v>1</v>
      </c>
    </row>
    <row r="328" spans="1:12" x14ac:dyDescent="0.25">
      <c r="A328">
        <v>31.3</v>
      </c>
      <c r="B328">
        <v>4</v>
      </c>
      <c r="C328">
        <v>120</v>
      </c>
      <c r="D328">
        <v>75</v>
      </c>
      <c r="E328">
        <v>2542</v>
      </c>
      <c r="F328">
        <v>17.5</v>
      </c>
      <c r="G328">
        <v>80</v>
      </c>
      <c r="H328" t="s">
        <v>1622</v>
      </c>
      <c r="I328" t="s">
        <v>1468</v>
      </c>
      <c r="J328" t="s">
        <v>1115</v>
      </c>
      <c r="K328">
        <v>626</v>
      </c>
      <c r="L328" t="b">
        <f>Data_Completeness(MileageData[[#This Row],[MPG]:[Acceleration]])</f>
        <v>1</v>
      </c>
    </row>
    <row r="329" spans="1:12" x14ac:dyDescent="0.25">
      <c r="A329">
        <v>37</v>
      </c>
      <c r="B329">
        <v>4</v>
      </c>
      <c r="C329">
        <v>119</v>
      </c>
      <c r="D329">
        <v>92</v>
      </c>
      <c r="E329">
        <v>2434</v>
      </c>
      <c r="F329">
        <v>15</v>
      </c>
      <c r="G329">
        <v>80</v>
      </c>
      <c r="H329" t="s">
        <v>1622</v>
      </c>
      <c r="I329" t="s">
        <v>1469</v>
      </c>
      <c r="J329" t="s">
        <v>1019</v>
      </c>
      <c r="K329" t="s">
        <v>1470</v>
      </c>
      <c r="L329" t="b">
        <f>Data_Completeness(MileageData[[#This Row],[MPG]:[Acceleration]])</f>
        <v>1</v>
      </c>
    </row>
    <row r="330" spans="1:12" x14ac:dyDescent="0.25">
      <c r="A330">
        <v>32.200000000000003</v>
      </c>
      <c r="B330">
        <v>4</v>
      </c>
      <c r="C330">
        <v>108</v>
      </c>
      <c r="D330">
        <v>75</v>
      </c>
      <c r="E330">
        <v>2265</v>
      </c>
      <c r="F330">
        <v>15.2</v>
      </c>
      <c r="G330">
        <v>80</v>
      </c>
      <c r="H330" t="s">
        <v>1622</v>
      </c>
      <c r="I330" t="s">
        <v>1254</v>
      </c>
      <c r="J330" t="s">
        <v>1010</v>
      </c>
      <c r="K330" t="s">
        <v>1255</v>
      </c>
      <c r="L330" t="b">
        <f>Data_Completeness(MileageData[[#This Row],[MPG]:[Acceleration]])</f>
        <v>1</v>
      </c>
    </row>
    <row r="331" spans="1:12" x14ac:dyDescent="0.25">
      <c r="A331">
        <v>46.6</v>
      </c>
      <c r="B331">
        <v>4</v>
      </c>
      <c r="C331">
        <v>86</v>
      </c>
      <c r="D331">
        <v>65</v>
      </c>
      <c r="E331">
        <v>2110</v>
      </c>
      <c r="F331">
        <v>17.899999999999999</v>
      </c>
      <c r="G331">
        <v>80</v>
      </c>
      <c r="H331" t="s">
        <v>1622</v>
      </c>
      <c r="I331" t="s">
        <v>1471</v>
      </c>
      <c r="J331" t="s">
        <v>1115</v>
      </c>
      <c r="K331" t="s">
        <v>1472</v>
      </c>
      <c r="L331" t="b">
        <f>Data_Completeness(MileageData[[#This Row],[MPG]:[Acceleration]])</f>
        <v>1</v>
      </c>
    </row>
    <row r="332" spans="1:12" x14ac:dyDescent="0.25">
      <c r="A332">
        <v>27.9</v>
      </c>
      <c r="B332">
        <v>4</v>
      </c>
      <c r="C332">
        <v>156</v>
      </c>
      <c r="D332">
        <v>105</v>
      </c>
      <c r="E332">
        <v>2800</v>
      </c>
      <c r="F332">
        <v>14.4</v>
      </c>
      <c r="G332">
        <v>80</v>
      </c>
      <c r="H332" t="s">
        <v>1620</v>
      </c>
      <c r="I332" t="s">
        <v>1224</v>
      </c>
      <c r="J332" t="s">
        <v>1000</v>
      </c>
      <c r="K332" t="s">
        <v>1225</v>
      </c>
      <c r="L332" t="b">
        <f>Data_Completeness(MileageData[[#This Row],[MPG]:[Acceleration]])</f>
        <v>1</v>
      </c>
    </row>
    <row r="333" spans="1:12" x14ac:dyDescent="0.25">
      <c r="A333">
        <v>40.799999999999997</v>
      </c>
      <c r="B333">
        <v>4</v>
      </c>
      <c r="C333">
        <v>85</v>
      </c>
      <c r="D333">
        <v>65</v>
      </c>
      <c r="E333">
        <v>2110</v>
      </c>
      <c r="F333">
        <v>19.2</v>
      </c>
      <c r="G333">
        <v>80</v>
      </c>
      <c r="H333" t="s">
        <v>1622</v>
      </c>
      <c r="I333" t="s">
        <v>1449</v>
      </c>
      <c r="J333" t="s">
        <v>1019</v>
      </c>
      <c r="K333">
        <v>210</v>
      </c>
      <c r="L333" t="b">
        <f>Data_Completeness(MileageData[[#This Row],[MPG]:[Acceleration]])</f>
        <v>1</v>
      </c>
    </row>
    <row r="334" spans="1:12" x14ac:dyDescent="0.25">
      <c r="A334">
        <v>44.3</v>
      </c>
      <c r="B334">
        <v>4</v>
      </c>
      <c r="C334">
        <v>90</v>
      </c>
      <c r="D334">
        <v>48</v>
      </c>
      <c r="E334">
        <v>2085</v>
      </c>
      <c r="F334">
        <v>21.7</v>
      </c>
      <c r="G334">
        <v>80</v>
      </c>
      <c r="H334" t="s">
        <v>1621</v>
      </c>
      <c r="I334" t="s">
        <v>1473</v>
      </c>
      <c r="J334" t="s">
        <v>1279</v>
      </c>
      <c r="K334" t="s">
        <v>1474</v>
      </c>
      <c r="L334" t="b">
        <f>Data_Completeness(MileageData[[#This Row],[MPG]:[Acceleration]])</f>
        <v>1</v>
      </c>
    </row>
    <row r="335" spans="1:12" x14ac:dyDescent="0.25">
      <c r="A335">
        <v>43.4</v>
      </c>
      <c r="B335">
        <v>4</v>
      </c>
      <c r="C335">
        <v>90</v>
      </c>
      <c r="D335">
        <v>48</v>
      </c>
      <c r="E335">
        <v>2335</v>
      </c>
      <c r="F335">
        <v>23.7</v>
      </c>
      <c r="G335">
        <v>80</v>
      </c>
      <c r="H335" t="s">
        <v>1621</v>
      </c>
      <c r="I335" t="s">
        <v>1475</v>
      </c>
      <c r="J335" t="s">
        <v>1279</v>
      </c>
      <c r="K335" t="s">
        <v>1476</v>
      </c>
      <c r="L335" t="b">
        <f>Data_Completeness(MileageData[[#This Row],[MPG]:[Acceleration]])</f>
        <v>1</v>
      </c>
    </row>
    <row r="336" spans="1:12" x14ac:dyDescent="0.25">
      <c r="A336">
        <v>36.4</v>
      </c>
      <c r="B336">
        <v>5</v>
      </c>
      <c r="C336">
        <v>121</v>
      </c>
      <c r="D336">
        <v>67</v>
      </c>
      <c r="E336">
        <v>2950</v>
      </c>
      <c r="F336">
        <v>19.899999999999999</v>
      </c>
      <c r="G336">
        <v>80</v>
      </c>
      <c r="H336" t="s">
        <v>1621</v>
      </c>
      <c r="I336" t="s">
        <v>1477</v>
      </c>
      <c r="J336" t="s">
        <v>1027</v>
      </c>
      <c r="K336" t="s">
        <v>1478</v>
      </c>
      <c r="L336" t="b">
        <f>Data_Completeness(MileageData[[#This Row],[MPG]:[Acceleration]])</f>
        <v>1</v>
      </c>
    </row>
    <row r="337" spans="1:12" x14ac:dyDescent="0.25">
      <c r="A337">
        <v>30</v>
      </c>
      <c r="B337">
        <v>4</v>
      </c>
      <c r="C337">
        <v>146</v>
      </c>
      <c r="D337">
        <v>67</v>
      </c>
      <c r="E337">
        <v>3250</v>
      </c>
      <c r="F337">
        <v>21.8</v>
      </c>
      <c r="G337">
        <v>80</v>
      </c>
      <c r="H337" t="s">
        <v>1621</v>
      </c>
      <c r="I337" t="s">
        <v>1479</v>
      </c>
      <c r="J337" t="s">
        <v>1294</v>
      </c>
      <c r="K337" t="s">
        <v>1480</v>
      </c>
      <c r="L337" t="b">
        <f>Data_Completeness(MileageData[[#This Row],[MPG]:[Acceleration]])</f>
        <v>1</v>
      </c>
    </row>
    <row r="338" spans="1:12" x14ac:dyDescent="0.25">
      <c r="A338">
        <v>44.6</v>
      </c>
      <c r="B338">
        <v>4</v>
      </c>
      <c r="C338">
        <v>91</v>
      </c>
      <c r="D338">
        <v>67</v>
      </c>
      <c r="E338">
        <v>1850</v>
      </c>
      <c r="F338">
        <v>13.8</v>
      </c>
      <c r="G338">
        <v>80</v>
      </c>
      <c r="H338" t="s">
        <v>1622</v>
      </c>
      <c r="I338" t="s">
        <v>1481</v>
      </c>
      <c r="J338" t="s">
        <v>1229</v>
      </c>
      <c r="K338" t="s">
        <v>1482</v>
      </c>
      <c r="L338" t="b">
        <f>Data_Completeness(MileageData[[#This Row],[MPG]:[Acceleration]])</f>
        <v>1</v>
      </c>
    </row>
    <row r="339" spans="1:12" x14ac:dyDescent="0.25">
      <c r="A339">
        <v>40.9</v>
      </c>
      <c r="B339">
        <v>4</v>
      </c>
      <c r="C339">
        <v>85</v>
      </c>
      <c r="E339">
        <v>1835</v>
      </c>
      <c r="F339">
        <v>17.3</v>
      </c>
      <c r="G339">
        <v>80</v>
      </c>
      <c r="H339" t="s">
        <v>1621</v>
      </c>
      <c r="I339" t="s">
        <v>1483</v>
      </c>
      <c r="J339" t="s">
        <v>1131</v>
      </c>
      <c r="K339" t="s">
        <v>1484</v>
      </c>
      <c r="L339" t="b">
        <f>Data_Completeness(MileageData[[#This Row],[MPG]:[Acceleration]])</f>
        <v>0</v>
      </c>
    </row>
    <row r="340" spans="1:12" x14ac:dyDescent="0.25">
      <c r="A340">
        <v>33.799999999999997</v>
      </c>
      <c r="B340">
        <v>4</v>
      </c>
      <c r="C340">
        <v>97</v>
      </c>
      <c r="D340">
        <v>67</v>
      </c>
      <c r="E340">
        <v>2145</v>
      </c>
      <c r="F340">
        <v>18</v>
      </c>
      <c r="G340">
        <v>80</v>
      </c>
      <c r="H340" t="s">
        <v>1622</v>
      </c>
      <c r="I340" t="s">
        <v>1347</v>
      </c>
      <c r="J340" t="s">
        <v>1231</v>
      </c>
      <c r="K340" t="s">
        <v>1348</v>
      </c>
      <c r="L340" t="b">
        <f>Data_Completeness(MileageData[[#This Row],[MPG]:[Acceleration]])</f>
        <v>1</v>
      </c>
    </row>
    <row r="341" spans="1:12" x14ac:dyDescent="0.25">
      <c r="A341">
        <v>29.8</v>
      </c>
      <c r="B341">
        <v>4</v>
      </c>
      <c r="C341">
        <v>89</v>
      </c>
      <c r="D341">
        <v>62</v>
      </c>
      <c r="E341">
        <v>1845</v>
      </c>
      <c r="F341">
        <v>15.3</v>
      </c>
      <c r="G341">
        <v>80</v>
      </c>
      <c r="H341" t="s">
        <v>1621</v>
      </c>
      <c r="I341" t="s">
        <v>1485</v>
      </c>
      <c r="J341" t="s">
        <v>1486</v>
      </c>
      <c r="K341" t="s">
        <v>1259</v>
      </c>
      <c r="L341" t="b">
        <f>Data_Completeness(MileageData[[#This Row],[MPG]:[Acceleration]])</f>
        <v>1</v>
      </c>
    </row>
    <row r="342" spans="1:12" x14ac:dyDescent="0.25">
      <c r="A342">
        <v>32.700000000000003</v>
      </c>
      <c r="B342">
        <v>6</v>
      </c>
      <c r="C342">
        <v>168</v>
      </c>
      <c r="D342">
        <v>132</v>
      </c>
      <c r="E342">
        <v>2910</v>
      </c>
      <c r="F342">
        <v>11.4</v>
      </c>
      <c r="G342">
        <v>80</v>
      </c>
      <c r="H342" t="s">
        <v>1622</v>
      </c>
      <c r="I342" t="s">
        <v>1487</v>
      </c>
      <c r="J342" t="s">
        <v>1019</v>
      </c>
      <c r="K342" t="s">
        <v>1488</v>
      </c>
      <c r="L342" t="b">
        <f>Data_Completeness(MileageData[[#This Row],[MPG]:[Acceleration]])</f>
        <v>1</v>
      </c>
    </row>
    <row r="343" spans="1:12" x14ac:dyDescent="0.25">
      <c r="A343">
        <v>23.7</v>
      </c>
      <c r="B343">
        <v>3</v>
      </c>
      <c r="C343">
        <v>70</v>
      </c>
      <c r="D343">
        <v>100</v>
      </c>
      <c r="E343">
        <v>2420</v>
      </c>
      <c r="F343">
        <v>12.5</v>
      </c>
      <c r="G343">
        <v>80</v>
      </c>
      <c r="H343" t="s">
        <v>1622</v>
      </c>
      <c r="I343" t="s">
        <v>1489</v>
      </c>
      <c r="J343" t="s">
        <v>1115</v>
      </c>
      <c r="K343" t="s">
        <v>1490</v>
      </c>
      <c r="L343" t="b">
        <f>Data_Completeness(MileageData[[#This Row],[MPG]:[Acceleration]])</f>
        <v>1</v>
      </c>
    </row>
    <row r="344" spans="1:12" x14ac:dyDescent="0.25">
      <c r="A344">
        <v>35</v>
      </c>
      <c r="B344">
        <v>4</v>
      </c>
      <c r="C344">
        <v>122</v>
      </c>
      <c r="D344">
        <v>88</v>
      </c>
      <c r="E344">
        <v>2500</v>
      </c>
      <c r="F344">
        <v>15.1</v>
      </c>
      <c r="G344">
        <v>80</v>
      </c>
      <c r="H344" t="s">
        <v>1621</v>
      </c>
      <c r="I344" t="s">
        <v>1491</v>
      </c>
      <c r="J344" t="s">
        <v>1492</v>
      </c>
      <c r="K344" t="s">
        <v>1493</v>
      </c>
      <c r="L344" t="b">
        <f>Data_Completeness(MileageData[[#This Row],[MPG]:[Acceleration]])</f>
        <v>1</v>
      </c>
    </row>
    <row r="345" spans="1:12" x14ac:dyDescent="0.25">
      <c r="A345">
        <v>23.6</v>
      </c>
      <c r="B345">
        <v>4</v>
      </c>
      <c r="C345">
        <v>140</v>
      </c>
      <c r="E345">
        <v>2905</v>
      </c>
      <c r="F345">
        <v>14.3</v>
      </c>
      <c r="G345">
        <v>80</v>
      </c>
      <c r="H345" t="s">
        <v>1620</v>
      </c>
      <c r="I345" t="s">
        <v>1494</v>
      </c>
      <c r="J345" t="s">
        <v>975</v>
      </c>
      <c r="K345" t="s">
        <v>1495</v>
      </c>
      <c r="L345" t="b">
        <f>Data_Completeness(MileageData[[#This Row],[MPG]:[Acceleration]])</f>
        <v>0</v>
      </c>
    </row>
    <row r="346" spans="1:12" x14ac:dyDescent="0.25">
      <c r="A346">
        <v>32.4</v>
      </c>
      <c r="B346">
        <v>4</v>
      </c>
      <c r="C346">
        <v>107</v>
      </c>
      <c r="D346">
        <v>72</v>
      </c>
      <c r="E346">
        <v>2290</v>
      </c>
      <c r="F346">
        <v>17</v>
      </c>
      <c r="G346">
        <v>80</v>
      </c>
      <c r="H346" t="s">
        <v>1622</v>
      </c>
      <c r="I346" t="s">
        <v>1496</v>
      </c>
      <c r="J346" t="s">
        <v>1229</v>
      </c>
      <c r="K346" t="s">
        <v>1497</v>
      </c>
      <c r="L346" t="b">
        <f>Data_Completeness(MileageData[[#This Row],[MPG]:[Acceleration]])</f>
        <v>1</v>
      </c>
    </row>
    <row r="347" spans="1:12" x14ac:dyDescent="0.25">
      <c r="A347">
        <v>27.2</v>
      </c>
      <c r="B347">
        <v>4</v>
      </c>
      <c r="C347">
        <v>135</v>
      </c>
      <c r="D347">
        <v>84</v>
      </c>
      <c r="E347">
        <v>2490</v>
      </c>
      <c r="F347">
        <v>15.7</v>
      </c>
      <c r="G347">
        <v>81</v>
      </c>
      <c r="H347" t="s">
        <v>1620</v>
      </c>
      <c r="I347" t="s">
        <v>1498</v>
      </c>
      <c r="J347" t="s">
        <v>969</v>
      </c>
      <c r="K347" t="s">
        <v>1499</v>
      </c>
      <c r="L347" t="b">
        <f>Data_Completeness(MileageData[[#This Row],[MPG]:[Acceleration]])</f>
        <v>1</v>
      </c>
    </row>
    <row r="348" spans="1:12" x14ac:dyDescent="0.25">
      <c r="A348">
        <v>26.6</v>
      </c>
      <c r="B348">
        <v>4</v>
      </c>
      <c r="C348">
        <v>151</v>
      </c>
      <c r="D348">
        <v>84</v>
      </c>
      <c r="E348">
        <v>2635</v>
      </c>
      <c r="F348">
        <v>16.399999999999999</v>
      </c>
      <c r="G348">
        <v>81</v>
      </c>
      <c r="H348" t="s">
        <v>1620</v>
      </c>
      <c r="I348" t="s">
        <v>1323</v>
      </c>
      <c r="J348" t="s">
        <v>966</v>
      </c>
      <c r="K348" t="s">
        <v>1324</v>
      </c>
      <c r="L348" t="b">
        <f>Data_Completeness(MileageData[[#This Row],[MPG]:[Acceleration]])</f>
        <v>1</v>
      </c>
    </row>
    <row r="349" spans="1:12" x14ac:dyDescent="0.25">
      <c r="A349">
        <v>25.8</v>
      </c>
      <c r="B349">
        <v>4</v>
      </c>
      <c r="C349">
        <v>156</v>
      </c>
      <c r="D349">
        <v>92</v>
      </c>
      <c r="E349">
        <v>2620</v>
      </c>
      <c r="F349">
        <v>14.4</v>
      </c>
      <c r="G349">
        <v>81</v>
      </c>
      <c r="H349" t="s">
        <v>1620</v>
      </c>
      <c r="I349" t="s">
        <v>1500</v>
      </c>
      <c r="J349" t="s">
        <v>1000</v>
      </c>
      <c r="K349" t="s">
        <v>1501</v>
      </c>
      <c r="L349" t="b">
        <f>Data_Completeness(MileageData[[#This Row],[MPG]:[Acceleration]])</f>
        <v>1</v>
      </c>
    </row>
    <row r="350" spans="1:12" x14ac:dyDescent="0.25">
      <c r="A350">
        <v>23.5</v>
      </c>
      <c r="B350">
        <v>6</v>
      </c>
      <c r="C350">
        <v>173</v>
      </c>
      <c r="D350">
        <v>110</v>
      </c>
      <c r="E350">
        <v>2725</v>
      </c>
      <c r="F350">
        <v>12.6</v>
      </c>
      <c r="G350">
        <v>81</v>
      </c>
      <c r="H350" t="s">
        <v>1620</v>
      </c>
      <c r="I350" t="s">
        <v>1454</v>
      </c>
      <c r="J350" t="s">
        <v>963</v>
      </c>
      <c r="K350" t="s">
        <v>1455</v>
      </c>
      <c r="L350" t="b">
        <f>Data_Completeness(MileageData[[#This Row],[MPG]:[Acceleration]])</f>
        <v>1</v>
      </c>
    </row>
    <row r="351" spans="1:12" x14ac:dyDescent="0.25">
      <c r="A351">
        <v>30</v>
      </c>
      <c r="B351">
        <v>4</v>
      </c>
      <c r="C351">
        <v>135</v>
      </c>
      <c r="D351">
        <v>84</v>
      </c>
      <c r="E351">
        <v>2385</v>
      </c>
      <c r="F351">
        <v>12.9</v>
      </c>
      <c r="G351">
        <v>81</v>
      </c>
      <c r="H351" t="s">
        <v>1620</v>
      </c>
      <c r="I351" t="s">
        <v>1498</v>
      </c>
      <c r="J351" t="s">
        <v>969</v>
      </c>
      <c r="K351" t="s">
        <v>1499</v>
      </c>
      <c r="L351" t="b">
        <f>Data_Completeness(MileageData[[#This Row],[MPG]:[Acceleration]])</f>
        <v>1</v>
      </c>
    </row>
    <row r="352" spans="1:12" x14ac:dyDescent="0.25">
      <c r="A352">
        <v>39.1</v>
      </c>
      <c r="B352">
        <v>4</v>
      </c>
      <c r="C352">
        <v>79</v>
      </c>
      <c r="D352">
        <v>58</v>
      </c>
      <c r="E352">
        <v>1755</v>
      </c>
      <c r="F352">
        <v>16.899999999999999</v>
      </c>
      <c r="G352">
        <v>81</v>
      </c>
      <c r="H352" t="s">
        <v>1622</v>
      </c>
      <c r="I352" t="s">
        <v>1502</v>
      </c>
      <c r="J352" t="s">
        <v>1010</v>
      </c>
      <c r="K352" t="s">
        <v>1503</v>
      </c>
      <c r="L352" t="b">
        <f>Data_Completeness(MileageData[[#This Row],[MPG]:[Acceleration]])</f>
        <v>1</v>
      </c>
    </row>
    <row r="353" spans="1:12" x14ac:dyDescent="0.25">
      <c r="A353">
        <v>39</v>
      </c>
      <c r="B353">
        <v>4</v>
      </c>
      <c r="C353">
        <v>86</v>
      </c>
      <c r="D353">
        <v>64</v>
      </c>
      <c r="E353">
        <v>1875</v>
      </c>
      <c r="F353">
        <v>16.399999999999999</v>
      </c>
      <c r="G353">
        <v>81</v>
      </c>
      <c r="H353" t="s">
        <v>1620</v>
      </c>
      <c r="I353" t="s">
        <v>1504</v>
      </c>
      <c r="J353" t="s">
        <v>969</v>
      </c>
      <c r="K353" t="s">
        <v>1505</v>
      </c>
      <c r="L353" t="b">
        <f>Data_Completeness(MileageData[[#This Row],[MPG]:[Acceleration]])</f>
        <v>1</v>
      </c>
    </row>
    <row r="354" spans="1:12" x14ac:dyDescent="0.25">
      <c r="A354">
        <v>35.1</v>
      </c>
      <c r="B354">
        <v>4</v>
      </c>
      <c r="C354">
        <v>81</v>
      </c>
      <c r="D354">
        <v>60</v>
      </c>
      <c r="E354">
        <v>1760</v>
      </c>
      <c r="F354">
        <v>16.100000000000001</v>
      </c>
      <c r="G354">
        <v>81</v>
      </c>
      <c r="H354" t="s">
        <v>1622</v>
      </c>
      <c r="I354" t="s">
        <v>1506</v>
      </c>
      <c r="J354" t="s">
        <v>1229</v>
      </c>
      <c r="K354" t="s">
        <v>1507</v>
      </c>
      <c r="L354" t="b">
        <f>Data_Completeness(MileageData[[#This Row],[MPG]:[Acceleration]])</f>
        <v>1</v>
      </c>
    </row>
    <row r="355" spans="1:12" x14ac:dyDescent="0.25">
      <c r="A355">
        <v>32.299999999999997</v>
      </c>
      <c r="B355">
        <v>4</v>
      </c>
      <c r="C355">
        <v>97</v>
      </c>
      <c r="D355">
        <v>67</v>
      </c>
      <c r="E355">
        <v>2065</v>
      </c>
      <c r="F355">
        <v>17.8</v>
      </c>
      <c r="G355">
        <v>81</v>
      </c>
      <c r="H355" t="s">
        <v>1622</v>
      </c>
      <c r="I355" t="s">
        <v>1231</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1622</v>
      </c>
      <c r="I356" t="s">
        <v>1508</v>
      </c>
      <c r="J356" t="s">
        <v>1019</v>
      </c>
      <c r="K356" t="s">
        <v>1509</v>
      </c>
      <c r="L356" t="b">
        <f>Data_Completeness(MileageData[[#This Row],[MPG]:[Acceleration]])</f>
        <v>1</v>
      </c>
    </row>
    <row r="357" spans="1:12" x14ac:dyDescent="0.25">
      <c r="A357">
        <v>37.700000000000003</v>
      </c>
      <c r="B357">
        <v>4</v>
      </c>
      <c r="C357">
        <v>89</v>
      </c>
      <c r="D357">
        <v>62</v>
      </c>
      <c r="E357">
        <v>2050</v>
      </c>
      <c r="F357">
        <v>17.3</v>
      </c>
      <c r="G357">
        <v>81</v>
      </c>
      <c r="H357" t="s">
        <v>1622</v>
      </c>
      <c r="I357" t="s">
        <v>1510</v>
      </c>
      <c r="J357" t="s">
        <v>1010</v>
      </c>
      <c r="K357" t="s">
        <v>1511</v>
      </c>
      <c r="L357" t="b">
        <f>Data_Completeness(MileageData[[#This Row],[MPG]:[Acceleration]])</f>
        <v>1</v>
      </c>
    </row>
    <row r="358" spans="1:12" x14ac:dyDescent="0.25">
      <c r="A358">
        <v>34.1</v>
      </c>
      <c r="B358">
        <v>4</v>
      </c>
      <c r="C358">
        <v>91</v>
      </c>
      <c r="D358">
        <v>68</v>
      </c>
      <c r="E358">
        <v>1985</v>
      </c>
      <c r="F358">
        <v>16</v>
      </c>
      <c r="G358">
        <v>81</v>
      </c>
      <c r="H358" t="s">
        <v>1622</v>
      </c>
      <c r="I358" t="s">
        <v>1512</v>
      </c>
      <c r="J358" t="s">
        <v>1115</v>
      </c>
      <c r="K358" t="s">
        <v>1513</v>
      </c>
      <c r="L358" t="b">
        <f>Data_Completeness(MileageData[[#This Row],[MPG]:[Acceleration]])</f>
        <v>1</v>
      </c>
    </row>
    <row r="359" spans="1:12" x14ac:dyDescent="0.25">
      <c r="A359">
        <v>34.700000000000003</v>
      </c>
      <c r="B359">
        <v>4</v>
      </c>
      <c r="C359">
        <v>105</v>
      </c>
      <c r="D359">
        <v>63</v>
      </c>
      <c r="E359">
        <v>2215</v>
      </c>
      <c r="F359">
        <v>14.9</v>
      </c>
      <c r="G359">
        <v>81</v>
      </c>
      <c r="H359" t="s">
        <v>1620</v>
      </c>
      <c r="I359" t="s">
        <v>1514</v>
      </c>
      <c r="J359" t="s">
        <v>969</v>
      </c>
      <c r="K359" t="s">
        <v>1515</v>
      </c>
      <c r="L359" t="b">
        <f>Data_Completeness(MileageData[[#This Row],[MPG]:[Acceleration]])</f>
        <v>1</v>
      </c>
    </row>
    <row r="360" spans="1:12" x14ac:dyDescent="0.25">
      <c r="A360">
        <v>34.4</v>
      </c>
      <c r="B360">
        <v>4</v>
      </c>
      <c r="C360">
        <v>98</v>
      </c>
      <c r="D360">
        <v>65</v>
      </c>
      <c r="E360">
        <v>2045</v>
      </c>
      <c r="F360">
        <v>16.2</v>
      </c>
      <c r="G360">
        <v>81</v>
      </c>
      <c r="H360" t="s">
        <v>1620</v>
      </c>
      <c r="I360" t="s">
        <v>1516</v>
      </c>
      <c r="J360" t="s">
        <v>975</v>
      </c>
      <c r="K360" t="s">
        <v>1517</v>
      </c>
      <c r="L360" t="b">
        <f>Data_Completeness(MileageData[[#This Row],[MPG]:[Acceleration]])</f>
        <v>1</v>
      </c>
    </row>
    <row r="361" spans="1:12" x14ac:dyDescent="0.25">
      <c r="A361">
        <v>29.9</v>
      </c>
      <c r="B361">
        <v>4</v>
      </c>
      <c r="C361">
        <v>98</v>
      </c>
      <c r="D361">
        <v>65</v>
      </c>
      <c r="E361">
        <v>2380</v>
      </c>
      <c r="F361">
        <v>20.7</v>
      </c>
      <c r="G361">
        <v>81</v>
      </c>
      <c r="H361" t="s">
        <v>1620</v>
      </c>
      <c r="I361" t="s">
        <v>1518</v>
      </c>
      <c r="J361" t="s">
        <v>975</v>
      </c>
      <c r="K361" t="s">
        <v>1519</v>
      </c>
      <c r="L361" t="b">
        <f>Data_Completeness(MileageData[[#This Row],[MPG]:[Acceleration]])</f>
        <v>1</v>
      </c>
    </row>
    <row r="362" spans="1:12" x14ac:dyDescent="0.25">
      <c r="A362">
        <v>33</v>
      </c>
      <c r="B362">
        <v>4</v>
      </c>
      <c r="C362">
        <v>105</v>
      </c>
      <c r="D362">
        <v>74</v>
      </c>
      <c r="E362">
        <v>2190</v>
      </c>
      <c r="F362">
        <v>14.2</v>
      </c>
      <c r="G362">
        <v>81</v>
      </c>
      <c r="H362" t="s">
        <v>1621</v>
      </c>
      <c r="I362" t="s">
        <v>1520</v>
      </c>
      <c r="J362" t="s">
        <v>1022</v>
      </c>
      <c r="K362" t="s">
        <v>1521</v>
      </c>
      <c r="L362" t="b">
        <f>Data_Completeness(MileageData[[#This Row],[MPG]:[Acceleration]])</f>
        <v>1</v>
      </c>
    </row>
    <row r="363" spans="1:12" x14ac:dyDescent="0.25">
      <c r="A363">
        <v>34.5</v>
      </c>
      <c r="B363">
        <v>4</v>
      </c>
      <c r="C363">
        <v>100</v>
      </c>
      <c r="E363">
        <v>2320</v>
      </c>
      <c r="F363">
        <v>15.8</v>
      </c>
      <c r="G363">
        <v>81</v>
      </c>
      <c r="H363" t="s">
        <v>1621</v>
      </c>
      <c r="I363" t="s">
        <v>1522</v>
      </c>
      <c r="J363" t="s">
        <v>1131</v>
      </c>
      <c r="K363" t="s">
        <v>1523</v>
      </c>
      <c r="L363" t="b">
        <f>Data_Completeness(MileageData[[#This Row],[MPG]:[Acceleration]])</f>
        <v>0</v>
      </c>
    </row>
    <row r="364" spans="1:12" x14ac:dyDescent="0.25">
      <c r="A364">
        <v>33.700000000000003</v>
      </c>
      <c r="B364">
        <v>4</v>
      </c>
      <c r="C364">
        <v>107</v>
      </c>
      <c r="D364">
        <v>75</v>
      </c>
      <c r="E364">
        <v>2210</v>
      </c>
      <c r="F364">
        <v>14.4</v>
      </c>
      <c r="G364">
        <v>81</v>
      </c>
      <c r="H364" t="s">
        <v>1622</v>
      </c>
      <c r="I364" t="s">
        <v>1524</v>
      </c>
      <c r="J364" t="s">
        <v>1229</v>
      </c>
      <c r="K364" t="s">
        <v>1525</v>
      </c>
      <c r="L364" t="b">
        <f>Data_Completeness(MileageData[[#This Row],[MPG]:[Acceleration]])</f>
        <v>1</v>
      </c>
    </row>
    <row r="365" spans="1:12" x14ac:dyDescent="0.25">
      <c r="A365">
        <v>32.4</v>
      </c>
      <c r="B365">
        <v>4</v>
      </c>
      <c r="C365">
        <v>108</v>
      </c>
      <c r="D365">
        <v>75</v>
      </c>
      <c r="E365">
        <v>2350</v>
      </c>
      <c r="F365">
        <v>16.8</v>
      </c>
      <c r="G365">
        <v>81</v>
      </c>
      <c r="H365" t="s">
        <v>1622</v>
      </c>
      <c r="I365" t="s">
        <v>1254</v>
      </c>
      <c r="J365" t="s">
        <v>1010</v>
      </c>
      <c r="K365" t="s">
        <v>1255</v>
      </c>
      <c r="L365" t="b">
        <f>Data_Completeness(MileageData[[#This Row],[MPG]:[Acceleration]])</f>
        <v>1</v>
      </c>
    </row>
    <row r="366" spans="1:12" x14ac:dyDescent="0.25">
      <c r="A366">
        <v>32.9</v>
      </c>
      <c r="B366">
        <v>4</v>
      </c>
      <c r="C366">
        <v>119</v>
      </c>
      <c r="D366">
        <v>100</v>
      </c>
      <c r="E366">
        <v>2615</v>
      </c>
      <c r="F366">
        <v>14.8</v>
      </c>
      <c r="G366">
        <v>81</v>
      </c>
      <c r="H366" t="s">
        <v>1622</v>
      </c>
      <c r="I366" t="s">
        <v>1526</v>
      </c>
      <c r="J366" t="s">
        <v>1019</v>
      </c>
      <c r="K366" t="s">
        <v>1527</v>
      </c>
      <c r="L366" t="b">
        <f>Data_Completeness(MileageData[[#This Row],[MPG]:[Acceleration]])</f>
        <v>1</v>
      </c>
    </row>
    <row r="367" spans="1:12" x14ac:dyDescent="0.25">
      <c r="A367">
        <v>31.6</v>
      </c>
      <c r="B367">
        <v>4</v>
      </c>
      <c r="C367">
        <v>120</v>
      </c>
      <c r="D367">
        <v>74</v>
      </c>
      <c r="E367">
        <v>2635</v>
      </c>
      <c r="F367">
        <v>18.3</v>
      </c>
      <c r="G367">
        <v>81</v>
      </c>
      <c r="H367" t="s">
        <v>1622</v>
      </c>
      <c r="I367" t="s">
        <v>1468</v>
      </c>
      <c r="J367" t="s">
        <v>1115</v>
      </c>
      <c r="K367">
        <v>626</v>
      </c>
      <c r="L367" t="b">
        <f>Data_Completeness(MileageData[[#This Row],[MPG]:[Acceleration]])</f>
        <v>1</v>
      </c>
    </row>
    <row r="368" spans="1:12" x14ac:dyDescent="0.25">
      <c r="A368">
        <v>28.1</v>
      </c>
      <c r="B368">
        <v>4</v>
      </c>
      <c r="C368">
        <v>141</v>
      </c>
      <c r="D368">
        <v>80</v>
      </c>
      <c r="E368">
        <v>3230</v>
      </c>
      <c r="F368">
        <v>20.399999999999999</v>
      </c>
      <c r="G368">
        <v>81</v>
      </c>
      <c r="H368" t="s">
        <v>1621</v>
      </c>
      <c r="I368" t="s">
        <v>1528</v>
      </c>
      <c r="J368" t="s">
        <v>1025</v>
      </c>
      <c r="K368" t="s">
        <v>1529</v>
      </c>
      <c r="L368" t="b">
        <f>Data_Completeness(MileageData[[#This Row],[MPG]:[Acceleration]])</f>
        <v>1</v>
      </c>
    </row>
    <row r="369" spans="1:12" x14ac:dyDescent="0.25">
      <c r="B369">
        <v>4</v>
      </c>
      <c r="C369">
        <v>121</v>
      </c>
      <c r="D369">
        <v>110</v>
      </c>
      <c r="E369">
        <v>2800</v>
      </c>
      <c r="F369">
        <v>15.4</v>
      </c>
      <c r="G369">
        <v>81</v>
      </c>
      <c r="H369" t="s">
        <v>1621</v>
      </c>
      <c r="I369" t="s">
        <v>1530</v>
      </c>
      <c r="J369" t="s">
        <v>1030</v>
      </c>
      <c r="K369" t="s">
        <v>1531</v>
      </c>
      <c r="L369" t="b">
        <f>Data_Completeness(MileageData[[#This Row],[MPG]:[Acceleration]])</f>
        <v>0</v>
      </c>
    </row>
    <row r="370" spans="1:12" x14ac:dyDescent="0.25">
      <c r="A370">
        <v>30.7</v>
      </c>
      <c r="B370">
        <v>6</v>
      </c>
      <c r="C370">
        <v>145</v>
      </c>
      <c r="D370">
        <v>76</v>
      </c>
      <c r="E370">
        <v>3160</v>
      </c>
      <c r="F370">
        <v>19.600000000000001</v>
      </c>
      <c r="G370">
        <v>81</v>
      </c>
      <c r="H370" t="s">
        <v>1621</v>
      </c>
      <c r="I370" t="s">
        <v>1532</v>
      </c>
      <c r="J370" t="s">
        <v>1124</v>
      </c>
      <c r="K370" t="s">
        <v>1533</v>
      </c>
      <c r="L370" t="b">
        <f>Data_Completeness(MileageData[[#This Row],[MPG]:[Acceleration]])</f>
        <v>1</v>
      </c>
    </row>
    <row r="371" spans="1:12" x14ac:dyDescent="0.25">
      <c r="A371">
        <v>25.4</v>
      </c>
      <c r="B371">
        <v>6</v>
      </c>
      <c r="C371">
        <v>168</v>
      </c>
      <c r="D371">
        <v>116</v>
      </c>
      <c r="E371">
        <v>2900</v>
      </c>
      <c r="F371">
        <v>12.6</v>
      </c>
      <c r="G371">
        <v>81</v>
      </c>
      <c r="H371" t="s">
        <v>1622</v>
      </c>
      <c r="I371" t="s">
        <v>1534</v>
      </c>
      <c r="J371" t="s">
        <v>1010</v>
      </c>
      <c r="K371" t="s">
        <v>1535</v>
      </c>
      <c r="L371" t="b">
        <f>Data_Completeness(MileageData[[#This Row],[MPG]:[Acceleration]])</f>
        <v>1</v>
      </c>
    </row>
    <row r="372" spans="1:12" x14ac:dyDescent="0.25">
      <c r="A372">
        <v>24.2</v>
      </c>
      <c r="B372">
        <v>6</v>
      </c>
      <c r="C372">
        <v>146</v>
      </c>
      <c r="D372">
        <v>120</v>
      </c>
      <c r="E372">
        <v>2930</v>
      </c>
      <c r="F372">
        <v>13.8</v>
      </c>
      <c r="G372">
        <v>81</v>
      </c>
      <c r="H372" t="s">
        <v>1622</v>
      </c>
      <c r="I372" t="s">
        <v>1536</v>
      </c>
      <c r="J372" t="s">
        <v>1019</v>
      </c>
      <c r="K372" t="s">
        <v>1537</v>
      </c>
      <c r="L372" t="b">
        <f>Data_Completeness(MileageData[[#This Row],[MPG]:[Acceleration]])</f>
        <v>1</v>
      </c>
    </row>
    <row r="373" spans="1:12" x14ac:dyDescent="0.25">
      <c r="A373">
        <v>22.4</v>
      </c>
      <c r="B373">
        <v>6</v>
      </c>
      <c r="C373">
        <v>231</v>
      </c>
      <c r="D373">
        <v>110</v>
      </c>
      <c r="E373">
        <v>3415</v>
      </c>
      <c r="F373">
        <v>15.8</v>
      </c>
      <c r="G373">
        <v>81</v>
      </c>
      <c r="H373" t="s">
        <v>1620</v>
      </c>
      <c r="I373" t="s">
        <v>1242</v>
      </c>
      <c r="J373" t="s">
        <v>966</v>
      </c>
      <c r="K373" t="s">
        <v>1243</v>
      </c>
      <c r="L373" t="b">
        <f>Data_Completeness(MileageData[[#This Row],[MPG]:[Acceleration]])</f>
        <v>1</v>
      </c>
    </row>
    <row r="374" spans="1:12" x14ac:dyDescent="0.25">
      <c r="A374">
        <v>26.6</v>
      </c>
      <c r="B374">
        <v>8</v>
      </c>
      <c r="C374">
        <v>350</v>
      </c>
      <c r="D374">
        <v>105</v>
      </c>
      <c r="E374">
        <v>3725</v>
      </c>
      <c r="F374">
        <v>19</v>
      </c>
      <c r="G374">
        <v>81</v>
      </c>
      <c r="H374" t="s">
        <v>1620</v>
      </c>
      <c r="I374" t="s">
        <v>1538</v>
      </c>
      <c r="J374" t="s">
        <v>1109</v>
      </c>
      <c r="K374" t="s">
        <v>1539</v>
      </c>
      <c r="L374" t="b">
        <f>Data_Completeness(MileageData[[#This Row],[MPG]:[Acceleration]])</f>
        <v>1</v>
      </c>
    </row>
    <row r="375" spans="1:12" x14ac:dyDescent="0.25">
      <c r="A375">
        <v>20.2</v>
      </c>
      <c r="B375">
        <v>6</v>
      </c>
      <c r="C375">
        <v>200</v>
      </c>
      <c r="D375">
        <v>88</v>
      </c>
      <c r="E375">
        <v>3060</v>
      </c>
      <c r="F375">
        <v>17.100000000000001</v>
      </c>
      <c r="G375">
        <v>81</v>
      </c>
      <c r="H375" t="s">
        <v>1620</v>
      </c>
      <c r="I375" t="s">
        <v>1540</v>
      </c>
      <c r="J375" t="s">
        <v>975</v>
      </c>
      <c r="K375" t="s">
        <v>1541</v>
      </c>
      <c r="L375" t="b">
        <f>Data_Completeness(MileageData[[#This Row],[MPG]:[Acceleration]])</f>
        <v>1</v>
      </c>
    </row>
    <row r="376" spans="1:12" x14ac:dyDescent="0.25">
      <c r="A376">
        <v>17.600000000000001</v>
      </c>
      <c r="B376">
        <v>6</v>
      </c>
      <c r="C376">
        <v>225</v>
      </c>
      <c r="D376">
        <v>85</v>
      </c>
      <c r="E376">
        <v>3465</v>
      </c>
      <c r="F376">
        <v>16.600000000000001</v>
      </c>
      <c r="G376">
        <v>81</v>
      </c>
      <c r="H376" t="s">
        <v>1620</v>
      </c>
      <c r="I376" t="s">
        <v>1542</v>
      </c>
      <c r="J376" t="s">
        <v>1112</v>
      </c>
      <c r="K376" t="s">
        <v>1543</v>
      </c>
      <c r="L376" t="b">
        <f>Data_Completeness(MileageData[[#This Row],[MPG]:[Acceleration]])</f>
        <v>1</v>
      </c>
    </row>
    <row r="377" spans="1:12" x14ac:dyDescent="0.25">
      <c r="A377">
        <v>28</v>
      </c>
      <c r="B377">
        <v>4</v>
      </c>
      <c r="C377">
        <v>112</v>
      </c>
      <c r="D377">
        <v>88</v>
      </c>
      <c r="E377">
        <v>2605</v>
      </c>
      <c r="F377">
        <v>19.600000000000001</v>
      </c>
      <c r="G377">
        <v>82</v>
      </c>
      <c r="H377" t="s">
        <v>1620</v>
      </c>
      <c r="I377" t="s">
        <v>1544</v>
      </c>
      <c r="J377" t="s">
        <v>963</v>
      </c>
      <c r="K377" t="s">
        <v>1545</v>
      </c>
      <c r="L377" t="b">
        <f>Data_Completeness(MileageData[[#This Row],[MPG]:[Acceleration]])</f>
        <v>1</v>
      </c>
    </row>
    <row r="378" spans="1:12" x14ac:dyDescent="0.25">
      <c r="A378">
        <v>27</v>
      </c>
      <c r="B378">
        <v>4</v>
      </c>
      <c r="C378">
        <v>112</v>
      </c>
      <c r="D378">
        <v>88</v>
      </c>
      <c r="E378">
        <v>2640</v>
      </c>
      <c r="F378">
        <v>18.600000000000001</v>
      </c>
      <c r="G378">
        <v>82</v>
      </c>
      <c r="H378" t="s">
        <v>1620</v>
      </c>
      <c r="I378" t="s">
        <v>1546</v>
      </c>
      <c r="J378" t="s">
        <v>963</v>
      </c>
      <c r="K378" t="s">
        <v>1547</v>
      </c>
      <c r="L378" t="b">
        <f>Data_Completeness(MileageData[[#This Row],[MPG]:[Acceleration]])</f>
        <v>1</v>
      </c>
    </row>
    <row r="379" spans="1:12" x14ac:dyDescent="0.25">
      <c r="A379">
        <v>34</v>
      </c>
      <c r="B379">
        <v>4</v>
      </c>
      <c r="C379">
        <v>112</v>
      </c>
      <c r="D379">
        <v>88</v>
      </c>
      <c r="E379">
        <v>2395</v>
      </c>
      <c r="F379">
        <v>18</v>
      </c>
      <c r="G379">
        <v>82</v>
      </c>
      <c r="H379" t="s">
        <v>1620</v>
      </c>
      <c r="I379" t="s">
        <v>1548</v>
      </c>
      <c r="J379" t="s">
        <v>963</v>
      </c>
      <c r="K379" t="s">
        <v>1549</v>
      </c>
      <c r="L379" t="b">
        <f>Data_Completeness(MileageData[[#This Row],[MPG]:[Acceleration]])</f>
        <v>1</v>
      </c>
    </row>
    <row r="380" spans="1:12" x14ac:dyDescent="0.25">
      <c r="A380">
        <v>31</v>
      </c>
      <c r="B380">
        <v>4</v>
      </c>
      <c r="C380">
        <v>112</v>
      </c>
      <c r="D380">
        <v>85</v>
      </c>
      <c r="E380">
        <v>2575</v>
      </c>
      <c r="F380">
        <v>16.2</v>
      </c>
      <c r="G380">
        <v>82</v>
      </c>
      <c r="H380" t="s">
        <v>1620</v>
      </c>
      <c r="I380" t="s">
        <v>1550</v>
      </c>
      <c r="J380" t="s">
        <v>984</v>
      </c>
      <c r="K380" t="s">
        <v>1551</v>
      </c>
      <c r="L380" t="b">
        <f>Data_Completeness(MileageData[[#This Row],[MPG]:[Acceleration]])</f>
        <v>1</v>
      </c>
    </row>
    <row r="381" spans="1:12" x14ac:dyDescent="0.25">
      <c r="A381">
        <v>29</v>
      </c>
      <c r="B381">
        <v>4</v>
      </c>
      <c r="C381">
        <v>135</v>
      </c>
      <c r="D381">
        <v>84</v>
      </c>
      <c r="E381">
        <v>2525</v>
      </c>
      <c r="F381">
        <v>16</v>
      </c>
      <c r="G381">
        <v>82</v>
      </c>
      <c r="H381" t="s">
        <v>1620</v>
      </c>
      <c r="I381" t="s">
        <v>1552</v>
      </c>
      <c r="J381" t="s">
        <v>1000</v>
      </c>
      <c r="K381" t="s">
        <v>1553</v>
      </c>
      <c r="L381" t="b">
        <f>Data_Completeness(MileageData[[#This Row],[MPG]:[Acceleration]])</f>
        <v>1</v>
      </c>
    </row>
    <row r="382" spans="1:12" x14ac:dyDescent="0.25">
      <c r="A382">
        <v>27</v>
      </c>
      <c r="B382">
        <v>4</v>
      </c>
      <c r="C382">
        <v>151</v>
      </c>
      <c r="D382">
        <v>90</v>
      </c>
      <c r="E382">
        <v>2735</v>
      </c>
      <c r="F382">
        <v>18</v>
      </c>
      <c r="G382">
        <v>82</v>
      </c>
      <c r="H382" t="s">
        <v>1620</v>
      </c>
      <c r="I382" t="s">
        <v>1458</v>
      </c>
      <c r="J382" t="s">
        <v>984</v>
      </c>
      <c r="K382" t="s">
        <v>1459</v>
      </c>
      <c r="L382" t="b">
        <f>Data_Completeness(MileageData[[#This Row],[MPG]:[Acceleration]])</f>
        <v>1</v>
      </c>
    </row>
    <row r="383" spans="1:12" x14ac:dyDescent="0.25">
      <c r="A383">
        <v>24</v>
      </c>
      <c r="B383">
        <v>4</v>
      </c>
      <c r="C383">
        <v>140</v>
      </c>
      <c r="D383">
        <v>92</v>
      </c>
      <c r="E383">
        <v>2865</v>
      </c>
      <c r="F383">
        <v>16.399999999999999</v>
      </c>
      <c r="G383">
        <v>82</v>
      </c>
      <c r="H383" t="s">
        <v>1620</v>
      </c>
      <c r="I383" t="s">
        <v>1554</v>
      </c>
      <c r="J383" t="s">
        <v>975</v>
      </c>
      <c r="K383" t="s">
        <v>1555</v>
      </c>
      <c r="L383" t="b">
        <f>Data_Completeness(MileageData[[#This Row],[MPG]:[Acceleration]])</f>
        <v>1</v>
      </c>
    </row>
    <row r="384" spans="1:12" x14ac:dyDescent="0.25">
      <c r="A384">
        <v>23</v>
      </c>
      <c r="B384">
        <v>4</v>
      </c>
      <c r="C384">
        <v>151</v>
      </c>
      <c r="E384">
        <v>3035</v>
      </c>
      <c r="F384">
        <v>20.5</v>
      </c>
      <c r="G384">
        <v>82</v>
      </c>
      <c r="H384" t="s">
        <v>1620</v>
      </c>
      <c r="I384" t="s">
        <v>1556</v>
      </c>
      <c r="J384" t="s">
        <v>972</v>
      </c>
      <c r="K384" t="s">
        <v>1557</v>
      </c>
      <c r="L384" t="b">
        <f>Data_Completeness(MileageData[[#This Row],[MPG]:[Acceleration]])</f>
        <v>0</v>
      </c>
    </row>
    <row r="385" spans="1:12" x14ac:dyDescent="0.25">
      <c r="A385">
        <v>36</v>
      </c>
      <c r="B385">
        <v>4</v>
      </c>
      <c r="C385">
        <v>105</v>
      </c>
      <c r="D385">
        <v>74</v>
      </c>
      <c r="E385">
        <v>1980</v>
      </c>
      <c r="F385">
        <v>15.3</v>
      </c>
      <c r="G385">
        <v>82</v>
      </c>
      <c r="H385" t="s">
        <v>1621</v>
      </c>
      <c r="I385" t="s">
        <v>1558</v>
      </c>
      <c r="J385" t="s">
        <v>1022</v>
      </c>
      <c r="K385" t="s">
        <v>1559</v>
      </c>
      <c r="L385" t="b">
        <f>Data_Completeness(MileageData[[#This Row],[MPG]:[Acceleration]])</f>
        <v>1</v>
      </c>
    </row>
    <row r="386" spans="1:12" x14ac:dyDescent="0.25">
      <c r="A386">
        <v>37</v>
      </c>
      <c r="B386">
        <v>4</v>
      </c>
      <c r="C386">
        <v>91</v>
      </c>
      <c r="D386">
        <v>68</v>
      </c>
      <c r="E386">
        <v>2025</v>
      </c>
      <c r="F386">
        <v>18.2</v>
      </c>
      <c r="G386">
        <v>82</v>
      </c>
      <c r="H386" t="s">
        <v>1622</v>
      </c>
      <c r="I386" t="s">
        <v>1560</v>
      </c>
      <c r="J386" t="s">
        <v>1115</v>
      </c>
      <c r="K386" t="s">
        <v>1561</v>
      </c>
      <c r="L386" t="b">
        <f>Data_Completeness(MileageData[[#This Row],[MPG]:[Acceleration]])</f>
        <v>1</v>
      </c>
    </row>
    <row r="387" spans="1:12" x14ac:dyDescent="0.25">
      <c r="A387">
        <v>31</v>
      </c>
      <c r="B387">
        <v>4</v>
      </c>
      <c r="C387">
        <v>91</v>
      </c>
      <c r="D387">
        <v>68</v>
      </c>
      <c r="E387">
        <v>1970</v>
      </c>
      <c r="F387">
        <v>17.600000000000001</v>
      </c>
      <c r="G387">
        <v>82</v>
      </c>
      <c r="H387" t="s">
        <v>1622</v>
      </c>
      <c r="I387" t="s">
        <v>1562</v>
      </c>
      <c r="J387" t="s">
        <v>1115</v>
      </c>
      <c r="K387" t="s">
        <v>1563</v>
      </c>
      <c r="L387" t="b">
        <f>Data_Completeness(MileageData[[#This Row],[MPG]:[Acceleration]])</f>
        <v>1</v>
      </c>
    </row>
    <row r="388" spans="1:12" x14ac:dyDescent="0.25">
      <c r="A388">
        <v>38</v>
      </c>
      <c r="B388">
        <v>4</v>
      </c>
      <c r="C388">
        <v>105</v>
      </c>
      <c r="D388">
        <v>63</v>
      </c>
      <c r="E388">
        <v>2125</v>
      </c>
      <c r="F388">
        <v>14.7</v>
      </c>
      <c r="G388">
        <v>82</v>
      </c>
      <c r="H388" t="s">
        <v>1620</v>
      </c>
      <c r="I388" t="s">
        <v>1564</v>
      </c>
      <c r="J388" t="s">
        <v>969</v>
      </c>
      <c r="K388" t="s">
        <v>1565</v>
      </c>
      <c r="L388" t="b">
        <f>Data_Completeness(MileageData[[#This Row],[MPG]:[Acceleration]])</f>
        <v>1</v>
      </c>
    </row>
    <row r="389" spans="1:12" x14ac:dyDescent="0.25">
      <c r="A389">
        <v>36</v>
      </c>
      <c r="B389">
        <v>4</v>
      </c>
      <c r="C389">
        <v>98</v>
      </c>
      <c r="D389">
        <v>70</v>
      </c>
      <c r="E389">
        <v>2125</v>
      </c>
      <c r="F389">
        <v>17.3</v>
      </c>
      <c r="G389">
        <v>82</v>
      </c>
      <c r="H389" t="s">
        <v>1620</v>
      </c>
      <c r="I389" t="s">
        <v>1566</v>
      </c>
      <c r="J389" t="s">
        <v>1077</v>
      </c>
      <c r="K389" t="s">
        <v>1567</v>
      </c>
      <c r="L389" t="b">
        <f>Data_Completeness(MileageData[[#This Row],[MPG]:[Acceleration]])</f>
        <v>1</v>
      </c>
    </row>
    <row r="390" spans="1:12" x14ac:dyDescent="0.25">
      <c r="A390">
        <v>36</v>
      </c>
      <c r="B390">
        <v>4</v>
      </c>
      <c r="C390">
        <v>120</v>
      </c>
      <c r="D390">
        <v>88</v>
      </c>
      <c r="E390">
        <v>2160</v>
      </c>
      <c r="F390">
        <v>14.5</v>
      </c>
      <c r="G390">
        <v>82</v>
      </c>
      <c r="H390" t="s">
        <v>1622</v>
      </c>
      <c r="I390" t="s">
        <v>1568</v>
      </c>
      <c r="J390" t="s">
        <v>1569</v>
      </c>
      <c r="K390" t="s">
        <v>1570</v>
      </c>
      <c r="L390" t="b">
        <f>Data_Completeness(MileageData[[#This Row],[MPG]:[Acceleration]])</f>
        <v>1</v>
      </c>
    </row>
    <row r="391" spans="1:12" x14ac:dyDescent="0.25">
      <c r="A391">
        <v>36</v>
      </c>
      <c r="B391">
        <v>4</v>
      </c>
      <c r="C391">
        <v>107</v>
      </c>
      <c r="D391">
        <v>75</v>
      </c>
      <c r="E391">
        <v>2205</v>
      </c>
      <c r="F391">
        <v>14.5</v>
      </c>
      <c r="G391">
        <v>82</v>
      </c>
      <c r="H391" t="s">
        <v>1622</v>
      </c>
      <c r="I391" t="s">
        <v>1496</v>
      </c>
      <c r="J391" t="s">
        <v>1229</v>
      </c>
      <c r="K391" t="s">
        <v>1497</v>
      </c>
      <c r="L391" t="b">
        <f>Data_Completeness(MileageData[[#This Row],[MPG]:[Acceleration]])</f>
        <v>1</v>
      </c>
    </row>
    <row r="392" spans="1:12" x14ac:dyDescent="0.25">
      <c r="A392">
        <v>34</v>
      </c>
      <c r="B392">
        <v>4</v>
      </c>
      <c r="C392">
        <v>108</v>
      </c>
      <c r="D392">
        <v>70</v>
      </c>
      <c r="E392">
        <v>2245</v>
      </c>
      <c r="F392">
        <v>16.899999999999999</v>
      </c>
      <c r="G392">
        <v>82</v>
      </c>
      <c r="H392" t="s">
        <v>1622</v>
      </c>
      <c r="I392" t="s">
        <v>1254</v>
      </c>
      <c r="J392" t="s">
        <v>1010</v>
      </c>
      <c r="K392" t="s">
        <v>1255</v>
      </c>
      <c r="L392" t="b">
        <f>Data_Completeness(MileageData[[#This Row],[MPG]:[Acceleration]])</f>
        <v>1</v>
      </c>
    </row>
    <row r="393" spans="1:12" x14ac:dyDescent="0.25">
      <c r="A393">
        <v>38</v>
      </c>
      <c r="B393">
        <v>4</v>
      </c>
      <c r="C393">
        <v>91</v>
      </c>
      <c r="D393">
        <v>67</v>
      </c>
      <c r="E393">
        <v>1965</v>
      </c>
      <c r="F393">
        <v>15</v>
      </c>
      <c r="G393">
        <v>82</v>
      </c>
      <c r="H393" t="s">
        <v>1622</v>
      </c>
      <c r="I393" t="s">
        <v>1228</v>
      </c>
      <c r="J393" t="s">
        <v>1229</v>
      </c>
      <c r="K393" t="s">
        <v>1230</v>
      </c>
      <c r="L393" t="b">
        <f>Data_Completeness(MileageData[[#This Row],[MPG]:[Acceleration]])</f>
        <v>1</v>
      </c>
    </row>
    <row r="394" spans="1:12" x14ac:dyDescent="0.25">
      <c r="A394">
        <v>32</v>
      </c>
      <c r="B394">
        <v>4</v>
      </c>
      <c r="C394">
        <v>91</v>
      </c>
      <c r="D394">
        <v>67</v>
      </c>
      <c r="E394">
        <v>1965</v>
      </c>
      <c r="F394">
        <v>15.7</v>
      </c>
      <c r="G394">
        <v>82</v>
      </c>
      <c r="H394" t="s">
        <v>1622</v>
      </c>
      <c r="I394" t="s">
        <v>1571</v>
      </c>
      <c r="J394" t="s">
        <v>1229</v>
      </c>
      <c r="K394" t="s">
        <v>1572</v>
      </c>
      <c r="L394" t="b">
        <f>Data_Completeness(MileageData[[#This Row],[MPG]:[Acceleration]])</f>
        <v>1</v>
      </c>
    </row>
    <row r="395" spans="1:12" x14ac:dyDescent="0.25">
      <c r="A395">
        <v>38</v>
      </c>
      <c r="B395">
        <v>4</v>
      </c>
      <c r="C395">
        <v>91</v>
      </c>
      <c r="D395">
        <v>67</v>
      </c>
      <c r="E395">
        <v>1995</v>
      </c>
      <c r="F395">
        <v>16.2</v>
      </c>
      <c r="G395">
        <v>82</v>
      </c>
      <c r="H395" t="s">
        <v>1622</v>
      </c>
      <c r="I395" t="s">
        <v>1573</v>
      </c>
      <c r="J395" t="s">
        <v>1019</v>
      </c>
      <c r="K395" t="s">
        <v>1574</v>
      </c>
      <c r="L395" t="b">
        <f>Data_Completeness(MileageData[[#This Row],[MPG]:[Acceleration]])</f>
        <v>1</v>
      </c>
    </row>
    <row r="396" spans="1:12" x14ac:dyDescent="0.25">
      <c r="A396">
        <v>25</v>
      </c>
      <c r="B396">
        <v>6</v>
      </c>
      <c r="C396">
        <v>181</v>
      </c>
      <c r="D396">
        <v>110</v>
      </c>
      <c r="E396">
        <v>2945</v>
      </c>
      <c r="F396">
        <v>16.399999999999999</v>
      </c>
      <c r="G396">
        <v>82</v>
      </c>
      <c r="H396" t="s">
        <v>1620</v>
      </c>
      <c r="I396" t="s">
        <v>1575</v>
      </c>
      <c r="J396" t="s">
        <v>966</v>
      </c>
      <c r="K396" t="s">
        <v>1576</v>
      </c>
      <c r="L396" t="b">
        <f>Data_Completeness(MileageData[[#This Row],[MPG]:[Acceleration]])</f>
        <v>1</v>
      </c>
    </row>
    <row r="397" spans="1:12" x14ac:dyDescent="0.25">
      <c r="A397">
        <v>38</v>
      </c>
      <c r="B397">
        <v>6</v>
      </c>
      <c r="C397">
        <v>262</v>
      </c>
      <c r="D397">
        <v>85</v>
      </c>
      <c r="E397">
        <v>3015</v>
      </c>
      <c r="F397">
        <v>17</v>
      </c>
      <c r="G397">
        <v>82</v>
      </c>
      <c r="H397" t="s">
        <v>1620</v>
      </c>
      <c r="I397" t="s">
        <v>1577</v>
      </c>
      <c r="J397" t="s">
        <v>1109</v>
      </c>
      <c r="K397" t="s">
        <v>1578</v>
      </c>
      <c r="L397" t="b">
        <f>Data_Completeness(MileageData[[#This Row],[MPG]:[Acceleration]])</f>
        <v>1</v>
      </c>
    </row>
    <row r="398" spans="1:12" x14ac:dyDescent="0.25">
      <c r="A398">
        <v>26</v>
      </c>
      <c r="B398">
        <v>4</v>
      </c>
      <c r="C398">
        <v>156</v>
      </c>
      <c r="D398">
        <v>92</v>
      </c>
      <c r="E398">
        <v>2585</v>
      </c>
      <c r="F398">
        <v>14.5</v>
      </c>
      <c r="G398">
        <v>82</v>
      </c>
      <c r="H398" t="s">
        <v>1620</v>
      </c>
      <c r="I398" t="s">
        <v>1579</v>
      </c>
      <c r="J398" t="s">
        <v>1112</v>
      </c>
      <c r="K398" t="s">
        <v>1580</v>
      </c>
      <c r="L398" t="b">
        <f>Data_Completeness(MileageData[[#This Row],[MPG]:[Acceleration]])</f>
        <v>1</v>
      </c>
    </row>
    <row r="399" spans="1:12" x14ac:dyDescent="0.25">
      <c r="A399">
        <v>22</v>
      </c>
      <c r="B399">
        <v>6</v>
      </c>
      <c r="C399">
        <v>232</v>
      </c>
      <c r="D399">
        <v>112</v>
      </c>
      <c r="E399">
        <v>2835</v>
      </c>
      <c r="F399">
        <v>14.7</v>
      </c>
      <c r="G399">
        <v>82</v>
      </c>
      <c r="H399" t="s">
        <v>1620</v>
      </c>
      <c r="I399" t="s">
        <v>1581</v>
      </c>
      <c r="J399" t="s">
        <v>975</v>
      </c>
      <c r="K399" t="s">
        <v>1582</v>
      </c>
      <c r="L399" t="b">
        <f>Data_Completeness(MileageData[[#This Row],[MPG]:[Acceleration]])</f>
        <v>1</v>
      </c>
    </row>
    <row r="400" spans="1:12" x14ac:dyDescent="0.25">
      <c r="A400">
        <v>32</v>
      </c>
      <c r="B400">
        <v>4</v>
      </c>
      <c r="C400">
        <v>144</v>
      </c>
      <c r="D400">
        <v>96</v>
      </c>
      <c r="E400">
        <v>2665</v>
      </c>
      <c r="F400">
        <v>13.9</v>
      </c>
      <c r="G400">
        <v>82</v>
      </c>
      <c r="H400" t="s">
        <v>1622</v>
      </c>
      <c r="I400" t="s">
        <v>1583</v>
      </c>
      <c r="J400" t="s">
        <v>1010</v>
      </c>
      <c r="K400" t="s">
        <v>1584</v>
      </c>
      <c r="L400" t="b">
        <f>Data_Completeness(MileageData[[#This Row],[MPG]:[Acceleration]])</f>
        <v>1</v>
      </c>
    </row>
    <row r="401" spans="1:12" x14ac:dyDescent="0.25">
      <c r="A401">
        <v>36</v>
      </c>
      <c r="B401">
        <v>4</v>
      </c>
      <c r="C401">
        <v>135</v>
      </c>
      <c r="D401">
        <v>84</v>
      </c>
      <c r="E401">
        <v>2370</v>
      </c>
      <c r="F401">
        <v>13</v>
      </c>
      <c r="G401">
        <v>82</v>
      </c>
      <c r="H401" t="s">
        <v>1620</v>
      </c>
      <c r="I401" t="s">
        <v>1585</v>
      </c>
      <c r="J401" t="s">
        <v>1000</v>
      </c>
      <c r="K401" t="s">
        <v>1586</v>
      </c>
      <c r="L401" t="b">
        <f>Data_Completeness(MileageData[[#This Row],[MPG]:[Acceleration]])</f>
        <v>1</v>
      </c>
    </row>
    <row r="402" spans="1:12" x14ac:dyDescent="0.25">
      <c r="A402">
        <v>27</v>
      </c>
      <c r="B402">
        <v>4</v>
      </c>
      <c r="C402">
        <v>151</v>
      </c>
      <c r="D402">
        <v>90</v>
      </c>
      <c r="E402">
        <v>2950</v>
      </c>
      <c r="F402">
        <v>17.3</v>
      </c>
      <c r="G402">
        <v>82</v>
      </c>
      <c r="H402" t="s">
        <v>1620</v>
      </c>
      <c r="I402" t="s">
        <v>1587</v>
      </c>
      <c r="J402" t="s">
        <v>963</v>
      </c>
      <c r="K402" t="s">
        <v>1588</v>
      </c>
      <c r="L402" t="b">
        <f>Data_Completeness(MileageData[[#This Row],[MPG]:[Acceleration]])</f>
        <v>1</v>
      </c>
    </row>
    <row r="403" spans="1:12" x14ac:dyDescent="0.25">
      <c r="A403">
        <v>27</v>
      </c>
      <c r="B403">
        <v>4</v>
      </c>
      <c r="C403">
        <v>140</v>
      </c>
      <c r="D403">
        <v>86</v>
      </c>
      <c r="E403">
        <v>2790</v>
      </c>
      <c r="F403">
        <v>15.6</v>
      </c>
      <c r="G403">
        <v>82</v>
      </c>
      <c r="H403" t="s">
        <v>1620</v>
      </c>
      <c r="I403" t="s">
        <v>1589</v>
      </c>
      <c r="J403" t="s">
        <v>975</v>
      </c>
      <c r="K403" t="s">
        <v>1590</v>
      </c>
      <c r="L403" t="b">
        <f>Data_Completeness(MileageData[[#This Row],[MPG]:[Acceleration]])</f>
        <v>1</v>
      </c>
    </row>
    <row r="404" spans="1:12" x14ac:dyDescent="0.25">
      <c r="A404">
        <v>44</v>
      </c>
      <c r="B404">
        <v>4</v>
      </c>
      <c r="C404">
        <v>97</v>
      </c>
      <c r="D404">
        <v>52</v>
      </c>
      <c r="E404">
        <v>2130</v>
      </c>
      <c r="F404">
        <v>24.6</v>
      </c>
      <c r="G404">
        <v>82</v>
      </c>
      <c r="H404" t="s">
        <v>1621</v>
      </c>
      <c r="I404" t="s">
        <v>1591</v>
      </c>
      <c r="J404" t="s">
        <v>1279</v>
      </c>
      <c r="K404" t="s">
        <v>1592</v>
      </c>
      <c r="L404" t="b">
        <f>Data_Completeness(MileageData[[#This Row],[MPG]:[Acceleration]])</f>
        <v>1</v>
      </c>
    </row>
    <row r="405" spans="1:12" x14ac:dyDescent="0.25">
      <c r="A405">
        <v>32</v>
      </c>
      <c r="B405">
        <v>4</v>
      </c>
      <c r="C405">
        <v>135</v>
      </c>
      <c r="D405">
        <v>84</v>
      </c>
      <c r="E405">
        <v>2295</v>
      </c>
      <c r="F405">
        <v>11.6</v>
      </c>
      <c r="G405">
        <v>82</v>
      </c>
      <c r="H405" t="s">
        <v>1620</v>
      </c>
      <c r="I405" t="s">
        <v>1593</v>
      </c>
      <c r="J405" t="s">
        <v>1000</v>
      </c>
      <c r="K405" t="s">
        <v>1594</v>
      </c>
      <c r="L405" t="b">
        <f>Data_Completeness(MileageData[[#This Row],[MPG]:[Acceleration]])</f>
        <v>1</v>
      </c>
    </row>
    <row r="406" spans="1:12" x14ac:dyDescent="0.25">
      <c r="A406">
        <v>28</v>
      </c>
      <c r="B406">
        <v>4</v>
      </c>
      <c r="C406">
        <v>120</v>
      </c>
      <c r="D406">
        <v>79</v>
      </c>
      <c r="E406">
        <v>2625</v>
      </c>
      <c r="F406">
        <v>18.600000000000001</v>
      </c>
      <c r="G406">
        <v>82</v>
      </c>
      <c r="H406" t="s">
        <v>1620</v>
      </c>
      <c r="I406" t="s">
        <v>1595</v>
      </c>
      <c r="J406" t="s">
        <v>975</v>
      </c>
      <c r="K406" t="s">
        <v>1596</v>
      </c>
      <c r="L406" t="b">
        <f>Data_Completeness(MileageData[[#This Row],[MPG]:[Acceleration]])</f>
        <v>1</v>
      </c>
    </row>
    <row r="407" spans="1:12" x14ac:dyDescent="0.25">
      <c r="A407">
        <v>31</v>
      </c>
      <c r="B407">
        <v>4</v>
      </c>
      <c r="C407">
        <v>119</v>
      </c>
      <c r="D407">
        <v>82</v>
      </c>
      <c r="E407">
        <v>2720</v>
      </c>
      <c r="F407">
        <v>19.399999999999999</v>
      </c>
      <c r="G407">
        <v>82</v>
      </c>
      <c r="H407" t="s">
        <v>1620</v>
      </c>
      <c r="I407" t="s">
        <v>1597</v>
      </c>
      <c r="J407" t="s">
        <v>1039</v>
      </c>
      <c r="K407" t="s">
        <v>1598</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339</v>
      </c>
      <c r="B1" t="s">
        <v>340</v>
      </c>
      <c r="C1" t="s">
        <v>341</v>
      </c>
      <c r="D1" t="s">
        <v>342</v>
      </c>
      <c r="E1" t="s">
        <v>343</v>
      </c>
      <c r="F1" t="s">
        <v>344</v>
      </c>
      <c r="G1" t="s">
        <v>345</v>
      </c>
      <c r="H1" t="s">
        <v>346</v>
      </c>
      <c r="I1" t="s">
        <v>347</v>
      </c>
      <c r="J1" t="s">
        <v>348</v>
      </c>
      <c r="K1" t="s">
        <v>349</v>
      </c>
      <c r="L1" t="s">
        <v>350</v>
      </c>
      <c r="M1" t="s">
        <v>351</v>
      </c>
      <c r="N1" t="s">
        <v>352</v>
      </c>
      <c r="O1" t="s">
        <v>353</v>
      </c>
      <c r="P1" t="s">
        <v>354</v>
      </c>
      <c r="Q1" t="s">
        <v>355</v>
      </c>
      <c r="R1" t="s">
        <v>356</v>
      </c>
      <c r="S1" t="s">
        <v>357</v>
      </c>
      <c r="T1" t="s">
        <v>358</v>
      </c>
      <c r="U1" t="s">
        <v>359</v>
      </c>
      <c r="V1" t="s">
        <v>360</v>
      </c>
      <c r="W1" t="s">
        <v>361</v>
      </c>
    </row>
    <row r="2" spans="1:23" x14ac:dyDescent="0.25">
      <c r="A2" t="s">
        <v>362</v>
      </c>
      <c r="B2">
        <v>2015</v>
      </c>
      <c r="C2" t="s">
        <v>363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362</v>
      </c>
      <c r="B3">
        <v>2014</v>
      </c>
      <c r="C3" t="s">
        <v>363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362</v>
      </c>
      <c r="B4">
        <v>2013</v>
      </c>
      <c r="C4" t="s">
        <v>363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362</v>
      </c>
      <c r="B5">
        <v>2012</v>
      </c>
      <c r="C5" t="s">
        <v>363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362</v>
      </c>
      <c r="B6">
        <v>2011</v>
      </c>
      <c r="C6" t="s">
        <v>363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362</v>
      </c>
      <c r="B7">
        <v>2010</v>
      </c>
      <c r="C7" t="s">
        <v>363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362</v>
      </c>
      <c r="B8">
        <v>2009</v>
      </c>
      <c r="C8" t="s">
        <v>363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362</v>
      </c>
      <c r="B9">
        <v>2008</v>
      </c>
      <c r="C9" t="s">
        <v>363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362</v>
      </c>
      <c r="B10">
        <v>2007</v>
      </c>
      <c r="C10" t="s">
        <v>363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362</v>
      </c>
      <c r="B11">
        <v>2006</v>
      </c>
      <c r="C11" t="s">
        <v>363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362</v>
      </c>
      <c r="B12">
        <v>2005</v>
      </c>
      <c r="C12" t="s">
        <v>363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362</v>
      </c>
      <c r="B13">
        <v>2004</v>
      </c>
      <c r="C13" t="s">
        <v>363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362</v>
      </c>
      <c r="B14">
        <v>2003</v>
      </c>
      <c r="C14" t="s">
        <v>363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362</v>
      </c>
      <c r="B15">
        <v>2002</v>
      </c>
      <c r="C15" t="s">
        <v>363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362</v>
      </c>
      <c r="B16">
        <v>2001</v>
      </c>
      <c r="C16" t="s">
        <v>363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362</v>
      </c>
      <c r="B17">
        <v>2000</v>
      </c>
      <c r="C17" t="s">
        <v>363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364</v>
      </c>
      <c r="B18">
        <v>2015</v>
      </c>
      <c r="C18" t="s">
        <v>363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364</v>
      </c>
      <c r="B19">
        <v>2014</v>
      </c>
      <c r="C19" t="s">
        <v>363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364</v>
      </c>
      <c r="B20">
        <v>2013</v>
      </c>
      <c r="C20" t="s">
        <v>363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364</v>
      </c>
      <c r="B21">
        <v>2012</v>
      </c>
      <c r="C21" t="s">
        <v>363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364</v>
      </c>
      <c r="B22">
        <v>2011</v>
      </c>
      <c r="C22" t="s">
        <v>363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364</v>
      </c>
      <c r="B23">
        <v>2010</v>
      </c>
      <c r="C23" t="s">
        <v>363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364</v>
      </c>
      <c r="B24">
        <v>2009</v>
      </c>
      <c r="C24" t="s">
        <v>363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364</v>
      </c>
      <c r="B25">
        <v>2008</v>
      </c>
      <c r="C25" t="s">
        <v>363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364</v>
      </c>
      <c r="B26">
        <v>2007</v>
      </c>
      <c r="C26" t="s">
        <v>363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364</v>
      </c>
      <c r="B27">
        <v>2006</v>
      </c>
      <c r="C27" t="s">
        <v>363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364</v>
      </c>
      <c r="B28">
        <v>2005</v>
      </c>
      <c r="C28" t="s">
        <v>363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364</v>
      </c>
      <c r="B29">
        <v>2004</v>
      </c>
      <c r="C29" t="s">
        <v>363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364</v>
      </c>
      <c r="B30">
        <v>2003</v>
      </c>
      <c r="C30" t="s">
        <v>363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364</v>
      </c>
      <c r="B31">
        <v>2002</v>
      </c>
      <c r="C31" t="s">
        <v>363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364</v>
      </c>
      <c r="B32">
        <v>2001</v>
      </c>
      <c r="C32" t="s">
        <v>363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364</v>
      </c>
      <c r="B33">
        <v>2000</v>
      </c>
      <c r="C33" t="s">
        <v>363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365</v>
      </c>
      <c r="B34">
        <v>2015</v>
      </c>
      <c r="C34" t="s">
        <v>363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365</v>
      </c>
      <c r="B35">
        <v>2014</v>
      </c>
      <c r="C35" t="s">
        <v>363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365</v>
      </c>
      <c r="B36">
        <v>2013</v>
      </c>
      <c r="C36" t="s">
        <v>363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365</v>
      </c>
      <c r="B37">
        <v>2012</v>
      </c>
      <c r="C37" t="s">
        <v>363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365</v>
      </c>
      <c r="B38">
        <v>2011</v>
      </c>
      <c r="C38" t="s">
        <v>363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365</v>
      </c>
      <c r="B39">
        <v>2010</v>
      </c>
      <c r="C39" t="s">
        <v>363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365</v>
      </c>
      <c r="B40">
        <v>2009</v>
      </c>
      <c r="C40" t="s">
        <v>363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365</v>
      </c>
      <c r="B41">
        <v>2008</v>
      </c>
      <c r="C41" t="s">
        <v>363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365</v>
      </c>
      <c r="B42">
        <v>2007</v>
      </c>
      <c r="C42" t="s">
        <v>363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365</v>
      </c>
      <c r="B43">
        <v>2006</v>
      </c>
      <c r="C43" t="s">
        <v>363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365</v>
      </c>
      <c r="B44">
        <v>2005</v>
      </c>
      <c r="C44" t="s">
        <v>363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365</v>
      </c>
      <c r="B45">
        <v>2004</v>
      </c>
      <c r="C45" t="s">
        <v>363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365</v>
      </c>
      <c r="B46">
        <v>2003</v>
      </c>
      <c r="C46" t="s">
        <v>363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365</v>
      </c>
      <c r="B47">
        <v>2002</v>
      </c>
      <c r="C47" t="s">
        <v>363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365</v>
      </c>
      <c r="B48">
        <v>2001</v>
      </c>
      <c r="C48" t="s">
        <v>363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365</v>
      </c>
      <c r="B49">
        <v>2000</v>
      </c>
      <c r="C49" t="s">
        <v>363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366</v>
      </c>
      <c r="B50">
        <v>2015</v>
      </c>
      <c r="C50" t="s">
        <v>363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366</v>
      </c>
      <c r="B51">
        <v>2014</v>
      </c>
      <c r="C51" t="s">
        <v>363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366</v>
      </c>
      <c r="B52">
        <v>2013</v>
      </c>
      <c r="C52" t="s">
        <v>363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366</v>
      </c>
      <c r="B53">
        <v>2012</v>
      </c>
      <c r="C53" t="s">
        <v>363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366</v>
      </c>
      <c r="B54">
        <v>2011</v>
      </c>
      <c r="C54" t="s">
        <v>363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366</v>
      </c>
      <c r="B55">
        <v>2010</v>
      </c>
      <c r="C55" t="s">
        <v>363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366</v>
      </c>
      <c r="B56">
        <v>2009</v>
      </c>
      <c r="C56" t="s">
        <v>363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366</v>
      </c>
      <c r="B57">
        <v>2008</v>
      </c>
      <c r="C57" t="s">
        <v>363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366</v>
      </c>
      <c r="B58">
        <v>2007</v>
      </c>
      <c r="C58" t="s">
        <v>363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366</v>
      </c>
      <c r="B59">
        <v>2006</v>
      </c>
      <c r="C59" t="s">
        <v>363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366</v>
      </c>
      <c r="B60">
        <v>2005</v>
      </c>
      <c r="C60" t="s">
        <v>363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366</v>
      </c>
      <c r="B61">
        <v>2004</v>
      </c>
      <c r="C61" t="s">
        <v>363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366</v>
      </c>
      <c r="B62">
        <v>2003</v>
      </c>
      <c r="C62" t="s">
        <v>363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366</v>
      </c>
      <c r="B63">
        <v>2002</v>
      </c>
      <c r="C63" t="s">
        <v>363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366</v>
      </c>
      <c r="B64">
        <v>2001</v>
      </c>
      <c r="C64" t="s">
        <v>363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366</v>
      </c>
      <c r="B65">
        <v>2000</v>
      </c>
      <c r="C65" t="s">
        <v>363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367</v>
      </c>
      <c r="B66">
        <v>2015</v>
      </c>
      <c r="C66" t="s">
        <v>363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367</v>
      </c>
      <c r="B67">
        <v>2014</v>
      </c>
      <c r="C67" t="s">
        <v>363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367</v>
      </c>
      <c r="B68">
        <v>2013</v>
      </c>
      <c r="C68" t="s">
        <v>363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367</v>
      </c>
      <c r="B69">
        <v>2012</v>
      </c>
      <c r="C69" t="s">
        <v>363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367</v>
      </c>
      <c r="B70">
        <v>2011</v>
      </c>
      <c r="C70" t="s">
        <v>363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367</v>
      </c>
      <c r="B71">
        <v>2010</v>
      </c>
      <c r="C71" t="s">
        <v>363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367</v>
      </c>
      <c r="B72">
        <v>2009</v>
      </c>
      <c r="C72" t="s">
        <v>363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367</v>
      </c>
      <c r="B73">
        <v>2008</v>
      </c>
      <c r="C73" t="s">
        <v>363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367</v>
      </c>
      <c r="B74">
        <v>2007</v>
      </c>
      <c r="C74" t="s">
        <v>363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367</v>
      </c>
      <c r="B75">
        <v>2006</v>
      </c>
      <c r="C75" t="s">
        <v>363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367</v>
      </c>
      <c r="B76">
        <v>2005</v>
      </c>
      <c r="C76" t="s">
        <v>363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367</v>
      </c>
      <c r="B77">
        <v>2004</v>
      </c>
      <c r="C77" t="s">
        <v>363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367</v>
      </c>
      <c r="B78">
        <v>2003</v>
      </c>
      <c r="C78" t="s">
        <v>363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367</v>
      </c>
      <c r="B79">
        <v>2002</v>
      </c>
      <c r="C79" t="s">
        <v>363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367</v>
      </c>
      <c r="B80">
        <v>2001</v>
      </c>
      <c r="C80" t="s">
        <v>363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367</v>
      </c>
      <c r="B81">
        <v>2000</v>
      </c>
      <c r="C81" t="s">
        <v>363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368</v>
      </c>
      <c r="B82">
        <v>2015</v>
      </c>
      <c r="C82" t="s">
        <v>363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368</v>
      </c>
      <c r="B83">
        <v>2014</v>
      </c>
      <c r="C83" t="s">
        <v>363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368</v>
      </c>
      <c r="B84">
        <v>2013</v>
      </c>
      <c r="C84" t="s">
        <v>363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368</v>
      </c>
      <c r="B85">
        <v>2012</v>
      </c>
      <c r="C85" t="s">
        <v>363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368</v>
      </c>
      <c r="B86">
        <v>2011</v>
      </c>
      <c r="C86" t="s">
        <v>363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368</v>
      </c>
      <c r="B87">
        <v>2010</v>
      </c>
      <c r="C87" t="s">
        <v>363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368</v>
      </c>
      <c r="B88">
        <v>2009</v>
      </c>
      <c r="C88" t="s">
        <v>363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368</v>
      </c>
      <c r="B89">
        <v>2008</v>
      </c>
      <c r="C89" t="s">
        <v>363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368</v>
      </c>
      <c r="B90">
        <v>2007</v>
      </c>
      <c r="C90" t="s">
        <v>363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368</v>
      </c>
      <c r="B91">
        <v>2006</v>
      </c>
      <c r="C91" t="s">
        <v>363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368</v>
      </c>
      <c r="B92">
        <v>2005</v>
      </c>
      <c r="C92" t="s">
        <v>363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368</v>
      </c>
      <c r="B93">
        <v>2004</v>
      </c>
      <c r="C93" t="s">
        <v>363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368</v>
      </c>
      <c r="B94">
        <v>2003</v>
      </c>
      <c r="C94" t="s">
        <v>363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368</v>
      </c>
      <c r="B95">
        <v>2002</v>
      </c>
      <c r="C95" t="s">
        <v>363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368</v>
      </c>
      <c r="B96">
        <v>2001</v>
      </c>
      <c r="C96" t="s">
        <v>363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368</v>
      </c>
      <c r="B97">
        <v>2000</v>
      </c>
      <c r="C97" t="s">
        <v>363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369</v>
      </c>
      <c r="B98">
        <v>2015</v>
      </c>
      <c r="C98" t="s">
        <v>363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369</v>
      </c>
      <c r="B99">
        <v>2014</v>
      </c>
      <c r="C99" t="s">
        <v>363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369</v>
      </c>
      <c r="B100">
        <v>2013</v>
      </c>
      <c r="C100" t="s">
        <v>363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369</v>
      </c>
      <c r="B101">
        <v>2012</v>
      </c>
      <c r="C101" t="s">
        <v>363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369</v>
      </c>
      <c r="B102">
        <v>2011</v>
      </c>
      <c r="C102" t="s">
        <v>363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369</v>
      </c>
      <c r="B103">
        <v>2010</v>
      </c>
      <c r="C103" t="s">
        <v>363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369</v>
      </c>
      <c r="B104">
        <v>2009</v>
      </c>
      <c r="C104" t="s">
        <v>363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369</v>
      </c>
      <c r="B105">
        <v>2008</v>
      </c>
      <c r="C105" t="s">
        <v>363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369</v>
      </c>
      <c r="B106">
        <v>2007</v>
      </c>
      <c r="C106" t="s">
        <v>363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369</v>
      </c>
      <c r="B107">
        <v>2006</v>
      </c>
      <c r="C107" t="s">
        <v>363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369</v>
      </c>
      <c r="B108">
        <v>2005</v>
      </c>
      <c r="C108" t="s">
        <v>363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369</v>
      </c>
      <c r="B109">
        <v>2004</v>
      </c>
      <c r="C109" t="s">
        <v>363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369</v>
      </c>
      <c r="B110">
        <v>2003</v>
      </c>
      <c r="C110" t="s">
        <v>363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369</v>
      </c>
      <c r="B111">
        <v>2002</v>
      </c>
      <c r="C111" t="s">
        <v>363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369</v>
      </c>
      <c r="B112">
        <v>2001</v>
      </c>
      <c r="C112" t="s">
        <v>363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369</v>
      </c>
      <c r="B113">
        <v>2000</v>
      </c>
      <c r="C113" t="s">
        <v>363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370</v>
      </c>
      <c r="B114">
        <v>2015</v>
      </c>
      <c r="C114" t="s">
        <v>371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370</v>
      </c>
      <c r="B115">
        <v>2014</v>
      </c>
      <c r="C115" t="s">
        <v>371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370</v>
      </c>
      <c r="B116">
        <v>2013</v>
      </c>
      <c r="C116" t="s">
        <v>371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370</v>
      </c>
      <c r="B117">
        <v>2012</v>
      </c>
      <c r="C117" t="s">
        <v>371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370</v>
      </c>
      <c r="B118">
        <v>2011</v>
      </c>
      <c r="C118" t="s">
        <v>371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370</v>
      </c>
      <c r="B119">
        <v>2010</v>
      </c>
      <c r="C119" t="s">
        <v>371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370</v>
      </c>
      <c r="B120">
        <v>2009</v>
      </c>
      <c r="C120" t="s">
        <v>371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370</v>
      </c>
      <c r="B121">
        <v>2008</v>
      </c>
      <c r="C121" t="s">
        <v>371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370</v>
      </c>
      <c r="B122">
        <v>2007</v>
      </c>
      <c r="C122" t="s">
        <v>371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370</v>
      </c>
      <c r="B123">
        <v>2006</v>
      </c>
      <c r="C123" t="s">
        <v>371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370</v>
      </c>
      <c r="B124">
        <v>2005</v>
      </c>
      <c r="C124" t="s">
        <v>371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370</v>
      </c>
      <c r="B125">
        <v>2004</v>
      </c>
      <c r="C125" t="s">
        <v>371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370</v>
      </c>
      <c r="B126">
        <v>2003</v>
      </c>
      <c r="C126" t="s">
        <v>371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370</v>
      </c>
      <c r="B127">
        <v>2002</v>
      </c>
      <c r="C127" t="s">
        <v>371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370</v>
      </c>
      <c r="B128">
        <v>2001</v>
      </c>
      <c r="C128" t="s">
        <v>371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370</v>
      </c>
      <c r="B129">
        <v>2000</v>
      </c>
      <c r="C129" t="s">
        <v>371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372</v>
      </c>
      <c r="B130">
        <v>2015</v>
      </c>
      <c r="C130" t="s">
        <v>371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372</v>
      </c>
      <c r="B131">
        <v>2014</v>
      </c>
      <c r="C131" t="s">
        <v>371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372</v>
      </c>
      <c r="B132">
        <v>2013</v>
      </c>
      <c r="C132" t="s">
        <v>371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372</v>
      </c>
      <c r="B133">
        <v>2012</v>
      </c>
      <c r="C133" t="s">
        <v>371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372</v>
      </c>
      <c r="B134">
        <v>2011</v>
      </c>
      <c r="C134" t="s">
        <v>371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372</v>
      </c>
      <c r="B135">
        <v>2010</v>
      </c>
      <c r="C135" t="s">
        <v>371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372</v>
      </c>
      <c r="B136">
        <v>2009</v>
      </c>
      <c r="C136" t="s">
        <v>371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372</v>
      </c>
      <c r="B137">
        <v>2008</v>
      </c>
      <c r="C137" t="s">
        <v>371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372</v>
      </c>
      <c r="B138">
        <v>2007</v>
      </c>
      <c r="C138" t="s">
        <v>371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372</v>
      </c>
      <c r="B139">
        <v>2006</v>
      </c>
      <c r="C139" t="s">
        <v>371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372</v>
      </c>
      <c r="B140">
        <v>2005</v>
      </c>
      <c r="C140" t="s">
        <v>371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372</v>
      </c>
      <c r="B141">
        <v>2004</v>
      </c>
      <c r="C141" t="s">
        <v>371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372</v>
      </c>
      <c r="B142">
        <v>2003</v>
      </c>
      <c r="C142" t="s">
        <v>371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372</v>
      </c>
      <c r="B143">
        <v>2002</v>
      </c>
      <c r="C143" t="s">
        <v>371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372</v>
      </c>
      <c r="B144">
        <v>2001</v>
      </c>
      <c r="C144" t="s">
        <v>371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372</v>
      </c>
      <c r="B145">
        <v>2000</v>
      </c>
      <c r="C145" t="s">
        <v>371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373</v>
      </c>
      <c r="B146">
        <v>2015</v>
      </c>
      <c r="C146" t="s">
        <v>363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373</v>
      </c>
      <c r="B147">
        <v>2014</v>
      </c>
      <c r="C147" t="s">
        <v>363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373</v>
      </c>
      <c r="B148">
        <v>2013</v>
      </c>
      <c r="C148" t="s">
        <v>363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373</v>
      </c>
      <c r="B149">
        <v>2012</v>
      </c>
      <c r="C149" t="s">
        <v>363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373</v>
      </c>
      <c r="B150">
        <v>2011</v>
      </c>
      <c r="C150" t="s">
        <v>363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373</v>
      </c>
      <c r="B151">
        <v>2010</v>
      </c>
      <c r="C151" t="s">
        <v>363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373</v>
      </c>
      <c r="B152">
        <v>2009</v>
      </c>
      <c r="C152" t="s">
        <v>363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373</v>
      </c>
      <c r="B153">
        <v>2008</v>
      </c>
      <c r="C153" t="s">
        <v>363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373</v>
      </c>
      <c r="B154">
        <v>2007</v>
      </c>
      <c r="C154" t="s">
        <v>363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373</v>
      </c>
      <c r="B155">
        <v>2006</v>
      </c>
      <c r="C155" t="s">
        <v>363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373</v>
      </c>
      <c r="B156">
        <v>2005</v>
      </c>
      <c r="C156" t="s">
        <v>363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373</v>
      </c>
      <c r="B157">
        <v>2004</v>
      </c>
      <c r="C157" t="s">
        <v>363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373</v>
      </c>
      <c r="B158">
        <v>2003</v>
      </c>
      <c r="C158" t="s">
        <v>363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373</v>
      </c>
      <c r="B159">
        <v>2002</v>
      </c>
      <c r="C159" t="s">
        <v>363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373</v>
      </c>
      <c r="B160">
        <v>2001</v>
      </c>
      <c r="C160" t="s">
        <v>363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373</v>
      </c>
      <c r="B161">
        <v>2000</v>
      </c>
      <c r="C161" t="s">
        <v>363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374</v>
      </c>
      <c r="B162">
        <v>2015</v>
      </c>
      <c r="C162" t="s">
        <v>363</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374</v>
      </c>
      <c r="B163">
        <v>2014</v>
      </c>
      <c r="C163" t="s">
        <v>363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374</v>
      </c>
      <c r="B164">
        <v>2013</v>
      </c>
      <c r="C164" t="s">
        <v>363</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374</v>
      </c>
      <c r="B165">
        <v>2012</v>
      </c>
      <c r="C165" t="s">
        <v>363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374</v>
      </c>
      <c r="B166">
        <v>2011</v>
      </c>
      <c r="C166" t="s">
        <v>363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374</v>
      </c>
      <c r="B167">
        <v>2010</v>
      </c>
      <c r="C167" t="s">
        <v>363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374</v>
      </c>
      <c r="B168">
        <v>2009</v>
      </c>
      <c r="C168" t="s">
        <v>363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374</v>
      </c>
      <c r="B169">
        <v>2008</v>
      </c>
      <c r="C169" t="s">
        <v>363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374</v>
      </c>
      <c r="B170">
        <v>2007</v>
      </c>
      <c r="C170" t="s">
        <v>363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374</v>
      </c>
      <c r="B171">
        <v>2006</v>
      </c>
      <c r="C171" t="s">
        <v>363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374</v>
      </c>
      <c r="B172">
        <v>2005</v>
      </c>
      <c r="C172" t="s">
        <v>363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374</v>
      </c>
      <c r="B173">
        <v>2004</v>
      </c>
      <c r="C173" t="s">
        <v>363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374</v>
      </c>
      <c r="B174">
        <v>2003</v>
      </c>
      <c r="C174" t="s">
        <v>363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374</v>
      </c>
      <c r="B175">
        <v>2002</v>
      </c>
      <c r="C175" t="s">
        <v>363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374</v>
      </c>
      <c r="B176">
        <v>2001</v>
      </c>
      <c r="C176" t="s">
        <v>363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374</v>
      </c>
      <c r="B177">
        <v>2000</v>
      </c>
      <c r="C177" t="s">
        <v>363</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375</v>
      </c>
      <c r="B178">
        <v>2015</v>
      </c>
      <c r="C178" t="s">
        <v>363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375</v>
      </c>
      <c r="B179">
        <v>2014</v>
      </c>
      <c r="C179" t="s">
        <v>363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375</v>
      </c>
      <c r="B180">
        <v>2013</v>
      </c>
      <c r="C180" t="s">
        <v>363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375</v>
      </c>
      <c r="B181">
        <v>2012</v>
      </c>
      <c r="C181" t="s">
        <v>363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375</v>
      </c>
      <c r="B182">
        <v>2011</v>
      </c>
      <c r="C182" t="s">
        <v>363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375</v>
      </c>
      <c r="B183">
        <v>2010</v>
      </c>
      <c r="C183" t="s">
        <v>363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375</v>
      </c>
      <c r="B184">
        <v>2009</v>
      </c>
      <c r="C184" t="s">
        <v>363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375</v>
      </c>
      <c r="B185">
        <v>2008</v>
      </c>
      <c r="C185" t="s">
        <v>363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375</v>
      </c>
      <c r="B186">
        <v>2007</v>
      </c>
      <c r="C186" t="s">
        <v>363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375</v>
      </c>
      <c r="B187">
        <v>2006</v>
      </c>
      <c r="C187" t="s">
        <v>363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375</v>
      </c>
      <c r="B188">
        <v>2005</v>
      </c>
      <c r="C188" t="s">
        <v>363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375</v>
      </c>
      <c r="B189">
        <v>2004</v>
      </c>
      <c r="C189" t="s">
        <v>363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375</v>
      </c>
      <c r="B190">
        <v>2003</v>
      </c>
      <c r="C190" t="s">
        <v>363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375</v>
      </c>
      <c r="B191">
        <v>2002</v>
      </c>
      <c r="C191" t="s">
        <v>363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375</v>
      </c>
      <c r="B192">
        <v>2001</v>
      </c>
      <c r="C192" t="s">
        <v>363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375</v>
      </c>
      <c r="B193">
        <v>2000</v>
      </c>
      <c r="C193" t="s">
        <v>363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376</v>
      </c>
      <c r="B194">
        <v>2015</v>
      </c>
      <c r="C194" t="s">
        <v>363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376</v>
      </c>
      <c r="B195">
        <v>2014</v>
      </c>
      <c r="C195" t="s">
        <v>363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376</v>
      </c>
      <c r="B196">
        <v>2013</v>
      </c>
      <c r="C196" t="s">
        <v>363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376</v>
      </c>
      <c r="B197">
        <v>2012</v>
      </c>
      <c r="C197" t="s">
        <v>363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376</v>
      </c>
      <c r="B198">
        <v>2011</v>
      </c>
      <c r="C198" t="s">
        <v>363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376</v>
      </c>
      <c r="B199">
        <v>2010</v>
      </c>
      <c r="C199" t="s">
        <v>363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376</v>
      </c>
      <c r="B200">
        <v>2009</v>
      </c>
      <c r="C200" t="s">
        <v>363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376</v>
      </c>
      <c r="B201">
        <v>2008</v>
      </c>
      <c r="C201" t="s">
        <v>363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376</v>
      </c>
      <c r="B202">
        <v>2007</v>
      </c>
      <c r="C202" t="s">
        <v>363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376</v>
      </c>
      <c r="B203">
        <v>2006</v>
      </c>
      <c r="C203" t="s">
        <v>363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376</v>
      </c>
      <c r="B204">
        <v>2005</v>
      </c>
      <c r="C204" t="s">
        <v>363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376</v>
      </c>
      <c r="B205">
        <v>2004</v>
      </c>
      <c r="C205" t="s">
        <v>363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376</v>
      </c>
      <c r="B206">
        <v>2003</v>
      </c>
      <c r="C206" t="s">
        <v>363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376</v>
      </c>
      <c r="B207">
        <v>2002</v>
      </c>
      <c r="C207" t="s">
        <v>363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376</v>
      </c>
      <c r="B208">
        <v>2001</v>
      </c>
      <c r="C208" t="s">
        <v>363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376</v>
      </c>
      <c r="B209">
        <v>2000</v>
      </c>
      <c r="C209" t="s">
        <v>363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377</v>
      </c>
      <c r="B210">
        <v>2015</v>
      </c>
      <c r="C210" t="s">
        <v>363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377</v>
      </c>
      <c r="B211">
        <v>2014</v>
      </c>
      <c r="C211" t="s">
        <v>363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377</v>
      </c>
      <c r="B212">
        <v>2013</v>
      </c>
      <c r="C212" t="s">
        <v>363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377</v>
      </c>
      <c r="B213">
        <v>2012</v>
      </c>
      <c r="C213" t="s">
        <v>363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377</v>
      </c>
      <c r="B214">
        <v>2011</v>
      </c>
      <c r="C214" t="s">
        <v>363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377</v>
      </c>
      <c r="B215">
        <v>2010</v>
      </c>
      <c r="C215" t="s">
        <v>363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377</v>
      </c>
      <c r="B216">
        <v>2009</v>
      </c>
      <c r="C216" t="s">
        <v>363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377</v>
      </c>
      <c r="B217">
        <v>2008</v>
      </c>
      <c r="C217" t="s">
        <v>363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377</v>
      </c>
      <c r="B218">
        <v>2007</v>
      </c>
      <c r="C218" t="s">
        <v>363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377</v>
      </c>
      <c r="B219">
        <v>2006</v>
      </c>
      <c r="C219" t="s">
        <v>363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377</v>
      </c>
      <c r="B220">
        <v>2005</v>
      </c>
      <c r="C220" t="s">
        <v>363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377</v>
      </c>
      <c r="B221">
        <v>2004</v>
      </c>
      <c r="C221" t="s">
        <v>363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377</v>
      </c>
      <c r="B222">
        <v>2003</v>
      </c>
      <c r="C222" t="s">
        <v>363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377</v>
      </c>
      <c r="B223">
        <v>2002</v>
      </c>
      <c r="C223" t="s">
        <v>363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377</v>
      </c>
      <c r="B224">
        <v>2001</v>
      </c>
      <c r="C224" t="s">
        <v>363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377</v>
      </c>
      <c r="B225">
        <v>2000</v>
      </c>
      <c r="C225" t="s">
        <v>363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378</v>
      </c>
      <c r="B226">
        <v>2015</v>
      </c>
      <c r="C226" t="s">
        <v>363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378</v>
      </c>
      <c r="B227">
        <v>2014</v>
      </c>
      <c r="C227" t="s">
        <v>363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378</v>
      </c>
      <c r="B228">
        <v>2013</v>
      </c>
      <c r="C228" t="s">
        <v>363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378</v>
      </c>
      <c r="B229">
        <v>2012</v>
      </c>
      <c r="C229" t="s">
        <v>363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378</v>
      </c>
      <c r="B230">
        <v>2011</v>
      </c>
      <c r="C230" t="s">
        <v>363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378</v>
      </c>
      <c r="B231">
        <v>2010</v>
      </c>
      <c r="C231" t="s">
        <v>363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378</v>
      </c>
      <c r="B232">
        <v>2009</v>
      </c>
      <c r="C232" t="s">
        <v>363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378</v>
      </c>
      <c r="B233">
        <v>2008</v>
      </c>
      <c r="C233" t="s">
        <v>363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378</v>
      </c>
      <c r="B234">
        <v>2007</v>
      </c>
      <c r="C234" t="s">
        <v>363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378</v>
      </c>
      <c r="B235">
        <v>2006</v>
      </c>
      <c r="C235" t="s">
        <v>363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378</v>
      </c>
      <c r="B236">
        <v>2005</v>
      </c>
      <c r="C236" t="s">
        <v>363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378</v>
      </c>
      <c r="B237">
        <v>2004</v>
      </c>
      <c r="C237" t="s">
        <v>363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378</v>
      </c>
      <c r="B238">
        <v>2003</v>
      </c>
      <c r="C238" t="s">
        <v>363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378</v>
      </c>
      <c r="B239">
        <v>2002</v>
      </c>
      <c r="C239" t="s">
        <v>363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378</v>
      </c>
      <c r="B240">
        <v>2001</v>
      </c>
      <c r="C240" t="s">
        <v>363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378</v>
      </c>
      <c r="B241">
        <v>2000</v>
      </c>
      <c r="C241" t="s">
        <v>363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379</v>
      </c>
      <c r="B242">
        <v>2015</v>
      </c>
      <c r="C242" t="s">
        <v>371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379</v>
      </c>
      <c r="B243">
        <v>2014</v>
      </c>
      <c r="C243" t="s">
        <v>371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379</v>
      </c>
      <c r="B244">
        <v>2013</v>
      </c>
      <c r="C244" t="s">
        <v>371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379</v>
      </c>
      <c r="B245">
        <v>2012</v>
      </c>
      <c r="C245" t="s">
        <v>371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379</v>
      </c>
      <c r="B246">
        <v>2011</v>
      </c>
      <c r="C246" t="s">
        <v>371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379</v>
      </c>
      <c r="B247">
        <v>2010</v>
      </c>
      <c r="C247" t="s">
        <v>371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379</v>
      </c>
      <c r="B248">
        <v>2009</v>
      </c>
      <c r="C248" t="s">
        <v>371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379</v>
      </c>
      <c r="B249">
        <v>2008</v>
      </c>
      <c r="C249" t="s">
        <v>371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379</v>
      </c>
      <c r="B250">
        <v>2007</v>
      </c>
      <c r="C250" t="s">
        <v>371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379</v>
      </c>
      <c r="B251">
        <v>2006</v>
      </c>
      <c r="C251" t="s">
        <v>371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379</v>
      </c>
      <c r="B252">
        <v>2005</v>
      </c>
      <c r="C252" t="s">
        <v>371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379</v>
      </c>
      <c r="B253">
        <v>2004</v>
      </c>
      <c r="C253" t="s">
        <v>371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379</v>
      </c>
      <c r="B254">
        <v>2003</v>
      </c>
      <c r="C254" t="s">
        <v>371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379</v>
      </c>
      <c r="B255">
        <v>2002</v>
      </c>
      <c r="C255" t="s">
        <v>371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379</v>
      </c>
      <c r="B256">
        <v>2001</v>
      </c>
      <c r="C256" t="s">
        <v>371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379</v>
      </c>
      <c r="B257">
        <v>2000</v>
      </c>
      <c r="C257" t="s">
        <v>371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380</v>
      </c>
      <c r="B258">
        <v>2015</v>
      </c>
      <c r="C258" t="s">
        <v>363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380</v>
      </c>
      <c r="B259">
        <v>2014</v>
      </c>
      <c r="C259" t="s">
        <v>363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380</v>
      </c>
      <c r="B260">
        <v>2013</v>
      </c>
      <c r="C260" t="s">
        <v>363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380</v>
      </c>
      <c r="B261">
        <v>2012</v>
      </c>
      <c r="C261" t="s">
        <v>363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380</v>
      </c>
      <c r="B262">
        <v>2011</v>
      </c>
      <c r="C262" t="s">
        <v>363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380</v>
      </c>
      <c r="B263">
        <v>2010</v>
      </c>
      <c r="C263" t="s">
        <v>363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380</v>
      </c>
      <c r="B264">
        <v>2009</v>
      </c>
      <c r="C264" t="s">
        <v>363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380</v>
      </c>
      <c r="B265">
        <v>2008</v>
      </c>
      <c r="C265" t="s">
        <v>363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380</v>
      </c>
      <c r="B266">
        <v>2007</v>
      </c>
      <c r="C266" t="s">
        <v>363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380</v>
      </c>
      <c r="B267">
        <v>2006</v>
      </c>
      <c r="C267" t="s">
        <v>363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380</v>
      </c>
      <c r="B268">
        <v>2005</v>
      </c>
      <c r="C268" t="s">
        <v>363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380</v>
      </c>
      <c r="B269">
        <v>2004</v>
      </c>
      <c r="C269" t="s">
        <v>363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380</v>
      </c>
      <c r="B270">
        <v>2003</v>
      </c>
      <c r="C270" t="s">
        <v>363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380</v>
      </c>
      <c r="B271">
        <v>2002</v>
      </c>
      <c r="C271" t="s">
        <v>363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380</v>
      </c>
      <c r="B272">
        <v>2001</v>
      </c>
      <c r="C272" t="s">
        <v>363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380</v>
      </c>
      <c r="B273">
        <v>2000</v>
      </c>
      <c r="C273" t="s">
        <v>363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381</v>
      </c>
      <c r="B274">
        <v>2015</v>
      </c>
      <c r="C274" t="s">
        <v>363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381</v>
      </c>
      <c r="B275">
        <v>2014</v>
      </c>
      <c r="C275" t="s">
        <v>363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381</v>
      </c>
      <c r="B276">
        <v>2013</v>
      </c>
      <c r="C276" t="s">
        <v>363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381</v>
      </c>
      <c r="B277">
        <v>2012</v>
      </c>
      <c r="C277" t="s">
        <v>363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381</v>
      </c>
      <c r="B278">
        <v>2011</v>
      </c>
      <c r="C278" t="s">
        <v>363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381</v>
      </c>
      <c r="B279">
        <v>2010</v>
      </c>
      <c r="C279" t="s">
        <v>363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381</v>
      </c>
      <c r="B280">
        <v>2009</v>
      </c>
      <c r="C280" t="s">
        <v>363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381</v>
      </c>
      <c r="B281">
        <v>2008</v>
      </c>
      <c r="C281" t="s">
        <v>363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381</v>
      </c>
      <c r="B282">
        <v>2007</v>
      </c>
      <c r="C282" t="s">
        <v>363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381</v>
      </c>
      <c r="B283">
        <v>2006</v>
      </c>
      <c r="C283" t="s">
        <v>363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381</v>
      </c>
      <c r="B284">
        <v>2005</v>
      </c>
      <c r="C284" t="s">
        <v>363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381</v>
      </c>
      <c r="B285">
        <v>2004</v>
      </c>
      <c r="C285" t="s">
        <v>363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381</v>
      </c>
      <c r="B286">
        <v>2003</v>
      </c>
      <c r="C286" t="s">
        <v>363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381</v>
      </c>
      <c r="B287">
        <v>2002</v>
      </c>
      <c r="C287" t="s">
        <v>363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381</v>
      </c>
      <c r="B288">
        <v>2001</v>
      </c>
      <c r="C288" t="s">
        <v>363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381</v>
      </c>
      <c r="B289">
        <v>2000</v>
      </c>
      <c r="C289" t="s">
        <v>363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382</v>
      </c>
      <c r="B290">
        <v>2015</v>
      </c>
      <c r="C290" t="s">
        <v>363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382</v>
      </c>
      <c r="B291">
        <v>2014</v>
      </c>
      <c r="C291" t="s">
        <v>363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382</v>
      </c>
      <c r="B292">
        <v>2013</v>
      </c>
      <c r="C292" t="s">
        <v>363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382</v>
      </c>
      <c r="B293">
        <v>2012</v>
      </c>
      <c r="C293" t="s">
        <v>363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382</v>
      </c>
      <c r="B294">
        <v>2011</v>
      </c>
      <c r="C294" t="s">
        <v>363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382</v>
      </c>
      <c r="B295">
        <v>2010</v>
      </c>
      <c r="C295" t="s">
        <v>363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382</v>
      </c>
      <c r="B296">
        <v>2009</v>
      </c>
      <c r="C296" t="s">
        <v>363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382</v>
      </c>
      <c r="B297">
        <v>2008</v>
      </c>
      <c r="C297" t="s">
        <v>363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382</v>
      </c>
      <c r="B298">
        <v>2007</v>
      </c>
      <c r="C298" t="s">
        <v>363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382</v>
      </c>
      <c r="B299">
        <v>2006</v>
      </c>
      <c r="C299" t="s">
        <v>363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382</v>
      </c>
      <c r="B300">
        <v>2005</v>
      </c>
      <c r="C300" t="s">
        <v>363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382</v>
      </c>
      <c r="B301">
        <v>2004</v>
      </c>
      <c r="C301" t="s">
        <v>363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382</v>
      </c>
      <c r="B302">
        <v>2003</v>
      </c>
      <c r="C302" t="s">
        <v>363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382</v>
      </c>
      <c r="B303">
        <v>2002</v>
      </c>
      <c r="C303" t="s">
        <v>363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382</v>
      </c>
      <c r="B304">
        <v>2001</v>
      </c>
      <c r="C304" t="s">
        <v>363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382</v>
      </c>
      <c r="B305">
        <v>2000</v>
      </c>
      <c r="C305" t="s">
        <v>363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383</v>
      </c>
      <c r="B306">
        <v>2015</v>
      </c>
      <c r="C306" t="s">
        <v>363</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383</v>
      </c>
      <c r="B307">
        <v>2014</v>
      </c>
      <c r="C307" t="s">
        <v>363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383</v>
      </c>
      <c r="B308">
        <v>2013</v>
      </c>
      <c r="C308" t="s">
        <v>363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383</v>
      </c>
      <c r="B309">
        <v>2012</v>
      </c>
      <c r="C309" t="s">
        <v>363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383</v>
      </c>
      <c r="B310">
        <v>2011</v>
      </c>
      <c r="C310" t="s">
        <v>363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383</v>
      </c>
      <c r="B311">
        <v>2010</v>
      </c>
      <c r="C311" t="s">
        <v>363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383</v>
      </c>
      <c r="B312">
        <v>2009</v>
      </c>
      <c r="C312" t="s">
        <v>363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383</v>
      </c>
      <c r="B313">
        <v>2008</v>
      </c>
      <c r="C313" t="s">
        <v>363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383</v>
      </c>
      <c r="B314">
        <v>2007</v>
      </c>
      <c r="C314" t="s">
        <v>363</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383</v>
      </c>
      <c r="B315">
        <v>2006</v>
      </c>
      <c r="C315" t="s">
        <v>363</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383</v>
      </c>
      <c r="B316">
        <v>2005</v>
      </c>
      <c r="C316" t="s">
        <v>363</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383</v>
      </c>
      <c r="B317">
        <v>2004</v>
      </c>
      <c r="C317" t="s">
        <v>363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383</v>
      </c>
      <c r="B318">
        <v>2003</v>
      </c>
      <c r="C318" t="s">
        <v>363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383</v>
      </c>
      <c r="B319">
        <v>2002</v>
      </c>
      <c r="C319" t="s">
        <v>363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383</v>
      </c>
      <c r="B320">
        <v>2001</v>
      </c>
      <c r="C320" t="s">
        <v>363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383</v>
      </c>
      <c r="B321">
        <v>2000</v>
      </c>
      <c r="C321" t="s">
        <v>363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384</v>
      </c>
      <c r="B322">
        <v>2015</v>
      </c>
      <c r="C322" t="s">
        <v>363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384</v>
      </c>
      <c r="B323">
        <v>2014</v>
      </c>
      <c r="C323" t="s">
        <v>363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384</v>
      </c>
      <c r="B324">
        <v>2013</v>
      </c>
      <c r="C324" t="s">
        <v>363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384</v>
      </c>
      <c r="B325">
        <v>2012</v>
      </c>
      <c r="C325" t="s">
        <v>363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384</v>
      </c>
      <c r="B326">
        <v>2011</v>
      </c>
      <c r="C326" t="s">
        <v>363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384</v>
      </c>
      <c r="B327">
        <v>2010</v>
      </c>
      <c r="C327" t="s">
        <v>363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384</v>
      </c>
      <c r="B328">
        <v>2009</v>
      </c>
      <c r="C328" t="s">
        <v>363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384</v>
      </c>
      <c r="B329">
        <v>2008</v>
      </c>
      <c r="C329" t="s">
        <v>363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384</v>
      </c>
      <c r="B330">
        <v>2007</v>
      </c>
      <c r="C330" t="s">
        <v>363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384</v>
      </c>
      <c r="B331">
        <v>2006</v>
      </c>
      <c r="C331" t="s">
        <v>363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384</v>
      </c>
      <c r="B332">
        <v>2005</v>
      </c>
      <c r="C332" t="s">
        <v>363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384</v>
      </c>
      <c r="B333">
        <v>2004</v>
      </c>
      <c r="C333" t="s">
        <v>363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384</v>
      </c>
      <c r="B334">
        <v>2003</v>
      </c>
      <c r="C334" t="s">
        <v>363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384</v>
      </c>
      <c r="B335">
        <v>2002</v>
      </c>
      <c r="C335" t="s">
        <v>363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384</v>
      </c>
      <c r="B336">
        <v>2001</v>
      </c>
      <c r="C336" t="s">
        <v>363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384</v>
      </c>
      <c r="B337">
        <v>2000</v>
      </c>
      <c r="C337" t="s">
        <v>363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385</v>
      </c>
      <c r="B338">
        <v>2015</v>
      </c>
      <c r="C338" t="s">
        <v>363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385</v>
      </c>
      <c r="B339">
        <v>2014</v>
      </c>
      <c r="C339" t="s">
        <v>363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385</v>
      </c>
      <c r="B340">
        <v>2013</v>
      </c>
      <c r="C340" t="s">
        <v>363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385</v>
      </c>
      <c r="B341">
        <v>2012</v>
      </c>
      <c r="C341" t="s">
        <v>363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385</v>
      </c>
      <c r="B342">
        <v>2011</v>
      </c>
      <c r="C342" t="s">
        <v>363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385</v>
      </c>
      <c r="B343">
        <v>2010</v>
      </c>
      <c r="C343" t="s">
        <v>363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385</v>
      </c>
      <c r="B344">
        <v>2009</v>
      </c>
      <c r="C344" t="s">
        <v>363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385</v>
      </c>
      <c r="B345">
        <v>2008</v>
      </c>
      <c r="C345" t="s">
        <v>363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385</v>
      </c>
      <c r="B346">
        <v>2007</v>
      </c>
      <c r="C346" t="s">
        <v>363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385</v>
      </c>
      <c r="B347">
        <v>2006</v>
      </c>
      <c r="C347" t="s">
        <v>363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385</v>
      </c>
      <c r="B348">
        <v>2005</v>
      </c>
      <c r="C348" t="s">
        <v>363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385</v>
      </c>
      <c r="B349">
        <v>2004</v>
      </c>
      <c r="C349" t="s">
        <v>363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385</v>
      </c>
      <c r="B350">
        <v>2003</v>
      </c>
      <c r="C350" t="s">
        <v>363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385</v>
      </c>
      <c r="B351">
        <v>2002</v>
      </c>
      <c r="C351" t="s">
        <v>363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385</v>
      </c>
      <c r="B352">
        <v>2001</v>
      </c>
      <c r="C352" t="s">
        <v>363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385</v>
      </c>
      <c r="B353">
        <v>2000</v>
      </c>
      <c r="C353" t="s">
        <v>363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386</v>
      </c>
      <c r="B354">
        <v>2015</v>
      </c>
      <c r="C354" t="s">
        <v>363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386</v>
      </c>
      <c r="B355">
        <v>2014</v>
      </c>
      <c r="C355" t="s">
        <v>363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386</v>
      </c>
      <c r="B356">
        <v>2013</v>
      </c>
      <c r="C356" t="s">
        <v>363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386</v>
      </c>
      <c r="B357">
        <v>2012</v>
      </c>
      <c r="C357" t="s">
        <v>363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386</v>
      </c>
      <c r="B358">
        <v>2011</v>
      </c>
      <c r="C358" t="s">
        <v>363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386</v>
      </c>
      <c r="B359">
        <v>2010</v>
      </c>
      <c r="C359" t="s">
        <v>363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386</v>
      </c>
      <c r="B360">
        <v>2009</v>
      </c>
      <c r="C360" t="s">
        <v>363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386</v>
      </c>
      <c r="B361">
        <v>2008</v>
      </c>
      <c r="C361" t="s">
        <v>363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386</v>
      </c>
      <c r="B362">
        <v>2007</v>
      </c>
      <c r="C362" t="s">
        <v>363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386</v>
      </c>
      <c r="B363">
        <v>2006</v>
      </c>
      <c r="C363" t="s">
        <v>363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386</v>
      </c>
      <c r="B364">
        <v>2005</v>
      </c>
      <c r="C364" t="s">
        <v>363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386</v>
      </c>
      <c r="B365">
        <v>2004</v>
      </c>
      <c r="C365" t="s">
        <v>363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386</v>
      </c>
      <c r="B366">
        <v>2003</v>
      </c>
      <c r="C366" t="s">
        <v>363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386</v>
      </c>
      <c r="B367">
        <v>2002</v>
      </c>
      <c r="C367" t="s">
        <v>363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386</v>
      </c>
      <c r="B368">
        <v>2001</v>
      </c>
      <c r="C368" t="s">
        <v>363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386</v>
      </c>
      <c r="B369">
        <v>2000</v>
      </c>
      <c r="C369" t="s">
        <v>363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387</v>
      </c>
      <c r="B370">
        <v>2015</v>
      </c>
      <c r="C370" t="s">
        <v>363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387</v>
      </c>
      <c r="B371">
        <v>2014</v>
      </c>
      <c r="C371" t="s">
        <v>363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387</v>
      </c>
      <c r="B372">
        <v>2013</v>
      </c>
      <c r="C372" t="s">
        <v>363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387</v>
      </c>
      <c r="B373">
        <v>2012</v>
      </c>
      <c r="C373" t="s">
        <v>363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387</v>
      </c>
      <c r="B374">
        <v>2011</v>
      </c>
      <c r="C374" t="s">
        <v>363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387</v>
      </c>
      <c r="B375">
        <v>2010</v>
      </c>
      <c r="C375" t="s">
        <v>363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387</v>
      </c>
      <c r="B376">
        <v>2009</v>
      </c>
      <c r="C376" t="s">
        <v>363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387</v>
      </c>
      <c r="B377">
        <v>2008</v>
      </c>
      <c r="C377" t="s">
        <v>363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387</v>
      </c>
      <c r="B378">
        <v>2007</v>
      </c>
      <c r="C378" t="s">
        <v>363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387</v>
      </c>
      <c r="B379">
        <v>2006</v>
      </c>
      <c r="C379" t="s">
        <v>363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387</v>
      </c>
      <c r="B380">
        <v>2005</v>
      </c>
      <c r="C380" t="s">
        <v>363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387</v>
      </c>
      <c r="B381">
        <v>2004</v>
      </c>
      <c r="C381" t="s">
        <v>363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387</v>
      </c>
      <c r="B382">
        <v>2003</v>
      </c>
      <c r="C382" t="s">
        <v>363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387</v>
      </c>
      <c r="B383">
        <v>2002</v>
      </c>
      <c r="C383" t="s">
        <v>363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387</v>
      </c>
      <c r="B384">
        <v>2001</v>
      </c>
      <c r="C384" t="s">
        <v>363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387</v>
      </c>
      <c r="B385">
        <v>2000</v>
      </c>
      <c r="C385" t="s">
        <v>363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388</v>
      </c>
      <c r="B386">
        <v>2015</v>
      </c>
      <c r="C386" t="s">
        <v>371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388</v>
      </c>
      <c r="B387">
        <v>2014</v>
      </c>
      <c r="C387" t="s">
        <v>371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388</v>
      </c>
      <c r="B388">
        <v>2013</v>
      </c>
      <c r="C388" t="s">
        <v>371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388</v>
      </c>
      <c r="B389">
        <v>2012</v>
      </c>
      <c r="C389" t="s">
        <v>371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388</v>
      </c>
      <c r="B390">
        <v>2011</v>
      </c>
      <c r="C390" t="s">
        <v>371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388</v>
      </c>
      <c r="B391">
        <v>2010</v>
      </c>
      <c r="C391" t="s">
        <v>371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388</v>
      </c>
      <c r="B392">
        <v>2009</v>
      </c>
      <c r="C392" t="s">
        <v>371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388</v>
      </c>
      <c r="B393">
        <v>2008</v>
      </c>
      <c r="C393" t="s">
        <v>371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388</v>
      </c>
      <c r="B394">
        <v>2007</v>
      </c>
      <c r="C394" t="s">
        <v>371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388</v>
      </c>
      <c r="B395">
        <v>2006</v>
      </c>
      <c r="C395" t="s">
        <v>371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388</v>
      </c>
      <c r="B396">
        <v>2005</v>
      </c>
      <c r="C396" t="s">
        <v>371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388</v>
      </c>
      <c r="B397">
        <v>2004</v>
      </c>
      <c r="C397" t="s">
        <v>371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388</v>
      </c>
      <c r="B398">
        <v>2003</v>
      </c>
      <c r="C398" t="s">
        <v>371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388</v>
      </c>
      <c r="B399">
        <v>2002</v>
      </c>
      <c r="C399" t="s">
        <v>371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388</v>
      </c>
      <c r="B400">
        <v>2001</v>
      </c>
      <c r="C400" t="s">
        <v>371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388</v>
      </c>
      <c r="B401">
        <v>2000</v>
      </c>
      <c r="C401" t="s">
        <v>371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389</v>
      </c>
      <c r="B402">
        <v>2015</v>
      </c>
      <c r="C402" t="s">
        <v>363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389</v>
      </c>
      <c r="B403">
        <v>2014</v>
      </c>
      <c r="C403" t="s">
        <v>363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389</v>
      </c>
      <c r="B404">
        <v>2013</v>
      </c>
      <c r="C404" t="s">
        <v>363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389</v>
      </c>
      <c r="B405">
        <v>2012</v>
      </c>
      <c r="C405" t="s">
        <v>363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389</v>
      </c>
      <c r="B406">
        <v>2011</v>
      </c>
      <c r="C406" t="s">
        <v>363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389</v>
      </c>
      <c r="B407">
        <v>2010</v>
      </c>
      <c r="C407" t="s">
        <v>363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389</v>
      </c>
      <c r="B408">
        <v>2009</v>
      </c>
      <c r="C408" t="s">
        <v>363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389</v>
      </c>
      <c r="B409">
        <v>2008</v>
      </c>
      <c r="C409" t="s">
        <v>363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389</v>
      </c>
      <c r="B410">
        <v>2007</v>
      </c>
      <c r="C410" t="s">
        <v>363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389</v>
      </c>
      <c r="B411">
        <v>2006</v>
      </c>
      <c r="C411" t="s">
        <v>363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389</v>
      </c>
      <c r="B412">
        <v>2005</v>
      </c>
      <c r="C412" t="s">
        <v>363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389</v>
      </c>
      <c r="B413">
        <v>2004</v>
      </c>
      <c r="C413" t="s">
        <v>363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389</v>
      </c>
      <c r="B414">
        <v>2003</v>
      </c>
      <c r="C414" t="s">
        <v>363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389</v>
      </c>
      <c r="B415">
        <v>2002</v>
      </c>
      <c r="C415" t="s">
        <v>363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389</v>
      </c>
      <c r="B416">
        <v>2001</v>
      </c>
      <c r="C416" t="s">
        <v>363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389</v>
      </c>
      <c r="B417">
        <v>2000</v>
      </c>
      <c r="C417" t="s">
        <v>363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390</v>
      </c>
      <c r="B418">
        <v>2015</v>
      </c>
      <c r="C418" t="s">
        <v>363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390</v>
      </c>
      <c r="B419">
        <v>2014</v>
      </c>
      <c r="C419" t="s">
        <v>363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390</v>
      </c>
      <c r="B420">
        <v>2013</v>
      </c>
      <c r="C420" t="s">
        <v>363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390</v>
      </c>
      <c r="B421">
        <v>2012</v>
      </c>
      <c r="C421" t="s">
        <v>363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390</v>
      </c>
      <c r="B422">
        <v>2011</v>
      </c>
      <c r="C422" t="s">
        <v>363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390</v>
      </c>
      <c r="B423">
        <v>2010</v>
      </c>
      <c r="C423" t="s">
        <v>363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390</v>
      </c>
      <c r="B424">
        <v>2009</v>
      </c>
      <c r="C424" t="s">
        <v>363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390</v>
      </c>
      <c r="B425">
        <v>2008</v>
      </c>
      <c r="C425" t="s">
        <v>363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390</v>
      </c>
      <c r="B426">
        <v>2007</v>
      </c>
      <c r="C426" t="s">
        <v>363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390</v>
      </c>
      <c r="B427">
        <v>2006</v>
      </c>
      <c r="C427" t="s">
        <v>363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390</v>
      </c>
      <c r="B428">
        <v>2005</v>
      </c>
      <c r="C428" t="s">
        <v>363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390</v>
      </c>
      <c r="B429">
        <v>2004</v>
      </c>
      <c r="C429" t="s">
        <v>363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390</v>
      </c>
      <c r="B430">
        <v>2003</v>
      </c>
      <c r="C430" t="s">
        <v>363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390</v>
      </c>
      <c r="B431">
        <v>2002</v>
      </c>
      <c r="C431" t="s">
        <v>363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390</v>
      </c>
      <c r="B432">
        <v>2001</v>
      </c>
      <c r="C432" t="s">
        <v>363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390</v>
      </c>
      <c r="B433">
        <v>2000</v>
      </c>
      <c r="C433" t="s">
        <v>363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391</v>
      </c>
      <c r="B434">
        <v>2015</v>
      </c>
      <c r="C434" t="s">
        <v>363</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391</v>
      </c>
      <c r="B435">
        <v>2014</v>
      </c>
      <c r="C435" t="s">
        <v>363</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391</v>
      </c>
      <c r="B436">
        <v>2013</v>
      </c>
      <c r="C436" t="s">
        <v>363</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391</v>
      </c>
      <c r="B437">
        <v>2012</v>
      </c>
      <c r="C437" t="s">
        <v>363</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391</v>
      </c>
      <c r="B438">
        <v>2011</v>
      </c>
      <c r="C438" t="s">
        <v>363</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391</v>
      </c>
      <c r="B439">
        <v>2010</v>
      </c>
      <c r="C439" t="s">
        <v>363</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391</v>
      </c>
      <c r="B440">
        <v>2009</v>
      </c>
      <c r="C440" t="s">
        <v>363</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391</v>
      </c>
      <c r="B441">
        <v>2008</v>
      </c>
      <c r="C441" t="s">
        <v>363</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391</v>
      </c>
      <c r="B442">
        <v>2007</v>
      </c>
      <c r="C442" t="s">
        <v>363</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391</v>
      </c>
      <c r="B443">
        <v>2006</v>
      </c>
      <c r="C443" t="s">
        <v>363</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391</v>
      </c>
      <c r="B444">
        <v>2005</v>
      </c>
      <c r="C444" t="s">
        <v>363</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391</v>
      </c>
      <c r="B445">
        <v>2004</v>
      </c>
      <c r="C445" t="s">
        <v>363</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391</v>
      </c>
      <c r="B446">
        <v>2003</v>
      </c>
      <c r="C446" t="s">
        <v>363</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391</v>
      </c>
      <c r="B447">
        <v>2002</v>
      </c>
      <c r="C447" t="s">
        <v>363</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391</v>
      </c>
      <c r="B448">
        <v>2001</v>
      </c>
      <c r="C448" t="s">
        <v>363</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391</v>
      </c>
      <c r="B449">
        <v>2000</v>
      </c>
      <c r="C449" t="s">
        <v>363</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392</v>
      </c>
      <c r="B450">
        <v>2015</v>
      </c>
      <c r="C450" t="s">
        <v>363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392</v>
      </c>
      <c r="B451">
        <v>2014</v>
      </c>
      <c r="C451" t="s">
        <v>363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392</v>
      </c>
      <c r="B452">
        <v>2013</v>
      </c>
      <c r="C452" t="s">
        <v>363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392</v>
      </c>
      <c r="B453">
        <v>2012</v>
      </c>
      <c r="C453" t="s">
        <v>363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392</v>
      </c>
      <c r="B454">
        <v>2011</v>
      </c>
      <c r="C454" t="s">
        <v>363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392</v>
      </c>
      <c r="B455">
        <v>2010</v>
      </c>
      <c r="C455" t="s">
        <v>363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392</v>
      </c>
      <c r="B456">
        <v>2009</v>
      </c>
      <c r="C456" t="s">
        <v>363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392</v>
      </c>
      <c r="B457">
        <v>2008</v>
      </c>
      <c r="C457" t="s">
        <v>363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392</v>
      </c>
      <c r="B458">
        <v>2007</v>
      </c>
      <c r="C458" t="s">
        <v>363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392</v>
      </c>
      <c r="B459">
        <v>2006</v>
      </c>
      <c r="C459" t="s">
        <v>363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392</v>
      </c>
      <c r="B460">
        <v>2005</v>
      </c>
      <c r="C460" t="s">
        <v>363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392</v>
      </c>
      <c r="B461">
        <v>2004</v>
      </c>
      <c r="C461" t="s">
        <v>363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392</v>
      </c>
      <c r="B462">
        <v>2003</v>
      </c>
      <c r="C462" t="s">
        <v>363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392</v>
      </c>
      <c r="B463">
        <v>2002</v>
      </c>
      <c r="C463" t="s">
        <v>363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392</v>
      </c>
      <c r="B464">
        <v>2001</v>
      </c>
      <c r="C464" t="s">
        <v>363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392</v>
      </c>
      <c r="B465">
        <v>2000</v>
      </c>
      <c r="C465" t="s">
        <v>363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393</v>
      </c>
      <c r="B466">
        <v>2015</v>
      </c>
      <c r="C466" t="s">
        <v>363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393</v>
      </c>
      <c r="B467">
        <v>2014</v>
      </c>
      <c r="C467" t="s">
        <v>363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393</v>
      </c>
      <c r="B468">
        <v>2013</v>
      </c>
      <c r="C468" t="s">
        <v>363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393</v>
      </c>
      <c r="B469">
        <v>2012</v>
      </c>
      <c r="C469" t="s">
        <v>363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393</v>
      </c>
      <c r="B470">
        <v>2011</v>
      </c>
      <c r="C470" t="s">
        <v>363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393</v>
      </c>
      <c r="B471">
        <v>2010</v>
      </c>
      <c r="C471" t="s">
        <v>363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393</v>
      </c>
      <c r="B472">
        <v>2009</v>
      </c>
      <c r="C472" t="s">
        <v>363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393</v>
      </c>
      <c r="B473">
        <v>2008</v>
      </c>
      <c r="C473" t="s">
        <v>363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393</v>
      </c>
      <c r="B474">
        <v>2007</v>
      </c>
      <c r="C474" t="s">
        <v>363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393</v>
      </c>
      <c r="B475">
        <v>2006</v>
      </c>
      <c r="C475" t="s">
        <v>363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393</v>
      </c>
      <c r="B476">
        <v>2005</v>
      </c>
      <c r="C476" t="s">
        <v>363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393</v>
      </c>
      <c r="B477">
        <v>2004</v>
      </c>
      <c r="C477" t="s">
        <v>363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393</v>
      </c>
      <c r="B478">
        <v>2003</v>
      </c>
      <c r="C478" t="s">
        <v>363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393</v>
      </c>
      <c r="B479">
        <v>2002</v>
      </c>
      <c r="C479" t="s">
        <v>363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393</v>
      </c>
      <c r="B480">
        <v>2001</v>
      </c>
      <c r="C480" t="s">
        <v>363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393</v>
      </c>
      <c r="B481">
        <v>2000</v>
      </c>
      <c r="C481" t="s">
        <v>363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394</v>
      </c>
      <c r="B482">
        <v>2015</v>
      </c>
      <c r="C482" t="s">
        <v>363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394</v>
      </c>
      <c r="B483">
        <v>2014</v>
      </c>
      <c r="C483" t="s">
        <v>363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394</v>
      </c>
      <c r="B484">
        <v>2013</v>
      </c>
      <c r="C484" t="s">
        <v>363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394</v>
      </c>
      <c r="B485">
        <v>2012</v>
      </c>
      <c r="C485" t="s">
        <v>363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394</v>
      </c>
      <c r="B486">
        <v>2011</v>
      </c>
      <c r="C486" t="s">
        <v>363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394</v>
      </c>
      <c r="B487">
        <v>2010</v>
      </c>
      <c r="C487" t="s">
        <v>363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394</v>
      </c>
      <c r="B488">
        <v>2009</v>
      </c>
      <c r="C488" t="s">
        <v>363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394</v>
      </c>
      <c r="B489">
        <v>2008</v>
      </c>
      <c r="C489" t="s">
        <v>363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394</v>
      </c>
      <c r="B490">
        <v>2007</v>
      </c>
      <c r="C490" t="s">
        <v>363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394</v>
      </c>
      <c r="B491">
        <v>2006</v>
      </c>
      <c r="C491" t="s">
        <v>363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394</v>
      </c>
      <c r="B492">
        <v>2005</v>
      </c>
      <c r="C492" t="s">
        <v>363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394</v>
      </c>
      <c r="B493">
        <v>2004</v>
      </c>
      <c r="C493" t="s">
        <v>363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394</v>
      </c>
      <c r="B494">
        <v>2003</v>
      </c>
      <c r="C494" t="s">
        <v>363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394</v>
      </c>
      <c r="B495">
        <v>2002</v>
      </c>
      <c r="C495" t="s">
        <v>363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394</v>
      </c>
      <c r="B496">
        <v>2001</v>
      </c>
      <c r="C496" t="s">
        <v>363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394</v>
      </c>
      <c r="B497">
        <v>2000</v>
      </c>
      <c r="C497" t="s">
        <v>363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395</v>
      </c>
      <c r="B498">
        <v>2015</v>
      </c>
      <c r="C498" t="s">
        <v>363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395</v>
      </c>
      <c r="B499">
        <v>2014</v>
      </c>
      <c r="C499" t="s">
        <v>363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395</v>
      </c>
      <c r="B500">
        <v>2013</v>
      </c>
      <c r="C500" t="s">
        <v>363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395</v>
      </c>
      <c r="B501">
        <v>2012</v>
      </c>
      <c r="C501" t="s">
        <v>363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395</v>
      </c>
      <c r="B502">
        <v>2011</v>
      </c>
      <c r="C502" t="s">
        <v>363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395</v>
      </c>
      <c r="B503">
        <v>2010</v>
      </c>
      <c r="C503" t="s">
        <v>363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395</v>
      </c>
      <c r="B504">
        <v>2009</v>
      </c>
      <c r="C504" t="s">
        <v>363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395</v>
      </c>
      <c r="B505">
        <v>2008</v>
      </c>
      <c r="C505" t="s">
        <v>363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395</v>
      </c>
      <c r="B506">
        <v>2007</v>
      </c>
      <c r="C506" t="s">
        <v>363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395</v>
      </c>
      <c r="B507">
        <v>2006</v>
      </c>
      <c r="C507" t="s">
        <v>363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395</v>
      </c>
      <c r="B508">
        <v>2005</v>
      </c>
      <c r="C508" t="s">
        <v>363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395</v>
      </c>
      <c r="B509">
        <v>2004</v>
      </c>
      <c r="C509" t="s">
        <v>363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395</v>
      </c>
      <c r="B510">
        <v>2003</v>
      </c>
      <c r="C510" t="s">
        <v>363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395</v>
      </c>
      <c r="B511">
        <v>2002</v>
      </c>
      <c r="C511" t="s">
        <v>363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395</v>
      </c>
      <c r="B512">
        <v>2001</v>
      </c>
      <c r="C512" t="s">
        <v>363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395</v>
      </c>
      <c r="B513">
        <v>2000</v>
      </c>
      <c r="C513" t="s">
        <v>363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396</v>
      </c>
      <c r="B514">
        <v>2015</v>
      </c>
      <c r="C514" t="s">
        <v>363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396</v>
      </c>
      <c r="B515">
        <v>2014</v>
      </c>
      <c r="C515" t="s">
        <v>363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396</v>
      </c>
      <c r="B516">
        <v>2013</v>
      </c>
      <c r="C516" t="s">
        <v>363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396</v>
      </c>
      <c r="B517">
        <v>2012</v>
      </c>
      <c r="C517" t="s">
        <v>363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396</v>
      </c>
      <c r="B518">
        <v>2011</v>
      </c>
      <c r="C518" t="s">
        <v>363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396</v>
      </c>
      <c r="B519">
        <v>2010</v>
      </c>
      <c r="C519" t="s">
        <v>363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396</v>
      </c>
      <c r="B520">
        <v>2009</v>
      </c>
      <c r="C520" t="s">
        <v>363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396</v>
      </c>
      <c r="B521">
        <v>2008</v>
      </c>
      <c r="C521" t="s">
        <v>363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396</v>
      </c>
      <c r="B522">
        <v>2007</v>
      </c>
      <c r="C522" t="s">
        <v>363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396</v>
      </c>
      <c r="B523">
        <v>2006</v>
      </c>
      <c r="C523" t="s">
        <v>363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396</v>
      </c>
      <c r="B524">
        <v>2005</v>
      </c>
      <c r="C524" t="s">
        <v>363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396</v>
      </c>
      <c r="B525">
        <v>2004</v>
      </c>
      <c r="C525" t="s">
        <v>363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396</v>
      </c>
      <c r="B526">
        <v>2003</v>
      </c>
      <c r="C526" t="s">
        <v>363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396</v>
      </c>
      <c r="B527">
        <v>2002</v>
      </c>
      <c r="C527" t="s">
        <v>363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396</v>
      </c>
      <c r="B528">
        <v>2001</v>
      </c>
      <c r="C528" t="s">
        <v>363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396</v>
      </c>
      <c r="B529">
        <v>2000</v>
      </c>
      <c r="C529" t="s">
        <v>363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397</v>
      </c>
      <c r="B530">
        <v>2015</v>
      </c>
      <c r="C530" t="s">
        <v>363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397</v>
      </c>
      <c r="B531">
        <v>2014</v>
      </c>
      <c r="C531" t="s">
        <v>363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397</v>
      </c>
      <c r="B532">
        <v>2013</v>
      </c>
      <c r="C532" t="s">
        <v>363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397</v>
      </c>
      <c r="B533">
        <v>2012</v>
      </c>
      <c r="C533" t="s">
        <v>363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397</v>
      </c>
      <c r="B534">
        <v>2011</v>
      </c>
      <c r="C534" t="s">
        <v>363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397</v>
      </c>
      <c r="B535">
        <v>2010</v>
      </c>
      <c r="C535" t="s">
        <v>363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397</v>
      </c>
      <c r="B536">
        <v>2009</v>
      </c>
      <c r="C536" t="s">
        <v>363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397</v>
      </c>
      <c r="B537">
        <v>2008</v>
      </c>
      <c r="C537" t="s">
        <v>363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397</v>
      </c>
      <c r="B538">
        <v>2007</v>
      </c>
      <c r="C538" t="s">
        <v>363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397</v>
      </c>
      <c r="B539">
        <v>2006</v>
      </c>
      <c r="C539" t="s">
        <v>363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397</v>
      </c>
      <c r="B540">
        <v>2005</v>
      </c>
      <c r="C540" t="s">
        <v>363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397</v>
      </c>
      <c r="B541">
        <v>2004</v>
      </c>
      <c r="C541" t="s">
        <v>363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397</v>
      </c>
      <c r="B542">
        <v>2003</v>
      </c>
      <c r="C542" t="s">
        <v>363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397</v>
      </c>
      <c r="B543">
        <v>2002</v>
      </c>
      <c r="C543" t="s">
        <v>363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397</v>
      </c>
      <c r="B544">
        <v>2001</v>
      </c>
      <c r="C544" t="s">
        <v>363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397</v>
      </c>
      <c r="B545">
        <v>2000</v>
      </c>
      <c r="C545" t="s">
        <v>363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398</v>
      </c>
      <c r="B546">
        <v>2015</v>
      </c>
      <c r="C546" t="s">
        <v>363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398</v>
      </c>
      <c r="B547">
        <v>2014</v>
      </c>
      <c r="C547" t="s">
        <v>363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398</v>
      </c>
      <c r="B548">
        <v>2013</v>
      </c>
      <c r="C548" t="s">
        <v>363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398</v>
      </c>
      <c r="B549">
        <v>2012</v>
      </c>
      <c r="C549" t="s">
        <v>363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398</v>
      </c>
      <c r="B550">
        <v>2011</v>
      </c>
      <c r="C550" t="s">
        <v>363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398</v>
      </c>
      <c r="B551">
        <v>2010</v>
      </c>
      <c r="C551" t="s">
        <v>363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398</v>
      </c>
      <c r="B552">
        <v>2009</v>
      </c>
      <c r="C552" t="s">
        <v>363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398</v>
      </c>
      <c r="B553">
        <v>2008</v>
      </c>
      <c r="C553" t="s">
        <v>363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398</v>
      </c>
      <c r="B554">
        <v>2007</v>
      </c>
      <c r="C554" t="s">
        <v>363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398</v>
      </c>
      <c r="B555">
        <v>2006</v>
      </c>
      <c r="C555" t="s">
        <v>363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398</v>
      </c>
      <c r="B556">
        <v>2005</v>
      </c>
      <c r="C556" t="s">
        <v>363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398</v>
      </c>
      <c r="B557">
        <v>2004</v>
      </c>
      <c r="C557" t="s">
        <v>363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398</v>
      </c>
      <c r="B558">
        <v>2003</v>
      </c>
      <c r="C558" t="s">
        <v>363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398</v>
      </c>
      <c r="B559">
        <v>2002</v>
      </c>
      <c r="C559" t="s">
        <v>363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398</v>
      </c>
      <c r="B560">
        <v>2001</v>
      </c>
      <c r="C560" t="s">
        <v>363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398</v>
      </c>
      <c r="B561">
        <v>2000</v>
      </c>
      <c r="C561" t="s">
        <v>363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399</v>
      </c>
      <c r="B562">
        <v>2015</v>
      </c>
      <c r="C562" t="s">
        <v>363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399</v>
      </c>
      <c r="B563">
        <v>2014</v>
      </c>
      <c r="C563" t="s">
        <v>363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399</v>
      </c>
      <c r="B564">
        <v>2013</v>
      </c>
      <c r="C564" t="s">
        <v>363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399</v>
      </c>
      <c r="B565">
        <v>2012</v>
      </c>
      <c r="C565" t="s">
        <v>363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399</v>
      </c>
      <c r="B566">
        <v>2011</v>
      </c>
      <c r="C566" t="s">
        <v>363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399</v>
      </c>
      <c r="B567">
        <v>2010</v>
      </c>
      <c r="C567" t="s">
        <v>363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399</v>
      </c>
      <c r="B568">
        <v>2009</v>
      </c>
      <c r="C568" t="s">
        <v>363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399</v>
      </c>
      <c r="B569">
        <v>2008</v>
      </c>
      <c r="C569" t="s">
        <v>363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399</v>
      </c>
      <c r="B570">
        <v>2007</v>
      </c>
      <c r="C570" t="s">
        <v>363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399</v>
      </c>
      <c r="B571">
        <v>2006</v>
      </c>
      <c r="C571" t="s">
        <v>363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399</v>
      </c>
      <c r="B572">
        <v>2005</v>
      </c>
      <c r="C572" t="s">
        <v>363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399</v>
      </c>
      <c r="B573">
        <v>2004</v>
      </c>
      <c r="C573" t="s">
        <v>363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399</v>
      </c>
      <c r="B574">
        <v>2003</v>
      </c>
      <c r="C574" t="s">
        <v>363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399</v>
      </c>
      <c r="B575">
        <v>2002</v>
      </c>
      <c r="C575" t="s">
        <v>363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399</v>
      </c>
      <c r="B576">
        <v>2001</v>
      </c>
      <c r="C576" t="s">
        <v>363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399</v>
      </c>
      <c r="B577">
        <v>2000</v>
      </c>
      <c r="C577" t="s">
        <v>363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400</v>
      </c>
      <c r="B578">
        <v>2015</v>
      </c>
      <c r="C578" t="s">
        <v>363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400</v>
      </c>
      <c r="B579">
        <v>2014</v>
      </c>
      <c r="C579" t="s">
        <v>363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400</v>
      </c>
      <c r="B580">
        <v>2013</v>
      </c>
      <c r="C580" t="s">
        <v>363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400</v>
      </c>
      <c r="B581">
        <v>2012</v>
      </c>
      <c r="C581" t="s">
        <v>363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400</v>
      </c>
      <c r="B582">
        <v>2011</v>
      </c>
      <c r="C582" t="s">
        <v>363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400</v>
      </c>
      <c r="B583">
        <v>2010</v>
      </c>
      <c r="C583" t="s">
        <v>363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400</v>
      </c>
      <c r="B584">
        <v>2009</v>
      </c>
      <c r="C584" t="s">
        <v>363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400</v>
      </c>
      <c r="B585">
        <v>2008</v>
      </c>
      <c r="C585" t="s">
        <v>363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400</v>
      </c>
      <c r="B586">
        <v>2007</v>
      </c>
      <c r="C586" t="s">
        <v>363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400</v>
      </c>
      <c r="B587">
        <v>2006</v>
      </c>
      <c r="C587" t="s">
        <v>363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400</v>
      </c>
      <c r="B588">
        <v>2005</v>
      </c>
      <c r="C588" t="s">
        <v>363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400</v>
      </c>
      <c r="B589">
        <v>2004</v>
      </c>
      <c r="C589" t="s">
        <v>363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400</v>
      </c>
      <c r="B590">
        <v>2003</v>
      </c>
      <c r="C590" t="s">
        <v>363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400</v>
      </c>
      <c r="B591">
        <v>2002</v>
      </c>
      <c r="C591" t="s">
        <v>363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400</v>
      </c>
      <c r="B592">
        <v>2001</v>
      </c>
      <c r="C592" t="s">
        <v>363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400</v>
      </c>
      <c r="B593">
        <v>2000</v>
      </c>
      <c r="C593" t="s">
        <v>363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401</v>
      </c>
      <c r="B594">
        <v>2015</v>
      </c>
      <c r="C594" t="s">
        <v>363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401</v>
      </c>
      <c r="B595">
        <v>2014</v>
      </c>
      <c r="C595" t="s">
        <v>363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401</v>
      </c>
      <c r="B596">
        <v>2013</v>
      </c>
      <c r="C596" t="s">
        <v>363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401</v>
      </c>
      <c r="B597">
        <v>2012</v>
      </c>
      <c r="C597" t="s">
        <v>363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401</v>
      </c>
      <c r="B598">
        <v>2011</v>
      </c>
      <c r="C598" t="s">
        <v>363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401</v>
      </c>
      <c r="B599">
        <v>2010</v>
      </c>
      <c r="C599" t="s">
        <v>363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401</v>
      </c>
      <c r="B600">
        <v>2009</v>
      </c>
      <c r="C600" t="s">
        <v>363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401</v>
      </c>
      <c r="B601">
        <v>2008</v>
      </c>
      <c r="C601" t="s">
        <v>363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401</v>
      </c>
      <c r="B602">
        <v>2007</v>
      </c>
      <c r="C602" t="s">
        <v>363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401</v>
      </c>
      <c r="B603">
        <v>2006</v>
      </c>
      <c r="C603" t="s">
        <v>363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401</v>
      </c>
      <c r="B604">
        <v>2005</v>
      </c>
      <c r="C604" t="s">
        <v>363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401</v>
      </c>
      <c r="B605">
        <v>2004</v>
      </c>
      <c r="C605" t="s">
        <v>363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401</v>
      </c>
      <c r="B606">
        <v>2003</v>
      </c>
      <c r="C606" t="s">
        <v>363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401</v>
      </c>
      <c r="B607">
        <v>2002</v>
      </c>
      <c r="C607" t="s">
        <v>363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401</v>
      </c>
      <c r="B608">
        <v>2001</v>
      </c>
      <c r="C608" t="s">
        <v>363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401</v>
      </c>
      <c r="B609">
        <v>2000</v>
      </c>
      <c r="C609" t="s">
        <v>363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402</v>
      </c>
      <c r="B610">
        <v>2015</v>
      </c>
      <c r="C610" t="s">
        <v>363</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402</v>
      </c>
      <c r="B611">
        <v>2014</v>
      </c>
      <c r="C611" t="s">
        <v>363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402</v>
      </c>
      <c r="B612">
        <v>2013</v>
      </c>
      <c r="C612" t="s">
        <v>363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402</v>
      </c>
      <c r="B613">
        <v>2012</v>
      </c>
      <c r="C613" t="s">
        <v>363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402</v>
      </c>
      <c r="B614">
        <v>2011</v>
      </c>
      <c r="C614" t="s">
        <v>363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402</v>
      </c>
      <c r="B615">
        <v>2010</v>
      </c>
      <c r="C615" t="s">
        <v>363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402</v>
      </c>
      <c r="B616">
        <v>2009</v>
      </c>
      <c r="C616" t="s">
        <v>363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402</v>
      </c>
      <c r="B617">
        <v>2008</v>
      </c>
      <c r="C617" t="s">
        <v>363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402</v>
      </c>
      <c r="B618">
        <v>2007</v>
      </c>
      <c r="C618" t="s">
        <v>363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402</v>
      </c>
      <c r="B619">
        <v>2006</v>
      </c>
      <c r="C619" t="s">
        <v>363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402</v>
      </c>
      <c r="B620">
        <v>2005</v>
      </c>
      <c r="C620" t="s">
        <v>363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402</v>
      </c>
      <c r="B621">
        <v>2004</v>
      </c>
      <c r="C621" t="s">
        <v>363</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402</v>
      </c>
      <c r="B622">
        <v>2003</v>
      </c>
      <c r="C622" t="s">
        <v>363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402</v>
      </c>
      <c r="B623">
        <v>2002</v>
      </c>
      <c r="C623" t="s">
        <v>363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402</v>
      </c>
      <c r="B624">
        <v>2001</v>
      </c>
      <c r="C624" t="s">
        <v>363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402</v>
      </c>
      <c r="B625">
        <v>2000</v>
      </c>
      <c r="C625" t="s">
        <v>363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403</v>
      </c>
      <c r="B626">
        <v>2013</v>
      </c>
      <c r="C626" t="s">
        <v>363</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404</v>
      </c>
      <c r="B627">
        <v>2015</v>
      </c>
      <c r="C627" t="s">
        <v>363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404</v>
      </c>
      <c r="B628">
        <v>2014</v>
      </c>
      <c r="C628" t="s">
        <v>363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404</v>
      </c>
      <c r="B629">
        <v>2013</v>
      </c>
      <c r="C629" t="s">
        <v>363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404</v>
      </c>
      <c r="B630">
        <v>2012</v>
      </c>
      <c r="C630" t="s">
        <v>363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404</v>
      </c>
      <c r="B631">
        <v>2011</v>
      </c>
      <c r="C631" t="s">
        <v>363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404</v>
      </c>
      <c r="B632">
        <v>2010</v>
      </c>
      <c r="C632" t="s">
        <v>363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404</v>
      </c>
      <c r="B633">
        <v>2009</v>
      </c>
      <c r="C633" t="s">
        <v>363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404</v>
      </c>
      <c r="B634">
        <v>2008</v>
      </c>
      <c r="C634" t="s">
        <v>363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404</v>
      </c>
      <c r="B635">
        <v>2007</v>
      </c>
      <c r="C635" t="s">
        <v>363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404</v>
      </c>
      <c r="B636">
        <v>2006</v>
      </c>
      <c r="C636" t="s">
        <v>363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404</v>
      </c>
      <c r="B637">
        <v>2005</v>
      </c>
      <c r="C637" t="s">
        <v>363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404</v>
      </c>
      <c r="B638">
        <v>2004</v>
      </c>
      <c r="C638" t="s">
        <v>363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404</v>
      </c>
      <c r="B639">
        <v>2003</v>
      </c>
      <c r="C639" t="s">
        <v>363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404</v>
      </c>
      <c r="B640">
        <v>2002</v>
      </c>
      <c r="C640" t="s">
        <v>363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404</v>
      </c>
      <c r="B641">
        <v>2001</v>
      </c>
      <c r="C641" t="s">
        <v>363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404</v>
      </c>
      <c r="B642">
        <v>2000</v>
      </c>
      <c r="C642" t="s">
        <v>363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405</v>
      </c>
      <c r="B643">
        <v>2015</v>
      </c>
      <c r="C643" t="s">
        <v>371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405</v>
      </c>
      <c r="B644">
        <v>2014</v>
      </c>
      <c r="C644" t="s">
        <v>371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405</v>
      </c>
      <c r="B645">
        <v>2013</v>
      </c>
      <c r="C645" t="s">
        <v>371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405</v>
      </c>
      <c r="B646">
        <v>2012</v>
      </c>
      <c r="C646" t="s">
        <v>371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405</v>
      </c>
      <c r="B647">
        <v>2011</v>
      </c>
      <c r="C647" t="s">
        <v>371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405</v>
      </c>
      <c r="B648">
        <v>2010</v>
      </c>
      <c r="C648" t="s">
        <v>371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405</v>
      </c>
      <c r="B649">
        <v>2009</v>
      </c>
      <c r="C649" t="s">
        <v>371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405</v>
      </c>
      <c r="B650">
        <v>2008</v>
      </c>
      <c r="C650" t="s">
        <v>371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405</v>
      </c>
      <c r="B651">
        <v>2007</v>
      </c>
      <c r="C651" t="s">
        <v>371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405</v>
      </c>
      <c r="B652">
        <v>2006</v>
      </c>
      <c r="C652" t="s">
        <v>371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405</v>
      </c>
      <c r="B653">
        <v>2005</v>
      </c>
      <c r="C653" t="s">
        <v>371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405</v>
      </c>
      <c r="B654">
        <v>2004</v>
      </c>
      <c r="C654" t="s">
        <v>371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405</v>
      </c>
      <c r="B655">
        <v>2003</v>
      </c>
      <c r="C655" t="s">
        <v>371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405</v>
      </c>
      <c r="B656">
        <v>2002</v>
      </c>
      <c r="C656" t="s">
        <v>371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405</v>
      </c>
      <c r="B657">
        <v>2001</v>
      </c>
      <c r="C657" t="s">
        <v>371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405</v>
      </c>
      <c r="B658">
        <v>2000</v>
      </c>
      <c r="C658" t="s">
        <v>371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406</v>
      </c>
      <c r="B659">
        <v>2015</v>
      </c>
      <c r="C659" t="s">
        <v>363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406</v>
      </c>
      <c r="B660">
        <v>2014</v>
      </c>
      <c r="C660" t="s">
        <v>363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406</v>
      </c>
      <c r="B661">
        <v>2013</v>
      </c>
      <c r="C661" t="s">
        <v>363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406</v>
      </c>
      <c r="B662">
        <v>2012</v>
      </c>
      <c r="C662" t="s">
        <v>363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406</v>
      </c>
      <c r="B663">
        <v>2011</v>
      </c>
      <c r="C663" t="s">
        <v>363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406</v>
      </c>
      <c r="B664">
        <v>2010</v>
      </c>
      <c r="C664" t="s">
        <v>363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406</v>
      </c>
      <c r="B665">
        <v>2009</v>
      </c>
      <c r="C665" t="s">
        <v>363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406</v>
      </c>
      <c r="B666">
        <v>2008</v>
      </c>
      <c r="C666" t="s">
        <v>363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406</v>
      </c>
      <c r="B667">
        <v>2007</v>
      </c>
      <c r="C667" t="s">
        <v>363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406</v>
      </c>
      <c r="B668">
        <v>2006</v>
      </c>
      <c r="C668" t="s">
        <v>363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406</v>
      </c>
      <c r="B669">
        <v>2005</v>
      </c>
      <c r="C669" t="s">
        <v>363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406</v>
      </c>
      <c r="B670">
        <v>2004</v>
      </c>
      <c r="C670" t="s">
        <v>363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406</v>
      </c>
      <c r="B671">
        <v>2003</v>
      </c>
      <c r="C671" t="s">
        <v>363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406</v>
      </c>
      <c r="B672">
        <v>2002</v>
      </c>
      <c r="C672" t="s">
        <v>363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406</v>
      </c>
      <c r="B673">
        <v>2001</v>
      </c>
      <c r="C673" t="s">
        <v>363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406</v>
      </c>
      <c r="B674">
        <v>2000</v>
      </c>
      <c r="C674" t="s">
        <v>363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407</v>
      </c>
      <c r="B675">
        <v>2015</v>
      </c>
      <c r="C675" t="s">
        <v>371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407</v>
      </c>
      <c r="B676">
        <v>2014</v>
      </c>
      <c r="C676" t="s">
        <v>371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407</v>
      </c>
      <c r="B677">
        <v>2013</v>
      </c>
      <c r="C677" t="s">
        <v>371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407</v>
      </c>
      <c r="B678">
        <v>2012</v>
      </c>
      <c r="C678" t="s">
        <v>371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407</v>
      </c>
      <c r="B679">
        <v>2011</v>
      </c>
      <c r="C679" t="s">
        <v>371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407</v>
      </c>
      <c r="B680">
        <v>2010</v>
      </c>
      <c r="C680" t="s">
        <v>371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407</v>
      </c>
      <c r="B681">
        <v>2009</v>
      </c>
      <c r="C681" t="s">
        <v>371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407</v>
      </c>
      <c r="B682">
        <v>2008</v>
      </c>
      <c r="C682" t="s">
        <v>371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407</v>
      </c>
      <c r="B683">
        <v>2007</v>
      </c>
      <c r="C683" t="s">
        <v>371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407</v>
      </c>
      <c r="B684">
        <v>2006</v>
      </c>
      <c r="C684" t="s">
        <v>371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407</v>
      </c>
      <c r="B685">
        <v>2005</v>
      </c>
      <c r="C685" t="s">
        <v>371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407</v>
      </c>
      <c r="B686">
        <v>2004</v>
      </c>
      <c r="C686" t="s">
        <v>371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407</v>
      </c>
      <c r="B687">
        <v>2003</v>
      </c>
      <c r="C687" t="s">
        <v>371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407</v>
      </c>
      <c r="B688">
        <v>2002</v>
      </c>
      <c r="C688" t="s">
        <v>371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407</v>
      </c>
      <c r="B689">
        <v>2001</v>
      </c>
      <c r="C689" t="s">
        <v>371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407</v>
      </c>
      <c r="B690">
        <v>2000</v>
      </c>
      <c r="C690" t="s">
        <v>371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408</v>
      </c>
      <c r="B691">
        <v>2015</v>
      </c>
      <c r="C691" t="s">
        <v>371</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408</v>
      </c>
      <c r="B692">
        <v>2014</v>
      </c>
      <c r="C692" t="s">
        <v>371</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408</v>
      </c>
      <c r="B693">
        <v>2013</v>
      </c>
      <c r="C693" t="s">
        <v>371</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408</v>
      </c>
      <c r="B694">
        <v>2012</v>
      </c>
      <c r="C694" t="s">
        <v>371</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408</v>
      </c>
      <c r="B695">
        <v>2011</v>
      </c>
      <c r="C695" t="s">
        <v>371</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408</v>
      </c>
      <c r="B696">
        <v>2010</v>
      </c>
      <c r="C696" t="s">
        <v>371</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408</v>
      </c>
      <c r="B697">
        <v>2009</v>
      </c>
      <c r="C697" t="s">
        <v>371</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408</v>
      </c>
      <c r="B698">
        <v>2008</v>
      </c>
      <c r="C698" t="s">
        <v>371</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408</v>
      </c>
      <c r="B699">
        <v>2007</v>
      </c>
      <c r="C699" t="s">
        <v>371</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408</v>
      </c>
      <c r="B700">
        <v>2006</v>
      </c>
      <c r="C700" t="s">
        <v>371</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408</v>
      </c>
      <c r="B701">
        <v>2005</v>
      </c>
      <c r="C701" t="s">
        <v>371</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408</v>
      </c>
      <c r="B702">
        <v>2004</v>
      </c>
      <c r="C702" t="s">
        <v>371</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408</v>
      </c>
      <c r="B703">
        <v>2003</v>
      </c>
      <c r="C703" t="s">
        <v>371</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408</v>
      </c>
      <c r="B704">
        <v>2002</v>
      </c>
      <c r="C704" t="s">
        <v>371</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408</v>
      </c>
      <c r="B705">
        <v>2001</v>
      </c>
      <c r="C705" t="s">
        <v>371</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408</v>
      </c>
      <c r="B706">
        <v>2000</v>
      </c>
      <c r="C706" t="s">
        <v>371</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409</v>
      </c>
      <c r="B707">
        <v>2015</v>
      </c>
      <c r="C707" t="s">
        <v>363</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409</v>
      </c>
      <c r="B708">
        <v>2014</v>
      </c>
      <c r="C708" t="s">
        <v>363</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409</v>
      </c>
      <c r="B709">
        <v>2013</v>
      </c>
      <c r="C709" t="s">
        <v>363</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409</v>
      </c>
      <c r="B710">
        <v>2012</v>
      </c>
      <c r="C710" t="s">
        <v>363</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409</v>
      </c>
      <c r="B711">
        <v>2011</v>
      </c>
      <c r="C711" t="s">
        <v>363</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409</v>
      </c>
      <c r="B712">
        <v>2010</v>
      </c>
      <c r="C712" t="s">
        <v>363</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409</v>
      </c>
      <c r="B713">
        <v>2009</v>
      </c>
      <c r="C713" t="s">
        <v>363</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409</v>
      </c>
      <c r="B714">
        <v>2008</v>
      </c>
      <c r="C714" t="s">
        <v>363</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409</v>
      </c>
      <c r="B715">
        <v>2007</v>
      </c>
      <c r="C715" t="s">
        <v>363</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409</v>
      </c>
      <c r="B716">
        <v>2006</v>
      </c>
      <c r="C716" t="s">
        <v>363</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409</v>
      </c>
      <c r="B717">
        <v>2005</v>
      </c>
      <c r="C717" t="s">
        <v>363</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409</v>
      </c>
      <c r="B718">
        <v>2004</v>
      </c>
      <c r="C718" t="s">
        <v>363</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409</v>
      </c>
      <c r="B719">
        <v>2003</v>
      </c>
      <c r="C719" t="s">
        <v>363</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409</v>
      </c>
      <c r="B720">
        <v>2002</v>
      </c>
      <c r="C720" t="s">
        <v>363</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409</v>
      </c>
      <c r="B721">
        <v>2001</v>
      </c>
      <c r="C721" t="s">
        <v>363</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409</v>
      </c>
      <c r="B722">
        <v>2000</v>
      </c>
      <c r="C722" t="s">
        <v>363</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410</v>
      </c>
      <c r="B723">
        <v>2015</v>
      </c>
      <c r="C723" t="s">
        <v>363</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410</v>
      </c>
      <c r="B724">
        <v>2014</v>
      </c>
      <c r="C724" t="s">
        <v>363</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410</v>
      </c>
      <c r="B725">
        <v>2013</v>
      </c>
      <c r="C725" t="s">
        <v>363</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410</v>
      </c>
      <c r="B726">
        <v>2012</v>
      </c>
      <c r="C726" t="s">
        <v>363</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410</v>
      </c>
      <c r="B727">
        <v>2011</v>
      </c>
      <c r="C727" t="s">
        <v>363</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410</v>
      </c>
      <c r="B728">
        <v>2010</v>
      </c>
      <c r="C728" t="s">
        <v>363</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410</v>
      </c>
      <c r="B729">
        <v>2009</v>
      </c>
      <c r="C729" t="s">
        <v>363</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410</v>
      </c>
      <c r="B730">
        <v>2008</v>
      </c>
      <c r="C730" t="s">
        <v>363</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410</v>
      </c>
      <c r="B731">
        <v>2007</v>
      </c>
      <c r="C731" t="s">
        <v>363</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410</v>
      </c>
      <c r="B732">
        <v>2006</v>
      </c>
      <c r="C732" t="s">
        <v>363</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410</v>
      </c>
      <c r="B733">
        <v>2005</v>
      </c>
      <c r="C733" t="s">
        <v>363</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410</v>
      </c>
      <c r="B734">
        <v>2004</v>
      </c>
      <c r="C734" t="s">
        <v>363</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410</v>
      </c>
      <c r="B735">
        <v>2003</v>
      </c>
      <c r="C735" t="s">
        <v>363</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410</v>
      </c>
      <c r="B736">
        <v>2002</v>
      </c>
      <c r="C736" t="s">
        <v>363</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410</v>
      </c>
      <c r="B737">
        <v>2001</v>
      </c>
      <c r="C737" t="s">
        <v>363</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410</v>
      </c>
      <c r="B738">
        <v>2000</v>
      </c>
      <c r="C738" t="s">
        <v>363</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411</v>
      </c>
      <c r="B739">
        <v>2015</v>
      </c>
      <c r="C739" t="s">
        <v>371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411</v>
      </c>
      <c r="B740">
        <v>2014</v>
      </c>
      <c r="C740" t="s">
        <v>371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411</v>
      </c>
      <c r="B741">
        <v>2013</v>
      </c>
      <c r="C741" t="s">
        <v>371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411</v>
      </c>
      <c r="B742">
        <v>2012</v>
      </c>
      <c r="C742" t="s">
        <v>371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411</v>
      </c>
      <c r="B743">
        <v>2011</v>
      </c>
      <c r="C743" t="s">
        <v>371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411</v>
      </c>
      <c r="B744">
        <v>2010</v>
      </c>
      <c r="C744" t="s">
        <v>371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411</v>
      </c>
      <c r="B745">
        <v>2009</v>
      </c>
      <c r="C745" t="s">
        <v>371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411</v>
      </c>
      <c r="B746">
        <v>2008</v>
      </c>
      <c r="C746" t="s">
        <v>371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411</v>
      </c>
      <c r="B747">
        <v>2007</v>
      </c>
      <c r="C747" t="s">
        <v>371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411</v>
      </c>
      <c r="B748">
        <v>2006</v>
      </c>
      <c r="C748" t="s">
        <v>371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411</v>
      </c>
      <c r="B749">
        <v>2005</v>
      </c>
      <c r="C749" t="s">
        <v>371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411</v>
      </c>
      <c r="B750">
        <v>2004</v>
      </c>
      <c r="C750" t="s">
        <v>371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411</v>
      </c>
      <c r="B751">
        <v>2003</v>
      </c>
      <c r="C751" t="s">
        <v>371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411</v>
      </c>
      <c r="B752">
        <v>2002</v>
      </c>
      <c r="C752" t="s">
        <v>371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411</v>
      </c>
      <c r="B753">
        <v>2001</v>
      </c>
      <c r="C753" t="s">
        <v>371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411</v>
      </c>
      <c r="B754">
        <v>2000</v>
      </c>
      <c r="C754" t="s">
        <v>371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412</v>
      </c>
      <c r="B755">
        <v>2015</v>
      </c>
      <c r="C755" t="s">
        <v>363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412</v>
      </c>
      <c r="B756">
        <v>2014</v>
      </c>
      <c r="C756" t="s">
        <v>363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412</v>
      </c>
      <c r="B757">
        <v>2013</v>
      </c>
      <c r="C757" t="s">
        <v>363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412</v>
      </c>
      <c r="B758">
        <v>2012</v>
      </c>
      <c r="C758" t="s">
        <v>363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412</v>
      </c>
      <c r="B759">
        <v>2011</v>
      </c>
      <c r="C759" t="s">
        <v>363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412</v>
      </c>
      <c r="B760">
        <v>2010</v>
      </c>
      <c r="C760" t="s">
        <v>363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412</v>
      </c>
      <c r="B761">
        <v>2009</v>
      </c>
      <c r="C761" t="s">
        <v>363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412</v>
      </c>
      <c r="B762">
        <v>2008</v>
      </c>
      <c r="C762" t="s">
        <v>363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412</v>
      </c>
      <c r="B763">
        <v>2007</v>
      </c>
      <c r="C763" t="s">
        <v>363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412</v>
      </c>
      <c r="B764">
        <v>2006</v>
      </c>
      <c r="C764" t="s">
        <v>363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412</v>
      </c>
      <c r="B765">
        <v>2005</v>
      </c>
      <c r="C765" t="s">
        <v>363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412</v>
      </c>
      <c r="B766">
        <v>2004</v>
      </c>
      <c r="C766" t="s">
        <v>363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412</v>
      </c>
      <c r="B767">
        <v>2003</v>
      </c>
      <c r="C767" t="s">
        <v>363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412</v>
      </c>
      <c r="B768">
        <v>2002</v>
      </c>
      <c r="C768" t="s">
        <v>363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412</v>
      </c>
      <c r="B769">
        <v>2001</v>
      </c>
      <c r="C769" t="s">
        <v>363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412</v>
      </c>
      <c r="B770">
        <v>2000</v>
      </c>
      <c r="C770" t="s">
        <v>363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413</v>
      </c>
      <c r="B771">
        <v>2013</v>
      </c>
      <c r="C771" t="s">
        <v>363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414</v>
      </c>
      <c r="B772">
        <v>2015</v>
      </c>
      <c r="C772" t="s">
        <v>363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414</v>
      </c>
      <c r="B773">
        <v>2014</v>
      </c>
      <c r="C773" t="s">
        <v>363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414</v>
      </c>
      <c r="B774">
        <v>2013</v>
      </c>
      <c r="C774" t="s">
        <v>363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414</v>
      </c>
      <c r="B775">
        <v>2012</v>
      </c>
      <c r="C775" t="s">
        <v>363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414</v>
      </c>
      <c r="B776">
        <v>2011</v>
      </c>
      <c r="C776" t="s">
        <v>363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414</v>
      </c>
      <c r="B777">
        <v>2010</v>
      </c>
      <c r="C777" t="s">
        <v>363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414</v>
      </c>
      <c r="B778">
        <v>2009</v>
      </c>
      <c r="C778" t="s">
        <v>363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414</v>
      </c>
      <c r="B779">
        <v>2008</v>
      </c>
      <c r="C779" t="s">
        <v>363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414</v>
      </c>
      <c r="B780">
        <v>2007</v>
      </c>
      <c r="C780" t="s">
        <v>363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414</v>
      </c>
      <c r="B781">
        <v>2006</v>
      </c>
      <c r="C781" t="s">
        <v>363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414</v>
      </c>
      <c r="B782">
        <v>2005</v>
      </c>
      <c r="C782" t="s">
        <v>363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414</v>
      </c>
      <c r="B783">
        <v>2004</v>
      </c>
      <c r="C783" t="s">
        <v>363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414</v>
      </c>
      <c r="B784">
        <v>2003</v>
      </c>
      <c r="C784" t="s">
        <v>363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414</v>
      </c>
      <c r="B785">
        <v>2002</v>
      </c>
      <c r="C785" t="s">
        <v>363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414</v>
      </c>
      <c r="B786">
        <v>2001</v>
      </c>
      <c r="C786" t="s">
        <v>363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414</v>
      </c>
      <c r="B787">
        <v>2000</v>
      </c>
      <c r="C787" t="s">
        <v>363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415</v>
      </c>
      <c r="B788">
        <v>2015</v>
      </c>
      <c r="C788" t="s">
        <v>363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415</v>
      </c>
      <c r="B789">
        <v>2014</v>
      </c>
      <c r="C789" t="s">
        <v>363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415</v>
      </c>
      <c r="B790">
        <v>2013</v>
      </c>
      <c r="C790" t="s">
        <v>363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415</v>
      </c>
      <c r="B791">
        <v>2012</v>
      </c>
      <c r="C791" t="s">
        <v>363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415</v>
      </c>
      <c r="B792">
        <v>2011</v>
      </c>
      <c r="C792" t="s">
        <v>363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415</v>
      </c>
      <c r="B793">
        <v>2010</v>
      </c>
      <c r="C793" t="s">
        <v>363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415</v>
      </c>
      <c r="B794">
        <v>2009</v>
      </c>
      <c r="C794" t="s">
        <v>363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415</v>
      </c>
      <c r="B795">
        <v>2008</v>
      </c>
      <c r="C795" t="s">
        <v>363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415</v>
      </c>
      <c r="B796">
        <v>2007</v>
      </c>
      <c r="C796" t="s">
        <v>363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415</v>
      </c>
      <c r="B797">
        <v>2006</v>
      </c>
      <c r="C797" t="s">
        <v>363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415</v>
      </c>
      <c r="B798">
        <v>2005</v>
      </c>
      <c r="C798" t="s">
        <v>363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415</v>
      </c>
      <c r="B799">
        <v>2004</v>
      </c>
      <c r="C799" t="s">
        <v>363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415</v>
      </c>
      <c r="B800">
        <v>2003</v>
      </c>
      <c r="C800" t="s">
        <v>363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415</v>
      </c>
      <c r="B801">
        <v>2002</v>
      </c>
      <c r="C801" t="s">
        <v>363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415</v>
      </c>
      <c r="B802">
        <v>2001</v>
      </c>
      <c r="C802" t="s">
        <v>363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415</v>
      </c>
      <c r="B803">
        <v>2000</v>
      </c>
      <c r="C803" t="s">
        <v>363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416</v>
      </c>
      <c r="B804">
        <v>2015</v>
      </c>
      <c r="C804" t="s">
        <v>363</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416</v>
      </c>
      <c r="B805">
        <v>2014</v>
      </c>
      <c r="C805" t="s">
        <v>363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416</v>
      </c>
      <c r="B806">
        <v>2013</v>
      </c>
      <c r="C806" t="s">
        <v>363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416</v>
      </c>
      <c r="B807">
        <v>2012</v>
      </c>
      <c r="C807" t="s">
        <v>363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416</v>
      </c>
      <c r="B808">
        <v>2011</v>
      </c>
      <c r="C808" t="s">
        <v>363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416</v>
      </c>
      <c r="B809">
        <v>2010</v>
      </c>
      <c r="C809" t="s">
        <v>363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416</v>
      </c>
      <c r="B810">
        <v>2009</v>
      </c>
      <c r="C810" t="s">
        <v>363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416</v>
      </c>
      <c r="B811">
        <v>2008</v>
      </c>
      <c r="C811" t="s">
        <v>363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416</v>
      </c>
      <c r="B812">
        <v>2007</v>
      </c>
      <c r="C812" t="s">
        <v>363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416</v>
      </c>
      <c r="B813">
        <v>2006</v>
      </c>
      <c r="C813" t="s">
        <v>363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416</v>
      </c>
      <c r="B814">
        <v>2005</v>
      </c>
      <c r="C814" t="s">
        <v>363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416</v>
      </c>
      <c r="B815">
        <v>2004</v>
      </c>
      <c r="C815" t="s">
        <v>363</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416</v>
      </c>
      <c r="B816">
        <v>2003</v>
      </c>
      <c r="C816" t="s">
        <v>363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416</v>
      </c>
      <c r="B817">
        <v>2002</v>
      </c>
      <c r="C817" t="s">
        <v>363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416</v>
      </c>
      <c r="B818">
        <v>2001</v>
      </c>
      <c r="C818" t="s">
        <v>363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416</v>
      </c>
      <c r="B819">
        <v>2000</v>
      </c>
      <c r="C819" t="s">
        <v>363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417</v>
      </c>
      <c r="B820">
        <v>2015</v>
      </c>
      <c r="C820" t="s">
        <v>363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417</v>
      </c>
      <c r="B821">
        <v>2014</v>
      </c>
      <c r="C821" t="s">
        <v>363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417</v>
      </c>
      <c r="B822">
        <v>2013</v>
      </c>
      <c r="C822" t="s">
        <v>363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417</v>
      </c>
      <c r="B823">
        <v>2012</v>
      </c>
      <c r="C823" t="s">
        <v>363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417</v>
      </c>
      <c r="B824">
        <v>2011</v>
      </c>
      <c r="C824" t="s">
        <v>363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417</v>
      </c>
      <c r="B825">
        <v>2010</v>
      </c>
      <c r="C825" t="s">
        <v>363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417</v>
      </c>
      <c r="B826">
        <v>2009</v>
      </c>
      <c r="C826" t="s">
        <v>363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417</v>
      </c>
      <c r="B827">
        <v>2008</v>
      </c>
      <c r="C827" t="s">
        <v>363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417</v>
      </c>
      <c r="B828">
        <v>2007</v>
      </c>
      <c r="C828" t="s">
        <v>363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417</v>
      </c>
      <c r="B829">
        <v>2006</v>
      </c>
      <c r="C829" t="s">
        <v>363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417</v>
      </c>
      <c r="B830">
        <v>2005</v>
      </c>
      <c r="C830" t="s">
        <v>363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417</v>
      </c>
      <c r="B831">
        <v>2004</v>
      </c>
      <c r="C831" t="s">
        <v>363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417</v>
      </c>
      <c r="B832">
        <v>2003</v>
      </c>
      <c r="C832" t="s">
        <v>363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417</v>
      </c>
      <c r="B833">
        <v>2002</v>
      </c>
      <c r="C833" t="s">
        <v>363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417</v>
      </c>
      <c r="B834">
        <v>2001</v>
      </c>
      <c r="C834" t="s">
        <v>363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417</v>
      </c>
      <c r="B835">
        <v>2000</v>
      </c>
      <c r="C835" t="s">
        <v>363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418</v>
      </c>
      <c r="B836">
        <v>2015</v>
      </c>
      <c r="C836" t="s">
        <v>363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418</v>
      </c>
      <c r="B837">
        <v>2014</v>
      </c>
      <c r="C837" t="s">
        <v>363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418</v>
      </c>
      <c r="B838">
        <v>2013</v>
      </c>
      <c r="C838" t="s">
        <v>363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418</v>
      </c>
      <c r="B839">
        <v>2012</v>
      </c>
      <c r="C839" t="s">
        <v>363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418</v>
      </c>
      <c r="B840">
        <v>2011</v>
      </c>
      <c r="C840" t="s">
        <v>363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418</v>
      </c>
      <c r="B841">
        <v>2010</v>
      </c>
      <c r="C841" t="s">
        <v>363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418</v>
      </c>
      <c r="B842">
        <v>2009</v>
      </c>
      <c r="C842" t="s">
        <v>363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418</v>
      </c>
      <c r="B843">
        <v>2008</v>
      </c>
      <c r="C843" t="s">
        <v>363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418</v>
      </c>
      <c r="B844">
        <v>2007</v>
      </c>
      <c r="C844" t="s">
        <v>363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418</v>
      </c>
      <c r="B845">
        <v>2006</v>
      </c>
      <c r="C845" t="s">
        <v>363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418</v>
      </c>
      <c r="B846">
        <v>2005</v>
      </c>
      <c r="C846" t="s">
        <v>363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418</v>
      </c>
      <c r="B847">
        <v>2004</v>
      </c>
      <c r="C847" t="s">
        <v>363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418</v>
      </c>
      <c r="B848">
        <v>2003</v>
      </c>
      <c r="C848" t="s">
        <v>363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418</v>
      </c>
      <c r="B849">
        <v>2002</v>
      </c>
      <c r="C849" t="s">
        <v>363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418</v>
      </c>
      <c r="B850">
        <v>2001</v>
      </c>
      <c r="C850" t="s">
        <v>363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418</v>
      </c>
      <c r="B851">
        <v>2000</v>
      </c>
      <c r="C851" t="s">
        <v>363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419</v>
      </c>
      <c r="B852">
        <v>2015</v>
      </c>
      <c r="C852" t="s">
        <v>363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419</v>
      </c>
      <c r="B853">
        <v>2014</v>
      </c>
      <c r="C853" t="s">
        <v>363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419</v>
      </c>
      <c r="B854">
        <v>2013</v>
      </c>
      <c r="C854" t="s">
        <v>363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419</v>
      </c>
      <c r="B855">
        <v>2012</v>
      </c>
      <c r="C855" t="s">
        <v>363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419</v>
      </c>
      <c r="B856">
        <v>2011</v>
      </c>
      <c r="C856" t="s">
        <v>363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419</v>
      </c>
      <c r="B857">
        <v>2010</v>
      </c>
      <c r="C857" t="s">
        <v>363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419</v>
      </c>
      <c r="B858">
        <v>2009</v>
      </c>
      <c r="C858" t="s">
        <v>363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419</v>
      </c>
      <c r="B859">
        <v>2008</v>
      </c>
      <c r="C859" t="s">
        <v>363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419</v>
      </c>
      <c r="B860">
        <v>2007</v>
      </c>
      <c r="C860" t="s">
        <v>363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419</v>
      </c>
      <c r="B861">
        <v>2006</v>
      </c>
      <c r="C861" t="s">
        <v>363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419</v>
      </c>
      <c r="B862">
        <v>2005</v>
      </c>
      <c r="C862" t="s">
        <v>363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419</v>
      </c>
      <c r="B863">
        <v>2004</v>
      </c>
      <c r="C863" t="s">
        <v>363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419</v>
      </c>
      <c r="B864">
        <v>2003</v>
      </c>
      <c r="C864" t="s">
        <v>363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419</v>
      </c>
      <c r="B865">
        <v>2002</v>
      </c>
      <c r="C865" t="s">
        <v>363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419</v>
      </c>
      <c r="B866">
        <v>2001</v>
      </c>
      <c r="C866" t="s">
        <v>363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419</v>
      </c>
      <c r="B867">
        <v>2000</v>
      </c>
      <c r="C867" t="s">
        <v>363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420</v>
      </c>
      <c r="B868">
        <v>2015</v>
      </c>
      <c r="C868" t="s">
        <v>363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420</v>
      </c>
      <c r="B869">
        <v>2014</v>
      </c>
      <c r="C869" t="s">
        <v>363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420</v>
      </c>
      <c r="B870">
        <v>2013</v>
      </c>
      <c r="C870" t="s">
        <v>363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420</v>
      </c>
      <c r="B871">
        <v>2012</v>
      </c>
      <c r="C871" t="s">
        <v>363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420</v>
      </c>
      <c r="B872">
        <v>2011</v>
      </c>
      <c r="C872" t="s">
        <v>363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420</v>
      </c>
      <c r="B873">
        <v>2010</v>
      </c>
      <c r="C873" t="s">
        <v>363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420</v>
      </c>
      <c r="B874">
        <v>2009</v>
      </c>
      <c r="C874" t="s">
        <v>363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420</v>
      </c>
      <c r="B875">
        <v>2008</v>
      </c>
      <c r="C875" t="s">
        <v>363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420</v>
      </c>
      <c r="B876">
        <v>2007</v>
      </c>
      <c r="C876" t="s">
        <v>363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420</v>
      </c>
      <c r="B877">
        <v>2006</v>
      </c>
      <c r="C877" t="s">
        <v>363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420</v>
      </c>
      <c r="B878">
        <v>2005</v>
      </c>
      <c r="C878" t="s">
        <v>363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420</v>
      </c>
      <c r="B879">
        <v>2004</v>
      </c>
      <c r="C879" t="s">
        <v>363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420</v>
      </c>
      <c r="B880">
        <v>2003</v>
      </c>
      <c r="C880" t="s">
        <v>363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420</v>
      </c>
      <c r="B881">
        <v>2002</v>
      </c>
      <c r="C881" t="s">
        <v>363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420</v>
      </c>
      <c r="B882">
        <v>2001</v>
      </c>
      <c r="C882" t="s">
        <v>363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420</v>
      </c>
      <c r="B883">
        <v>2000</v>
      </c>
      <c r="C883" t="s">
        <v>363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421</v>
      </c>
      <c r="B884">
        <v>2015</v>
      </c>
      <c r="C884" t="s">
        <v>363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421</v>
      </c>
      <c r="B885">
        <v>2014</v>
      </c>
      <c r="C885" t="s">
        <v>363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421</v>
      </c>
      <c r="B886">
        <v>2013</v>
      </c>
      <c r="C886" t="s">
        <v>363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421</v>
      </c>
      <c r="B887">
        <v>2012</v>
      </c>
      <c r="C887" t="s">
        <v>363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421</v>
      </c>
      <c r="B888">
        <v>2011</v>
      </c>
      <c r="C888" t="s">
        <v>363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421</v>
      </c>
      <c r="B889">
        <v>2010</v>
      </c>
      <c r="C889" t="s">
        <v>363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421</v>
      </c>
      <c r="B890">
        <v>2009</v>
      </c>
      <c r="C890" t="s">
        <v>363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421</v>
      </c>
      <c r="B891">
        <v>2008</v>
      </c>
      <c r="C891" t="s">
        <v>363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421</v>
      </c>
      <c r="B892">
        <v>2007</v>
      </c>
      <c r="C892" t="s">
        <v>363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421</v>
      </c>
      <c r="B893">
        <v>2006</v>
      </c>
      <c r="C893" t="s">
        <v>363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421</v>
      </c>
      <c r="B894">
        <v>2005</v>
      </c>
      <c r="C894" t="s">
        <v>363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421</v>
      </c>
      <c r="B895">
        <v>2004</v>
      </c>
      <c r="C895" t="s">
        <v>363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421</v>
      </c>
      <c r="B896">
        <v>2003</v>
      </c>
      <c r="C896" t="s">
        <v>363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421</v>
      </c>
      <c r="B897">
        <v>2002</v>
      </c>
      <c r="C897" t="s">
        <v>363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421</v>
      </c>
      <c r="B898">
        <v>2001</v>
      </c>
      <c r="C898" t="s">
        <v>363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421</v>
      </c>
      <c r="B899">
        <v>2000</v>
      </c>
      <c r="C899" t="s">
        <v>363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422</v>
      </c>
      <c r="B900">
        <v>2015</v>
      </c>
      <c r="C900" t="s">
        <v>363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422</v>
      </c>
      <c r="B901">
        <v>2014</v>
      </c>
      <c r="C901" t="s">
        <v>363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422</v>
      </c>
      <c r="B902">
        <v>2013</v>
      </c>
      <c r="C902" t="s">
        <v>363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422</v>
      </c>
      <c r="B903">
        <v>2012</v>
      </c>
      <c r="C903" t="s">
        <v>363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422</v>
      </c>
      <c r="B904">
        <v>2011</v>
      </c>
      <c r="C904" t="s">
        <v>363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422</v>
      </c>
      <c r="B905">
        <v>2010</v>
      </c>
      <c r="C905" t="s">
        <v>363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422</v>
      </c>
      <c r="B906">
        <v>2009</v>
      </c>
      <c r="C906" t="s">
        <v>363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422</v>
      </c>
      <c r="B907">
        <v>2008</v>
      </c>
      <c r="C907" t="s">
        <v>363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422</v>
      </c>
      <c r="B908">
        <v>2007</v>
      </c>
      <c r="C908" t="s">
        <v>363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422</v>
      </c>
      <c r="B909">
        <v>2006</v>
      </c>
      <c r="C909" t="s">
        <v>363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422</v>
      </c>
      <c r="B910">
        <v>2005</v>
      </c>
      <c r="C910" t="s">
        <v>363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422</v>
      </c>
      <c r="B911">
        <v>2004</v>
      </c>
      <c r="C911" t="s">
        <v>363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422</v>
      </c>
      <c r="B912">
        <v>2003</v>
      </c>
      <c r="C912" t="s">
        <v>363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422</v>
      </c>
      <c r="B913">
        <v>2002</v>
      </c>
      <c r="C913" t="s">
        <v>363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422</v>
      </c>
      <c r="B914">
        <v>2001</v>
      </c>
      <c r="C914" t="s">
        <v>363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422</v>
      </c>
      <c r="B915">
        <v>2000</v>
      </c>
      <c r="C915" t="s">
        <v>363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423</v>
      </c>
      <c r="B916">
        <v>2015</v>
      </c>
      <c r="C916" t="s">
        <v>363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423</v>
      </c>
      <c r="B917">
        <v>2014</v>
      </c>
      <c r="C917" t="s">
        <v>363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423</v>
      </c>
      <c r="B918">
        <v>2013</v>
      </c>
      <c r="C918" t="s">
        <v>363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423</v>
      </c>
      <c r="B919">
        <v>2012</v>
      </c>
      <c r="C919" t="s">
        <v>363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423</v>
      </c>
      <c r="B920">
        <v>2011</v>
      </c>
      <c r="C920" t="s">
        <v>363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423</v>
      </c>
      <c r="B921">
        <v>2010</v>
      </c>
      <c r="C921" t="s">
        <v>363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423</v>
      </c>
      <c r="B922">
        <v>2009</v>
      </c>
      <c r="C922" t="s">
        <v>363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423</v>
      </c>
      <c r="B923">
        <v>2008</v>
      </c>
      <c r="C923" t="s">
        <v>363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423</v>
      </c>
      <c r="B924">
        <v>2007</v>
      </c>
      <c r="C924" t="s">
        <v>363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423</v>
      </c>
      <c r="B925">
        <v>2006</v>
      </c>
      <c r="C925" t="s">
        <v>363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423</v>
      </c>
      <c r="B926">
        <v>2005</v>
      </c>
      <c r="C926" t="s">
        <v>363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423</v>
      </c>
      <c r="B927">
        <v>2004</v>
      </c>
      <c r="C927" t="s">
        <v>363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423</v>
      </c>
      <c r="B928">
        <v>2003</v>
      </c>
      <c r="C928" t="s">
        <v>363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423</v>
      </c>
      <c r="B929">
        <v>2002</v>
      </c>
      <c r="C929" t="s">
        <v>363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423</v>
      </c>
      <c r="B930">
        <v>2001</v>
      </c>
      <c r="C930" t="s">
        <v>363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423</v>
      </c>
      <c r="B931">
        <v>2000</v>
      </c>
      <c r="C931" t="s">
        <v>363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424</v>
      </c>
      <c r="B932">
        <v>2015</v>
      </c>
      <c r="C932" t="s">
        <v>363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424</v>
      </c>
      <c r="B933">
        <v>2014</v>
      </c>
      <c r="C933" t="s">
        <v>363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424</v>
      </c>
      <c r="B934">
        <v>2013</v>
      </c>
      <c r="C934" t="s">
        <v>363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424</v>
      </c>
      <c r="B935">
        <v>2012</v>
      </c>
      <c r="C935" t="s">
        <v>363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424</v>
      </c>
      <c r="B936">
        <v>2011</v>
      </c>
      <c r="C936" t="s">
        <v>363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424</v>
      </c>
      <c r="B937">
        <v>2010</v>
      </c>
      <c r="C937" t="s">
        <v>363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424</v>
      </c>
      <c r="B938">
        <v>2009</v>
      </c>
      <c r="C938" t="s">
        <v>363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424</v>
      </c>
      <c r="B939">
        <v>2008</v>
      </c>
      <c r="C939" t="s">
        <v>363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424</v>
      </c>
      <c r="B940">
        <v>2007</v>
      </c>
      <c r="C940" t="s">
        <v>363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424</v>
      </c>
      <c r="B941">
        <v>2006</v>
      </c>
      <c r="C941" t="s">
        <v>363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424</v>
      </c>
      <c r="B942">
        <v>2005</v>
      </c>
      <c r="C942" t="s">
        <v>363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424</v>
      </c>
      <c r="B943">
        <v>2004</v>
      </c>
      <c r="C943" t="s">
        <v>363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424</v>
      </c>
      <c r="B944">
        <v>2003</v>
      </c>
      <c r="C944" t="s">
        <v>363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424</v>
      </c>
      <c r="B945">
        <v>2002</v>
      </c>
      <c r="C945" t="s">
        <v>363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424</v>
      </c>
      <c r="B946">
        <v>2001</v>
      </c>
      <c r="C946" t="s">
        <v>363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424</v>
      </c>
      <c r="B947">
        <v>2000</v>
      </c>
      <c r="C947" t="s">
        <v>363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425</v>
      </c>
      <c r="B948">
        <v>2015</v>
      </c>
      <c r="C948" t="s">
        <v>363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425</v>
      </c>
      <c r="B949">
        <v>2014</v>
      </c>
      <c r="C949" t="s">
        <v>363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425</v>
      </c>
      <c r="B950">
        <v>2013</v>
      </c>
      <c r="C950" t="s">
        <v>363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425</v>
      </c>
      <c r="B951">
        <v>2012</v>
      </c>
      <c r="C951" t="s">
        <v>363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425</v>
      </c>
      <c r="B952">
        <v>2011</v>
      </c>
      <c r="C952" t="s">
        <v>363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425</v>
      </c>
      <c r="B953">
        <v>2010</v>
      </c>
      <c r="C953" t="s">
        <v>363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425</v>
      </c>
      <c r="B954">
        <v>2009</v>
      </c>
      <c r="C954" t="s">
        <v>363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425</v>
      </c>
      <c r="B955">
        <v>2008</v>
      </c>
      <c r="C955" t="s">
        <v>363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425</v>
      </c>
      <c r="B956">
        <v>2007</v>
      </c>
      <c r="C956" t="s">
        <v>363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425</v>
      </c>
      <c r="B957">
        <v>2006</v>
      </c>
      <c r="C957" t="s">
        <v>363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425</v>
      </c>
      <c r="B958">
        <v>2005</v>
      </c>
      <c r="C958" t="s">
        <v>363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425</v>
      </c>
      <c r="B959">
        <v>2004</v>
      </c>
      <c r="C959" t="s">
        <v>363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425</v>
      </c>
      <c r="B960">
        <v>2003</v>
      </c>
      <c r="C960" t="s">
        <v>363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425</v>
      </c>
      <c r="B961">
        <v>2002</v>
      </c>
      <c r="C961" t="s">
        <v>363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425</v>
      </c>
      <c r="B962">
        <v>2001</v>
      </c>
      <c r="C962" t="s">
        <v>363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425</v>
      </c>
      <c r="B963">
        <v>2000</v>
      </c>
      <c r="C963" t="s">
        <v>363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426</v>
      </c>
      <c r="B964">
        <v>2015</v>
      </c>
      <c r="C964" t="s">
        <v>363</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426</v>
      </c>
      <c r="B965">
        <v>2014</v>
      </c>
      <c r="C965" t="s">
        <v>363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426</v>
      </c>
      <c r="B966">
        <v>2013</v>
      </c>
      <c r="C966" t="s">
        <v>363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426</v>
      </c>
      <c r="B967">
        <v>2012</v>
      </c>
      <c r="C967" t="s">
        <v>363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426</v>
      </c>
      <c r="B968">
        <v>2011</v>
      </c>
      <c r="C968" t="s">
        <v>363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426</v>
      </c>
      <c r="B969">
        <v>2010</v>
      </c>
      <c r="C969" t="s">
        <v>363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426</v>
      </c>
      <c r="B970">
        <v>2009</v>
      </c>
      <c r="C970" t="s">
        <v>363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426</v>
      </c>
      <c r="B971">
        <v>2008</v>
      </c>
      <c r="C971" t="s">
        <v>363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426</v>
      </c>
      <c r="B972">
        <v>2007</v>
      </c>
      <c r="C972" t="s">
        <v>363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426</v>
      </c>
      <c r="B973">
        <v>2006</v>
      </c>
      <c r="C973" t="s">
        <v>363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426</v>
      </c>
      <c r="B974">
        <v>2005</v>
      </c>
      <c r="C974" t="s">
        <v>363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426</v>
      </c>
      <c r="B975">
        <v>2004</v>
      </c>
      <c r="C975" t="s">
        <v>363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426</v>
      </c>
      <c r="B976">
        <v>2003</v>
      </c>
      <c r="C976" t="s">
        <v>363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426</v>
      </c>
      <c r="B977">
        <v>2002</v>
      </c>
      <c r="C977" t="s">
        <v>363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426</v>
      </c>
      <c r="B978">
        <v>2001</v>
      </c>
      <c r="C978" t="s">
        <v>363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426</v>
      </c>
      <c r="B979">
        <v>2000</v>
      </c>
      <c r="C979" t="s">
        <v>363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427</v>
      </c>
      <c r="B980">
        <v>2015</v>
      </c>
      <c r="C980" t="s">
        <v>363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427</v>
      </c>
      <c r="B981">
        <v>2014</v>
      </c>
      <c r="C981" t="s">
        <v>363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427</v>
      </c>
      <c r="B982">
        <v>2013</v>
      </c>
      <c r="C982" t="s">
        <v>363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427</v>
      </c>
      <c r="B983">
        <v>2012</v>
      </c>
      <c r="C983" t="s">
        <v>363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427</v>
      </c>
      <c r="B984">
        <v>2011</v>
      </c>
      <c r="C984" t="s">
        <v>363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427</v>
      </c>
      <c r="B985">
        <v>2010</v>
      </c>
      <c r="C985" t="s">
        <v>363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427</v>
      </c>
      <c r="B986">
        <v>2009</v>
      </c>
      <c r="C986" t="s">
        <v>363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427</v>
      </c>
      <c r="B987">
        <v>2008</v>
      </c>
      <c r="C987" t="s">
        <v>363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427</v>
      </c>
      <c r="B988">
        <v>2007</v>
      </c>
      <c r="C988" t="s">
        <v>363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427</v>
      </c>
      <c r="B989">
        <v>2006</v>
      </c>
      <c r="C989" t="s">
        <v>363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427</v>
      </c>
      <c r="B990">
        <v>2005</v>
      </c>
      <c r="C990" t="s">
        <v>363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427</v>
      </c>
      <c r="B991">
        <v>2004</v>
      </c>
      <c r="C991" t="s">
        <v>363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427</v>
      </c>
      <c r="B992">
        <v>2003</v>
      </c>
      <c r="C992" t="s">
        <v>363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427</v>
      </c>
      <c r="B993">
        <v>2002</v>
      </c>
      <c r="C993" t="s">
        <v>363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427</v>
      </c>
      <c r="B994">
        <v>2001</v>
      </c>
      <c r="C994" t="s">
        <v>363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427</v>
      </c>
      <c r="B995">
        <v>2000</v>
      </c>
      <c r="C995" t="s">
        <v>363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428</v>
      </c>
      <c r="B996">
        <v>2015</v>
      </c>
      <c r="C996" t="s">
        <v>371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428</v>
      </c>
      <c r="B997">
        <v>2014</v>
      </c>
      <c r="C997" t="s">
        <v>371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428</v>
      </c>
      <c r="B998">
        <v>2013</v>
      </c>
      <c r="C998" t="s">
        <v>371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428</v>
      </c>
      <c r="B999">
        <v>2012</v>
      </c>
      <c r="C999" t="s">
        <v>371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428</v>
      </c>
      <c r="B1000">
        <v>2011</v>
      </c>
      <c r="C1000" t="s">
        <v>371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428</v>
      </c>
      <c r="B1001">
        <v>2010</v>
      </c>
      <c r="C1001" t="s">
        <v>371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428</v>
      </c>
      <c r="B1002">
        <v>2009</v>
      </c>
      <c r="C1002" t="s">
        <v>371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428</v>
      </c>
      <c r="B1003">
        <v>2008</v>
      </c>
      <c r="C1003" t="s">
        <v>371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428</v>
      </c>
      <c r="B1004">
        <v>2007</v>
      </c>
      <c r="C1004" t="s">
        <v>371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428</v>
      </c>
      <c r="B1005">
        <v>2006</v>
      </c>
      <c r="C1005" t="s">
        <v>371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428</v>
      </c>
      <c r="B1006">
        <v>2005</v>
      </c>
      <c r="C1006" t="s">
        <v>371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428</v>
      </c>
      <c r="B1007">
        <v>2004</v>
      </c>
      <c r="C1007" t="s">
        <v>371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428</v>
      </c>
      <c r="B1008">
        <v>2003</v>
      </c>
      <c r="C1008" t="s">
        <v>371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428</v>
      </c>
      <c r="B1009">
        <v>2002</v>
      </c>
      <c r="C1009" t="s">
        <v>371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428</v>
      </c>
      <c r="B1010">
        <v>2001</v>
      </c>
      <c r="C1010" t="s">
        <v>371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428</v>
      </c>
      <c r="B1011">
        <v>2000</v>
      </c>
      <c r="C1011" t="s">
        <v>371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429</v>
      </c>
      <c r="B1012">
        <v>2015</v>
      </c>
      <c r="C1012" t="s">
        <v>363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429</v>
      </c>
      <c r="B1013">
        <v>2014</v>
      </c>
      <c r="C1013" t="s">
        <v>363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429</v>
      </c>
      <c r="B1014">
        <v>2013</v>
      </c>
      <c r="C1014" t="s">
        <v>363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429</v>
      </c>
      <c r="B1015">
        <v>2012</v>
      </c>
      <c r="C1015" t="s">
        <v>363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429</v>
      </c>
      <c r="B1016">
        <v>2011</v>
      </c>
      <c r="C1016" t="s">
        <v>363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429</v>
      </c>
      <c r="B1017">
        <v>2010</v>
      </c>
      <c r="C1017" t="s">
        <v>363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429</v>
      </c>
      <c r="B1018">
        <v>2009</v>
      </c>
      <c r="C1018" t="s">
        <v>363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429</v>
      </c>
      <c r="B1019">
        <v>2008</v>
      </c>
      <c r="C1019" t="s">
        <v>363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429</v>
      </c>
      <c r="B1020">
        <v>2007</v>
      </c>
      <c r="C1020" t="s">
        <v>363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429</v>
      </c>
      <c r="B1021">
        <v>2006</v>
      </c>
      <c r="C1021" t="s">
        <v>363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429</v>
      </c>
      <c r="B1022">
        <v>2005</v>
      </c>
      <c r="C1022" t="s">
        <v>363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429</v>
      </c>
      <c r="B1023">
        <v>2004</v>
      </c>
      <c r="C1023" t="s">
        <v>363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429</v>
      </c>
      <c r="B1024">
        <v>2003</v>
      </c>
      <c r="C1024" t="s">
        <v>363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429</v>
      </c>
      <c r="B1025">
        <v>2002</v>
      </c>
      <c r="C1025" t="s">
        <v>363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429</v>
      </c>
      <c r="B1026">
        <v>2001</v>
      </c>
      <c r="C1026" t="s">
        <v>363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429</v>
      </c>
      <c r="B1027">
        <v>2000</v>
      </c>
      <c r="C1027" t="s">
        <v>363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430</v>
      </c>
      <c r="B1028">
        <v>2015</v>
      </c>
      <c r="C1028" t="s">
        <v>363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430</v>
      </c>
      <c r="B1029">
        <v>2014</v>
      </c>
      <c r="C1029" t="s">
        <v>363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430</v>
      </c>
      <c r="B1030">
        <v>2013</v>
      </c>
      <c r="C1030" t="s">
        <v>363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430</v>
      </c>
      <c r="B1031">
        <v>2012</v>
      </c>
      <c r="C1031" t="s">
        <v>363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430</v>
      </c>
      <c r="B1032">
        <v>2011</v>
      </c>
      <c r="C1032" t="s">
        <v>363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430</v>
      </c>
      <c r="B1033">
        <v>2010</v>
      </c>
      <c r="C1033" t="s">
        <v>363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430</v>
      </c>
      <c r="B1034">
        <v>2009</v>
      </c>
      <c r="C1034" t="s">
        <v>363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430</v>
      </c>
      <c r="B1035">
        <v>2008</v>
      </c>
      <c r="C1035" t="s">
        <v>363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430</v>
      </c>
      <c r="B1036">
        <v>2007</v>
      </c>
      <c r="C1036" t="s">
        <v>363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430</v>
      </c>
      <c r="B1037">
        <v>2006</v>
      </c>
      <c r="C1037" t="s">
        <v>363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430</v>
      </c>
      <c r="B1038">
        <v>2005</v>
      </c>
      <c r="C1038" t="s">
        <v>363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430</v>
      </c>
      <c r="B1039">
        <v>2004</v>
      </c>
      <c r="C1039" t="s">
        <v>363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430</v>
      </c>
      <c r="B1040">
        <v>2003</v>
      </c>
      <c r="C1040" t="s">
        <v>363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430</v>
      </c>
      <c r="B1041">
        <v>2002</v>
      </c>
      <c r="C1041" t="s">
        <v>363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430</v>
      </c>
      <c r="B1042">
        <v>2001</v>
      </c>
      <c r="C1042" t="s">
        <v>363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430</v>
      </c>
      <c r="B1043">
        <v>2000</v>
      </c>
      <c r="C1043" t="s">
        <v>363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431</v>
      </c>
      <c r="B1044">
        <v>2015</v>
      </c>
      <c r="C1044" t="s">
        <v>363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431</v>
      </c>
      <c r="B1045">
        <v>2014</v>
      </c>
      <c r="C1045" t="s">
        <v>363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431</v>
      </c>
      <c r="B1046">
        <v>2013</v>
      </c>
      <c r="C1046" t="s">
        <v>363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431</v>
      </c>
      <c r="B1047">
        <v>2012</v>
      </c>
      <c r="C1047" t="s">
        <v>363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431</v>
      </c>
      <c r="B1048">
        <v>2011</v>
      </c>
      <c r="C1048" t="s">
        <v>363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431</v>
      </c>
      <c r="B1049">
        <v>2010</v>
      </c>
      <c r="C1049" t="s">
        <v>363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431</v>
      </c>
      <c r="B1050">
        <v>2009</v>
      </c>
      <c r="C1050" t="s">
        <v>363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431</v>
      </c>
      <c r="B1051">
        <v>2008</v>
      </c>
      <c r="C1051" t="s">
        <v>363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431</v>
      </c>
      <c r="B1052">
        <v>2007</v>
      </c>
      <c r="C1052" t="s">
        <v>363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431</v>
      </c>
      <c r="B1053">
        <v>2006</v>
      </c>
      <c r="C1053" t="s">
        <v>363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431</v>
      </c>
      <c r="B1054">
        <v>2005</v>
      </c>
      <c r="C1054" t="s">
        <v>363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431</v>
      </c>
      <c r="B1055">
        <v>2004</v>
      </c>
      <c r="C1055" t="s">
        <v>363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431</v>
      </c>
      <c r="B1056">
        <v>2003</v>
      </c>
      <c r="C1056" t="s">
        <v>363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431</v>
      </c>
      <c r="B1057">
        <v>2002</v>
      </c>
      <c r="C1057" t="s">
        <v>363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431</v>
      </c>
      <c r="B1058">
        <v>2001</v>
      </c>
      <c r="C1058" t="s">
        <v>363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431</v>
      </c>
      <c r="B1059">
        <v>2000</v>
      </c>
      <c r="C1059" t="s">
        <v>363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432</v>
      </c>
      <c r="B1060">
        <v>2015</v>
      </c>
      <c r="C1060" t="s">
        <v>363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432</v>
      </c>
      <c r="B1061">
        <v>2014</v>
      </c>
      <c r="C1061" t="s">
        <v>363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432</v>
      </c>
      <c r="B1062">
        <v>2013</v>
      </c>
      <c r="C1062" t="s">
        <v>363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432</v>
      </c>
      <c r="B1063">
        <v>2012</v>
      </c>
      <c r="C1063" t="s">
        <v>363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432</v>
      </c>
      <c r="B1064">
        <v>2011</v>
      </c>
      <c r="C1064" t="s">
        <v>363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432</v>
      </c>
      <c r="B1065">
        <v>2010</v>
      </c>
      <c r="C1065" t="s">
        <v>363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432</v>
      </c>
      <c r="B1066">
        <v>2009</v>
      </c>
      <c r="C1066" t="s">
        <v>363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432</v>
      </c>
      <c r="B1067">
        <v>2008</v>
      </c>
      <c r="C1067" t="s">
        <v>363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432</v>
      </c>
      <c r="B1068">
        <v>2007</v>
      </c>
      <c r="C1068" t="s">
        <v>363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432</v>
      </c>
      <c r="B1069">
        <v>2006</v>
      </c>
      <c r="C1069" t="s">
        <v>363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432</v>
      </c>
      <c r="B1070">
        <v>2005</v>
      </c>
      <c r="C1070" t="s">
        <v>363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432</v>
      </c>
      <c r="B1071">
        <v>2004</v>
      </c>
      <c r="C1071" t="s">
        <v>363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432</v>
      </c>
      <c r="B1072">
        <v>2003</v>
      </c>
      <c r="C1072" t="s">
        <v>363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432</v>
      </c>
      <c r="B1073">
        <v>2002</v>
      </c>
      <c r="C1073" t="s">
        <v>363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432</v>
      </c>
      <c r="B1074">
        <v>2001</v>
      </c>
      <c r="C1074" t="s">
        <v>363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432</v>
      </c>
      <c r="B1075">
        <v>2000</v>
      </c>
      <c r="C1075" t="s">
        <v>363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433</v>
      </c>
      <c r="B1076">
        <v>2015</v>
      </c>
      <c r="C1076" t="s">
        <v>363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433</v>
      </c>
      <c r="B1077">
        <v>2014</v>
      </c>
      <c r="C1077" t="s">
        <v>363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433</v>
      </c>
      <c r="B1078">
        <v>2013</v>
      </c>
      <c r="C1078" t="s">
        <v>363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433</v>
      </c>
      <c r="B1079">
        <v>2012</v>
      </c>
      <c r="C1079" t="s">
        <v>363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433</v>
      </c>
      <c r="B1080">
        <v>2011</v>
      </c>
      <c r="C1080" t="s">
        <v>363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433</v>
      </c>
      <c r="B1081">
        <v>2010</v>
      </c>
      <c r="C1081" t="s">
        <v>363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433</v>
      </c>
      <c r="B1082">
        <v>2009</v>
      </c>
      <c r="C1082" t="s">
        <v>363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433</v>
      </c>
      <c r="B1083">
        <v>2008</v>
      </c>
      <c r="C1083" t="s">
        <v>363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433</v>
      </c>
      <c r="B1084">
        <v>2007</v>
      </c>
      <c r="C1084" t="s">
        <v>363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433</v>
      </c>
      <c r="B1085">
        <v>2006</v>
      </c>
      <c r="C1085" t="s">
        <v>363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433</v>
      </c>
      <c r="B1086">
        <v>2005</v>
      </c>
      <c r="C1086" t="s">
        <v>363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433</v>
      </c>
      <c r="B1087">
        <v>2004</v>
      </c>
      <c r="C1087" t="s">
        <v>363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433</v>
      </c>
      <c r="B1088">
        <v>2003</v>
      </c>
      <c r="C1088" t="s">
        <v>363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433</v>
      </c>
      <c r="B1089">
        <v>2002</v>
      </c>
      <c r="C1089" t="s">
        <v>363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433</v>
      </c>
      <c r="B1090">
        <v>2001</v>
      </c>
      <c r="C1090" t="s">
        <v>363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433</v>
      </c>
      <c r="B1091">
        <v>2000</v>
      </c>
      <c r="C1091" t="s">
        <v>363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434</v>
      </c>
      <c r="B1092">
        <v>2015</v>
      </c>
      <c r="C1092" t="s">
        <v>363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434</v>
      </c>
      <c r="B1093">
        <v>2014</v>
      </c>
      <c r="C1093" t="s">
        <v>363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434</v>
      </c>
      <c r="B1094">
        <v>2013</v>
      </c>
      <c r="C1094" t="s">
        <v>363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434</v>
      </c>
      <c r="B1095">
        <v>2012</v>
      </c>
      <c r="C1095" t="s">
        <v>363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434</v>
      </c>
      <c r="B1096">
        <v>2011</v>
      </c>
      <c r="C1096" t="s">
        <v>363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434</v>
      </c>
      <c r="B1097">
        <v>2010</v>
      </c>
      <c r="C1097" t="s">
        <v>363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434</v>
      </c>
      <c r="B1098">
        <v>2009</v>
      </c>
      <c r="C1098" t="s">
        <v>363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434</v>
      </c>
      <c r="B1099">
        <v>2008</v>
      </c>
      <c r="C1099" t="s">
        <v>363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434</v>
      </c>
      <c r="B1100">
        <v>2007</v>
      </c>
      <c r="C1100" t="s">
        <v>363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434</v>
      </c>
      <c r="B1101">
        <v>2006</v>
      </c>
      <c r="C1101" t="s">
        <v>363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434</v>
      </c>
      <c r="B1102">
        <v>2005</v>
      </c>
      <c r="C1102" t="s">
        <v>363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434</v>
      </c>
      <c r="B1103">
        <v>2004</v>
      </c>
      <c r="C1103" t="s">
        <v>363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434</v>
      </c>
      <c r="B1104">
        <v>2003</v>
      </c>
      <c r="C1104" t="s">
        <v>363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434</v>
      </c>
      <c r="B1105">
        <v>2002</v>
      </c>
      <c r="C1105" t="s">
        <v>363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434</v>
      </c>
      <c r="B1106">
        <v>2001</v>
      </c>
      <c r="C1106" t="s">
        <v>363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434</v>
      </c>
      <c r="B1107">
        <v>2000</v>
      </c>
      <c r="C1107" t="s">
        <v>363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435</v>
      </c>
      <c r="B1108">
        <v>2015</v>
      </c>
      <c r="C1108" t="s">
        <v>363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435</v>
      </c>
      <c r="B1109">
        <v>2014</v>
      </c>
      <c r="C1109" t="s">
        <v>363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435</v>
      </c>
      <c r="B1110">
        <v>2013</v>
      </c>
      <c r="C1110" t="s">
        <v>363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435</v>
      </c>
      <c r="B1111">
        <v>2012</v>
      </c>
      <c r="C1111" t="s">
        <v>363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435</v>
      </c>
      <c r="B1112">
        <v>2011</v>
      </c>
      <c r="C1112" t="s">
        <v>363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435</v>
      </c>
      <c r="B1113">
        <v>2010</v>
      </c>
      <c r="C1113" t="s">
        <v>363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435</v>
      </c>
      <c r="B1114">
        <v>2009</v>
      </c>
      <c r="C1114" t="s">
        <v>363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435</v>
      </c>
      <c r="B1115">
        <v>2008</v>
      </c>
      <c r="C1115" t="s">
        <v>363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435</v>
      </c>
      <c r="B1116">
        <v>2007</v>
      </c>
      <c r="C1116" t="s">
        <v>363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435</v>
      </c>
      <c r="B1117">
        <v>2006</v>
      </c>
      <c r="C1117" t="s">
        <v>363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435</v>
      </c>
      <c r="B1118">
        <v>2005</v>
      </c>
      <c r="C1118" t="s">
        <v>363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435</v>
      </c>
      <c r="B1119">
        <v>2004</v>
      </c>
      <c r="C1119" t="s">
        <v>363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435</v>
      </c>
      <c r="B1120">
        <v>2003</v>
      </c>
      <c r="C1120" t="s">
        <v>363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435</v>
      </c>
      <c r="B1121">
        <v>2002</v>
      </c>
      <c r="C1121" t="s">
        <v>363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435</v>
      </c>
      <c r="B1122">
        <v>2001</v>
      </c>
      <c r="C1122" t="s">
        <v>363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435</v>
      </c>
      <c r="B1123">
        <v>2000</v>
      </c>
      <c r="C1123" t="s">
        <v>363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436</v>
      </c>
      <c r="B1124">
        <v>2015</v>
      </c>
      <c r="C1124" t="s">
        <v>363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436</v>
      </c>
      <c r="B1125">
        <v>2014</v>
      </c>
      <c r="C1125" t="s">
        <v>363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436</v>
      </c>
      <c r="B1126">
        <v>2013</v>
      </c>
      <c r="C1126" t="s">
        <v>363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436</v>
      </c>
      <c r="B1127">
        <v>2012</v>
      </c>
      <c r="C1127" t="s">
        <v>363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436</v>
      </c>
      <c r="B1128">
        <v>2011</v>
      </c>
      <c r="C1128" t="s">
        <v>363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436</v>
      </c>
      <c r="B1129">
        <v>2010</v>
      </c>
      <c r="C1129" t="s">
        <v>363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436</v>
      </c>
      <c r="B1130">
        <v>2009</v>
      </c>
      <c r="C1130" t="s">
        <v>363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436</v>
      </c>
      <c r="B1131">
        <v>2008</v>
      </c>
      <c r="C1131" t="s">
        <v>363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436</v>
      </c>
      <c r="B1132">
        <v>2007</v>
      </c>
      <c r="C1132" t="s">
        <v>363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436</v>
      </c>
      <c r="B1133">
        <v>2006</v>
      </c>
      <c r="C1133" t="s">
        <v>363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436</v>
      </c>
      <c r="B1134">
        <v>2005</v>
      </c>
      <c r="C1134" t="s">
        <v>363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436</v>
      </c>
      <c r="B1135">
        <v>2004</v>
      </c>
      <c r="C1135" t="s">
        <v>363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436</v>
      </c>
      <c r="B1136">
        <v>2003</v>
      </c>
      <c r="C1136" t="s">
        <v>363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436</v>
      </c>
      <c r="B1137">
        <v>2002</v>
      </c>
      <c r="C1137" t="s">
        <v>363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436</v>
      </c>
      <c r="B1138">
        <v>2001</v>
      </c>
      <c r="C1138" t="s">
        <v>363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436</v>
      </c>
      <c r="B1139">
        <v>2000</v>
      </c>
      <c r="C1139" t="s">
        <v>363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437</v>
      </c>
      <c r="B1140">
        <v>2015</v>
      </c>
      <c r="C1140" t="s">
        <v>363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437</v>
      </c>
      <c r="B1141">
        <v>2014</v>
      </c>
      <c r="C1141" t="s">
        <v>363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437</v>
      </c>
      <c r="B1142">
        <v>2013</v>
      </c>
      <c r="C1142" t="s">
        <v>363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437</v>
      </c>
      <c r="B1143">
        <v>2012</v>
      </c>
      <c r="C1143" t="s">
        <v>363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437</v>
      </c>
      <c r="B1144">
        <v>2011</v>
      </c>
      <c r="C1144" t="s">
        <v>363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437</v>
      </c>
      <c r="B1145">
        <v>2010</v>
      </c>
      <c r="C1145" t="s">
        <v>363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437</v>
      </c>
      <c r="B1146">
        <v>2009</v>
      </c>
      <c r="C1146" t="s">
        <v>363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437</v>
      </c>
      <c r="B1147">
        <v>2008</v>
      </c>
      <c r="C1147" t="s">
        <v>363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437</v>
      </c>
      <c r="B1148">
        <v>2007</v>
      </c>
      <c r="C1148" t="s">
        <v>363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437</v>
      </c>
      <c r="B1149">
        <v>2006</v>
      </c>
      <c r="C1149" t="s">
        <v>363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437</v>
      </c>
      <c r="B1150">
        <v>2005</v>
      </c>
      <c r="C1150" t="s">
        <v>363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437</v>
      </c>
      <c r="B1151">
        <v>2004</v>
      </c>
      <c r="C1151" t="s">
        <v>363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437</v>
      </c>
      <c r="B1152">
        <v>2003</v>
      </c>
      <c r="C1152" t="s">
        <v>363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437</v>
      </c>
      <c r="B1153">
        <v>2002</v>
      </c>
      <c r="C1153" t="s">
        <v>363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437</v>
      </c>
      <c r="B1154">
        <v>2001</v>
      </c>
      <c r="C1154" t="s">
        <v>363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437</v>
      </c>
      <c r="B1155">
        <v>2000</v>
      </c>
      <c r="C1155" t="s">
        <v>363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438</v>
      </c>
      <c r="B1156">
        <v>2015</v>
      </c>
      <c r="C1156" t="s">
        <v>371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438</v>
      </c>
      <c r="B1157">
        <v>2014</v>
      </c>
      <c r="C1157" t="s">
        <v>371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438</v>
      </c>
      <c r="B1158">
        <v>2013</v>
      </c>
      <c r="C1158" t="s">
        <v>371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438</v>
      </c>
      <c r="B1159">
        <v>2012</v>
      </c>
      <c r="C1159" t="s">
        <v>371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438</v>
      </c>
      <c r="B1160">
        <v>2011</v>
      </c>
      <c r="C1160" t="s">
        <v>371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438</v>
      </c>
      <c r="B1161">
        <v>2010</v>
      </c>
      <c r="C1161" t="s">
        <v>371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438</v>
      </c>
      <c r="B1162">
        <v>2009</v>
      </c>
      <c r="C1162" t="s">
        <v>371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438</v>
      </c>
      <c r="B1163">
        <v>2008</v>
      </c>
      <c r="C1163" t="s">
        <v>371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438</v>
      </c>
      <c r="B1164">
        <v>2007</v>
      </c>
      <c r="C1164" t="s">
        <v>371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438</v>
      </c>
      <c r="B1165">
        <v>2006</v>
      </c>
      <c r="C1165" t="s">
        <v>371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438</v>
      </c>
      <c r="B1166">
        <v>2005</v>
      </c>
      <c r="C1166" t="s">
        <v>371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438</v>
      </c>
      <c r="B1167">
        <v>2004</v>
      </c>
      <c r="C1167" t="s">
        <v>371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438</v>
      </c>
      <c r="B1168">
        <v>2003</v>
      </c>
      <c r="C1168" t="s">
        <v>371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438</v>
      </c>
      <c r="B1169">
        <v>2002</v>
      </c>
      <c r="C1169" t="s">
        <v>371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438</v>
      </c>
      <c r="B1170">
        <v>2001</v>
      </c>
      <c r="C1170" t="s">
        <v>371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438</v>
      </c>
      <c r="B1171">
        <v>2000</v>
      </c>
      <c r="C1171" t="s">
        <v>371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439</v>
      </c>
      <c r="B1172">
        <v>2015</v>
      </c>
      <c r="C1172" t="s">
        <v>371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439</v>
      </c>
      <c r="B1173">
        <v>2014</v>
      </c>
      <c r="C1173" t="s">
        <v>371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439</v>
      </c>
      <c r="B1174">
        <v>2013</v>
      </c>
      <c r="C1174" t="s">
        <v>371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439</v>
      </c>
      <c r="B1175">
        <v>2012</v>
      </c>
      <c r="C1175" t="s">
        <v>371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439</v>
      </c>
      <c r="B1176">
        <v>2011</v>
      </c>
      <c r="C1176" t="s">
        <v>371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439</v>
      </c>
      <c r="B1177">
        <v>2010</v>
      </c>
      <c r="C1177" t="s">
        <v>371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439</v>
      </c>
      <c r="B1178">
        <v>2009</v>
      </c>
      <c r="C1178" t="s">
        <v>371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439</v>
      </c>
      <c r="B1179">
        <v>2008</v>
      </c>
      <c r="C1179" t="s">
        <v>371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439</v>
      </c>
      <c r="B1180">
        <v>2007</v>
      </c>
      <c r="C1180" t="s">
        <v>371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439</v>
      </c>
      <c r="B1181">
        <v>2006</v>
      </c>
      <c r="C1181" t="s">
        <v>371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439</v>
      </c>
      <c r="B1182">
        <v>2005</v>
      </c>
      <c r="C1182" t="s">
        <v>371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439</v>
      </c>
      <c r="B1183">
        <v>2004</v>
      </c>
      <c r="C1183" t="s">
        <v>371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439</v>
      </c>
      <c r="B1184">
        <v>2003</v>
      </c>
      <c r="C1184" t="s">
        <v>371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439</v>
      </c>
      <c r="B1185">
        <v>2002</v>
      </c>
      <c r="C1185" t="s">
        <v>371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439</v>
      </c>
      <c r="B1186">
        <v>2001</v>
      </c>
      <c r="C1186" t="s">
        <v>371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439</v>
      </c>
      <c r="B1187">
        <v>2000</v>
      </c>
      <c r="C1187" t="s">
        <v>371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440</v>
      </c>
      <c r="B1188">
        <v>2015</v>
      </c>
      <c r="C1188" t="s">
        <v>363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440</v>
      </c>
      <c r="B1189">
        <v>2014</v>
      </c>
      <c r="C1189" t="s">
        <v>363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440</v>
      </c>
      <c r="B1190">
        <v>2013</v>
      </c>
      <c r="C1190" t="s">
        <v>363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440</v>
      </c>
      <c r="B1191">
        <v>2012</v>
      </c>
      <c r="C1191" t="s">
        <v>363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440</v>
      </c>
      <c r="B1192">
        <v>2011</v>
      </c>
      <c r="C1192" t="s">
        <v>363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440</v>
      </c>
      <c r="B1193">
        <v>2010</v>
      </c>
      <c r="C1193" t="s">
        <v>363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440</v>
      </c>
      <c r="B1194">
        <v>2009</v>
      </c>
      <c r="C1194" t="s">
        <v>363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440</v>
      </c>
      <c r="B1195">
        <v>2008</v>
      </c>
      <c r="C1195" t="s">
        <v>363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440</v>
      </c>
      <c r="B1196">
        <v>2007</v>
      </c>
      <c r="C1196" t="s">
        <v>363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440</v>
      </c>
      <c r="B1197">
        <v>2006</v>
      </c>
      <c r="C1197" t="s">
        <v>363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440</v>
      </c>
      <c r="B1198">
        <v>2005</v>
      </c>
      <c r="C1198" t="s">
        <v>363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440</v>
      </c>
      <c r="B1199">
        <v>2004</v>
      </c>
      <c r="C1199" t="s">
        <v>363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440</v>
      </c>
      <c r="B1200">
        <v>2003</v>
      </c>
      <c r="C1200" t="s">
        <v>363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440</v>
      </c>
      <c r="B1201">
        <v>2002</v>
      </c>
      <c r="C1201" t="s">
        <v>363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440</v>
      </c>
      <c r="B1202">
        <v>2001</v>
      </c>
      <c r="C1202" t="s">
        <v>363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440</v>
      </c>
      <c r="B1203">
        <v>2000</v>
      </c>
      <c r="C1203" t="s">
        <v>363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441</v>
      </c>
      <c r="B1204">
        <v>2015</v>
      </c>
      <c r="C1204" t="s">
        <v>363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441</v>
      </c>
      <c r="B1205">
        <v>2014</v>
      </c>
      <c r="C1205" t="s">
        <v>363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441</v>
      </c>
      <c r="B1206">
        <v>2013</v>
      </c>
      <c r="C1206" t="s">
        <v>363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441</v>
      </c>
      <c r="B1207">
        <v>2012</v>
      </c>
      <c r="C1207" t="s">
        <v>363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441</v>
      </c>
      <c r="B1208">
        <v>2011</v>
      </c>
      <c r="C1208" t="s">
        <v>363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441</v>
      </c>
      <c r="B1209">
        <v>2010</v>
      </c>
      <c r="C1209" t="s">
        <v>363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441</v>
      </c>
      <c r="B1210">
        <v>2009</v>
      </c>
      <c r="C1210" t="s">
        <v>363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441</v>
      </c>
      <c r="B1211">
        <v>2008</v>
      </c>
      <c r="C1211" t="s">
        <v>363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441</v>
      </c>
      <c r="B1212">
        <v>2007</v>
      </c>
      <c r="C1212" t="s">
        <v>363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441</v>
      </c>
      <c r="B1213">
        <v>2006</v>
      </c>
      <c r="C1213" t="s">
        <v>363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441</v>
      </c>
      <c r="B1214">
        <v>2005</v>
      </c>
      <c r="C1214" t="s">
        <v>363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441</v>
      </c>
      <c r="B1215">
        <v>2004</v>
      </c>
      <c r="C1215" t="s">
        <v>363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441</v>
      </c>
      <c r="B1216">
        <v>2003</v>
      </c>
      <c r="C1216" t="s">
        <v>363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441</v>
      </c>
      <c r="B1217">
        <v>2002</v>
      </c>
      <c r="C1217" t="s">
        <v>363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441</v>
      </c>
      <c r="B1218">
        <v>2001</v>
      </c>
      <c r="C1218" t="s">
        <v>363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441</v>
      </c>
      <c r="B1219">
        <v>2000</v>
      </c>
      <c r="C1219" t="s">
        <v>363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442</v>
      </c>
      <c r="B1220">
        <v>2015</v>
      </c>
      <c r="C1220" t="s">
        <v>363</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442</v>
      </c>
      <c r="B1221">
        <v>2014</v>
      </c>
      <c r="C1221" t="s">
        <v>363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442</v>
      </c>
      <c r="B1222">
        <v>2013</v>
      </c>
      <c r="C1222" t="s">
        <v>363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442</v>
      </c>
      <c r="B1223">
        <v>2012</v>
      </c>
      <c r="C1223" t="s">
        <v>363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442</v>
      </c>
      <c r="B1224">
        <v>2011</v>
      </c>
      <c r="C1224" t="s">
        <v>363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442</v>
      </c>
      <c r="B1225">
        <v>2010</v>
      </c>
      <c r="C1225" t="s">
        <v>363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442</v>
      </c>
      <c r="B1226">
        <v>2009</v>
      </c>
      <c r="C1226" t="s">
        <v>363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442</v>
      </c>
      <c r="B1227">
        <v>2008</v>
      </c>
      <c r="C1227" t="s">
        <v>363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442</v>
      </c>
      <c r="B1228">
        <v>2007</v>
      </c>
      <c r="C1228" t="s">
        <v>363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442</v>
      </c>
      <c r="B1229">
        <v>2006</v>
      </c>
      <c r="C1229" t="s">
        <v>363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442</v>
      </c>
      <c r="B1230">
        <v>2005</v>
      </c>
      <c r="C1230" t="s">
        <v>363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442</v>
      </c>
      <c r="B1231">
        <v>2004</v>
      </c>
      <c r="C1231" t="s">
        <v>363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442</v>
      </c>
      <c r="B1232">
        <v>2003</v>
      </c>
      <c r="C1232" t="s">
        <v>363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442</v>
      </c>
      <c r="B1233">
        <v>2002</v>
      </c>
      <c r="C1233" t="s">
        <v>363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442</v>
      </c>
      <c r="B1234">
        <v>2001</v>
      </c>
      <c r="C1234" t="s">
        <v>363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442</v>
      </c>
      <c r="B1235">
        <v>2000</v>
      </c>
      <c r="C1235" t="s">
        <v>363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443</v>
      </c>
      <c r="B1236">
        <v>2015</v>
      </c>
      <c r="C1236" t="s">
        <v>363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443</v>
      </c>
      <c r="B1237">
        <v>2014</v>
      </c>
      <c r="C1237" t="s">
        <v>363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443</v>
      </c>
      <c r="B1238">
        <v>2013</v>
      </c>
      <c r="C1238" t="s">
        <v>363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443</v>
      </c>
      <c r="B1239">
        <v>2012</v>
      </c>
      <c r="C1239" t="s">
        <v>363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443</v>
      </c>
      <c r="B1240">
        <v>2011</v>
      </c>
      <c r="C1240" t="s">
        <v>363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443</v>
      </c>
      <c r="B1241">
        <v>2010</v>
      </c>
      <c r="C1241" t="s">
        <v>363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443</v>
      </c>
      <c r="B1242">
        <v>2009</v>
      </c>
      <c r="C1242" t="s">
        <v>363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443</v>
      </c>
      <c r="B1243">
        <v>2008</v>
      </c>
      <c r="C1243" t="s">
        <v>363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443</v>
      </c>
      <c r="B1244">
        <v>2007</v>
      </c>
      <c r="C1244" t="s">
        <v>363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443</v>
      </c>
      <c r="B1245">
        <v>2006</v>
      </c>
      <c r="C1245" t="s">
        <v>363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443</v>
      </c>
      <c r="B1246">
        <v>2005</v>
      </c>
      <c r="C1246" t="s">
        <v>363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443</v>
      </c>
      <c r="B1247">
        <v>2004</v>
      </c>
      <c r="C1247" t="s">
        <v>363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443</v>
      </c>
      <c r="B1248">
        <v>2003</v>
      </c>
      <c r="C1248" t="s">
        <v>363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443</v>
      </c>
      <c r="B1249">
        <v>2002</v>
      </c>
      <c r="C1249" t="s">
        <v>363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443</v>
      </c>
      <c r="B1250">
        <v>2001</v>
      </c>
      <c r="C1250" t="s">
        <v>363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443</v>
      </c>
      <c r="B1251">
        <v>2000</v>
      </c>
      <c r="C1251" t="s">
        <v>363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444</v>
      </c>
      <c r="B1252">
        <v>2015</v>
      </c>
      <c r="C1252" t="s">
        <v>371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444</v>
      </c>
      <c r="B1253">
        <v>2014</v>
      </c>
      <c r="C1253" t="s">
        <v>371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444</v>
      </c>
      <c r="B1254">
        <v>2013</v>
      </c>
      <c r="C1254" t="s">
        <v>371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444</v>
      </c>
      <c r="B1255">
        <v>2012</v>
      </c>
      <c r="C1255" t="s">
        <v>371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444</v>
      </c>
      <c r="B1256">
        <v>2011</v>
      </c>
      <c r="C1256" t="s">
        <v>371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444</v>
      </c>
      <c r="B1257">
        <v>2010</v>
      </c>
      <c r="C1257" t="s">
        <v>371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444</v>
      </c>
      <c r="B1258">
        <v>2009</v>
      </c>
      <c r="C1258" t="s">
        <v>371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444</v>
      </c>
      <c r="B1259">
        <v>2008</v>
      </c>
      <c r="C1259" t="s">
        <v>371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444</v>
      </c>
      <c r="B1260">
        <v>2007</v>
      </c>
      <c r="C1260" t="s">
        <v>371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444</v>
      </c>
      <c r="B1261">
        <v>2006</v>
      </c>
      <c r="C1261" t="s">
        <v>371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444</v>
      </c>
      <c r="B1262">
        <v>2005</v>
      </c>
      <c r="C1262" t="s">
        <v>371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444</v>
      </c>
      <c r="B1263">
        <v>2004</v>
      </c>
      <c r="C1263" t="s">
        <v>371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444</v>
      </c>
      <c r="B1264">
        <v>2003</v>
      </c>
      <c r="C1264" t="s">
        <v>371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444</v>
      </c>
      <c r="B1265">
        <v>2002</v>
      </c>
      <c r="C1265" t="s">
        <v>371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444</v>
      </c>
      <c r="B1266">
        <v>2001</v>
      </c>
      <c r="C1266" t="s">
        <v>371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444</v>
      </c>
      <c r="B1267">
        <v>2000</v>
      </c>
      <c r="C1267" t="s">
        <v>371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445</v>
      </c>
      <c r="B1268">
        <v>2015</v>
      </c>
      <c r="C1268" t="s">
        <v>363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445</v>
      </c>
      <c r="B1269">
        <v>2014</v>
      </c>
      <c r="C1269" t="s">
        <v>363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445</v>
      </c>
      <c r="B1270">
        <v>2013</v>
      </c>
      <c r="C1270" t="s">
        <v>363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445</v>
      </c>
      <c r="B1271">
        <v>2012</v>
      </c>
      <c r="C1271" t="s">
        <v>363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445</v>
      </c>
      <c r="B1272">
        <v>2011</v>
      </c>
      <c r="C1272" t="s">
        <v>363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445</v>
      </c>
      <c r="B1273">
        <v>2010</v>
      </c>
      <c r="C1273" t="s">
        <v>363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445</v>
      </c>
      <c r="B1274">
        <v>2009</v>
      </c>
      <c r="C1274" t="s">
        <v>363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445</v>
      </c>
      <c r="B1275">
        <v>2008</v>
      </c>
      <c r="C1275" t="s">
        <v>363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445</v>
      </c>
      <c r="B1276">
        <v>2007</v>
      </c>
      <c r="C1276" t="s">
        <v>363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445</v>
      </c>
      <c r="B1277">
        <v>2006</v>
      </c>
      <c r="C1277" t="s">
        <v>363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445</v>
      </c>
      <c r="B1278">
        <v>2005</v>
      </c>
      <c r="C1278" t="s">
        <v>363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445</v>
      </c>
      <c r="B1279">
        <v>2004</v>
      </c>
      <c r="C1279" t="s">
        <v>363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445</v>
      </c>
      <c r="B1280">
        <v>2003</v>
      </c>
      <c r="C1280" t="s">
        <v>363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445</v>
      </c>
      <c r="B1281">
        <v>2002</v>
      </c>
      <c r="C1281" t="s">
        <v>363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445</v>
      </c>
      <c r="B1282">
        <v>2001</v>
      </c>
      <c r="C1282" t="s">
        <v>363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445</v>
      </c>
      <c r="B1283">
        <v>2000</v>
      </c>
      <c r="C1283" t="s">
        <v>363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446</v>
      </c>
      <c r="B1284">
        <v>2015</v>
      </c>
      <c r="C1284" t="s">
        <v>371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446</v>
      </c>
      <c r="B1285">
        <v>2014</v>
      </c>
      <c r="C1285" t="s">
        <v>371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446</v>
      </c>
      <c r="B1286">
        <v>2013</v>
      </c>
      <c r="C1286" t="s">
        <v>371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446</v>
      </c>
      <c r="B1287">
        <v>2012</v>
      </c>
      <c r="C1287" t="s">
        <v>371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446</v>
      </c>
      <c r="B1288">
        <v>2011</v>
      </c>
      <c r="C1288" t="s">
        <v>371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446</v>
      </c>
      <c r="B1289">
        <v>2010</v>
      </c>
      <c r="C1289" t="s">
        <v>371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446</v>
      </c>
      <c r="B1290">
        <v>2009</v>
      </c>
      <c r="C1290" t="s">
        <v>371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446</v>
      </c>
      <c r="B1291">
        <v>2008</v>
      </c>
      <c r="C1291" t="s">
        <v>371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446</v>
      </c>
      <c r="B1292">
        <v>2007</v>
      </c>
      <c r="C1292" t="s">
        <v>371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446</v>
      </c>
      <c r="B1293">
        <v>2006</v>
      </c>
      <c r="C1293" t="s">
        <v>371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446</v>
      </c>
      <c r="B1294">
        <v>2005</v>
      </c>
      <c r="C1294" t="s">
        <v>371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446</v>
      </c>
      <c r="B1295">
        <v>2004</v>
      </c>
      <c r="C1295" t="s">
        <v>371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446</v>
      </c>
      <c r="B1296">
        <v>2003</v>
      </c>
      <c r="C1296" t="s">
        <v>371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446</v>
      </c>
      <c r="B1297">
        <v>2002</v>
      </c>
      <c r="C1297" t="s">
        <v>371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446</v>
      </c>
      <c r="B1298">
        <v>2001</v>
      </c>
      <c r="C1298" t="s">
        <v>371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446</v>
      </c>
      <c r="B1299">
        <v>2000</v>
      </c>
      <c r="C1299" t="s">
        <v>371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447</v>
      </c>
      <c r="B1300">
        <v>2015</v>
      </c>
      <c r="C1300" t="s">
        <v>363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447</v>
      </c>
      <c r="B1301">
        <v>2014</v>
      </c>
      <c r="C1301" t="s">
        <v>363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447</v>
      </c>
      <c r="B1302">
        <v>2013</v>
      </c>
      <c r="C1302" t="s">
        <v>363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447</v>
      </c>
      <c r="B1303">
        <v>2012</v>
      </c>
      <c r="C1303" t="s">
        <v>363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447</v>
      </c>
      <c r="B1304">
        <v>2011</v>
      </c>
      <c r="C1304" t="s">
        <v>363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447</v>
      </c>
      <c r="B1305">
        <v>2010</v>
      </c>
      <c r="C1305" t="s">
        <v>363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447</v>
      </c>
      <c r="B1306">
        <v>2009</v>
      </c>
      <c r="C1306" t="s">
        <v>363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447</v>
      </c>
      <c r="B1307">
        <v>2008</v>
      </c>
      <c r="C1307" t="s">
        <v>363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447</v>
      </c>
      <c r="B1308">
        <v>2007</v>
      </c>
      <c r="C1308" t="s">
        <v>363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447</v>
      </c>
      <c r="B1309">
        <v>2006</v>
      </c>
      <c r="C1309" t="s">
        <v>363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447</v>
      </c>
      <c r="B1310">
        <v>2005</v>
      </c>
      <c r="C1310" t="s">
        <v>363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447</v>
      </c>
      <c r="B1311">
        <v>2004</v>
      </c>
      <c r="C1311" t="s">
        <v>363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447</v>
      </c>
      <c r="B1312">
        <v>2003</v>
      </c>
      <c r="C1312" t="s">
        <v>363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447</v>
      </c>
      <c r="B1313">
        <v>2002</v>
      </c>
      <c r="C1313" t="s">
        <v>363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447</v>
      </c>
      <c r="B1314">
        <v>2001</v>
      </c>
      <c r="C1314" t="s">
        <v>363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447</v>
      </c>
      <c r="B1315">
        <v>2000</v>
      </c>
      <c r="C1315" t="s">
        <v>363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448</v>
      </c>
      <c r="B1316">
        <v>2015</v>
      </c>
      <c r="C1316" t="s">
        <v>371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448</v>
      </c>
      <c r="B1317">
        <v>2014</v>
      </c>
      <c r="C1317" t="s">
        <v>371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448</v>
      </c>
      <c r="B1318">
        <v>2013</v>
      </c>
      <c r="C1318" t="s">
        <v>371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448</v>
      </c>
      <c r="B1319">
        <v>2012</v>
      </c>
      <c r="C1319" t="s">
        <v>371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448</v>
      </c>
      <c r="B1320">
        <v>2011</v>
      </c>
      <c r="C1320" t="s">
        <v>371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448</v>
      </c>
      <c r="B1321">
        <v>2010</v>
      </c>
      <c r="C1321" t="s">
        <v>371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448</v>
      </c>
      <c r="B1322">
        <v>2009</v>
      </c>
      <c r="C1322" t="s">
        <v>371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448</v>
      </c>
      <c r="B1323">
        <v>2008</v>
      </c>
      <c r="C1323" t="s">
        <v>371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448</v>
      </c>
      <c r="B1324">
        <v>2007</v>
      </c>
      <c r="C1324" t="s">
        <v>371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448</v>
      </c>
      <c r="B1325">
        <v>2006</v>
      </c>
      <c r="C1325" t="s">
        <v>371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448</v>
      </c>
      <c r="B1326">
        <v>2005</v>
      </c>
      <c r="C1326" t="s">
        <v>371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448</v>
      </c>
      <c r="B1327">
        <v>2004</v>
      </c>
      <c r="C1327" t="s">
        <v>371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448</v>
      </c>
      <c r="B1328">
        <v>2003</v>
      </c>
      <c r="C1328" t="s">
        <v>371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448</v>
      </c>
      <c r="B1329">
        <v>2002</v>
      </c>
      <c r="C1329" t="s">
        <v>371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448</v>
      </c>
      <c r="B1330">
        <v>2001</v>
      </c>
      <c r="C1330" t="s">
        <v>371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448</v>
      </c>
      <c r="B1331">
        <v>2000</v>
      </c>
      <c r="C1331" t="s">
        <v>371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449</v>
      </c>
      <c r="B1332">
        <v>2015</v>
      </c>
      <c r="C1332" t="s">
        <v>363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449</v>
      </c>
      <c r="B1333">
        <v>2014</v>
      </c>
      <c r="C1333" t="s">
        <v>363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449</v>
      </c>
      <c r="B1334">
        <v>2013</v>
      </c>
      <c r="C1334" t="s">
        <v>363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449</v>
      </c>
      <c r="B1335">
        <v>2012</v>
      </c>
      <c r="C1335" t="s">
        <v>363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449</v>
      </c>
      <c r="B1336">
        <v>2011</v>
      </c>
      <c r="C1336" t="s">
        <v>363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449</v>
      </c>
      <c r="B1337">
        <v>2010</v>
      </c>
      <c r="C1337" t="s">
        <v>363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449</v>
      </c>
      <c r="B1338">
        <v>2009</v>
      </c>
      <c r="C1338" t="s">
        <v>363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449</v>
      </c>
      <c r="B1339">
        <v>2008</v>
      </c>
      <c r="C1339" t="s">
        <v>363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449</v>
      </c>
      <c r="B1340">
        <v>2007</v>
      </c>
      <c r="C1340" t="s">
        <v>363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449</v>
      </c>
      <c r="B1341">
        <v>2006</v>
      </c>
      <c r="C1341" t="s">
        <v>363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449</v>
      </c>
      <c r="B1342">
        <v>2005</v>
      </c>
      <c r="C1342" t="s">
        <v>363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449</v>
      </c>
      <c r="B1343">
        <v>2004</v>
      </c>
      <c r="C1343" t="s">
        <v>363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449</v>
      </c>
      <c r="B1344">
        <v>2003</v>
      </c>
      <c r="C1344" t="s">
        <v>363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449</v>
      </c>
      <c r="B1345">
        <v>2002</v>
      </c>
      <c r="C1345" t="s">
        <v>363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449</v>
      </c>
      <c r="B1346">
        <v>2001</v>
      </c>
      <c r="C1346" t="s">
        <v>363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449</v>
      </c>
      <c r="B1347">
        <v>2000</v>
      </c>
      <c r="C1347" t="s">
        <v>363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450</v>
      </c>
      <c r="B1348">
        <v>2015</v>
      </c>
      <c r="C1348" t="s">
        <v>363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450</v>
      </c>
      <c r="B1349">
        <v>2014</v>
      </c>
      <c r="C1349" t="s">
        <v>363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450</v>
      </c>
      <c r="B1350">
        <v>2013</v>
      </c>
      <c r="C1350" t="s">
        <v>363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450</v>
      </c>
      <c r="B1351">
        <v>2012</v>
      </c>
      <c r="C1351" t="s">
        <v>363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450</v>
      </c>
      <c r="B1352">
        <v>2011</v>
      </c>
      <c r="C1352" t="s">
        <v>363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450</v>
      </c>
      <c r="B1353">
        <v>2010</v>
      </c>
      <c r="C1353" t="s">
        <v>363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450</v>
      </c>
      <c r="B1354">
        <v>2009</v>
      </c>
      <c r="C1354" t="s">
        <v>363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450</v>
      </c>
      <c r="B1355">
        <v>2008</v>
      </c>
      <c r="C1355" t="s">
        <v>363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450</v>
      </c>
      <c r="B1356">
        <v>2007</v>
      </c>
      <c r="C1356" t="s">
        <v>363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450</v>
      </c>
      <c r="B1357">
        <v>2006</v>
      </c>
      <c r="C1357" t="s">
        <v>363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450</v>
      </c>
      <c r="B1358">
        <v>2005</v>
      </c>
      <c r="C1358" t="s">
        <v>363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450</v>
      </c>
      <c r="B1359">
        <v>2004</v>
      </c>
      <c r="C1359" t="s">
        <v>363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450</v>
      </c>
      <c r="B1360">
        <v>2003</v>
      </c>
      <c r="C1360" t="s">
        <v>363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450</v>
      </c>
      <c r="B1361">
        <v>2002</v>
      </c>
      <c r="C1361" t="s">
        <v>363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450</v>
      </c>
      <c r="B1362">
        <v>2001</v>
      </c>
      <c r="C1362" t="s">
        <v>363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450</v>
      </c>
      <c r="B1363">
        <v>2000</v>
      </c>
      <c r="C1363" t="s">
        <v>363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451</v>
      </c>
      <c r="B1364">
        <v>2015</v>
      </c>
      <c r="C1364" t="s">
        <v>363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451</v>
      </c>
      <c r="B1365">
        <v>2014</v>
      </c>
      <c r="C1365" t="s">
        <v>363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451</v>
      </c>
      <c r="B1366">
        <v>2013</v>
      </c>
      <c r="C1366" t="s">
        <v>363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451</v>
      </c>
      <c r="B1367">
        <v>2012</v>
      </c>
      <c r="C1367" t="s">
        <v>363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451</v>
      </c>
      <c r="B1368">
        <v>2011</v>
      </c>
      <c r="C1368" t="s">
        <v>363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451</v>
      </c>
      <c r="B1369">
        <v>2010</v>
      </c>
      <c r="C1369" t="s">
        <v>363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451</v>
      </c>
      <c r="B1370">
        <v>2009</v>
      </c>
      <c r="C1370" t="s">
        <v>363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451</v>
      </c>
      <c r="B1371">
        <v>2008</v>
      </c>
      <c r="C1371" t="s">
        <v>363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451</v>
      </c>
      <c r="B1372">
        <v>2007</v>
      </c>
      <c r="C1372" t="s">
        <v>363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451</v>
      </c>
      <c r="B1373">
        <v>2006</v>
      </c>
      <c r="C1373" t="s">
        <v>363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451</v>
      </c>
      <c r="B1374">
        <v>2005</v>
      </c>
      <c r="C1374" t="s">
        <v>363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451</v>
      </c>
      <c r="B1375">
        <v>2004</v>
      </c>
      <c r="C1375" t="s">
        <v>363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451</v>
      </c>
      <c r="B1376">
        <v>2003</v>
      </c>
      <c r="C1376" t="s">
        <v>363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451</v>
      </c>
      <c r="B1377">
        <v>2002</v>
      </c>
      <c r="C1377" t="s">
        <v>363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451</v>
      </c>
      <c r="B1378">
        <v>2001</v>
      </c>
      <c r="C1378" t="s">
        <v>363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451</v>
      </c>
      <c r="B1379">
        <v>2000</v>
      </c>
      <c r="C1379" t="s">
        <v>363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452</v>
      </c>
      <c r="B1380">
        <v>2015</v>
      </c>
      <c r="C1380" t="s">
        <v>363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452</v>
      </c>
      <c r="B1381">
        <v>2014</v>
      </c>
      <c r="C1381" t="s">
        <v>363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452</v>
      </c>
      <c r="B1382">
        <v>2013</v>
      </c>
      <c r="C1382" t="s">
        <v>363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452</v>
      </c>
      <c r="B1383">
        <v>2012</v>
      </c>
      <c r="C1383" t="s">
        <v>363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452</v>
      </c>
      <c r="B1384">
        <v>2011</v>
      </c>
      <c r="C1384" t="s">
        <v>363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452</v>
      </c>
      <c r="B1385">
        <v>2010</v>
      </c>
      <c r="C1385" t="s">
        <v>363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452</v>
      </c>
      <c r="B1386">
        <v>2009</v>
      </c>
      <c r="C1386" t="s">
        <v>363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452</v>
      </c>
      <c r="B1387">
        <v>2008</v>
      </c>
      <c r="C1387" t="s">
        <v>363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452</v>
      </c>
      <c r="B1388">
        <v>2007</v>
      </c>
      <c r="C1388" t="s">
        <v>363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452</v>
      </c>
      <c r="B1389">
        <v>2006</v>
      </c>
      <c r="C1389" t="s">
        <v>363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452</v>
      </c>
      <c r="B1390">
        <v>2005</v>
      </c>
      <c r="C1390" t="s">
        <v>363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452</v>
      </c>
      <c r="B1391">
        <v>2004</v>
      </c>
      <c r="C1391" t="s">
        <v>363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452</v>
      </c>
      <c r="B1392">
        <v>2003</v>
      </c>
      <c r="C1392" t="s">
        <v>363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452</v>
      </c>
      <c r="B1393">
        <v>2002</v>
      </c>
      <c r="C1393" t="s">
        <v>363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452</v>
      </c>
      <c r="B1394">
        <v>2001</v>
      </c>
      <c r="C1394" t="s">
        <v>363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452</v>
      </c>
      <c r="B1395">
        <v>2000</v>
      </c>
      <c r="C1395" t="s">
        <v>363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453</v>
      </c>
      <c r="B1396">
        <v>2015</v>
      </c>
      <c r="C1396" t="s">
        <v>363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453</v>
      </c>
      <c r="B1397">
        <v>2014</v>
      </c>
      <c r="C1397" t="s">
        <v>363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453</v>
      </c>
      <c r="B1398">
        <v>2013</v>
      </c>
      <c r="C1398" t="s">
        <v>363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453</v>
      </c>
      <c r="B1399">
        <v>2012</v>
      </c>
      <c r="C1399" t="s">
        <v>363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453</v>
      </c>
      <c r="B1400">
        <v>2011</v>
      </c>
      <c r="C1400" t="s">
        <v>363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453</v>
      </c>
      <c r="B1401">
        <v>2010</v>
      </c>
      <c r="C1401" t="s">
        <v>363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453</v>
      </c>
      <c r="B1402">
        <v>2009</v>
      </c>
      <c r="C1402" t="s">
        <v>363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453</v>
      </c>
      <c r="B1403">
        <v>2008</v>
      </c>
      <c r="C1403" t="s">
        <v>363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453</v>
      </c>
      <c r="B1404">
        <v>2007</v>
      </c>
      <c r="C1404" t="s">
        <v>363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453</v>
      </c>
      <c r="B1405">
        <v>2006</v>
      </c>
      <c r="C1405" t="s">
        <v>363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453</v>
      </c>
      <c r="B1406">
        <v>2005</v>
      </c>
      <c r="C1406" t="s">
        <v>363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453</v>
      </c>
      <c r="B1407">
        <v>2004</v>
      </c>
      <c r="C1407" t="s">
        <v>363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453</v>
      </c>
      <c r="B1408">
        <v>2003</v>
      </c>
      <c r="C1408" t="s">
        <v>363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453</v>
      </c>
      <c r="B1409">
        <v>2002</v>
      </c>
      <c r="C1409" t="s">
        <v>363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453</v>
      </c>
      <c r="B1410">
        <v>2001</v>
      </c>
      <c r="C1410" t="s">
        <v>363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453</v>
      </c>
      <c r="B1411">
        <v>2000</v>
      </c>
      <c r="C1411" t="s">
        <v>363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454</v>
      </c>
      <c r="B1412">
        <v>2015</v>
      </c>
      <c r="C1412" t="s">
        <v>363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454</v>
      </c>
      <c r="B1413">
        <v>2014</v>
      </c>
      <c r="C1413" t="s">
        <v>363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454</v>
      </c>
      <c r="B1414">
        <v>2013</v>
      </c>
      <c r="C1414" t="s">
        <v>363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454</v>
      </c>
      <c r="B1415">
        <v>2012</v>
      </c>
      <c r="C1415" t="s">
        <v>363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454</v>
      </c>
      <c r="B1416">
        <v>2011</v>
      </c>
      <c r="C1416" t="s">
        <v>363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454</v>
      </c>
      <c r="B1417">
        <v>2010</v>
      </c>
      <c r="C1417" t="s">
        <v>363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454</v>
      </c>
      <c r="B1418">
        <v>2009</v>
      </c>
      <c r="C1418" t="s">
        <v>363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454</v>
      </c>
      <c r="B1419">
        <v>2008</v>
      </c>
      <c r="C1419" t="s">
        <v>363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454</v>
      </c>
      <c r="B1420">
        <v>2007</v>
      </c>
      <c r="C1420" t="s">
        <v>363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454</v>
      </c>
      <c r="B1421">
        <v>2006</v>
      </c>
      <c r="C1421" t="s">
        <v>363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454</v>
      </c>
      <c r="B1422">
        <v>2005</v>
      </c>
      <c r="C1422" t="s">
        <v>363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454</v>
      </c>
      <c r="B1423">
        <v>2004</v>
      </c>
      <c r="C1423" t="s">
        <v>363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454</v>
      </c>
      <c r="B1424">
        <v>2003</v>
      </c>
      <c r="C1424" t="s">
        <v>363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454</v>
      </c>
      <c r="B1425">
        <v>2002</v>
      </c>
      <c r="C1425" t="s">
        <v>363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454</v>
      </c>
      <c r="B1426">
        <v>2001</v>
      </c>
      <c r="C1426" t="s">
        <v>363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454</v>
      </c>
      <c r="B1427">
        <v>2000</v>
      </c>
      <c r="C1427" t="s">
        <v>363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455</v>
      </c>
      <c r="B1428">
        <v>2015</v>
      </c>
      <c r="C1428" t="s">
        <v>363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455</v>
      </c>
      <c r="B1429">
        <v>2014</v>
      </c>
      <c r="C1429" t="s">
        <v>363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455</v>
      </c>
      <c r="B1430">
        <v>2013</v>
      </c>
      <c r="C1430" t="s">
        <v>363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455</v>
      </c>
      <c r="B1431">
        <v>2012</v>
      </c>
      <c r="C1431" t="s">
        <v>363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455</v>
      </c>
      <c r="B1432">
        <v>2011</v>
      </c>
      <c r="C1432" t="s">
        <v>363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455</v>
      </c>
      <c r="B1433">
        <v>2010</v>
      </c>
      <c r="C1433" t="s">
        <v>363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455</v>
      </c>
      <c r="B1434">
        <v>2009</v>
      </c>
      <c r="C1434" t="s">
        <v>363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455</v>
      </c>
      <c r="B1435">
        <v>2008</v>
      </c>
      <c r="C1435" t="s">
        <v>363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455</v>
      </c>
      <c r="B1436">
        <v>2007</v>
      </c>
      <c r="C1436" t="s">
        <v>363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455</v>
      </c>
      <c r="B1437">
        <v>2006</v>
      </c>
      <c r="C1437" t="s">
        <v>363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455</v>
      </c>
      <c r="B1438">
        <v>2005</v>
      </c>
      <c r="C1438" t="s">
        <v>363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455</v>
      </c>
      <c r="B1439">
        <v>2004</v>
      </c>
      <c r="C1439" t="s">
        <v>363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455</v>
      </c>
      <c r="B1440">
        <v>2003</v>
      </c>
      <c r="C1440" t="s">
        <v>363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455</v>
      </c>
      <c r="B1441">
        <v>2002</v>
      </c>
      <c r="C1441" t="s">
        <v>363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455</v>
      </c>
      <c r="B1442">
        <v>2001</v>
      </c>
      <c r="C1442" t="s">
        <v>363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455</v>
      </c>
      <c r="B1443">
        <v>2000</v>
      </c>
      <c r="C1443" t="s">
        <v>363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456</v>
      </c>
      <c r="B1444">
        <v>2015</v>
      </c>
      <c r="C1444" t="s">
        <v>371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456</v>
      </c>
      <c r="B1445">
        <v>2014</v>
      </c>
      <c r="C1445" t="s">
        <v>371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456</v>
      </c>
      <c r="B1446">
        <v>2013</v>
      </c>
      <c r="C1446" t="s">
        <v>371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456</v>
      </c>
      <c r="B1447">
        <v>2012</v>
      </c>
      <c r="C1447" t="s">
        <v>371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456</v>
      </c>
      <c r="B1448">
        <v>2011</v>
      </c>
      <c r="C1448" t="s">
        <v>371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456</v>
      </c>
      <c r="B1449">
        <v>2010</v>
      </c>
      <c r="C1449" t="s">
        <v>371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456</v>
      </c>
      <c r="B1450">
        <v>2009</v>
      </c>
      <c r="C1450" t="s">
        <v>371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456</v>
      </c>
      <c r="B1451">
        <v>2008</v>
      </c>
      <c r="C1451" t="s">
        <v>371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456</v>
      </c>
      <c r="B1452">
        <v>2007</v>
      </c>
      <c r="C1452" t="s">
        <v>371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456</v>
      </c>
      <c r="B1453">
        <v>2006</v>
      </c>
      <c r="C1453" t="s">
        <v>371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456</v>
      </c>
      <c r="B1454">
        <v>2005</v>
      </c>
      <c r="C1454" t="s">
        <v>371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456</v>
      </c>
      <c r="B1455">
        <v>2004</v>
      </c>
      <c r="C1455" t="s">
        <v>371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456</v>
      </c>
      <c r="B1456">
        <v>2003</v>
      </c>
      <c r="C1456" t="s">
        <v>371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456</v>
      </c>
      <c r="B1457">
        <v>2002</v>
      </c>
      <c r="C1457" t="s">
        <v>371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456</v>
      </c>
      <c r="B1458">
        <v>2001</v>
      </c>
      <c r="C1458" t="s">
        <v>371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456</v>
      </c>
      <c r="B1459">
        <v>2000</v>
      </c>
      <c r="C1459" t="s">
        <v>371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457</v>
      </c>
      <c r="B1460">
        <v>2015</v>
      </c>
      <c r="C1460" t="s">
        <v>363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457</v>
      </c>
      <c r="B1461">
        <v>2014</v>
      </c>
      <c r="C1461" t="s">
        <v>363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457</v>
      </c>
      <c r="B1462">
        <v>2013</v>
      </c>
      <c r="C1462" t="s">
        <v>363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457</v>
      </c>
      <c r="B1463">
        <v>2012</v>
      </c>
      <c r="C1463" t="s">
        <v>363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457</v>
      </c>
      <c r="B1464">
        <v>2011</v>
      </c>
      <c r="C1464" t="s">
        <v>363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457</v>
      </c>
      <c r="B1465">
        <v>2010</v>
      </c>
      <c r="C1465" t="s">
        <v>363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457</v>
      </c>
      <c r="B1466">
        <v>2009</v>
      </c>
      <c r="C1466" t="s">
        <v>363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457</v>
      </c>
      <c r="B1467">
        <v>2008</v>
      </c>
      <c r="C1467" t="s">
        <v>363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457</v>
      </c>
      <c r="B1468">
        <v>2007</v>
      </c>
      <c r="C1468" t="s">
        <v>363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457</v>
      </c>
      <c r="B1469">
        <v>2006</v>
      </c>
      <c r="C1469" t="s">
        <v>363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457</v>
      </c>
      <c r="B1470">
        <v>2005</v>
      </c>
      <c r="C1470" t="s">
        <v>363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457</v>
      </c>
      <c r="B1471">
        <v>2004</v>
      </c>
      <c r="C1471" t="s">
        <v>363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457</v>
      </c>
      <c r="B1472">
        <v>2003</v>
      </c>
      <c r="C1472" t="s">
        <v>363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457</v>
      </c>
      <c r="B1473">
        <v>2002</v>
      </c>
      <c r="C1473" t="s">
        <v>363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457</v>
      </c>
      <c r="B1474">
        <v>2001</v>
      </c>
      <c r="C1474" t="s">
        <v>363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457</v>
      </c>
      <c r="B1475">
        <v>2000</v>
      </c>
      <c r="C1475" t="s">
        <v>363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458</v>
      </c>
      <c r="B1476">
        <v>2015</v>
      </c>
      <c r="C1476" t="s">
        <v>363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458</v>
      </c>
      <c r="B1477">
        <v>2014</v>
      </c>
      <c r="C1477" t="s">
        <v>363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458</v>
      </c>
      <c r="B1478">
        <v>2013</v>
      </c>
      <c r="C1478" t="s">
        <v>363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458</v>
      </c>
      <c r="B1479">
        <v>2012</v>
      </c>
      <c r="C1479" t="s">
        <v>363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458</v>
      </c>
      <c r="B1480">
        <v>2011</v>
      </c>
      <c r="C1480" t="s">
        <v>363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458</v>
      </c>
      <c r="B1481">
        <v>2010</v>
      </c>
      <c r="C1481" t="s">
        <v>363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458</v>
      </c>
      <c r="B1482">
        <v>2009</v>
      </c>
      <c r="C1482" t="s">
        <v>363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458</v>
      </c>
      <c r="B1483">
        <v>2008</v>
      </c>
      <c r="C1483" t="s">
        <v>363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458</v>
      </c>
      <c r="B1484">
        <v>2007</v>
      </c>
      <c r="C1484" t="s">
        <v>363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458</v>
      </c>
      <c r="B1485">
        <v>2006</v>
      </c>
      <c r="C1485" t="s">
        <v>363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458</v>
      </c>
      <c r="B1486">
        <v>2005</v>
      </c>
      <c r="C1486" t="s">
        <v>363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458</v>
      </c>
      <c r="B1487">
        <v>2004</v>
      </c>
      <c r="C1487" t="s">
        <v>363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458</v>
      </c>
      <c r="B1488">
        <v>2003</v>
      </c>
      <c r="C1488" t="s">
        <v>363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458</v>
      </c>
      <c r="B1489">
        <v>2002</v>
      </c>
      <c r="C1489" t="s">
        <v>363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458</v>
      </c>
      <c r="B1490">
        <v>2001</v>
      </c>
      <c r="C1490" t="s">
        <v>363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458</v>
      </c>
      <c r="B1491">
        <v>2000</v>
      </c>
      <c r="C1491" t="s">
        <v>363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459</v>
      </c>
      <c r="B1492">
        <v>2015</v>
      </c>
      <c r="C1492" t="s">
        <v>363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459</v>
      </c>
      <c r="B1493">
        <v>2014</v>
      </c>
      <c r="C1493" t="s">
        <v>363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459</v>
      </c>
      <c r="B1494">
        <v>2013</v>
      </c>
      <c r="C1494" t="s">
        <v>363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459</v>
      </c>
      <c r="B1495">
        <v>2012</v>
      </c>
      <c r="C1495" t="s">
        <v>363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459</v>
      </c>
      <c r="B1496">
        <v>2011</v>
      </c>
      <c r="C1496" t="s">
        <v>363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459</v>
      </c>
      <c r="B1497">
        <v>2010</v>
      </c>
      <c r="C1497" t="s">
        <v>363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459</v>
      </c>
      <c r="B1498">
        <v>2009</v>
      </c>
      <c r="C1498" t="s">
        <v>363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459</v>
      </c>
      <c r="B1499">
        <v>2008</v>
      </c>
      <c r="C1499" t="s">
        <v>363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459</v>
      </c>
      <c r="B1500">
        <v>2007</v>
      </c>
      <c r="C1500" t="s">
        <v>363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459</v>
      </c>
      <c r="B1501">
        <v>2006</v>
      </c>
      <c r="C1501" t="s">
        <v>363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459</v>
      </c>
      <c r="B1502">
        <v>2005</v>
      </c>
      <c r="C1502" t="s">
        <v>363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459</v>
      </c>
      <c r="B1503">
        <v>2004</v>
      </c>
      <c r="C1503" t="s">
        <v>363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459</v>
      </c>
      <c r="B1504">
        <v>2003</v>
      </c>
      <c r="C1504" t="s">
        <v>363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459</v>
      </c>
      <c r="B1505">
        <v>2002</v>
      </c>
      <c r="C1505" t="s">
        <v>363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459</v>
      </c>
      <c r="B1506">
        <v>2001</v>
      </c>
      <c r="C1506" t="s">
        <v>363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459</v>
      </c>
      <c r="B1507">
        <v>2000</v>
      </c>
      <c r="C1507" t="s">
        <v>363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460</v>
      </c>
      <c r="B1508">
        <v>2015</v>
      </c>
      <c r="C1508" t="s">
        <v>363</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460</v>
      </c>
      <c r="B1509">
        <v>2014</v>
      </c>
      <c r="C1509" t="s">
        <v>363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460</v>
      </c>
      <c r="B1510">
        <v>2013</v>
      </c>
      <c r="C1510" t="s">
        <v>363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460</v>
      </c>
      <c r="B1511">
        <v>2012</v>
      </c>
      <c r="C1511" t="s">
        <v>363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460</v>
      </c>
      <c r="B1512">
        <v>2011</v>
      </c>
      <c r="C1512" t="s">
        <v>363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460</v>
      </c>
      <c r="B1513">
        <v>2010</v>
      </c>
      <c r="C1513" t="s">
        <v>363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460</v>
      </c>
      <c r="B1514">
        <v>2009</v>
      </c>
      <c r="C1514" t="s">
        <v>363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460</v>
      </c>
      <c r="B1515">
        <v>2008</v>
      </c>
      <c r="C1515" t="s">
        <v>363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460</v>
      </c>
      <c r="B1516">
        <v>2007</v>
      </c>
      <c r="C1516" t="s">
        <v>363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460</v>
      </c>
      <c r="B1517">
        <v>2006</v>
      </c>
      <c r="C1517" t="s">
        <v>363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460</v>
      </c>
      <c r="B1518">
        <v>2005</v>
      </c>
      <c r="C1518" t="s">
        <v>363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460</v>
      </c>
      <c r="B1519">
        <v>2004</v>
      </c>
      <c r="C1519" t="s">
        <v>363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460</v>
      </c>
      <c r="B1520">
        <v>2003</v>
      </c>
      <c r="C1520" t="s">
        <v>363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460</v>
      </c>
      <c r="B1521">
        <v>2002</v>
      </c>
      <c r="C1521" t="s">
        <v>363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460</v>
      </c>
      <c r="B1522">
        <v>2001</v>
      </c>
      <c r="C1522" t="s">
        <v>363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460</v>
      </c>
      <c r="B1523">
        <v>2000</v>
      </c>
      <c r="C1523" t="s">
        <v>363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461</v>
      </c>
      <c r="B1524">
        <v>2015</v>
      </c>
      <c r="C1524" t="s">
        <v>371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461</v>
      </c>
      <c r="B1525">
        <v>2014</v>
      </c>
      <c r="C1525" t="s">
        <v>371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461</v>
      </c>
      <c r="B1526">
        <v>2013</v>
      </c>
      <c r="C1526" t="s">
        <v>371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461</v>
      </c>
      <c r="B1527">
        <v>2012</v>
      </c>
      <c r="C1527" t="s">
        <v>371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461</v>
      </c>
      <c r="B1528">
        <v>2011</v>
      </c>
      <c r="C1528" t="s">
        <v>371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461</v>
      </c>
      <c r="B1529">
        <v>2010</v>
      </c>
      <c r="C1529" t="s">
        <v>371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461</v>
      </c>
      <c r="B1530">
        <v>2009</v>
      </c>
      <c r="C1530" t="s">
        <v>371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461</v>
      </c>
      <c r="B1531">
        <v>2008</v>
      </c>
      <c r="C1531" t="s">
        <v>371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461</v>
      </c>
      <c r="B1532">
        <v>2007</v>
      </c>
      <c r="C1532" t="s">
        <v>371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461</v>
      </c>
      <c r="B1533">
        <v>2006</v>
      </c>
      <c r="C1533" t="s">
        <v>371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461</v>
      </c>
      <c r="B1534">
        <v>2005</v>
      </c>
      <c r="C1534" t="s">
        <v>371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461</v>
      </c>
      <c r="B1535">
        <v>2004</v>
      </c>
      <c r="C1535" t="s">
        <v>371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461</v>
      </c>
      <c r="B1536">
        <v>2003</v>
      </c>
      <c r="C1536" t="s">
        <v>371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461</v>
      </c>
      <c r="B1537">
        <v>2002</v>
      </c>
      <c r="C1537" t="s">
        <v>371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461</v>
      </c>
      <c r="B1538">
        <v>2001</v>
      </c>
      <c r="C1538" t="s">
        <v>371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461</v>
      </c>
      <c r="B1539">
        <v>2000</v>
      </c>
      <c r="C1539" t="s">
        <v>371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462</v>
      </c>
      <c r="B1540">
        <v>2015</v>
      </c>
      <c r="C1540" t="s">
        <v>371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462</v>
      </c>
      <c r="B1541">
        <v>2014</v>
      </c>
      <c r="C1541" t="s">
        <v>371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462</v>
      </c>
      <c r="B1542">
        <v>2013</v>
      </c>
      <c r="C1542" t="s">
        <v>371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462</v>
      </c>
      <c r="B1543">
        <v>2012</v>
      </c>
      <c r="C1543" t="s">
        <v>371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462</v>
      </c>
      <c r="B1544">
        <v>2011</v>
      </c>
      <c r="C1544" t="s">
        <v>371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462</v>
      </c>
      <c r="B1545">
        <v>2010</v>
      </c>
      <c r="C1545" t="s">
        <v>371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462</v>
      </c>
      <c r="B1546">
        <v>2009</v>
      </c>
      <c r="C1546" t="s">
        <v>371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462</v>
      </c>
      <c r="B1547">
        <v>2008</v>
      </c>
      <c r="C1547" t="s">
        <v>371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462</v>
      </c>
      <c r="B1548">
        <v>2007</v>
      </c>
      <c r="C1548" t="s">
        <v>371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462</v>
      </c>
      <c r="B1549">
        <v>2006</v>
      </c>
      <c r="C1549" t="s">
        <v>371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462</v>
      </c>
      <c r="B1550">
        <v>2005</v>
      </c>
      <c r="C1550" t="s">
        <v>371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462</v>
      </c>
      <c r="B1551">
        <v>2004</v>
      </c>
      <c r="C1551" t="s">
        <v>371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462</v>
      </c>
      <c r="B1552">
        <v>2003</v>
      </c>
      <c r="C1552" t="s">
        <v>371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462</v>
      </c>
      <c r="B1553">
        <v>2002</v>
      </c>
      <c r="C1553" t="s">
        <v>371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462</v>
      </c>
      <c r="B1554">
        <v>2001</v>
      </c>
      <c r="C1554" t="s">
        <v>371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462</v>
      </c>
      <c r="B1555">
        <v>2000</v>
      </c>
      <c r="C1555" t="s">
        <v>371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463</v>
      </c>
      <c r="B1556">
        <v>2015</v>
      </c>
      <c r="C1556" t="s">
        <v>363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463</v>
      </c>
      <c r="B1557">
        <v>2014</v>
      </c>
      <c r="C1557" t="s">
        <v>363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463</v>
      </c>
      <c r="B1558">
        <v>2013</v>
      </c>
      <c r="C1558" t="s">
        <v>363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463</v>
      </c>
      <c r="B1559">
        <v>2012</v>
      </c>
      <c r="C1559" t="s">
        <v>363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463</v>
      </c>
      <c r="B1560">
        <v>2011</v>
      </c>
      <c r="C1560" t="s">
        <v>363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463</v>
      </c>
      <c r="B1561">
        <v>2010</v>
      </c>
      <c r="C1561" t="s">
        <v>363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463</v>
      </c>
      <c r="B1562">
        <v>2009</v>
      </c>
      <c r="C1562" t="s">
        <v>363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463</v>
      </c>
      <c r="B1563">
        <v>2008</v>
      </c>
      <c r="C1563" t="s">
        <v>363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463</v>
      </c>
      <c r="B1564">
        <v>2007</v>
      </c>
      <c r="C1564" t="s">
        <v>363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463</v>
      </c>
      <c r="B1565">
        <v>2006</v>
      </c>
      <c r="C1565" t="s">
        <v>363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463</v>
      </c>
      <c r="B1566">
        <v>2005</v>
      </c>
      <c r="C1566" t="s">
        <v>363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463</v>
      </c>
      <c r="B1567">
        <v>2004</v>
      </c>
      <c r="C1567" t="s">
        <v>363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463</v>
      </c>
      <c r="B1568">
        <v>2003</v>
      </c>
      <c r="C1568" t="s">
        <v>363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463</v>
      </c>
      <c r="B1569">
        <v>2002</v>
      </c>
      <c r="C1569" t="s">
        <v>363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463</v>
      </c>
      <c r="B1570">
        <v>2001</v>
      </c>
      <c r="C1570" t="s">
        <v>363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463</v>
      </c>
      <c r="B1571">
        <v>2000</v>
      </c>
      <c r="C1571" t="s">
        <v>363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464</v>
      </c>
      <c r="B1572">
        <v>2015</v>
      </c>
      <c r="C1572" t="s">
        <v>363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464</v>
      </c>
      <c r="B1573">
        <v>2014</v>
      </c>
      <c r="C1573" t="s">
        <v>363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464</v>
      </c>
      <c r="B1574">
        <v>2013</v>
      </c>
      <c r="C1574" t="s">
        <v>363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464</v>
      </c>
      <c r="B1575">
        <v>2012</v>
      </c>
      <c r="C1575" t="s">
        <v>363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464</v>
      </c>
      <c r="B1576">
        <v>2011</v>
      </c>
      <c r="C1576" t="s">
        <v>363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464</v>
      </c>
      <c r="B1577">
        <v>2010</v>
      </c>
      <c r="C1577" t="s">
        <v>363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464</v>
      </c>
      <c r="B1578">
        <v>2009</v>
      </c>
      <c r="C1578" t="s">
        <v>363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464</v>
      </c>
      <c r="B1579">
        <v>2008</v>
      </c>
      <c r="C1579" t="s">
        <v>363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464</v>
      </c>
      <c r="B1580">
        <v>2007</v>
      </c>
      <c r="C1580" t="s">
        <v>363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464</v>
      </c>
      <c r="B1581">
        <v>2006</v>
      </c>
      <c r="C1581" t="s">
        <v>363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464</v>
      </c>
      <c r="B1582">
        <v>2005</v>
      </c>
      <c r="C1582" t="s">
        <v>363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464</v>
      </c>
      <c r="B1583">
        <v>2004</v>
      </c>
      <c r="C1583" t="s">
        <v>363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464</v>
      </c>
      <c r="B1584">
        <v>2003</v>
      </c>
      <c r="C1584" t="s">
        <v>363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464</v>
      </c>
      <c r="B1585">
        <v>2002</v>
      </c>
      <c r="C1585" t="s">
        <v>363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464</v>
      </c>
      <c r="B1586">
        <v>2001</v>
      </c>
      <c r="C1586" t="s">
        <v>363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464</v>
      </c>
      <c r="B1587">
        <v>2000</v>
      </c>
      <c r="C1587" t="s">
        <v>363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465</v>
      </c>
      <c r="B1588">
        <v>2015</v>
      </c>
      <c r="C1588" t="s">
        <v>363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465</v>
      </c>
      <c r="B1589">
        <v>2014</v>
      </c>
      <c r="C1589" t="s">
        <v>363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465</v>
      </c>
      <c r="B1590">
        <v>2013</v>
      </c>
      <c r="C1590" t="s">
        <v>363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465</v>
      </c>
      <c r="B1591">
        <v>2012</v>
      </c>
      <c r="C1591" t="s">
        <v>363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465</v>
      </c>
      <c r="B1592">
        <v>2011</v>
      </c>
      <c r="C1592" t="s">
        <v>363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465</v>
      </c>
      <c r="B1593">
        <v>2010</v>
      </c>
      <c r="C1593" t="s">
        <v>363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465</v>
      </c>
      <c r="B1594">
        <v>2009</v>
      </c>
      <c r="C1594" t="s">
        <v>363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465</v>
      </c>
      <c r="B1595">
        <v>2008</v>
      </c>
      <c r="C1595" t="s">
        <v>363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465</v>
      </c>
      <c r="B1596">
        <v>2007</v>
      </c>
      <c r="C1596" t="s">
        <v>363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465</v>
      </c>
      <c r="B1597">
        <v>2006</v>
      </c>
      <c r="C1597" t="s">
        <v>363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465</v>
      </c>
      <c r="B1598">
        <v>2005</v>
      </c>
      <c r="C1598" t="s">
        <v>363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465</v>
      </c>
      <c r="B1599">
        <v>2004</v>
      </c>
      <c r="C1599" t="s">
        <v>363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465</v>
      </c>
      <c r="B1600">
        <v>2003</v>
      </c>
      <c r="C1600" t="s">
        <v>363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465</v>
      </c>
      <c r="B1601">
        <v>2002</v>
      </c>
      <c r="C1601" t="s">
        <v>363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465</v>
      </c>
      <c r="B1602">
        <v>2001</v>
      </c>
      <c r="C1602" t="s">
        <v>363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465</v>
      </c>
      <c r="B1603">
        <v>2000</v>
      </c>
      <c r="C1603" t="s">
        <v>363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466</v>
      </c>
      <c r="B1604">
        <v>2015</v>
      </c>
      <c r="C1604" t="s">
        <v>363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466</v>
      </c>
      <c r="B1605">
        <v>2014</v>
      </c>
      <c r="C1605" t="s">
        <v>363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466</v>
      </c>
      <c r="B1606">
        <v>2013</v>
      </c>
      <c r="C1606" t="s">
        <v>363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466</v>
      </c>
      <c r="B1607">
        <v>2012</v>
      </c>
      <c r="C1607" t="s">
        <v>363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466</v>
      </c>
      <c r="B1608">
        <v>2011</v>
      </c>
      <c r="C1608" t="s">
        <v>363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466</v>
      </c>
      <c r="B1609">
        <v>2010</v>
      </c>
      <c r="C1609" t="s">
        <v>363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466</v>
      </c>
      <c r="B1610">
        <v>2009</v>
      </c>
      <c r="C1610" t="s">
        <v>363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466</v>
      </c>
      <c r="B1611">
        <v>2008</v>
      </c>
      <c r="C1611" t="s">
        <v>363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466</v>
      </c>
      <c r="B1612">
        <v>2007</v>
      </c>
      <c r="C1612" t="s">
        <v>363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466</v>
      </c>
      <c r="B1613">
        <v>2006</v>
      </c>
      <c r="C1613" t="s">
        <v>363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466</v>
      </c>
      <c r="B1614">
        <v>2005</v>
      </c>
      <c r="C1614" t="s">
        <v>363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466</v>
      </c>
      <c r="B1615">
        <v>2004</v>
      </c>
      <c r="C1615" t="s">
        <v>363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466</v>
      </c>
      <c r="B1616">
        <v>2003</v>
      </c>
      <c r="C1616" t="s">
        <v>363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466</v>
      </c>
      <c r="B1617">
        <v>2002</v>
      </c>
      <c r="C1617" t="s">
        <v>363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466</v>
      </c>
      <c r="B1618">
        <v>2001</v>
      </c>
      <c r="C1618" t="s">
        <v>363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466</v>
      </c>
      <c r="B1619">
        <v>2000</v>
      </c>
      <c r="C1619" t="s">
        <v>363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467</v>
      </c>
      <c r="B1620">
        <v>2015</v>
      </c>
      <c r="C1620" t="s">
        <v>363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467</v>
      </c>
      <c r="B1621">
        <v>2014</v>
      </c>
      <c r="C1621" t="s">
        <v>363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467</v>
      </c>
      <c r="B1622">
        <v>2013</v>
      </c>
      <c r="C1622" t="s">
        <v>363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467</v>
      </c>
      <c r="B1623">
        <v>2012</v>
      </c>
      <c r="C1623" t="s">
        <v>363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467</v>
      </c>
      <c r="B1624">
        <v>2011</v>
      </c>
      <c r="C1624" t="s">
        <v>363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467</v>
      </c>
      <c r="B1625">
        <v>2010</v>
      </c>
      <c r="C1625" t="s">
        <v>363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467</v>
      </c>
      <c r="B1626">
        <v>2009</v>
      </c>
      <c r="C1626" t="s">
        <v>363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467</v>
      </c>
      <c r="B1627">
        <v>2008</v>
      </c>
      <c r="C1627" t="s">
        <v>363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467</v>
      </c>
      <c r="B1628">
        <v>2007</v>
      </c>
      <c r="C1628" t="s">
        <v>363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467</v>
      </c>
      <c r="B1629">
        <v>2006</v>
      </c>
      <c r="C1629" t="s">
        <v>363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467</v>
      </c>
      <c r="B1630">
        <v>2005</v>
      </c>
      <c r="C1630" t="s">
        <v>363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467</v>
      </c>
      <c r="B1631">
        <v>2004</v>
      </c>
      <c r="C1631" t="s">
        <v>363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467</v>
      </c>
      <c r="B1632">
        <v>2003</v>
      </c>
      <c r="C1632" t="s">
        <v>363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467</v>
      </c>
      <c r="B1633">
        <v>2002</v>
      </c>
      <c r="C1633" t="s">
        <v>363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467</v>
      </c>
      <c r="B1634">
        <v>2001</v>
      </c>
      <c r="C1634" t="s">
        <v>363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467</v>
      </c>
      <c r="B1635">
        <v>2000</v>
      </c>
      <c r="C1635" t="s">
        <v>363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468</v>
      </c>
      <c r="B1636">
        <v>2015</v>
      </c>
      <c r="C1636" t="s">
        <v>371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468</v>
      </c>
      <c r="B1637">
        <v>2014</v>
      </c>
      <c r="C1637" t="s">
        <v>371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468</v>
      </c>
      <c r="B1638">
        <v>2013</v>
      </c>
      <c r="C1638" t="s">
        <v>371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468</v>
      </c>
      <c r="B1639">
        <v>2012</v>
      </c>
      <c r="C1639" t="s">
        <v>371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468</v>
      </c>
      <c r="B1640">
        <v>2011</v>
      </c>
      <c r="C1640" t="s">
        <v>371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468</v>
      </c>
      <c r="B1641">
        <v>2010</v>
      </c>
      <c r="C1641" t="s">
        <v>371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468</v>
      </c>
      <c r="B1642">
        <v>2009</v>
      </c>
      <c r="C1642" t="s">
        <v>371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468</v>
      </c>
      <c r="B1643">
        <v>2008</v>
      </c>
      <c r="C1643" t="s">
        <v>371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468</v>
      </c>
      <c r="B1644">
        <v>2007</v>
      </c>
      <c r="C1644" t="s">
        <v>371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468</v>
      </c>
      <c r="B1645">
        <v>2006</v>
      </c>
      <c r="C1645" t="s">
        <v>371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468</v>
      </c>
      <c r="B1646">
        <v>2005</v>
      </c>
      <c r="C1646" t="s">
        <v>371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468</v>
      </c>
      <c r="B1647">
        <v>2004</v>
      </c>
      <c r="C1647" t="s">
        <v>371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468</v>
      </c>
      <c r="B1648">
        <v>2003</v>
      </c>
      <c r="C1648" t="s">
        <v>371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468</v>
      </c>
      <c r="B1649">
        <v>2002</v>
      </c>
      <c r="C1649" t="s">
        <v>371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468</v>
      </c>
      <c r="B1650">
        <v>2001</v>
      </c>
      <c r="C1650" t="s">
        <v>371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468</v>
      </c>
      <c r="B1651">
        <v>2000</v>
      </c>
      <c r="C1651" t="s">
        <v>371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469</v>
      </c>
      <c r="B1652">
        <v>2013</v>
      </c>
      <c r="C1652" t="s">
        <v>363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470</v>
      </c>
      <c r="B1653">
        <v>2015</v>
      </c>
      <c r="C1653" t="s">
        <v>363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470</v>
      </c>
      <c r="B1654">
        <v>2014</v>
      </c>
      <c r="C1654" t="s">
        <v>363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470</v>
      </c>
      <c r="B1655">
        <v>2013</v>
      </c>
      <c r="C1655" t="s">
        <v>363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470</v>
      </c>
      <c r="B1656">
        <v>2012</v>
      </c>
      <c r="C1656" t="s">
        <v>363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470</v>
      </c>
      <c r="B1657">
        <v>2011</v>
      </c>
      <c r="C1657" t="s">
        <v>363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470</v>
      </c>
      <c r="B1658">
        <v>2010</v>
      </c>
      <c r="C1658" t="s">
        <v>363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470</v>
      </c>
      <c r="B1659">
        <v>2009</v>
      </c>
      <c r="C1659" t="s">
        <v>363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470</v>
      </c>
      <c r="B1660">
        <v>2008</v>
      </c>
      <c r="C1660" t="s">
        <v>363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470</v>
      </c>
      <c r="B1661">
        <v>2007</v>
      </c>
      <c r="C1661" t="s">
        <v>363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470</v>
      </c>
      <c r="B1662">
        <v>2006</v>
      </c>
      <c r="C1662" t="s">
        <v>363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470</v>
      </c>
      <c r="B1663">
        <v>2005</v>
      </c>
      <c r="C1663" t="s">
        <v>363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470</v>
      </c>
      <c r="B1664">
        <v>2004</v>
      </c>
      <c r="C1664" t="s">
        <v>363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470</v>
      </c>
      <c r="B1665">
        <v>2003</v>
      </c>
      <c r="C1665" t="s">
        <v>363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470</v>
      </c>
      <c r="B1666">
        <v>2002</v>
      </c>
      <c r="C1666" t="s">
        <v>363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470</v>
      </c>
      <c r="B1667">
        <v>2001</v>
      </c>
      <c r="C1667" t="s">
        <v>363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470</v>
      </c>
      <c r="B1668">
        <v>2000</v>
      </c>
      <c r="C1668" t="s">
        <v>363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471</v>
      </c>
      <c r="B1669">
        <v>2015</v>
      </c>
      <c r="C1669" t="s">
        <v>363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471</v>
      </c>
      <c r="B1670">
        <v>2014</v>
      </c>
      <c r="C1670" t="s">
        <v>363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471</v>
      </c>
      <c r="B1671">
        <v>2013</v>
      </c>
      <c r="C1671" t="s">
        <v>363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471</v>
      </c>
      <c r="B1672">
        <v>2012</v>
      </c>
      <c r="C1672" t="s">
        <v>363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471</v>
      </c>
      <c r="B1673">
        <v>2011</v>
      </c>
      <c r="C1673" t="s">
        <v>363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471</v>
      </c>
      <c r="B1674">
        <v>2010</v>
      </c>
      <c r="C1674" t="s">
        <v>363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471</v>
      </c>
      <c r="B1675">
        <v>2009</v>
      </c>
      <c r="C1675" t="s">
        <v>363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471</v>
      </c>
      <c r="B1676">
        <v>2008</v>
      </c>
      <c r="C1676" t="s">
        <v>363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471</v>
      </c>
      <c r="B1677">
        <v>2007</v>
      </c>
      <c r="C1677" t="s">
        <v>363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471</v>
      </c>
      <c r="B1678">
        <v>2006</v>
      </c>
      <c r="C1678" t="s">
        <v>363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471</v>
      </c>
      <c r="B1679">
        <v>2005</v>
      </c>
      <c r="C1679" t="s">
        <v>363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471</v>
      </c>
      <c r="B1680">
        <v>2004</v>
      </c>
      <c r="C1680" t="s">
        <v>363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471</v>
      </c>
      <c r="B1681">
        <v>2003</v>
      </c>
      <c r="C1681" t="s">
        <v>363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471</v>
      </c>
      <c r="B1682">
        <v>2002</v>
      </c>
      <c r="C1682" t="s">
        <v>363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471</v>
      </c>
      <c r="B1683">
        <v>2001</v>
      </c>
      <c r="C1683" t="s">
        <v>363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471</v>
      </c>
      <c r="B1684">
        <v>2000</v>
      </c>
      <c r="C1684" t="s">
        <v>363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472</v>
      </c>
      <c r="B1685">
        <v>2015</v>
      </c>
      <c r="C1685" t="s">
        <v>363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472</v>
      </c>
      <c r="B1686">
        <v>2014</v>
      </c>
      <c r="C1686" t="s">
        <v>363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472</v>
      </c>
      <c r="B1687">
        <v>2013</v>
      </c>
      <c r="C1687" t="s">
        <v>363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472</v>
      </c>
      <c r="B1688">
        <v>2012</v>
      </c>
      <c r="C1688" t="s">
        <v>363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472</v>
      </c>
      <c r="B1689">
        <v>2011</v>
      </c>
      <c r="C1689" t="s">
        <v>363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472</v>
      </c>
      <c r="B1690">
        <v>2010</v>
      </c>
      <c r="C1690" t="s">
        <v>363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472</v>
      </c>
      <c r="B1691">
        <v>2009</v>
      </c>
      <c r="C1691" t="s">
        <v>363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472</v>
      </c>
      <c r="B1692">
        <v>2008</v>
      </c>
      <c r="C1692" t="s">
        <v>363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472</v>
      </c>
      <c r="B1693">
        <v>2007</v>
      </c>
      <c r="C1693" t="s">
        <v>363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472</v>
      </c>
      <c r="B1694">
        <v>2006</v>
      </c>
      <c r="C1694" t="s">
        <v>363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472</v>
      </c>
      <c r="B1695">
        <v>2005</v>
      </c>
      <c r="C1695" t="s">
        <v>363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472</v>
      </c>
      <c r="B1696">
        <v>2004</v>
      </c>
      <c r="C1696" t="s">
        <v>363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472</v>
      </c>
      <c r="B1697">
        <v>2003</v>
      </c>
      <c r="C1697" t="s">
        <v>363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472</v>
      </c>
      <c r="B1698">
        <v>2002</v>
      </c>
      <c r="C1698" t="s">
        <v>363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472</v>
      </c>
      <c r="B1699">
        <v>2001</v>
      </c>
      <c r="C1699" t="s">
        <v>363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472</v>
      </c>
      <c r="B1700">
        <v>2000</v>
      </c>
      <c r="C1700" t="s">
        <v>363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473</v>
      </c>
      <c r="B1701">
        <v>2015</v>
      </c>
      <c r="C1701" t="s">
        <v>363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473</v>
      </c>
      <c r="B1702">
        <v>2014</v>
      </c>
      <c r="C1702" t="s">
        <v>363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473</v>
      </c>
      <c r="B1703">
        <v>2013</v>
      </c>
      <c r="C1703" t="s">
        <v>363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473</v>
      </c>
      <c r="B1704">
        <v>2012</v>
      </c>
      <c r="C1704" t="s">
        <v>363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473</v>
      </c>
      <c r="B1705">
        <v>2011</v>
      </c>
      <c r="C1705" t="s">
        <v>363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473</v>
      </c>
      <c r="B1706">
        <v>2010</v>
      </c>
      <c r="C1706" t="s">
        <v>363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473</v>
      </c>
      <c r="B1707">
        <v>2009</v>
      </c>
      <c r="C1707" t="s">
        <v>363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473</v>
      </c>
      <c r="B1708">
        <v>2008</v>
      </c>
      <c r="C1708" t="s">
        <v>363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473</v>
      </c>
      <c r="B1709">
        <v>2007</v>
      </c>
      <c r="C1709" t="s">
        <v>363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473</v>
      </c>
      <c r="B1710">
        <v>2006</v>
      </c>
      <c r="C1710" t="s">
        <v>363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473</v>
      </c>
      <c r="B1711">
        <v>2005</v>
      </c>
      <c r="C1711" t="s">
        <v>363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473</v>
      </c>
      <c r="B1712">
        <v>2004</v>
      </c>
      <c r="C1712" t="s">
        <v>363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473</v>
      </c>
      <c r="B1713">
        <v>2003</v>
      </c>
      <c r="C1713" t="s">
        <v>363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473</v>
      </c>
      <c r="B1714">
        <v>2002</v>
      </c>
      <c r="C1714" t="s">
        <v>363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473</v>
      </c>
      <c r="B1715">
        <v>2001</v>
      </c>
      <c r="C1715" t="s">
        <v>363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473</v>
      </c>
      <c r="B1716">
        <v>2000</v>
      </c>
      <c r="C1716" t="s">
        <v>363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474</v>
      </c>
      <c r="B1717">
        <v>2013</v>
      </c>
      <c r="C1717" t="s">
        <v>363</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475</v>
      </c>
      <c r="B1718">
        <v>2015</v>
      </c>
      <c r="C1718" t="s">
        <v>363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475</v>
      </c>
      <c r="B1719">
        <v>2014</v>
      </c>
      <c r="C1719" t="s">
        <v>363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475</v>
      </c>
      <c r="B1720">
        <v>2013</v>
      </c>
      <c r="C1720" t="s">
        <v>363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475</v>
      </c>
      <c r="B1721">
        <v>2012</v>
      </c>
      <c r="C1721" t="s">
        <v>363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475</v>
      </c>
      <c r="B1722">
        <v>2011</v>
      </c>
      <c r="C1722" t="s">
        <v>363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475</v>
      </c>
      <c r="B1723">
        <v>2010</v>
      </c>
      <c r="C1723" t="s">
        <v>363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475</v>
      </c>
      <c r="B1724">
        <v>2009</v>
      </c>
      <c r="C1724" t="s">
        <v>363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475</v>
      </c>
      <c r="B1725">
        <v>2008</v>
      </c>
      <c r="C1725" t="s">
        <v>363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475</v>
      </c>
      <c r="B1726">
        <v>2007</v>
      </c>
      <c r="C1726" t="s">
        <v>363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475</v>
      </c>
      <c r="B1727">
        <v>2006</v>
      </c>
      <c r="C1727" t="s">
        <v>363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475</v>
      </c>
      <c r="B1728">
        <v>2005</v>
      </c>
      <c r="C1728" t="s">
        <v>363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475</v>
      </c>
      <c r="B1729">
        <v>2004</v>
      </c>
      <c r="C1729" t="s">
        <v>363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475</v>
      </c>
      <c r="B1730">
        <v>2003</v>
      </c>
      <c r="C1730" t="s">
        <v>363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475</v>
      </c>
      <c r="B1731">
        <v>2002</v>
      </c>
      <c r="C1731" t="s">
        <v>363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475</v>
      </c>
      <c r="B1732">
        <v>2001</v>
      </c>
      <c r="C1732" t="s">
        <v>363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475</v>
      </c>
      <c r="B1733">
        <v>2000</v>
      </c>
      <c r="C1733" t="s">
        <v>363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476</v>
      </c>
      <c r="B1734">
        <v>2015</v>
      </c>
      <c r="C1734" t="s">
        <v>363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476</v>
      </c>
      <c r="B1735">
        <v>2014</v>
      </c>
      <c r="C1735" t="s">
        <v>363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476</v>
      </c>
      <c r="B1736">
        <v>2013</v>
      </c>
      <c r="C1736" t="s">
        <v>363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476</v>
      </c>
      <c r="B1737">
        <v>2012</v>
      </c>
      <c r="C1737" t="s">
        <v>363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476</v>
      </c>
      <c r="B1738">
        <v>2011</v>
      </c>
      <c r="C1738" t="s">
        <v>363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476</v>
      </c>
      <c r="B1739">
        <v>2010</v>
      </c>
      <c r="C1739" t="s">
        <v>363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476</v>
      </c>
      <c r="B1740">
        <v>2009</v>
      </c>
      <c r="C1740" t="s">
        <v>363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476</v>
      </c>
      <c r="B1741">
        <v>2008</v>
      </c>
      <c r="C1741" t="s">
        <v>363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476</v>
      </c>
      <c r="B1742">
        <v>2007</v>
      </c>
      <c r="C1742" t="s">
        <v>363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476</v>
      </c>
      <c r="B1743">
        <v>2006</v>
      </c>
      <c r="C1743" t="s">
        <v>363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476</v>
      </c>
      <c r="B1744">
        <v>2005</v>
      </c>
      <c r="C1744" t="s">
        <v>363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476</v>
      </c>
      <c r="B1745">
        <v>2004</v>
      </c>
      <c r="C1745" t="s">
        <v>363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476</v>
      </c>
      <c r="B1746">
        <v>2003</v>
      </c>
      <c r="C1746" t="s">
        <v>363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476</v>
      </c>
      <c r="B1747">
        <v>2002</v>
      </c>
      <c r="C1747" t="s">
        <v>363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476</v>
      </c>
      <c r="B1748">
        <v>2001</v>
      </c>
      <c r="C1748" t="s">
        <v>363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476</v>
      </c>
      <c r="B1749">
        <v>2000</v>
      </c>
      <c r="C1749" t="s">
        <v>363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477</v>
      </c>
      <c r="B1750">
        <v>2015</v>
      </c>
      <c r="C1750" t="s">
        <v>363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477</v>
      </c>
      <c r="B1751">
        <v>2014</v>
      </c>
      <c r="C1751" t="s">
        <v>363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477</v>
      </c>
      <c r="B1752">
        <v>2013</v>
      </c>
      <c r="C1752" t="s">
        <v>363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477</v>
      </c>
      <c r="B1753">
        <v>2012</v>
      </c>
      <c r="C1753" t="s">
        <v>363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477</v>
      </c>
      <c r="B1754">
        <v>2011</v>
      </c>
      <c r="C1754" t="s">
        <v>363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477</v>
      </c>
      <c r="B1755">
        <v>2010</v>
      </c>
      <c r="C1755" t="s">
        <v>363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477</v>
      </c>
      <c r="B1756">
        <v>2009</v>
      </c>
      <c r="C1756" t="s">
        <v>363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477</v>
      </c>
      <c r="B1757">
        <v>2008</v>
      </c>
      <c r="C1757" t="s">
        <v>363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477</v>
      </c>
      <c r="B1758">
        <v>2007</v>
      </c>
      <c r="C1758" t="s">
        <v>363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477</v>
      </c>
      <c r="B1759">
        <v>2006</v>
      </c>
      <c r="C1759" t="s">
        <v>363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477</v>
      </c>
      <c r="B1760">
        <v>2005</v>
      </c>
      <c r="C1760" t="s">
        <v>363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477</v>
      </c>
      <c r="B1761">
        <v>2004</v>
      </c>
      <c r="C1761" t="s">
        <v>363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477</v>
      </c>
      <c r="B1762">
        <v>2003</v>
      </c>
      <c r="C1762" t="s">
        <v>363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477</v>
      </c>
      <c r="B1763">
        <v>2002</v>
      </c>
      <c r="C1763" t="s">
        <v>363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477</v>
      </c>
      <c r="B1764">
        <v>2001</v>
      </c>
      <c r="C1764" t="s">
        <v>363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477</v>
      </c>
      <c r="B1765">
        <v>2000</v>
      </c>
      <c r="C1765" t="s">
        <v>363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478</v>
      </c>
      <c r="B1766">
        <v>2015</v>
      </c>
      <c r="C1766" t="s">
        <v>363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478</v>
      </c>
      <c r="B1767">
        <v>2014</v>
      </c>
      <c r="C1767" t="s">
        <v>363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478</v>
      </c>
      <c r="B1768">
        <v>2013</v>
      </c>
      <c r="C1768" t="s">
        <v>363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478</v>
      </c>
      <c r="B1769">
        <v>2012</v>
      </c>
      <c r="C1769" t="s">
        <v>363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478</v>
      </c>
      <c r="B1770">
        <v>2011</v>
      </c>
      <c r="C1770" t="s">
        <v>363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478</v>
      </c>
      <c r="B1771">
        <v>2010</v>
      </c>
      <c r="C1771" t="s">
        <v>363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478</v>
      </c>
      <c r="B1772">
        <v>2009</v>
      </c>
      <c r="C1772" t="s">
        <v>363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478</v>
      </c>
      <c r="B1773">
        <v>2008</v>
      </c>
      <c r="C1773" t="s">
        <v>363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478</v>
      </c>
      <c r="B1774">
        <v>2007</v>
      </c>
      <c r="C1774" t="s">
        <v>363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478</v>
      </c>
      <c r="B1775">
        <v>2006</v>
      </c>
      <c r="C1775" t="s">
        <v>363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478</v>
      </c>
      <c r="B1776">
        <v>2005</v>
      </c>
      <c r="C1776" t="s">
        <v>363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478</v>
      </c>
      <c r="B1777">
        <v>2004</v>
      </c>
      <c r="C1777" t="s">
        <v>363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478</v>
      </c>
      <c r="B1778">
        <v>2003</v>
      </c>
      <c r="C1778" t="s">
        <v>363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478</v>
      </c>
      <c r="B1779">
        <v>2002</v>
      </c>
      <c r="C1779" t="s">
        <v>363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478</v>
      </c>
      <c r="B1780">
        <v>2001</v>
      </c>
      <c r="C1780" t="s">
        <v>363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478</v>
      </c>
      <c r="B1781">
        <v>2000</v>
      </c>
      <c r="C1781" t="s">
        <v>363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479</v>
      </c>
      <c r="B1782">
        <v>2015</v>
      </c>
      <c r="C1782" t="s">
        <v>363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479</v>
      </c>
      <c r="B1783">
        <v>2014</v>
      </c>
      <c r="C1783" t="s">
        <v>363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479</v>
      </c>
      <c r="B1784">
        <v>2013</v>
      </c>
      <c r="C1784" t="s">
        <v>363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479</v>
      </c>
      <c r="B1785">
        <v>2012</v>
      </c>
      <c r="C1785" t="s">
        <v>363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479</v>
      </c>
      <c r="B1786">
        <v>2011</v>
      </c>
      <c r="C1786" t="s">
        <v>363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479</v>
      </c>
      <c r="B1787">
        <v>2010</v>
      </c>
      <c r="C1787" t="s">
        <v>363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479</v>
      </c>
      <c r="B1788">
        <v>2009</v>
      </c>
      <c r="C1788" t="s">
        <v>363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479</v>
      </c>
      <c r="B1789">
        <v>2008</v>
      </c>
      <c r="C1789" t="s">
        <v>363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479</v>
      </c>
      <c r="B1790">
        <v>2007</v>
      </c>
      <c r="C1790" t="s">
        <v>363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479</v>
      </c>
      <c r="B1791">
        <v>2006</v>
      </c>
      <c r="C1791" t="s">
        <v>363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479</v>
      </c>
      <c r="B1792">
        <v>2005</v>
      </c>
      <c r="C1792" t="s">
        <v>363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479</v>
      </c>
      <c r="B1793">
        <v>2004</v>
      </c>
      <c r="C1793" t="s">
        <v>363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479</v>
      </c>
      <c r="B1794">
        <v>2003</v>
      </c>
      <c r="C1794" t="s">
        <v>363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479</v>
      </c>
      <c r="B1795">
        <v>2002</v>
      </c>
      <c r="C1795" t="s">
        <v>363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479</v>
      </c>
      <c r="B1796">
        <v>2001</v>
      </c>
      <c r="C1796" t="s">
        <v>363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479</v>
      </c>
      <c r="B1797">
        <v>2000</v>
      </c>
      <c r="C1797" t="s">
        <v>363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480</v>
      </c>
      <c r="B1798">
        <v>2015</v>
      </c>
      <c r="C1798" t="s">
        <v>363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480</v>
      </c>
      <c r="B1799">
        <v>2014</v>
      </c>
      <c r="C1799" t="s">
        <v>363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480</v>
      </c>
      <c r="B1800">
        <v>2013</v>
      </c>
      <c r="C1800" t="s">
        <v>363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480</v>
      </c>
      <c r="B1801">
        <v>2012</v>
      </c>
      <c r="C1801" t="s">
        <v>363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480</v>
      </c>
      <c r="B1802">
        <v>2011</v>
      </c>
      <c r="C1802" t="s">
        <v>363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480</v>
      </c>
      <c r="B1803">
        <v>2010</v>
      </c>
      <c r="C1803" t="s">
        <v>363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480</v>
      </c>
      <c r="B1804">
        <v>2009</v>
      </c>
      <c r="C1804" t="s">
        <v>363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480</v>
      </c>
      <c r="B1805">
        <v>2008</v>
      </c>
      <c r="C1805" t="s">
        <v>363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480</v>
      </c>
      <c r="B1806">
        <v>2007</v>
      </c>
      <c r="C1806" t="s">
        <v>363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480</v>
      </c>
      <c r="B1807">
        <v>2006</v>
      </c>
      <c r="C1807" t="s">
        <v>363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480</v>
      </c>
      <c r="B1808">
        <v>2005</v>
      </c>
      <c r="C1808" t="s">
        <v>363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480</v>
      </c>
      <c r="B1809">
        <v>2004</v>
      </c>
      <c r="C1809" t="s">
        <v>363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480</v>
      </c>
      <c r="B1810">
        <v>2003</v>
      </c>
      <c r="C1810" t="s">
        <v>363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480</v>
      </c>
      <c r="B1811">
        <v>2002</v>
      </c>
      <c r="C1811" t="s">
        <v>363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480</v>
      </c>
      <c r="B1812">
        <v>2001</v>
      </c>
      <c r="C1812" t="s">
        <v>363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480</v>
      </c>
      <c r="B1813">
        <v>2000</v>
      </c>
      <c r="C1813" t="s">
        <v>363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481</v>
      </c>
      <c r="B1814">
        <v>2013</v>
      </c>
      <c r="C1814" t="s">
        <v>363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482</v>
      </c>
      <c r="B1815">
        <v>2015</v>
      </c>
      <c r="C1815" t="s">
        <v>363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482</v>
      </c>
      <c r="B1816">
        <v>2014</v>
      </c>
      <c r="C1816" t="s">
        <v>363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482</v>
      </c>
      <c r="B1817">
        <v>2013</v>
      </c>
      <c r="C1817" t="s">
        <v>363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482</v>
      </c>
      <c r="B1818">
        <v>2012</v>
      </c>
      <c r="C1818" t="s">
        <v>363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482</v>
      </c>
      <c r="B1819">
        <v>2011</v>
      </c>
      <c r="C1819" t="s">
        <v>363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482</v>
      </c>
      <c r="B1820">
        <v>2010</v>
      </c>
      <c r="C1820" t="s">
        <v>363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482</v>
      </c>
      <c r="B1821">
        <v>2009</v>
      </c>
      <c r="C1821" t="s">
        <v>363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482</v>
      </c>
      <c r="B1822">
        <v>2008</v>
      </c>
      <c r="C1822" t="s">
        <v>363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482</v>
      </c>
      <c r="B1823">
        <v>2007</v>
      </c>
      <c r="C1823" t="s">
        <v>363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482</v>
      </c>
      <c r="B1824">
        <v>2006</v>
      </c>
      <c r="C1824" t="s">
        <v>363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482</v>
      </c>
      <c r="B1825">
        <v>2005</v>
      </c>
      <c r="C1825" t="s">
        <v>363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482</v>
      </c>
      <c r="B1826">
        <v>2004</v>
      </c>
      <c r="C1826" t="s">
        <v>363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482</v>
      </c>
      <c r="B1827">
        <v>2003</v>
      </c>
      <c r="C1827" t="s">
        <v>363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482</v>
      </c>
      <c r="B1828">
        <v>2002</v>
      </c>
      <c r="C1828" t="s">
        <v>363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482</v>
      </c>
      <c r="B1829">
        <v>2001</v>
      </c>
      <c r="C1829" t="s">
        <v>363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482</v>
      </c>
      <c r="B1830">
        <v>2000</v>
      </c>
      <c r="C1830" t="s">
        <v>363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483</v>
      </c>
      <c r="B1831">
        <v>2015</v>
      </c>
      <c r="C1831" t="s">
        <v>371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483</v>
      </c>
      <c r="B1832">
        <v>2014</v>
      </c>
      <c r="C1832" t="s">
        <v>371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483</v>
      </c>
      <c r="B1833">
        <v>2013</v>
      </c>
      <c r="C1833" t="s">
        <v>371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483</v>
      </c>
      <c r="B1834">
        <v>2012</v>
      </c>
      <c r="C1834" t="s">
        <v>371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483</v>
      </c>
      <c r="B1835">
        <v>2011</v>
      </c>
      <c r="C1835" t="s">
        <v>371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483</v>
      </c>
      <c r="B1836">
        <v>2010</v>
      </c>
      <c r="C1836" t="s">
        <v>371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483</v>
      </c>
      <c r="B1837">
        <v>2009</v>
      </c>
      <c r="C1837" t="s">
        <v>371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483</v>
      </c>
      <c r="B1838">
        <v>2008</v>
      </c>
      <c r="C1838" t="s">
        <v>371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483</v>
      </c>
      <c r="B1839">
        <v>2007</v>
      </c>
      <c r="C1839" t="s">
        <v>371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483</v>
      </c>
      <c r="B1840">
        <v>2006</v>
      </c>
      <c r="C1840" t="s">
        <v>371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483</v>
      </c>
      <c r="B1841">
        <v>2005</v>
      </c>
      <c r="C1841" t="s">
        <v>371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483</v>
      </c>
      <c r="B1842">
        <v>2004</v>
      </c>
      <c r="C1842" t="s">
        <v>371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483</v>
      </c>
      <c r="B1843">
        <v>2003</v>
      </c>
      <c r="C1843" t="s">
        <v>371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483</v>
      </c>
      <c r="B1844">
        <v>2002</v>
      </c>
      <c r="C1844" t="s">
        <v>371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483</v>
      </c>
      <c r="B1845">
        <v>2001</v>
      </c>
      <c r="C1845" t="s">
        <v>371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483</v>
      </c>
      <c r="B1846">
        <v>2000</v>
      </c>
      <c r="C1846" t="s">
        <v>371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484</v>
      </c>
      <c r="B1847">
        <v>2015</v>
      </c>
      <c r="C1847" t="s">
        <v>371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484</v>
      </c>
      <c r="B1848">
        <v>2014</v>
      </c>
      <c r="C1848" t="s">
        <v>371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484</v>
      </c>
      <c r="B1849">
        <v>2013</v>
      </c>
      <c r="C1849" t="s">
        <v>371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484</v>
      </c>
      <c r="B1850">
        <v>2012</v>
      </c>
      <c r="C1850" t="s">
        <v>371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484</v>
      </c>
      <c r="B1851">
        <v>2011</v>
      </c>
      <c r="C1851" t="s">
        <v>371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484</v>
      </c>
      <c r="B1852">
        <v>2010</v>
      </c>
      <c r="C1852" t="s">
        <v>371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484</v>
      </c>
      <c r="B1853">
        <v>2009</v>
      </c>
      <c r="C1853" t="s">
        <v>371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484</v>
      </c>
      <c r="B1854">
        <v>2008</v>
      </c>
      <c r="C1854" t="s">
        <v>371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484</v>
      </c>
      <c r="B1855">
        <v>2007</v>
      </c>
      <c r="C1855" t="s">
        <v>371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484</v>
      </c>
      <c r="B1856">
        <v>2006</v>
      </c>
      <c r="C1856" t="s">
        <v>371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484</v>
      </c>
      <c r="B1857">
        <v>2005</v>
      </c>
      <c r="C1857" t="s">
        <v>371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484</v>
      </c>
      <c r="B1858">
        <v>2004</v>
      </c>
      <c r="C1858" t="s">
        <v>371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484</v>
      </c>
      <c r="B1859">
        <v>2003</v>
      </c>
      <c r="C1859" t="s">
        <v>371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484</v>
      </c>
      <c r="B1860">
        <v>2002</v>
      </c>
      <c r="C1860" t="s">
        <v>371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484</v>
      </c>
      <c r="B1861">
        <v>2001</v>
      </c>
      <c r="C1861" t="s">
        <v>371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484</v>
      </c>
      <c r="B1862">
        <v>2000</v>
      </c>
      <c r="C1862" t="s">
        <v>371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485</v>
      </c>
      <c r="B1863">
        <v>2015</v>
      </c>
      <c r="C1863" t="s">
        <v>363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485</v>
      </c>
      <c r="B1864">
        <v>2014</v>
      </c>
      <c r="C1864" t="s">
        <v>363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485</v>
      </c>
      <c r="B1865">
        <v>2013</v>
      </c>
      <c r="C1865" t="s">
        <v>363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485</v>
      </c>
      <c r="B1866">
        <v>2012</v>
      </c>
      <c r="C1866" t="s">
        <v>363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485</v>
      </c>
      <c r="B1867">
        <v>2011</v>
      </c>
      <c r="C1867" t="s">
        <v>363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485</v>
      </c>
      <c r="B1868">
        <v>2010</v>
      </c>
      <c r="C1868" t="s">
        <v>363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485</v>
      </c>
      <c r="B1869">
        <v>2009</v>
      </c>
      <c r="C1869" t="s">
        <v>363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485</v>
      </c>
      <c r="B1870">
        <v>2008</v>
      </c>
      <c r="C1870" t="s">
        <v>363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485</v>
      </c>
      <c r="B1871">
        <v>2007</v>
      </c>
      <c r="C1871" t="s">
        <v>363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485</v>
      </c>
      <c r="B1872">
        <v>2006</v>
      </c>
      <c r="C1872" t="s">
        <v>363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485</v>
      </c>
      <c r="B1873">
        <v>2005</v>
      </c>
      <c r="C1873" t="s">
        <v>363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485</v>
      </c>
      <c r="B1874">
        <v>2004</v>
      </c>
      <c r="C1874" t="s">
        <v>363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485</v>
      </c>
      <c r="B1875">
        <v>2003</v>
      </c>
      <c r="C1875" t="s">
        <v>363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485</v>
      </c>
      <c r="B1876">
        <v>2002</v>
      </c>
      <c r="C1876" t="s">
        <v>363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485</v>
      </c>
      <c r="B1877">
        <v>2001</v>
      </c>
      <c r="C1877" t="s">
        <v>363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485</v>
      </c>
      <c r="B1878">
        <v>2000</v>
      </c>
      <c r="C1878" t="s">
        <v>363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486</v>
      </c>
      <c r="B1879">
        <v>2015</v>
      </c>
      <c r="C1879" t="s">
        <v>363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486</v>
      </c>
      <c r="B1880">
        <v>2014</v>
      </c>
      <c r="C1880" t="s">
        <v>363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486</v>
      </c>
      <c r="B1881">
        <v>2013</v>
      </c>
      <c r="C1881" t="s">
        <v>363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486</v>
      </c>
      <c r="B1882">
        <v>2012</v>
      </c>
      <c r="C1882" t="s">
        <v>363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486</v>
      </c>
      <c r="B1883">
        <v>2011</v>
      </c>
      <c r="C1883" t="s">
        <v>363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486</v>
      </c>
      <c r="B1884">
        <v>2010</v>
      </c>
      <c r="C1884" t="s">
        <v>363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486</v>
      </c>
      <c r="B1885">
        <v>2009</v>
      </c>
      <c r="C1885" t="s">
        <v>363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486</v>
      </c>
      <c r="B1886">
        <v>2008</v>
      </c>
      <c r="C1886" t="s">
        <v>363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486</v>
      </c>
      <c r="B1887">
        <v>2007</v>
      </c>
      <c r="C1887" t="s">
        <v>363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486</v>
      </c>
      <c r="B1888">
        <v>2006</v>
      </c>
      <c r="C1888" t="s">
        <v>363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486</v>
      </c>
      <c r="B1889">
        <v>2005</v>
      </c>
      <c r="C1889" t="s">
        <v>363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486</v>
      </c>
      <c r="B1890">
        <v>2004</v>
      </c>
      <c r="C1890" t="s">
        <v>363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486</v>
      </c>
      <c r="B1891">
        <v>2003</v>
      </c>
      <c r="C1891" t="s">
        <v>363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486</v>
      </c>
      <c r="B1892">
        <v>2002</v>
      </c>
      <c r="C1892" t="s">
        <v>363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486</v>
      </c>
      <c r="B1893">
        <v>2001</v>
      </c>
      <c r="C1893" t="s">
        <v>363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486</v>
      </c>
      <c r="B1894">
        <v>2000</v>
      </c>
      <c r="C1894" t="s">
        <v>363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487</v>
      </c>
      <c r="B1895">
        <v>2015</v>
      </c>
      <c r="C1895" t="s">
        <v>363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487</v>
      </c>
      <c r="B1896">
        <v>2014</v>
      </c>
      <c r="C1896" t="s">
        <v>363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487</v>
      </c>
      <c r="B1897">
        <v>2013</v>
      </c>
      <c r="C1897" t="s">
        <v>363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487</v>
      </c>
      <c r="B1898">
        <v>2012</v>
      </c>
      <c r="C1898" t="s">
        <v>363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487</v>
      </c>
      <c r="B1899">
        <v>2011</v>
      </c>
      <c r="C1899" t="s">
        <v>363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487</v>
      </c>
      <c r="B1900">
        <v>2010</v>
      </c>
      <c r="C1900" t="s">
        <v>363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487</v>
      </c>
      <c r="B1901">
        <v>2009</v>
      </c>
      <c r="C1901" t="s">
        <v>363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487</v>
      </c>
      <c r="B1902">
        <v>2008</v>
      </c>
      <c r="C1902" t="s">
        <v>363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487</v>
      </c>
      <c r="B1903">
        <v>2007</v>
      </c>
      <c r="C1903" t="s">
        <v>363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487</v>
      </c>
      <c r="B1904">
        <v>2006</v>
      </c>
      <c r="C1904" t="s">
        <v>363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487</v>
      </c>
      <c r="B1905">
        <v>2005</v>
      </c>
      <c r="C1905" t="s">
        <v>363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487</v>
      </c>
      <c r="B1906">
        <v>2004</v>
      </c>
      <c r="C1906" t="s">
        <v>363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487</v>
      </c>
      <c r="B1907">
        <v>2003</v>
      </c>
      <c r="C1907" t="s">
        <v>363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487</v>
      </c>
      <c r="B1908">
        <v>2002</v>
      </c>
      <c r="C1908" t="s">
        <v>363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487</v>
      </c>
      <c r="B1909">
        <v>2001</v>
      </c>
      <c r="C1909" t="s">
        <v>363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487</v>
      </c>
      <c r="B1910">
        <v>2000</v>
      </c>
      <c r="C1910" t="s">
        <v>363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488</v>
      </c>
      <c r="B1911">
        <v>2013</v>
      </c>
      <c r="C1911" t="s">
        <v>363</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489</v>
      </c>
      <c r="B1912">
        <v>2015</v>
      </c>
      <c r="C1912" t="s">
        <v>371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489</v>
      </c>
      <c r="B1913">
        <v>2014</v>
      </c>
      <c r="C1913" t="s">
        <v>371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489</v>
      </c>
      <c r="B1914">
        <v>2013</v>
      </c>
      <c r="C1914" t="s">
        <v>371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489</v>
      </c>
      <c r="B1915">
        <v>2012</v>
      </c>
      <c r="C1915" t="s">
        <v>371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489</v>
      </c>
      <c r="B1916">
        <v>2011</v>
      </c>
      <c r="C1916" t="s">
        <v>371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489</v>
      </c>
      <c r="B1917">
        <v>2010</v>
      </c>
      <c r="C1917" t="s">
        <v>371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489</v>
      </c>
      <c r="B1918">
        <v>2009</v>
      </c>
      <c r="C1918" t="s">
        <v>371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489</v>
      </c>
      <c r="B1919">
        <v>2008</v>
      </c>
      <c r="C1919" t="s">
        <v>371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489</v>
      </c>
      <c r="B1920">
        <v>2007</v>
      </c>
      <c r="C1920" t="s">
        <v>371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489</v>
      </c>
      <c r="B1921">
        <v>2006</v>
      </c>
      <c r="C1921" t="s">
        <v>371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489</v>
      </c>
      <c r="B1922">
        <v>2005</v>
      </c>
      <c r="C1922" t="s">
        <v>371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489</v>
      </c>
      <c r="B1923">
        <v>2004</v>
      </c>
      <c r="C1923" t="s">
        <v>371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489</v>
      </c>
      <c r="B1924">
        <v>2003</v>
      </c>
      <c r="C1924" t="s">
        <v>371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489</v>
      </c>
      <c r="B1925">
        <v>2002</v>
      </c>
      <c r="C1925" t="s">
        <v>371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489</v>
      </c>
      <c r="B1926">
        <v>2001</v>
      </c>
      <c r="C1926" t="s">
        <v>371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489</v>
      </c>
      <c r="B1927">
        <v>2000</v>
      </c>
      <c r="C1927" t="s">
        <v>371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490</v>
      </c>
      <c r="B1928">
        <v>2015</v>
      </c>
      <c r="C1928" t="s">
        <v>363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490</v>
      </c>
      <c r="B1929">
        <v>2014</v>
      </c>
      <c r="C1929" t="s">
        <v>363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490</v>
      </c>
      <c r="B1930">
        <v>2013</v>
      </c>
      <c r="C1930" t="s">
        <v>363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490</v>
      </c>
      <c r="B1931">
        <v>2012</v>
      </c>
      <c r="C1931" t="s">
        <v>363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490</v>
      </c>
      <c r="B1932">
        <v>2011</v>
      </c>
      <c r="C1932" t="s">
        <v>363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490</v>
      </c>
      <c r="B1933">
        <v>2010</v>
      </c>
      <c r="C1933" t="s">
        <v>363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490</v>
      </c>
      <c r="B1934">
        <v>2009</v>
      </c>
      <c r="C1934" t="s">
        <v>363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490</v>
      </c>
      <c r="B1935">
        <v>2008</v>
      </c>
      <c r="C1935" t="s">
        <v>363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490</v>
      </c>
      <c r="B1936">
        <v>2007</v>
      </c>
      <c r="C1936" t="s">
        <v>363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490</v>
      </c>
      <c r="B1937">
        <v>2006</v>
      </c>
      <c r="C1937" t="s">
        <v>363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490</v>
      </c>
      <c r="B1938">
        <v>2005</v>
      </c>
      <c r="C1938" t="s">
        <v>363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490</v>
      </c>
      <c r="B1939">
        <v>2004</v>
      </c>
      <c r="C1939" t="s">
        <v>363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490</v>
      </c>
      <c r="B1940">
        <v>2003</v>
      </c>
      <c r="C1940" t="s">
        <v>363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490</v>
      </c>
      <c r="B1941">
        <v>2002</v>
      </c>
      <c r="C1941" t="s">
        <v>363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490</v>
      </c>
      <c r="B1942">
        <v>2001</v>
      </c>
      <c r="C1942" t="s">
        <v>363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490</v>
      </c>
      <c r="B1943">
        <v>2000</v>
      </c>
      <c r="C1943" t="s">
        <v>363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491</v>
      </c>
      <c r="B1944">
        <v>2015</v>
      </c>
      <c r="C1944" t="s">
        <v>363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491</v>
      </c>
      <c r="B1945">
        <v>2014</v>
      </c>
      <c r="C1945" t="s">
        <v>363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491</v>
      </c>
      <c r="B1946">
        <v>2013</v>
      </c>
      <c r="C1946" t="s">
        <v>363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491</v>
      </c>
      <c r="B1947">
        <v>2012</v>
      </c>
      <c r="C1947" t="s">
        <v>363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491</v>
      </c>
      <c r="B1948">
        <v>2011</v>
      </c>
      <c r="C1948" t="s">
        <v>363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491</v>
      </c>
      <c r="B1949">
        <v>2010</v>
      </c>
      <c r="C1949" t="s">
        <v>363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491</v>
      </c>
      <c r="B1950">
        <v>2009</v>
      </c>
      <c r="C1950" t="s">
        <v>363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491</v>
      </c>
      <c r="B1951">
        <v>2008</v>
      </c>
      <c r="C1951" t="s">
        <v>363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491</v>
      </c>
      <c r="B1952">
        <v>2007</v>
      </c>
      <c r="C1952" t="s">
        <v>363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491</v>
      </c>
      <c r="B1953">
        <v>2006</v>
      </c>
      <c r="C1953" t="s">
        <v>363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491</v>
      </c>
      <c r="B1954">
        <v>2005</v>
      </c>
      <c r="C1954" t="s">
        <v>363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491</v>
      </c>
      <c r="B1955">
        <v>2004</v>
      </c>
      <c r="C1955" t="s">
        <v>363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491</v>
      </c>
      <c r="B1956">
        <v>2003</v>
      </c>
      <c r="C1956" t="s">
        <v>363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491</v>
      </c>
      <c r="B1957">
        <v>2002</v>
      </c>
      <c r="C1957" t="s">
        <v>363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491</v>
      </c>
      <c r="B1958">
        <v>2001</v>
      </c>
      <c r="C1958" t="s">
        <v>363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491</v>
      </c>
      <c r="B1959">
        <v>2000</v>
      </c>
      <c r="C1959" t="s">
        <v>363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492</v>
      </c>
      <c r="B1960">
        <v>2013</v>
      </c>
      <c r="C1960" t="s">
        <v>363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493</v>
      </c>
      <c r="B1961">
        <v>2015</v>
      </c>
      <c r="C1961" t="s">
        <v>363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493</v>
      </c>
      <c r="B1962">
        <v>2014</v>
      </c>
      <c r="C1962" t="s">
        <v>363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493</v>
      </c>
      <c r="B1963">
        <v>2013</v>
      </c>
      <c r="C1963" t="s">
        <v>363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493</v>
      </c>
      <c r="B1964">
        <v>2012</v>
      </c>
      <c r="C1964" t="s">
        <v>363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493</v>
      </c>
      <c r="B1965">
        <v>2011</v>
      </c>
      <c r="C1965" t="s">
        <v>363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493</v>
      </c>
      <c r="B1966">
        <v>2010</v>
      </c>
      <c r="C1966" t="s">
        <v>363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493</v>
      </c>
      <c r="B1967">
        <v>2009</v>
      </c>
      <c r="C1967" t="s">
        <v>363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493</v>
      </c>
      <c r="B1968">
        <v>2008</v>
      </c>
      <c r="C1968" t="s">
        <v>363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493</v>
      </c>
      <c r="B1969">
        <v>2007</v>
      </c>
      <c r="C1969" t="s">
        <v>363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493</v>
      </c>
      <c r="B1970">
        <v>2006</v>
      </c>
      <c r="C1970" t="s">
        <v>363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493</v>
      </c>
      <c r="B1971">
        <v>2005</v>
      </c>
      <c r="C1971" t="s">
        <v>363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493</v>
      </c>
      <c r="B1972">
        <v>2004</v>
      </c>
      <c r="C1972" t="s">
        <v>363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493</v>
      </c>
      <c r="B1973">
        <v>2003</v>
      </c>
      <c r="C1973" t="s">
        <v>363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493</v>
      </c>
      <c r="B1974">
        <v>2002</v>
      </c>
      <c r="C1974" t="s">
        <v>363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493</v>
      </c>
      <c r="B1975">
        <v>2001</v>
      </c>
      <c r="C1975" t="s">
        <v>363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493</v>
      </c>
      <c r="B1976">
        <v>2000</v>
      </c>
      <c r="C1976" t="s">
        <v>363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494</v>
      </c>
      <c r="B1977">
        <v>2015</v>
      </c>
      <c r="C1977" t="s">
        <v>363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494</v>
      </c>
      <c r="B1978">
        <v>2014</v>
      </c>
      <c r="C1978" t="s">
        <v>363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494</v>
      </c>
      <c r="B1979">
        <v>2013</v>
      </c>
      <c r="C1979" t="s">
        <v>363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494</v>
      </c>
      <c r="B1980">
        <v>2012</v>
      </c>
      <c r="C1980" t="s">
        <v>363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494</v>
      </c>
      <c r="B1981">
        <v>2011</v>
      </c>
      <c r="C1981" t="s">
        <v>363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494</v>
      </c>
      <c r="B1982">
        <v>2010</v>
      </c>
      <c r="C1982" t="s">
        <v>363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494</v>
      </c>
      <c r="B1983">
        <v>2009</v>
      </c>
      <c r="C1983" t="s">
        <v>363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494</v>
      </c>
      <c r="B1984">
        <v>2008</v>
      </c>
      <c r="C1984" t="s">
        <v>363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494</v>
      </c>
      <c r="B1985">
        <v>2007</v>
      </c>
      <c r="C1985" t="s">
        <v>363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494</v>
      </c>
      <c r="B1986">
        <v>2006</v>
      </c>
      <c r="C1986" t="s">
        <v>363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494</v>
      </c>
      <c r="B1987">
        <v>2005</v>
      </c>
      <c r="C1987" t="s">
        <v>363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494</v>
      </c>
      <c r="B1988">
        <v>2004</v>
      </c>
      <c r="C1988" t="s">
        <v>363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494</v>
      </c>
      <c r="B1989">
        <v>2003</v>
      </c>
      <c r="C1989" t="s">
        <v>363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494</v>
      </c>
      <c r="B1990">
        <v>2002</v>
      </c>
      <c r="C1990" t="s">
        <v>363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494</v>
      </c>
      <c r="B1991">
        <v>2001</v>
      </c>
      <c r="C1991" t="s">
        <v>363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494</v>
      </c>
      <c r="B1992">
        <v>2000</v>
      </c>
      <c r="C1992" t="s">
        <v>363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495</v>
      </c>
      <c r="B1993">
        <v>2015</v>
      </c>
      <c r="C1993" t="s">
        <v>363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495</v>
      </c>
      <c r="B1994">
        <v>2014</v>
      </c>
      <c r="C1994" t="s">
        <v>363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495</v>
      </c>
      <c r="B1995">
        <v>2013</v>
      </c>
      <c r="C1995" t="s">
        <v>363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495</v>
      </c>
      <c r="B1996">
        <v>2012</v>
      </c>
      <c r="C1996" t="s">
        <v>363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495</v>
      </c>
      <c r="B1997">
        <v>2011</v>
      </c>
      <c r="C1997" t="s">
        <v>363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495</v>
      </c>
      <c r="B1998">
        <v>2010</v>
      </c>
      <c r="C1998" t="s">
        <v>363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495</v>
      </c>
      <c r="B1999">
        <v>2009</v>
      </c>
      <c r="C1999" t="s">
        <v>363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495</v>
      </c>
      <c r="B2000">
        <v>2008</v>
      </c>
      <c r="C2000" t="s">
        <v>363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495</v>
      </c>
      <c r="B2001">
        <v>2007</v>
      </c>
      <c r="C2001" t="s">
        <v>363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495</v>
      </c>
      <c r="B2002">
        <v>2006</v>
      </c>
      <c r="C2002" t="s">
        <v>363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495</v>
      </c>
      <c r="B2003">
        <v>2005</v>
      </c>
      <c r="C2003" t="s">
        <v>363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495</v>
      </c>
      <c r="B2004">
        <v>2004</v>
      </c>
      <c r="C2004" t="s">
        <v>363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495</v>
      </c>
      <c r="B2005">
        <v>2003</v>
      </c>
      <c r="C2005" t="s">
        <v>363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495</v>
      </c>
      <c r="B2006">
        <v>2002</v>
      </c>
      <c r="C2006" t="s">
        <v>363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495</v>
      </c>
      <c r="B2007">
        <v>2001</v>
      </c>
      <c r="C2007" t="s">
        <v>363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495</v>
      </c>
      <c r="B2008">
        <v>2000</v>
      </c>
      <c r="C2008" t="s">
        <v>363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496</v>
      </c>
      <c r="B2009">
        <v>2015</v>
      </c>
      <c r="C2009" t="s">
        <v>363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496</v>
      </c>
      <c r="B2010">
        <v>2014</v>
      </c>
      <c r="C2010" t="s">
        <v>363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496</v>
      </c>
      <c r="B2011">
        <v>2013</v>
      </c>
      <c r="C2011" t="s">
        <v>363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496</v>
      </c>
      <c r="B2012">
        <v>2012</v>
      </c>
      <c r="C2012" t="s">
        <v>363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496</v>
      </c>
      <c r="B2013">
        <v>2011</v>
      </c>
      <c r="C2013" t="s">
        <v>363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496</v>
      </c>
      <c r="B2014">
        <v>2010</v>
      </c>
      <c r="C2014" t="s">
        <v>363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496</v>
      </c>
      <c r="B2015">
        <v>2009</v>
      </c>
      <c r="C2015" t="s">
        <v>363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496</v>
      </c>
      <c r="B2016">
        <v>2008</v>
      </c>
      <c r="C2016" t="s">
        <v>363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496</v>
      </c>
      <c r="B2017">
        <v>2007</v>
      </c>
      <c r="C2017" t="s">
        <v>363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496</v>
      </c>
      <c r="B2018">
        <v>2006</v>
      </c>
      <c r="C2018" t="s">
        <v>363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496</v>
      </c>
      <c r="B2019">
        <v>2005</v>
      </c>
      <c r="C2019" t="s">
        <v>363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496</v>
      </c>
      <c r="B2020">
        <v>2004</v>
      </c>
      <c r="C2020" t="s">
        <v>363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496</v>
      </c>
      <c r="B2021">
        <v>2003</v>
      </c>
      <c r="C2021" t="s">
        <v>363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496</v>
      </c>
      <c r="B2022">
        <v>2002</v>
      </c>
      <c r="C2022" t="s">
        <v>363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496</v>
      </c>
      <c r="B2023">
        <v>2001</v>
      </c>
      <c r="C2023" t="s">
        <v>363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496</v>
      </c>
      <c r="B2024">
        <v>2000</v>
      </c>
      <c r="C2024" t="s">
        <v>363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497</v>
      </c>
      <c r="B2025">
        <v>2015</v>
      </c>
      <c r="C2025" t="s">
        <v>363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497</v>
      </c>
      <c r="B2026">
        <v>2014</v>
      </c>
      <c r="C2026" t="s">
        <v>363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497</v>
      </c>
      <c r="B2027">
        <v>2013</v>
      </c>
      <c r="C2027" t="s">
        <v>363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497</v>
      </c>
      <c r="B2028">
        <v>2012</v>
      </c>
      <c r="C2028" t="s">
        <v>363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497</v>
      </c>
      <c r="B2029">
        <v>2011</v>
      </c>
      <c r="C2029" t="s">
        <v>363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497</v>
      </c>
      <c r="B2030">
        <v>2010</v>
      </c>
      <c r="C2030" t="s">
        <v>363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497</v>
      </c>
      <c r="B2031">
        <v>2009</v>
      </c>
      <c r="C2031" t="s">
        <v>363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497</v>
      </c>
      <c r="B2032">
        <v>2008</v>
      </c>
      <c r="C2032" t="s">
        <v>363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497</v>
      </c>
      <c r="B2033">
        <v>2007</v>
      </c>
      <c r="C2033" t="s">
        <v>363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497</v>
      </c>
      <c r="B2034">
        <v>2006</v>
      </c>
      <c r="C2034" t="s">
        <v>363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497</v>
      </c>
      <c r="B2035">
        <v>2005</v>
      </c>
      <c r="C2035" t="s">
        <v>363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497</v>
      </c>
      <c r="B2036">
        <v>2004</v>
      </c>
      <c r="C2036" t="s">
        <v>363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497</v>
      </c>
      <c r="B2037">
        <v>2003</v>
      </c>
      <c r="C2037" t="s">
        <v>363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497</v>
      </c>
      <c r="B2038">
        <v>2002</v>
      </c>
      <c r="C2038" t="s">
        <v>363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497</v>
      </c>
      <c r="B2039">
        <v>2001</v>
      </c>
      <c r="C2039" t="s">
        <v>363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497</v>
      </c>
      <c r="B2040">
        <v>2000</v>
      </c>
      <c r="C2040" t="s">
        <v>363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498</v>
      </c>
      <c r="B2041">
        <v>2015</v>
      </c>
      <c r="C2041" t="s">
        <v>371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498</v>
      </c>
      <c r="B2042">
        <v>2014</v>
      </c>
      <c r="C2042" t="s">
        <v>371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498</v>
      </c>
      <c r="B2043">
        <v>2013</v>
      </c>
      <c r="C2043" t="s">
        <v>371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498</v>
      </c>
      <c r="B2044">
        <v>2012</v>
      </c>
      <c r="C2044" t="s">
        <v>371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498</v>
      </c>
      <c r="B2045">
        <v>2011</v>
      </c>
      <c r="C2045" t="s">
        <v>371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498</v>
      </c>
      <c r="B2046">
        <v>2010</v>
      </c>
      <c r="C2046" t="s">
        <v>371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498</v>
      </c>
      <c r="B2047">
        <v>2009</v>
      </c>
      <c r="C2047" t="s">
        <v>371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498</v>
      </c>
      <c r="B2048">
        <v>2008</v>
      </c>
      <c r="C2048" t="s">
        <v>371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498</v>
      </c>
      <c r="B2049">
        <v>2007</v>
      </c>
      <c r="C2049" t="s">
        <v>371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498</v>
      </c>
      <c r="B2050">
        <v>2006</v>
      </c>
      <c r="C2050" t="s">
        <v>371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498</v>
      </c>
      <c r="B2051">
        <v>2005</v>
      </c>
      <c r="C2051" t="s">
        <v>371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498</v>
      </c>
      <c r="B2052">
        <v>2004</v>
      </c>
      <c r="C2052" t="s">
        <v>371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498</v>
      </c>
      <c r="B2053">
        <v>2003</v>
      </c>
      <c r="C2053" t="s">
        <v>371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498</v>
      </c>
      <c r="B2054">
        <v>2002</v>
      </c>
      <c r="C2054" t="s">
        <v>371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498</v>
      </c>
      <c r="B2055">
        <v>2001</v>
      </c>
      <c r="C2055" t="s">
        <v>371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498</v>
      </c>
      <c r="B2056">
        <v>2000</v>
      </c>
      <c r="C2056" t="s">
        <v>371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499</v>
      </c>
      <c r="B2057">
        <v>2015</v>
      </c>
      <c r="C2057" t="s">
        <v>371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499</v>
      </c>
      <c r="B2058">
        <v>2014</v>
      </c>
      <c r="C2058" t="s">
        <v>371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499</v>
      </c>
      <c r="B2059">
        <v>2013</v>
      </c>
      <c r="C2059" t="s">
        <v>371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499</v>
      </c>
      <c r="B2060">
        <v>2012</v>
      </c>
      <c r="C2060" t="s">
        <v>371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499</v>
      </c>
      <c r="B2061">
        <v>2011</v>
      </c>
      <c r="C2061" t="s">
        <v>371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499</v>
      </c>
      <c r="B2062">
        <v>2010</v>
      </c>
      <c r="C2062" t="s">
        <v>371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499</v>
      </c>
      <c r="B2063">
        <v>2009</v>
      </c>
      <c r="C2063" t="s">
        <v>371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499</v>
      </c>
      <c r="B2064">
        <v>2008</v>
      </c>
      <c r="C2064" t="s">
        <v>371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499</v>
      </c>
      <c r="B2065">
        <v>2007</v>
      </c>
      <c r="C2065" t="s">
        <v>371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499</v>
      </c>
      <c r="B2066">
        <v>2006</v>
      </c>
      <c r="C2066" t="s">
        <v>371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499</v>
      </c>
      <c r="B2067">
        <v>2005</v>
      </c>
      <c r="C2067" t="s">
        <v>371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499</v>
      </c>
      <c r="B2068">
        <v>2004</v>
      </c>
      <c r="C2068" t="s">
        <v>371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499</v>
      </c>
      <c r="B2069">
        <v>2003</v>
      </c>
      <c r="C2069" t="s">
        <v>371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499</v>
      </c>
      <c r="B2070">
        <v>2002</v>
      </c>
      <c r="C2070" t="s">
        <v>371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499</v>
      </c>
      <c r="B2071">
        <v>2001</v>
      </c>
      <c r="C2071" t="s">
        <v>371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499</v>
      </c>
      <c r="B2072">
        <v>2000</v>
      </c>
      <c r="C2072" t="s">
        <v>371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500</v>
      </c>
      <c r="B2073">
        <v>2015</v>
      </c>
      <c r="C2073" t="s">
        <v>363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500</v>
      </c>
      <c r="B2074">
        <v>2014</v>
      </c>
      <c r="C2074" t="s">
        <v>363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500</v>
      </c>
      <c r="B2075">
        <v>2013</v>
      </c>
      <c r="C2075" t="s">
        <v>363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500</v>
      </c>
      <c r="B2076">
        <v>2012</v>
      </c>
      <c r="C2076" t="s">
        <v>363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500</v>
      </c>
      <c r="B2077">
        <v>2011</v>
      </c>
      <c r="C2077" t="s">
        <v>363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500</v>
      </c>
      <c r="B2078">
        <v>2010</v>
      </c>
      <c r="C2078" t="s">
        <v>363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500</v>
      </c>
      <c r="B2079">
        <v>2009</v>
      </c>
      <c r="C2079" t="s">
        <v>363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500</v>
      </c>
      <c r="B2080">
        <v>2008</v>
      </c>
      <c r="C2080" t="s">
        <v>363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500</v>
      </c>
      <c r="B2081">
        <v>2007</v>
      </c>
      <c r="C2081" t="s">
        <v>363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500</v>
      </c>
      <c r="B2082">
        <v>2006</v>
      </c>
      <c r="C2082" t="s">
        <v>363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500</v>
      </c>
      <c r="B2083">
        <v>2005</v>
      </c>
      <c r="C2083" t="s">
        <v>363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500</v>
      </c>
      <c r="B2084">
        <v>2004</v>
      </c>
      <c r="C2084" t="s">
        <v>363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500</v>
      </c>
      <c r="B2085">
        <v>2003</v>
      </c>
      <c r="C2085" t="s">
        <v>363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500</v>
      </c>
      <c r="B2086">
        <v>2002</v>
      </c>
      <c r="C2086" t="s">
        <v>363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500</v>
      </c>
      <c r="B2087">
        <v>2001</v>
      </c>
      <c r="C2087" t="s">
        <v>363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500</v>
      </c>
      <c r="B2088">
        <v>2000</v>
      </c>
      <c r="C2088" t="s">
        <v>363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501</v>
      </c>
      <c r="B2089">
        <v>2015</v>
      </c>
      <c r="C2089" t="s">
        <v>363</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501</v>
      </c>
      <c r="B2090">
        <v>2014</v>
      </c>
      <c r="C2090" t="s">
        <v>363</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501</v>
      </c>
      <c r="B2091">
        <v>2013</v>
      </c>
      <c r="C2091" t="s">
        <v>363</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501</v>
      </c>
      <c r="B2092">
        <v>2012</v>
      </c>
      <c r="C2092" t="s">
        <v>363</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501</v>
      </c>
      <c r="B2093">
        <v>2011</v>
      </c>
      <c r="C2093" t="s">
        <v>363</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501</v>
      </c>
      <c r="B2094">
        <v>2010</v>
      </c>
      <c r="C2094" t="s">
        <v>363</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501</v>
      </c>
      <c r="B2095">
        <v>2009</v>
      </c>
      <c r="C2095" t="s">
        <v>363</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501</v>
      </c>
      <c r="B2096">
        <v>2008</v>
      </c>
      <c r="C2096" t="s">
        <v>363</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501</v>
      </c>
      <c r="B2097">
        <v>2007</v>
      </c>
      <c r="C2097" t="s">
        <v>363</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501</v>
      </c>
      <c r="B2098">
        <v>2006</v>
      </c>
      <c r="C2098" t="s">
        <v>363</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501</v>
      </c>
      <c r="B2099">
        <v>2005</v>
      </c>
      <c r="C2099" t="s">
        <v>363</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501</v>
      </c>
      <c r="B2100">
        <v>2004</v>
      </c>
      <c r="C2100" t="s">
        <v>363</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501</v>
      </c>
      <c r="B2101">
        <v>2003</v>
      </c>
      <c r="C2101" t="s">
        <v>363</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501</v>
      </c>
      <c r="B2102">
        <v>2002</v>
      </c>
      <c r="C2102" t="s">
        <v>363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501</v>
      </c>
      <c r="B2103">
        <v>2001</v>
      </c>
      <c r="C2103" t="s">
        <v>363</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501</v>
      </c>
      <c r="B2104">
        <v>2000</v>
      </c>
      <c r="C2104" t="s">
        <v>363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502</v>
      </c>
      <c r="B2105">
        <v>2015</v>
      </c>
      <c r="C2105" t="s">
        <v>363</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502</v>
      </c>
      <c r="B2106">
        <v>2014</v>
      </c>
      <c r="C2106" t="s">
        <v>363</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502</v>
      </c>
      <c r="B2107">
        <v>2013</v>
      </c>
      <c r="C2107" t="s">
        <v>363</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502</v>
      </c>
      <c r="B2108">
        <v>2012</v>
      </c>
      <c r="C2108" t="s">
        <v>363</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502</v>
      </c>
      <c r="B2109">
        <v>2011</v>
      </c>
      <c r="C2109" t="s">
        <v>363</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502</v>
      </c>
      <c r="B2110">
        <v>2010</v>
      </c>
      <c r="C2110" t="s">
        <v>363</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502</v>
      </c>
      <c r="B2111">
        <v>2009</v>
      </c>
      <c r="C2111" t="s">
        <v>363</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502</v>
      </c>
      <c r="B2112">
        <v>2008</v>
      </c>
      <c r="C2112" t="s">
        <v>363</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502</v>
      </c>
      <c r="B2113">
        <v>2007</v>
      </c>
      <c r="C2113" t="s">
        <v>363</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502</v>
      </c>
      <c r="B2114">
        <v>2006</v>
      </c>
      <c r="C2114" t="s">
        <v>363</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502</v>
      </c>
      <c r="B2115">
        <v>2005</v>
      </c>
      <c r="C2115" t="s">
        <v>363</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502</v>
      </c>
      <c r="B2116">
        <v>2004</v>
      </c>
      <c r="C2116" t="s">
        <v>363</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502</v>
      </c>
      <c r="B2117">
        <v>2003</v>
      </c>
      <c r="C2117" t="s">
        <v>363</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502</v>
      </c>
      <c r="B2118">
        <v>2002</v>
      </c>
      <c r="C2118" t="s">
        <v>363</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502</v>
      </c>
      <c r="B2119">
        <v>2001</v>
      </c>
      <c r="C2119" t="s">
        <v>363</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502</v>
      </c>
      <c r="B2120">
        <v>2000</v>
      </c>
      <c r="C2120" t="s">
        <v>363</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503</v>
      </c>
      <c r="B2121">
        <v>2015</v>
      </c>
      <c r="C2121" t="s">
        <v>371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503</v>
      </c>
      <c r="B2122">
        <v>2014</v>
      </c>
      <c r="C2122" t="s">
        <v>371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503</v>
      </c>
      <c r="B2123">
        <v>2013</v>
      </c>
      <c r="C2123" t="s">
        <v>371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503</v>
      </c>
      <c r="B2124">
        <v>2012</v>
      </c>
      <c r="C2124" t="s">
        <v>371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503</v>
      </c>
      <c r="B2125">
        <v>2011</v>
      </c>
      <c r="C2125" t="s">
        <v>371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503</v>
      </c>
      <c r="B2126">
        <v>2010</v>
      </c>
      <c r="C2126" t="s">
        <v>371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503</v>
      </c>
      <c r="B2127">
        <v>2009</v>
      </c>
      <c r="C2127" t="s">
        <v>371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503</v>
      </c>
      <c r="B2128">
        <v>2008</v>
      </c>
      <c r="C2128" t="s">
        <v>371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503</v>
      </c>
      <c r="B2129">
        <v>2007</v>
      </c>
      <c r="C2129" t="s">
        <v>371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503</v>
      </c>
      <c r="B2130">
        <v>2006</v>
      </c>
      <c r="C2130" t="s">
        <v>371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503</v>
      </c>
      <c r="B2131">
        <v>2005</v>
      </c>
      <c r="C2131" t="s">
        <v>371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503</v>
      </c>
      <c r="B2132">
        <v>2004</v>
      </c>
      <c r="C2132" t="s">
        <v>371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503</v>
      </c>
      <c r="B2133">
        <v>2003</v>
      </c>
      <c r="C2133" t="s">
        <v>371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503</v>
      </c>
      <c r="B2134">
        <v>2002</v>
      </c>
      <c r="C2134" t="s">
        <v>371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503</v>
      </c>
      <c r="B2135">
        <v>2001</v>
      </c>
      <c r="C2135" t="s">
        <v>371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503</v>
      </c>
      <c r="B2136">
        <v>2000</v>
      </c>
      <c r="C2136" t="s">
        <v>371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504</v>
      </c>
      <c r="B2137">
        <v>2015</v>
      </c>
      <c r="C2137" t="s">
        <v>363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504</v>
      </c>
      <c r="B2138">
        <v>2014</v>
      </c>
      <c r="C2138" t="s">
        <v>363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504</v>
      </c>
      <c r="B2139">
        <v>2013</v>
      </c>
      <c r="C2139" t="s">
        <v>363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504</v>
      </c>
      <c r="B2140">
        <v>2012</v>
      </c>
      <c r="C2140" t="s">
        <v>363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504</v>
      </c>
      <c r="B2141">
        <v>2011</v>
      </c>
      <c r="C2141" t="s">
        <v>363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504</v>
      </c>
      <c r="B2142">
        <v>2010</v>
      </c>
      <c r="C2142" t="s">
        <v>363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504</v>
      </c>
      <c r="B2143">
        <v>2009</v>
      </c>
      <c r="C2143" t="s">
        <v>363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504</v>
      </c>
      <c r="B2144">
        <v>2008</v>
      </c>
      <c r="C2144" t="s">
        <v>363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504</v>
      </c>
      <c r="B2145">
        <v>2007</v>
      </c>
      <c r="C2145" t="s">
        <v>363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504</v>
      </c>
      <c r="B2146">
        <v>2006</v>
      </c>
      <c r="C2146" t="s">
        <v>363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504</v>
      </c>
      <c r="B2147">
        <v>2005</v>
      </c>
      <c r="C2147" t="s">
        <v>363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504</v>
      </c>
      <c r="B2148">
        <v>2004</v>
      </c>
      <c r="C2148" t="s">
        <v>363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504</v>
      </c>
      <c r="B2149">
        <v>2003</v>
      </c>
      <c r="C2149" t="s">
        <v>363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504</v>
      </c>
      <c r="B2150">
        <v>2002</v>
      </c>
      <c r="C2150" t="s">
        <v>363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504</v>
      </c>
      <c r="B2151">
        <v>2001</v>
      </c>
      <c r="C2151" t="s">
        <v>363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504</v>
      </c>
      <c r="B2152">
        <v>2000</v>
      </c>
      <c r="C2152" t="s">
        <v>363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505</v>
      </c>
      <c r="B2153">
        <v>2015</v>
      </c>
      <c r="C2153" t="s">
        <v>363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505</v>
      </c>
      <c r="B2154">
        <v>2014</v>
      </c>
      <c r="C2154" t="s">
        <v>363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505</v>
      </c>
      <c r="B2155">
        <v>2013</v>
      </c>
      <c r="C2155" t="s">
        <v>363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505</v>
      </c>
      <c r="B2156">
        <v>2012</v>
      </c>
      <c r="C2156" t="s">
        <v>363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505</v>
      </c>
      <c r="B2157">
        <v>2011</v>
      </c>
      <c r="C2157" t="s">
        <v>363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505</v>
      </c>
      <c r="B2158">
        <v>2010</v>
      </c>
      <c r="C2158" t="s">
        <v>363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505</v>
      </c>
      <c r="B2159">
        <v>2009</v>
      </c>
      <c r="C2159" t="s">
        <v>363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505</v>
      </c>
      <c r="B2160">
        <v>2008</v>
      </c>
      <c r="C2160" t="s">
        <v>363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505</v>
      </c>
      <c r="B2161">
        <v>2007</v>
      </c>
      <c r="C2161" t="s">
        <v>363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505</v>
      </c>
      <c r="B2162">
        <v>2006</v>
      </c>
      <c r="C2162" t="s">
        <v>363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505</v>
      </c>
      <c r="B2163">
        <v>2005</v>
      </c>
      <c r="C2163" t="s">
        <v>363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505</v>
      </c>
      <c r="B2164">
        <v>2004</v>
      </c>
      <c r="C2164" t="s">
        <v>363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505</v>
      </c>
      <c r="B2165">
        <v>2003</v>
      </c>
      <c r="C2165" t="s">
        <v>363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505</v>
      </c>
      <c r="B2166">
        <v>2002</v>
      </c>
      <c r="C2166" t="s">
        <v>363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505</v>
      </c>
      <c r="B2167">
        <v>2001</v>
      </c>
      <c r="C2167" t="s">
        <v>363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505</v>
      </c>
      <c r="B2168">
        <v>2000</v>
      </c>
      <c r="C2168" t="s">
        <v>363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506</v>
      </c>
      <c r="B2169">
        <v>2013</v>
      </c>
      <c r="C2169" t="s">
        <v>363</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507</v>
      </c>
      <c r="B2170">
        <v>2015</v>
      </c>
      <c r="C2170" t="s">
        <v>363</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507</v>
      </c>
      <c r="B2171">
        <v>2014</v>
      </c>
      <c r="C2171" t="s">
        <v>363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507</v>
      </c>
      <c r="B2172">
        <v>2013</v>
      </c>
      <c r="C2172" t="s">
        <v>363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507</v>
      </c>
      <c r="B2173">
        <v>2012</v>
      </c>
      <c r="C2173" t="s">
        <v>363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507</v>
      </c>
      <c r="B2174">
        <v>2011</v>
      </c>
      <c r="C2174" t="s">
        <v>363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507</v>
      </c>
      <c r="B2175">
        <v>2010</v>
      </c>
      <c r="C2175" t="s">
        <v>363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507</v>
      </c>
      <c r="B2176">
        <v>2009</v>
      </c>
      <c r="C2176" t="s">
        <v>363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507</v>
      </c>
      <c r="B2177">
        <v>2008</v>
      </c>
      <c r="C2177" t="s">
        <v>363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507</v>
      </c>
      <c r="B2178">
        <v>2007</v>
      </c>
      <c r="C2178" t="s">
        <v>363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507</v>
      </c>
      <c r="B2179">
        <v>2006</v>
      </c>
      <c r="C2179" t="s">
        <v>363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507</v>
      </c>
      <c r="B2180">
        <v>2005</v>
      </c>
      <c r="C2180" t="s">
        <v>363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507</v>
      </c>
      <c r="B2181">
        <v>2004</v>
      </c>
      <c r="C2181" t="s">
        <v>363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507</v>
      </c>
      <c r="B2182">
        <v>2003</v>
      </c>
      <c r="C2182" t="s">
        <v>363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507</v>
      </c>
      <c r="B2183">
        <v>2002</v>
      </c>
      <c r="C2183" t="s">
        <v>363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507</v>
      </c>
      <c r="B2184">
        <v>2001</v>
      </c>
      <c r="C2184" t="s">
        <v>363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507</v>
      </c>
      <c r="B2185">
        <v>2000</v>
      </c>
      <c r="C2185" t="s">
        <v>363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508</v>
      </c>
      <c r="B2186">
        <v>2015</v>
      </c>
      <c r="C2186" t="s">
        <v>363</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508</v>
      </c>
      <c r="B2187">
        <v>2014</v>
      </c>
      <c r="C2187" t="s">
        <v>363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508</v>
      </c>
      <c r="B2188">
        <v>2013</v>
      </c>
      <c r="C2188" t="s">
        <v>363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508</v>
      </c>
      <c r="B2189">
        <v>2012</v>
      </c>
      <c r="C2189" t="s">
        <v>363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508</v>
      </c>
      <c r="B2190">
        <v>2011</v>
      </c>
      <c r="C2190" t="s">
        <v>363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508</v>
      </c>
      <c r="B2191">
        <v>2010</v>
      </c>
      <c r="C2191" t="s">
        <v>363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508</v>
      </c>
      <c r="B2192">
        <v>2009</v>
      </c>
      <c r="C2192" t="s">
        <v>363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508</v>
      </c>
      <c r="B2193">
        <v>2008</v>
      </c>
      <c r="C2193" t="s">
        <v>363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508</v>
      </c>
      <c r="B2194">
        <v>2007</v>
      </c>
      <c r="C2194" t="s">
        <v>363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508</v>
      </c>
      <c r="B2195">
        <v>2006</v>
      </c>
      <c r="C2195" t="s">
        <v>363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508</v>
      </c>
      <c r="B2196">
        <v>2005</v>
      </c>
      <c r="C2196" t="s">
        <v>363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508</v>
      </c>
      <c r="B2197">
        <v>2004</v>
      </c>
      <c r="C2197" t="s">
        <v>363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508</v>
      </c>
      <c r="B2198">
        <v>2003</v>
      </c>
      <c r="C2198" t="s">
        <v>363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508</v>
      </c>
      <c r="B2199">
        <v>2002</v>
      </c>
      <c r="C2199" t="s">
        <v>363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508</v>
      </c>
      <c r="B2200">
        <v>2001</v>
      </c>
      <c r="C2200" t="s">
        <v>363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508</v>
      </c>
      <c r="B2201">
        <v>2000</v>
      </c>
      <c r="C2201" t="s">
        <v>363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509</v>
      </c>
      <c r="B2202">
        <v>2015</v>
      </c>
      <c r="C2202" t="s">
        <v>363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509</v>
      </c>
      <c r="B2203">
        <v>2014</v>
      </c>
      <c r="C2203" t="s">
        <v>363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509</v>
      </c>
      <c r="B2204">
        <v>2013</v>
      </c>
      <c r="C2204" t="s">
        <v>363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509</v>
      </c>
      <c r="B2205">
        <v>2012</v>
      </c>
      <c r="C2205" t="s">
        <v>363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509</v>
      </c>
      <c r="B2206">
        <v>2011</v>
      </c>
      <c r="C2206" t="s">
        <v>363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509</v>
      </c>
      <c r="B2207">
        <v>2010</v>
      </c>
      <c r="C2207" t="s">
        <v>363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509</v>
      </c>
      <c r="B2208">
        <v>2009</v>
      </c>
      <c r="C2208" t="s">
        <v>363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509</v>
      </c>
      <c r="B2209">
        <v>2008</v>
      </c>
      <c r="C2209" t="s">
        <v>363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509</v>
      </c>
      <c r="B2210">
        <v>2007</v>
      </c>
      <c r="C2210" t="s">
        <v>363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509</v>
      </c>
      <c r="B2211">
        <v>2006</v>
      </c>
      <c r="C2211" t="s">
        <v>363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509</v>
      </c>
      <c r="B2212">
        <v>2005</v>
      </c>
      <c r="C2212" t="s">
        <v>363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509</v>
      </c>
      <c r="B2213">
        <v>2004</v>
      </c>
      <c r="C2213" t="s">
        <v>363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509</v>
      </c>
      <c r="B2214">
        <v>2003</v>
      </c>
      <c r="C2214" t="s">
        <v>363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509</v>
      </c>
      <c r="B2215">
        <v>2002</v>
      </c>
      <c r="C2215" t="s">
        <v>363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509</v>
      </c>
      <c r="B2216">
        <v>2001</v>
      </c>
      <c r="C2216" t="s">
        <v>363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509</v>
      </c>
      <c r="B2217">
        <v>2000</v>
      </c>
      <c r="C2217" t="s">
        <v>363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510</v>
      </c>
      <c r="B2218">
        <v>2013</v>
      </c>
      <c r="C2218" t="s">
        <v>363</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511</v>
      </c>
      <c r="B2219">
        <v>2015</v>
      </c>
      <c r="C2219" t="s">
        <v>363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511</v>
      </c>
      <c r="B2220">
        <v>2014</v>
      </c>
      <c r="C2220" t="s">
        <v>363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511</v>
      </c>
      <c r="B2221">
        <v>2013</v>
      </c>
      <c r="C2221" t="s">
        <v>363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511</v>
      </c>
      <c r="B2222">
        <v>2012</v>
      </c>
      <c r="C2222" t="s">
        <v>363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511</v>
      </c>
      <c r="B2223">
        <v>2011</v>
      </c>
      <c r="C2223" t="s">
        <v>363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511</v>
      </c>
      <c r="B2224">
        <v>2010</v>
      </c>
      <c r="C2224" t="s">
        <v>363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511</v>
      </c>
      <c r="B2225">
        <v>2009</v>
      </c>
      <c r="C2225" t="s">
        <v>363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511</v>
      </c>
      <c r="B2226">
        <v>2008</v>
      </c>
      <c r="C2226" t="s">
        <v>363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511</v>
      </c>
      <c r="B2227">
        <v>2007</v>
      </c>
      <c r="C2227" t="s">
        <v>363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511</v>
      </c>
      <c r="B2228">
        <v>2006</v>
      </c>
      <c r="C2228" t="s">
        <v>363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511</v>
      </c>
      <c r="B2229">
        <v>2005</v>
      </c>
      <c r="C2229" t="s">
        <v>363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511</v>
      </c>
      <c r="B2230">
        <v>2004</v>
      </c>
      <c r="C2230" t="s">
        <v>363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511</v>
      </c>
      <c r="B2231">
        <v>2003</v>
      </c>
      <c r="C2231" t="s">
        <v>363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511</v>
      </c>
      <c r="B2232">
        <v>2002</v>
      </c>
      <c r="C2232" t="s">
        <v>363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511</v>
      </c>
      <c r="B2233">
        <v>2001</v>
      </c>
      <c r="C2233" t="s">
        <v>363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511</v>
      </c>
      <c r="B2234">
        <v>2000</v>
      </c>
      <c r="C2234" t="s">
        <v>363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512</v>
      </c>
      <c r="B2235">
        <v>2015</v>
      </c>
      <c r="C2235" t="s">
        <v>363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512</v>
      </c>
      <c r="B2236">
        <v>2014</v>
      </c>
      <c r="C2236" t="s">
        <v>363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512</v>
      </c>
      <c r="B2237">
        <v>2013</v>
      </c>
      <c r="C2237" t="s">
        <v>363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512</v>
      </c>
      <c r="B2238">
        <v>2012</v>
      </c>
      <c r="C2238" t="s">
        <v>363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512</v>
      </c>
      <c r="B2239">
        <v>2011</v>
      </c>
      <c r="C2239" t="s">
        <v>363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512</v>
      </c>
      <c r="B2240">
        <v>2010</v>
      </c>
      <c r="C2240" t="s">
        <v>363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512</v>
      </c>
      <c r="B2241">
        <v>2009</v>
      </c>
      <c r="C2241" t="s">
        <v>363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512</v>
      </c>
      <c r="B2242">
        <v>2008</v>
      </c>
      <c r="C2242" t="s">
        <v>363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512</v>
      </c>
      <c r="B2243">
        <v>2007</v>
      </c>
      <c r="C2243" t="s">
        <v>363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512</v>
      </c>
      <c r="B2244">
        <v>2006</v>
      </c>
      <c r="C2244" t="s">
        <v>363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512</v>
      </c>
      <c r="B2245">
        <v>2005</v>
      </c>
      <c r="C2245" t="s">
        <v>363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512</v>
      </c>
      <c r="B2246">
        <v>2004</v>
      </c>
      <c r="C2246" t="s">
        <v>363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512</v>
      </c>
      <c r="B2247">
        <v>2003</v>
      </c>
      <c r="C2247" t="s">
        <v>363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512</v>
      </c>
      <c r="B2248">
        <v>2002</v>
      </c>
      <c r="C2248" t="s">
        <v>363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512</v>
      </c>
      <c r="B2249">
        <v>2001</v>
      </c>
      <c r="C2249" t="s">
        <v>363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512</v>
      </c>
      <c r="B2250">
        <v>2000</v>
      </c>
      <c r="C2250" t="s">
        <v>363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513</v>
      </c>
      <c r="B2251">
        <v>2015</v>
      </c>
      <c r="C2251" t="s">
        <v>363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513</v>
      </c>
      <c r="B2252">
        <v>2014</v>
      </c>
      <c r="C2252" t="s">
        <v>363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513</v>
      </c>
      <c r="B2253">
        <v>2013</v>
      </c>
      <c r="C2253" t="s">
        <v>363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513</v>
      </c>
      <c r="B2254">
        <v>2012</v>
      </c>
      <c r="C2254" t="s">
        <v>363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513</v>
      </c>
      <c r="B2255">
        <v>2011</v>
      </c>
      <c r="C2255" t="s">
        <v>363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513</v>
      </c>
      <c r="B2256">
        <v>2010</v>
      </c>
      <c r="C2256" t="s">
        <v>363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513</v>
      </c>
      <c r="B2257">
        <v>2009</v>
      </c>
      <c r="C2257" t="s">
        <v>363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513</v>
      </c>
      <c r="B2258">
        <v>2008</v>
      </c>
      <c r="C2258" t="s">
        <v>363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513</v>
      </c>
      <c r="B2259">
        <v>2007</v>
      </c>
      <c r="C2259" t="s">
        <v>363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513</v>
      </c>
      <c r="B2260">
        <v>2006</v>
      </c>
      <c r="C2260" t="s">
        <v>363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513</v>
      </c>
      <c r="B2261">
        <v>2005</v>
      </c>
      <c r="C2261" t="s">
        <v>363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513</v>
      </c>
      <c r="B2262">
        <v>2004</v>
      </c>
      <c r="C2262" t="s">
        <v>363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513</v>
      </c>
      <c r="B2263">
        <v>2003</v>
      </c>
      <c r="C2263" t="s">
        <v>363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513</v>
      </c>
      <c r="B2264">
        <v>2002</v>
      </c>
      <c r="C2264" t="s">
        <v>363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513</v>
      </c>
      <c r="B2265">
        <v>2001</v>
      </c>
      <c r="C2265" t="s">
        <v>363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513</v>
      </c>
      <c r="B2266">
        <v>2000</v>
      </c>
      <c r="C2266" t="s">
        <v>363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514</v>
      </c>
      <c r="B2267">
        <v>2015</v>
      </c>
      <c r="C2267" t="s">
        <v>363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514</v>
      </c>
      <c r="B2268">
        <v>2014</v>
      </c>
      <c r="C2268" t="s">
        <v>363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514</v>
      </c>
      <c r="B2269">
        <v>2013</v>
      </c>
      <c r="C2269" t="s">
        <v>363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514</v>
      </c>
      <c r="B2270">
        <v>2012</v>
      </c>
      <c r="C2270" t="s">
        <v>363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514</v>
      </c>
      <c r="B2271">
        <v>2011</v>
      </c>
      <c r="C2271" t="s">
        <v>363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514</v>
      </c>
      <c r="B2272">
        <v>2010</v>
      </c>
      <c r="C2272" t="s">
        <v>363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514</v>
      </c>
      <c r="B2273">
        <v>2009</v>
      </c>
      <c r="C2273" t="s">
        <v>363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514</v>
      </c>
      <c r="B2274">
        <v>2008</v>
      </c>
      <c r="C2274" t="s">
        <v>363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514</v>
      </c>
      <c r="B2275">
        <v>2007</v>
      </c>
      <c r="C2275" t="s">
        <v>363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514</v>
      </c>
      <c r="B2276">
        <v>2006</v>
      </c>
      <c r="C2276" t="s">
        <v>363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514</v>
      </c>
      <c r="B2277">
        <v>2005</v>
      </c>
      <c r="C2277" t="s">
        <v>363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514</v>
      </c>
      <c r="B2278">
        <v>2004</v>
      </c>
      <c r="C2278" t="s">
        <v>363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514</v>
      </c>
      <c r="B2279">
        <v>2003</v>
      </c>
      <c r="C2279" t="s">
        <v>363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514</v>
      </c>
      <c r="B2280">
        <v>2002</v>
      </c>
      <c r="C2280" t="s">
        <v>363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514</v>
      </c>
      <c r="B2281">
        <v>2001</v>
      </c>
      <c r="C2281" t="s">
        <v>363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514</v>
      </c>
      <c r="B2282">
        <v>2000</v>
      </c>
      <c r="C2282" t="s">
        <v>363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515</v>
      </c>
      <c r="B2283">
        <v>2015</v>
      </c>
      <c r="C2283" t="s">
        <v>363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515</v>
      </c>
      <c r="B2284">
        <v>2014</v>
      </c>
      <c r="C2284" t="s">
        <v>363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515</v>
      </c>
      <c r="B2285">
        <v>2013</v>
      </c>
      <c r="C2285" t="s">
        <v>363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515</v>
      </c>
      <c r="B2286">
        <v>2012</v>
      </c>
      <c r="C2286" t="s">
        <v>363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515</v>
      </c>
      <c r="B2287">
        <v>2011</v>
      </c>
      <c r="C2287" t="s">
        <v>363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515</v>
      </c>
      <c r="B2288">
        <v>2010</v>
      </c>
      <c r="C2288" t="s">
        <v>363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515</v>
      </c>
      <c r="B2289">
        <v>2009</v>
      </c>
      <c r="C2289" t="s">
        <v>363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515</v>
      </c>
      <c r="B2290">
        <v>2008</v>
      </c>
      <c r="C2290" t="s">
        <v>363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515</v>
      </c>
      <c r="B2291">
        <v>2007</v>
      </c>
      <c r="C2291" t="s">
        <v>363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515</v>
      </c>
      <c r="B2292">
        <v>2006</v>
      </c>
      <c r="C2292" t="s">
        <v>363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515</v>
      </c>
      <c r="B2293">
        <v>2005</v>
      </c>
      <c r="C2293" t="s">
        <v>363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515</v>
      </c>
      <c r="B2294">
        <v>2004</v>
      </c>
      <c r="C2294" t="s">
        <v>363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515</v>
      </c>
      <c r="B2295">
        <v>2003</v>
      </c>
      <c r="C2295" t="s">
        <v>363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515</v>
      </c>
      <c r="B2296">
        <v>2002</v>
      </c>
      <c r="C2296" t="s">
        <v>363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515</v>
      </c>
      <c r="B2297">
        <v>2001</v>
      </c>
      <c r="C2297" t="s">
        <v>363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515</v>
      </c>
      <c r="B2298">
        <v>2000</v>
      </c>
      <c r="C2298" t="s">
        <v>363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516</v>
      </c>
      <c r="B2299">
        <v>2015</v>
      </c>
      <c r="C2299" t="s">
        <v>363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516</v>
      </c>
      <c r="B2300">
        <v>2014</v>
      </c>
      <c r="C2300" t="s">
        <v>363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516</v>
      </c>
      <c r="B2301">
        <v>2013</v>
      </c>
      <c r="C2301" t="s">
        <v>363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516</v>
      </c>
      <c r="B2302">
        <v>2012</v>
      </c>
      <c r="C2302" t="s">
        <v>363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516</v>
      </c>
      <c r="B2303">
        <v>2011</v>
      </c>
      <c r="C2303" t="s">
        <v>363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516</v>
      </c>
      <c r="B2304">
        <v>2010</v>
      </c>
      <c r="C2304" t="s">
        <v>363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516</v>
      </c>
      <c r="B2305">
        <v>2009</v>
      </c>
      <c r="C2305" t="s">
        <v>363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516</v>
      </c>
      <c r="B2306">
        <v>2008</v>
      </c>
      <c r="C2306" t="s">
        <v>363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516</v>
      </c>
      <c r="B2307">
        <v>2007</v>
      </c>
      <c r="C2307" t="s">
        <v>363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516</v>
      </c>
      <c r="B2308">
        <v>2006</v>
      </c>
      <c r="C2308" t="s">
        <v>363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516</v>
      </c>
      <c r="B2309">
        <v>2005</v>
      </c>
      <c r="C2309" t="s">
        <v>363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516</v>
      </c>
      <c r="B2310">
        <v>2004</v>
      </c>
      <c r="C2310" t="s">
        <v>363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516</v>
      </c>
      <c r="B2311">
        <v>2003</v>
      </c>
      <c r="C2311" t="s">
        <v>363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516</v>
      </c>
      <c r="B2312">
        <v>2002</v>
      </c>
      <c r="C2312" t="s">
        <v>363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516</v>
      </c>
      <c r="B2313">
        <v>2001</v>
      </c>
      <c r="C2313" t="s">
        <v>363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516</v>
      </c>
      <c r="B2314">
        <v>2000</v>
      </c>
      <c r="C2314" t="s">
        <v>363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517</v>
      </c>
      <c r="B2315">
        <v>2015</v>
      </c>
      <c r="C2315" t="s">
        <v>371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517</v>
      </c>
      <c r="B2316">
        <v>2014</v>
      </c>
      <c r="C2316" t="s">
        <v>371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517</v>
      </c>
      <c r="B2317">
        <v>2013</v>
      </c>
      <c r="C2317" t="s">
        <v>371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517</v>
      </c>
      <c r="B2318">
        <v>2012</v>
      </c>
      <c r="C2318" t="s">
        <v>371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517</v>
      </c>
      <c r="B2319">
        <v>2011</v>
      </c>
      <c r="C2319" t="s">
        <v>371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517</v>
      </c>
      <c r="B2320">
        <v>2010</v>
      </c>
      <c r="C2320" t="s">
        <v>371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517</v>
      </c>
      <c r="B2321">
        <v>2009</v>
      </c>
      <c r="C2321" t="s">
        <v>371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517</v>
      </c>
      <c r="B2322">
        <v>2008</v>
      </c>
      <c r="C2322" t="s">
        <v>371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517</v>
      </c>
      <c r="B2323">
        <v>2007</v>
      </c>
      <c r="C2323" t="s">
        <v>371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517</v>
      </c>
      <c r="B2324">
        <v>2006</v>
      </c>
      <c r="C2324" t="s">
        <v>371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517</v>
      </c>
      <c r="B2325">
        <v>2005</v>
      </c>
      <c r="C2325" t="s">
        <v>371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517</v>
      </c>
      <c r="B2326">
        <v>2004</v>
      </c>
      <c r="C2326" t="s">
        <v>371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517</v>
      </c>
      <c r="B2327">
        <v>2003</v>
      </c>
      <c r="C2327" t="s">
        <v>371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517</v>
      </c>
      <c r="B2328">
        <v>2002</v>
      </c>
      <c r="C2328" t="s">
        <v>371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517</v>
      </c>
      <c r="B2329">
        <v>2001</v>
      </c>
      <c r="C2329" t="s">
        <v>371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517</v>
      </c>
      <c r="B2330">
        <v>2000</v>
      </c>
      <c r="C2330" t="s">
        <v>371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518</v>
      </c>
      <c r="B2331">
        <v>2015</v>
      </c>
      <c r="C2331" t="s">
        <v>371</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518</v>
      </c>
      <c r="B2332">
        <v>2014</v>
      </c>
      <c r="C2332" t="s">
        <v>371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518</v>
      </c>
      <c r="B2333">
        <v>2013</v>
      </c>
      <c r="C2333" t="s">
        <v>371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518</v>
      </c>
      <c r="B2334">
        <v>2012</v>
      </c>
      <c r="C2334" t="s">
        <v>371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518</v>
      </c>
      <c r="B2335">
        <v>2011</v>
      </c>
      <c r="C2335" t="s">
        <v>371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518</v>
      </c>
      <c r="B2336">
        <v>2010</v>
      </c>
      <c r="C2336" t="s">
        <v>371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518</v>
      </c>
      <c r="B2337">
        <v>2009</v>
      </c>
      <c r="C2337" t="s">
        <v>371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518</v>
      </c>
      <c r="B2338">
        <v>2008</v>
      </c>
      <c r="C2338" t="s">
        <v>371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518</v>
      </c>
      <c r="B2339">
        <v>2007</v>
      </c>
      <c r="C2339" t="s">
        <v>371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518</v>
      </c>
      <c r="B2340">
        <v>2006</v>
      </c>
      <c r="C2340" t="s">
        <v>371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518</v>
      </c>
      <c r="B2341">
        <v>2005</v>
      </c>
      <c r="C2341" t="s">
        <v>371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518</v>
      </c>
      <c r="B2342">
        <v>2004</v>
      </c>
      <c r="C2342" t="s">
        <v>371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518</v>
      </c>
      <c r="B2343">
        <v>2003</v>
      </c>
      <c r="C2343" t="s">
        <v>371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518</v>
      </c>
      <c r="B2344">
        <v>2002</v>
      </c>
      <c r="C2344" t="s">
        <v>371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518</v>
      </c>
      <c r="B2345">
        <v>2001</v>
      </c>
      <c r="C2345" t="s">
        <v>371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518</v>
      </c>
      <c r="B2346">
        <v>2000</v>
      </c>
      <c r="C2346" t="s">
        <v>371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519</v>
      </c>
      <c r="B2347">
        <v>2015</v>
      </c>
      <c r="C2347" t="s">
        <v>371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519</v>
      </c>
      <c r="B2348">
        <v>2014</v>
      </c>
      <c r="C2348" t="s">
        <v>371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519</v>
      </c>
      <c r="B2349">
        <v>2013</v>
      </c>
      <c r="C2349" t="s">
        <v>371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519</v>
      </c>
      <c r="B2350">
        <v>2012</v>
      </c>
      <c r="C2350" t="s">
        <v>371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519</v>
      </c>
      <c r="B2351">
        <v>2011</v>
      </c>
      <c r="C2351" t="s">
        <v>371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519</v>
      </c>
      <c r="B2352">
        <v>2010</v>
      </c>
      <c r="C2352" t="s">
        <v>371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519</v>
      </c>
      <c r="B2353">
        <v>2009</v>
      </c>
      <c r="C2353" t="s">
        <v>371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519</v>
      </c>
      <c r="B2354">
        <v>2008</v>
      </c>
      <c r="C2354" t="s">
        <v>371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519</v>
      </c>
      <c r="B2355">
        <v>2007</v>
      </c>
      <c r="C2355" t="s">
        <v>371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519</v>
      </c>
      <c r="B2356">
        <v>2006</v>
      </c>
      <c r="C2356" t="s">
        <v>371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519</v>
      </c>
      <c r="B2357">
        <v>2005</v>
      </c>
      <c r="C2357" t="s">
        <v>371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519</v>
      </c>
      <c r="B2358">
        <v>2004</v>
      </c>
      <c r="C2358" t="s">
        <v>371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519</v>
      </c>
      <c r="B2359">
        <v>2003</v>
      </c>
      <c r="C2359" t="s">
        <v>371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519</v>
      </c>
      <c r="B2360">
        <v>2002</v>
      </c>
      <c r="C2360" t="s">
        <v>371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519</v>
      </c>
      <c r="B2361">
        <v>2001</v>
      </c>
      <c r="C2361" t="s">
        <v>371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519</v>
      </c>
      <c r="B2362">
        <v>2000</v>
      </c>
      <c r="C2362" t="s">
        <v>371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520</v>
      </c>
      <c r="B2363">
        <v>2015</v>
      </c>
      <c r="C2363" t="s">
        <v>363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520</v>
      </c>
      <c r="B2364">
        <v>2014</v>
      </c>
      <c r="C2364" t="s">
        <v>363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520</v>
      </c>
      <c r="B2365">
        <v>2013</v>
      </c>
      <c r="C2365" t="s">
        <v>363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520</v>
      </c>
      <c r="B2366">
        <v>2012</v>
      </c>
      <c r="C2366" t="s">
        <v>363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520</v>
      </c>
      <c r="B2367">
        <v>2011</v>
      </c>
      <c r="C2367" t="s">
        <v>363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520</v>
      </c>
      <c r="B2368">
        <v>2010</v>
      </c>
      <c r="C2368" t="s">
        <v>363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520</v>
      </c>
      <c r="B2369">
        <v>2009</v>
      </c>
      <c r="C2369" t="s">
        <v>363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520</v>
      </c>
      <c r="B2370">
        <v>2008</v>
      </c>
      <c r="C2370" t="s">
        <v>363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520</v>
      </c>
      <c r="B2371">
        <v>2007</v>
      </c>
      <c r="C2371" t="s">
        <v>363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520</v>
      </c>
      <c r="B2372">
        <v>2006</v>
      </c>
      <c r="C2372" t="s">
        <v>363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520</v>
      </c>
      <c r="B2373">
        <v>2005</v>
      </c>
      <c r="C2373" t="s">
        <v>363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520</v>
      </c>
      <c r="B2374">
        <v>2004</v>
      </c>
      <c r="C2374" t="s">
        <v>363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520</v>
      </c>
      <c r="B2375">
        <v>2003</v>
      </c>
      <c r="C2375" t="s">
        <v>363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520</v>
      </c>
      <c r="B2376">
        <v>2002</v>
      </c>
      <c r="C2376" t="s">
        <v>363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520</v>
      </c>
      <c r="B2377">
        <v>2001</v>
      </c>
      <c r="C2377" t="s">
        <v>363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520</v>
      </c>
      <c r="B2378">
        <v>2000</v>
      </c>
      <c r="C2378" t="s">
        <v>363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521</v>
      </c>
      <c r="B2379">
        <v>2015</v>
      </c>
      <c r="C2379" t="s">
        <v>363</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521</v>
      </c>
      <c r="B2380">
        <v>2014</v>
      </c>
      <c r="C2380" t="s">
        <v>363</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521</v>
      </c>
      <c r="B2381">
        <v>2013</v>
      </c>
      <c r="C2381" t="s">
        <v>363</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521</v>
      </c>
      <c r="B2382">
        <v>2012</v>
      </c>
      <c r="C2382" t="s">
        <v>363</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521</v>
      </c>
      <c r="B2383">
        <v>2011</v>
      </c>
      <c r="C2383" t="s">
        <v>363</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521</v>
      </c>
      <c r="B2384">
        <v>2010</v>
      </c>
      <c r="C2384" t="s">
        <v>363</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521</v>
      </c>
      <c r="B2385">
        <v>2009</v>
      </c>
      <c r="C2385" t="s">
        <v>363</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521</v>
      </c>
      <c r="B2386">
        <v>2008</v>
      </c>
      <c r="C2386" t="s">
        <v>363</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521</v>
      </c>
      <c r="B2387">
        <v>2007</v>
      </c>
      <c r="C2387" t="s">
        <v>363</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521</v>
      </c>
      <c r="B2388">
        <v>2006</v>
      </c>
      <c r="C2388" t="s">
        <v>363</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521</v>
      </c>
      <c r="B2389">
        <v>2005</v>
      </c>
      <c r="C2389" t="s">
        <v>363</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521</v>
      </c>
      <c r="B2390">
        <v>2004</v>
      </c>
      <c r="C2390" t="s">
        <v>363</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521</v>
      </c>
      <c r="B2391">
        <v>2003</v>
      </c>
      <c r="C2391" t="s">
        <v>363</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521</v>
      </c>
      <c r="B2392">
        <v>2002</v>
      </c>
      <c r="C2392" t="s">
        <v>363</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521</v>
      </c>
      <c r="B2393">
        <v>2001</v>
      </c>
      <c r="C2393" t="s">
        <v>363</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521</v>
      </c>
      <c r="B2394">
        <v>2000</v>
      </c>
      <c r="C2394" t="s">
        <v>363</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522</v>
      </c>
      <c r="B2395">
        <v>2015</v>
      </c>
      <c r="C2395" t="s">
        <v>363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522</v>
      </c>
      <c r="B2396">
        <v>2014</v>
      </c>
      <c r="C2396" t="s">
        <v>363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522</v>
      </c>
      <c r="B2397">
        <v>2013</v>
      </c>
      <c r="C2397" t="s">
        <v>363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522</v>
      </c>
      <c r="B2398">
        <v>2012</v>
      </c>
      <c r="C2398" t="s">
        <v>363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522</v>
      </c>
      <c r="B2399">
        <v>2011</v>
      </c>
      <c r="C2399" t="s">
        <v>363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522</v>
      </c>
      <c r="B2400">
        <v>2010</v>
      </c>
      <c r="C2400" t="s">
        <v>363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522</v>
      </c>
      <c r="B2401">
        <v>2009</v>
      </c>
      <c r="C2401" t="s">
        <v>363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522</v>
      </c>
      <c r="B2402">
        <v>2008</v>
      </c>
      <c r="C2402" t="s">
        <v>363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522</v>
      </c>
      <c r="B2403">
        <v>2007</v>
      </c>
      <c r="C2403" t="s">
        <v>363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522</v>
      </c>
      <c r="B2404">
        <v>2006</v>
      </c>
      <c r="C2404" t="s">
        <v>363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522</v>
      </c>
      <c r="B2405">
        <v>2005</v>
      </c>
      <c r="C2405" t="s">
        <v>363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522</v>
      </c>
      <c r="B2406">
        <v>2004</v>
      </c>
      <c r="C2406" t="s">
        <v>363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522</v>
      </c>
      <c r="B2407">
        <v>2003</v>
      </c>
      <c r="C2407" t="s">
        <v>363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522</v>
      </c>
      <c r="B2408">
        <v>2002</v>
      </c>
      <c r="C2408" t="s">
        <v>363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522</v>
      </c>
      <c r="B2409">
        <v>2001</v>
      </c>
      <c r="C2409" t="s">
        <v>363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522</v>
      </c>
      <c r="B2410">
        <v>2000</v>
      </c>
      <c r="C2410" t="s">
        <v>363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523</v>
      </c>
      <c r="B2411">
        <v>2015</v>
      </c>
      <c r="C2411" t="s">
        <v>363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523</v>
      </c>
      <c r="B2412">
        <v>2014</v>
      </c>
      <c r="C2412" t="s">
        <v>363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523</v>
      </c>
      <c r="B2413">
        <v>2013</v>
      </c>
      <c r="C2413" t="s">
        <v>363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523</v>
      </c>
      <c r="B2414">
        <v>2012</v>
      </c>
      <c r="C2414" t="s">
        <v>363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523</v>
      </c>
      <c r="B2415">
        <v>2011</v>
      </c>
      <c r="C2415" t="s">
        <v>363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523</v>
      </c>
      <c r="B2416">
        <v>2010</v>
      </c>
      <c r="C2416" t="s">
        <v>363</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523</v>
      </c>
      <c r="B2417">
        <v>2009</v>
      </c>
      <c r="C2417" t="s">
        <v>363</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523</v>
      </c>
      <c r="B2418">
        <v>2008</v>
      </c>
      <c r="C2418" t="s">
        <v>363</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523</v>
      </c>
      <c r="B2419">
        <v>2007</v>
      </c>
      <c r="C2419" t="s">
        <v>363</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523</v>
      </c>
      <c r="B2420">
        <v>2006</v>
      </c>
      <c r="C2420" t="s">
        <v>363</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523</v>
      </c>
      <c r="B2421">
        <v>2005</v>
      </c>
      <c r="C2421" t="s">
        <v>363</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523</v>
      </c>
      <c r="B2422">
        <v>2004</v>
      </c>
      <c r="C2422" t="s">
        <v>363</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523</v>
      </c>
      <c r="B2423">
        <v>2003</v>
      </c>
      <c r="C2423" t="s">
        <v>363</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523</v>
      </c>
      <c r="B2424">
        <v>2002</v>
      </c>
      <c r="C2424" t="s">
        <v>363</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523</v>
      </c>
      <c r="B2425">
        <v>2001</v>
      </c>
      <c r="C2425" t="s">
        <v>363</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523</v>
      </c>
      <c r="B2426">
        <v>2000</v>
      </c>
      <c r="C2426" t="s">
        <v>363</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524</v>
      </c>
      <c r="B2427">
        <v>2015</v>
      </c>
      <c r="C2427" t="s">
        <v>371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524</v>
      </c>
      <c r="B2428">
        <v>2014</v>
      </c>
      <c r="C2428" t="s">
        <v>371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524</v>
      </c>
      <c r="B2429">
        <v>2013</v>
      </c>
      <c r="C2429" t="s">
        <v>371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524</v>
      </c>
      <c r="B2430">
        <v>2012</v>
      </c>
      <c r="C2430" t="s">
        <v>371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524</v>
      </c>
      <c r="B2431">
        <v>2011</v>
      </c>
      <c r="C2431" t="s">
        <v>371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524</v>
      </c>
      <c r="B2432">
        <v>2010</v>
      </c>
      <c r="C2432" t="s">
        <v>371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524</v>
      </c>
      <c r="B2433">
        <v>2009</v>
      </c>
      <c r="C2433" t="s">
        <v>371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524</v>
      </c>
      <c r="B2434">
        <v>2008</v>
      </c>
      <c r="C2434" t="s">
        <v>371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524</v>
      </c>
      <c r="B2435">
        <v>2007</v>
      </c>
      <c r="C2435" t="s">
        <v>371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524</v>
      </c>
      <c r="B2436">
        <v>2006</v>
      </c>
      <c r="C2436" t="s">
        <v>371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524</v>
      </c>
      <c r="B2437">
        <v>2005</v>
      </c>
      <c r="C2437" t="s">
        <v>371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524</v>
      </c>
      <c r="B2438">
        <v>2004</v>
      </c>
      <c r="C2438" t="s">
        <v>371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524</v>
      </c>
      <c r="B2439">
        <v>2003</v>
      </c>
      <c r="C2439" t="s">
        <v>371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524</v>
      </c>
      <c r="B2440">
        <v>2002</v>
      </c>
      <c r="C2440" t="s">
        <v>371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524</v>
      </c>
      <c r="B2441">
        <v>2001</v>
      </c>
      <c r="C2441" t="s">
        <v>371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524</v>
      </c>
      <c r="B2442">
        <v>2000</v>
      </c>
      <c r="C2442" t="s">
        <v>371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525</v>
      </c>
      <c r="B2443">
        <v>2015</v>
      </c>
      <c r="C2443" t="s">
        <v>363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525</v>
      </c>
      <c r="B2444">
        <v>2014</v>
      </c>
      <c r="C2444" t="s">
        <v>363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525</v>
      </c>
      <c r="B2445">
        <v>2013</v>
      </c>
      <c r="C2445" t="s">
        <v>363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525</v>
      </c>
      <c r="B2446">
        <v>2012</v>
      </c>
      <c r="C2446" t="s">
        <v>363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525</v>
      </c>
      <c r="B2447">
        <v>2011</v>
      </c>
      <c r="C2447" t="s">
        <v>363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525</v>
      </c>
      <c r="B2448">
        <v>2010</v>
      </c>
      <c r="C2448" t="s">
        <v>363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525</v>
      </c>
      <c r="B2449">
        <v>2009</v>
      </c>
      <c r="C2449" t="s">
        <v>363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525</v>
      </c>
      <c r="B2450">
        <v>2008</v>
      </c>
      <c r="C2450" t="s">
        <v>363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525</v>
      </c>
      <c r="B2451">
        <v>2007</v>
      </c>
      <c r="C2451" t="s">
        <v>363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525</v>
      </c>
      <c r="B2452">
        <v>2006</v>
      </c>
      <c r="C2452" t="s">
        <v>363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525</v>
      </c>
      <c r="B2453">
        <v>2005</v>
      </c>
      <c r="C2453" t="s">
        <v>363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525</v>
      </c>
      <c r="B2454">
        <v>2004</v>
      </c>
      <c r="C2454" t="s">
        <v>363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525</v>
      </c>
      <c r="B2455">
        <v>2003</v>
      </c>
      <c r="C2455" t="s">
        <v>363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525</v>
      </c>
      <c r="B2456">
        <v>2002</v>
      </c>
      <c r="C2456" t="s">
        <v>363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525</v>
      </c>
      <c r="B2457">
        <v>2001</v>
      </c>
      <c r="C2457" t="s">
        <v>363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525</v>
      </c>
      <c r="B2458">
        <v>2000</v>
      </c>
      <c r="C2458" t="s">
        <v>363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526</v>
      </c>
      <c r="B2459">
        <v>2015</v>
      </c>
      <c r="C2459" t="s">
        <v>363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526</v>
      </c>
      <c r="B2460">
        <v>2014</v>
      </c>
      <c r="C2460" t="s">
        <v>363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526</v>
      </c>
      <c r="B2461">
        <v>2013</v>
      </c>
      <c r="C2461" t="s">
        <v>363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526</v>
      </c>
      <c r="B2462">
        <v>2012</v>
      </c>
      <c r="C2462" t="s">
        <v>363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526</v>
      </c>
      <c r="B2463">
        <v>2011</v>
      </c>
      <c r="C2463" t="s">
        <v>363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526</v>
      </c>
      <c r="B2464">
        <v>2010</v>
      </c>
      <c r="C2464" t="s">
        <v>363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526</v>
      </c>
      <c r="B2465">
        <v>2009</v>
      </c>
      <c r="C2465" t="s">
        <v>363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526</v>
      </c>
      <c r="B2466">
        <v>2008</v>
      </c>
      <c r="C2466" t="s">
        <v>363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526</v>
      </c>
      <c r="B2467">
        <v>2007</v>
      </c>
      <c r="C2467" t="s">
        <v>363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526</v>
      </c>
      <c r="B2468">
        <v>2006</v>
      </c>
      <c r="C2468" t="s">
        <v>363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526</v>
      </c>
      <c r="B2469">
        <v>2005</v>
      </c>
      <c r="C2469" t="s">
        <v>363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526</v>
      </c>
      <c r="B2470">
        <v>2004</v>
      </c>
      <c r="C2470" t="s">
        <v>363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526</v>
      </c>
      <c r="B2471">
        <v>2003</v>
      </c>
      <c r="C2471" t="s">
        <v>363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526</v>
      </c>
      <c r="B2472">
        <v>2002</v>
      </c>
      <c r="C2472" t="s">
        <v>363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526</v>
      </c>
      <c r="B2473">
        <v>2001</v>
      </c>
      <c r="C2473" t="s">
        <v>363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526</v>
      </c>
      <c r="B2474">
        <v>2000</v>
      </c>
      <c r="C2474" t="s">
        <v>363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527</v>
      </c>
      <c r="B2475">
        <v>2015</v>
      </c>
      <c r="C2475" t="s">
        <v>363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527</v>
      </c>
      <c r="B2476">
        <v>2014</v>
      </c>
      <c r="C2476" t="s">
        <v>363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527</v>
      </c>
      <c r="B2477">
        <v>2013</v>
      </c>
      <c r="C2477" t="s">
        <v>363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527</v>
      </c>
      <c r="B2478">
        <v>2012</v>
      </c>
      <c r="C2478" t="s">
        <v>363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527</v>
      </c>
      <c r="B2479">
        <v>2011</v>
      </c>
      <c r="C2479" t="s">
        <v>363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527</v>
      </c>
      <c r="B2480">
        <v>2010</v>
      </c>
      <c r="C2480" t="s">
        <v>363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527</v>
      </c>
      <c r="B2481">
        <v>2009</v>
      </c>
      <c r="C2481" t="s">
        <v>363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527</v>
      </c>
      <c r="B2482">
        <v>2008</v>
      </c>
      <c r="C2482" t="s">
        <v>363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527</v>
      </c>
      <c r="B2483">
        <v>2007</v>
      </c>
      <c r="C2483" t="s">
        <v>363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527</v>
      </c>
      <c r="B2484">
        <v>2006</v>
      </c>
      <c r="C2484" t="s">
        <v>363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527</v>
      </c>
      <c r="B2485">
        <v>2005</v>
      </c>
      <c r="C2485" t="s">
        <v>363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527</v>
      </c>
      <c r="B2486">
        <v>2004</v>
      </c>
      <c r="C2486" t="s">
        <v>363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527</v>
      </c>
      <c r="B2487">
        <v>2003</v>
      </c>
      <c r="C2487" t="s">
        <v>363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527</v>
      </c>
      <c r="B2488">
        <v>2002</v>
      </c>
      <c r="C2488" t="s">
        <v>363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527</v>
      </c>
      <c r="B2489">
        <v>2001</v>
      </c>
      <c r="C2489" t="s">
        <v>363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527</v>
      </c>
      <c r="B2490">
        <v>2000</v>
      </c>
      <c r="C2490" t="s">
        <v>363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528</v>
      </c>
      <c r="B2491">
        <v>2015</v>
      </c>
      <c r="C2491" t="s">
        <v>363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528</v>
      </c>
      <c r="B2492">
        <v>2014</v>
      </c>
      <c r="C2492" t="s">
        <v>363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528</v>
      </c>
      <c r="B2493">
        <v>2013</v>
      </c>
      <c r="C2493" t="s">
        <v>363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528</v>
      </c>
      <c r="B2494">
        <v>2012</v>
      </c>
      <c r="C2494" t="s">
        <v>363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528</v>
      </c>
      <c r="B2495">
        <v>2011</v>
      </c>
      <c r="C2495" t="s">
        <v>363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528</v>
      </c>
      <c r="B2496">
        <v>2010</v>
      </c>
      <c r="C2496" t="s">
        <v>363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528</v>
      </c>
      <c r="B2497">
        <v>2009</v>
      </c>
      <c r="C2497" t="s">
        <v>363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528</v>
      </c>
      <c r="B2498">
        <v>2008</v>
      </c>
      <c r="C2498" t="s">
        <v>363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528</v>
      </c>
      <c r="B2499">
        <v>2007</v>
      </c>
      <c r="C2499" t="s">
        <v>363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528</v>
      </c>
      <c r="B2500">
        <v>2006</v>
      </c>
      <c r="C2500" t="s">
        <v>363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528</v>
      </c>
      <c r="B2501">
        <v>2005</v>
      </c>
      <c r="C2501" t="s">
        <v>363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528</v>
      </c>
      <c r="B2502">
        <v>2004</v>
      </c>
      <c r="C2502" t="s">
        <v>363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528</v>
      </c>
      <c r="B2503">
        <v>2003</v>
      </c>
      <c r="C2503" t="s">
        <v>363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528</v>
      </c>
      <c r="B2504">
        <v>2002</v>
      </c>
      <c r="C2504" t="s">
        <v>363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528</v>
      </c>
      <c r="B2505">
        <v>2001</v>
      </c>
      <c r="C2505" t="s">
        <v>363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528</v>
      </c>
      <c r="B2506">
        <v>2000</v>
      </c>
      <c r="C2506" t="s">
        <v>363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529</v>
      </c>
      <c r="B2507">
        <v>2015</v>
      </c>
      <c r="C2507" t="s">
        <v>371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529</v>
      </c>
      <c r="B2508">
        <v>2014</v>
      </c>
      <c r="C2508" t="s">
        <v>371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529</v>
      </c>
      <c r="B2509">
        <v>2013</v>
      </c>
      <c r="C2509" t="s">
        <v>371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529</v>
      </c>
      <c r="B2510">
        <v>2012</v>
      </c>
      <c r="C2510" t="s">
        <v>371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529</v>
      </c>
      <c r="B2511">
        <v>2011</v>
      </c>
      <c r="C2511" t="s">
        <v>371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529</v>
      </c>
      <c r="B2512">
        <v>2010</v>
      </c>
      <c r="C2512" t="s">
        <v>371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529</v>
      </c>
      <c r="B2513">
        <v>2009</v>
      </c>
      <c r="C2513" t="s">
        <v>371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529</v>
      </c>
      <c r="B2514">
        <v>2008</v>
      </c>
      <c r="C2514" t="s">
        <v>371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529</v>
      </c>
      <c r="B2515">
        <v>2007</v>
      </c>
      <c r="C2515" t="s">
        <v>371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529</v>
      </c>
      <c r="B2516">
        <v>2006</v>
      </c>
      <c r="C2516" t="s">
        <v>371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529</v>
      </c>
      <c r="B2517">
        <v>2005</v>
      </c>
      <c r="C2517" t="s">
        <v>371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529</v>
      </c>
      <c r="B2518">
        <v>2004</v>
      </c>
      <c r="C2518" t="s">
        <v>371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529</v>
      </c>
      <c r="B2519">
        <v>2003</v>
      </c>
      <c r="C2519" t="s">
        <v>371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529</v>
      </c>
      <c r="B2520">
        <v>2002</v>
      </c>
      <c r="C2520" t="s">
        <v>371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529</v>
      </c>
      <c r="B2521">
        <v>2001</v>
      </c>
      <c r="C2521" t="s">
        <v>371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529</v>
      </c>
      <c r="B2522">
        <v>2000</v>
      </c>
      <c r="C2522" t="s">
        <v>371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530</v>
      </c>
      <c r="B2523">
        <v>2015</v>
      </c>
      <c r="C2523" t="s">
        <v>371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530</v>
      </c>
      <c r="B2524">
        <v>2014</v>
      </c>
      <c r="C2524" t="s">
        <v>371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530</v>
      </c>
      <c r="B2525">
        <v>2013</v>
      </c>
      <c r="C2525" t="s">
        <v>371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530</v>
      </c>
      <c r="B2526">
        <v>2012</v>
      </c>
      <c r="C2526" t="s">
        <v>371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530</v>
      </c>
      <c r="B2527">
        <v>2011</v>
      </c>
      <c r="C2527" t="s">
        <v>371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530</v>
      </c>
      <c r="B2528">
        <v>2010</v>
      </c>
      <c r="C2528" t="s">
        <v>371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530</v>
      </c>
      <c r="B2529">
        <v>2009</v>
      </c>
      <c r="C2529" t="s">
        <v>371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530</v>
      </c>
      <c r="B2530">
        <v>2008</v>
      </c>
      <c r="C2530" t="s">
        <v>371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530</v>
      </c>
      <c r="B2531">
        <v>2007</v>
      </c>
      <c r="C2531" t="s">
        <v>371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530</v>
      </c>
      <c r="B2532">
        <v>2006</v>
      </c>
      <c r="C2532" t="s">
        <v>371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530</v>
      </c>
      <c r="B2533">
        <v>2005</v>
      </c>
      <c r="C2533" t="s">
        <v>371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530</v>
      </c>
      <c r="B2534">
        <v>2004</v>
      </c>
      <c r="C2534" t="s">
        <v>371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530</v>
      </c>
      <c r="B2535">
        <v>2003</v>
      </c>
      <c r="C2535" t="s">
        <v>371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530</v>
      </c>
      <c r="B2536">
        <v>2002</v>
      </c>
      <c r="C2536" t="s">
        <v>371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530</v>
      </c>
      <c r="B2537">
        <v>2001</v>
      </c>
      <c r="C2537" t="s">
        <v>371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530</v>
      </c>
      <c r="B2538">
        <v>2000</v>
      </c>
      <c r="C2538" t="s">
        <v>371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531</v>
      </c>
      <c r="B2539">
        <v>2015</v>
      </c>
      <c r="C2539" t="s">
        <v>363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531</v>
      </c>
      <c r="B2540">
        <v>2014</v>
      </c>
      <c r="C2540" t="s">
        <v>363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531</v>
      </c>
      <c r="B2541">
        <v>2013</v>
      </c>
      <c r="C2541" t="s">
        <v>363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531</v>
      </c>
      <c r="B2542">
        <v>2012</v>
      </c>
      <c r="C2542" t="s">
        <v>363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531</v>
      </c>
      <c r="B2543">
        <v>2011</v>
      </c>
      <c r="C2543" t="s">
        <v>363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531</v>
      </c>
      <c r="B2544">
        <v>2010</v>
      </c>
      <c r="C2544" t="s">
        <v>363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531</v>
      </c>
      <c r="B2545">
        <v>2009</v>
      </c>
      <c r="C2545" t="s">
        <v>363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531</v>
      </c>
      <c r="B2546">
        <v>2008</v>
      </c>
      <c r="C2546" t="s">
        <v>363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531</v>
      </c>
      <c r="B2547">
        <v>2007</v>
      </c>
      <c r="C2547" t="s">
        <v>363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531</v>
      </c>
      <c r="B2548">
        <v>2006</v>
      </c>
      <c r="C2548" t="s">
        <v>363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531</v>
      </c>
      <c r="B2549">
        <v>2005</v>
      </c>
      <c r="C2549" t="s">
        <v>363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531</v>
      </c>
      <c r="B2550">
        <v>2004</v>
      </c>
      <c r="C2550" t="s">
        <v>363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531</v>
      </c>
      <c r="B2551">
        <v>2003</v>
      </c>
      <c r="C2551" t="s">
        <v>363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531</v>
      </c>
      <c r="B2552">
        <v>2002</v>
      </c>
      <c r="C2552" t="s">
        <v>363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531</v>
      </c>
      <c r="B2553">
        <v>2001</v>
      </c>
      <c r="C2553" t="s">
        <v>363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531</v>
      </c>
      <c r="B2554">
        <v>2000</v>
      </c>
      <c r="C2554" t="s">
        <v>363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532</v>
      </c>
      <c r="B2555">
        <v>2015</v>
      </c>
      <c r="C2555" t="s">
        <v>363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532</v>
      </c>
      <c r="B2556">
        <v>2014</v>
      </c>
      <c r="C2556" t="s">
        <v>363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532</v>
      </c>
      <c r="B2557">
        <v>2013</v>
      </c>
      <c r="C2557" t="s">
        <v>363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532</v>
      </c>
      <c r="B2558">
        <v>2012</v>
      </c>
      <c r="C2558" t="s">
        <v>363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532</v>
      </c>
      <c r="B2559">
        <v>2011</v>
      </c>
      <c r="C2559" t="s">
        <v>363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532</v>
      </c>
      <c r="B2560">
        <v>2010</v>
      </c>
      <c r="C2560" t="s">
        <v>363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532</v>
      </c>
      <c r="B2561">
        <v>2009</v>
      </c>
      <c r="C2561" t="s">
        <v>363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532</v>
      </c>
      <c r="B2562">
        <v>2008</v>
      </c>
      <c r="C2562" t="s">
        <v>363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532</v>
      </c>
      <c r="B2563">
        <v>2007</v>
      </c>
      <c r="C2563" t="s">
        <v>363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532</v>
      </c>
      <c r="B2564">
        <v>2006</v>
      </c>
      <c r="C2564" t="s">
        <v>363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532</v>
      </c>
      <c r="B2565">
        <v>2005</v>
      </c>
      <c r="C2565" t="s">
        <v>363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532</v>
      </c>
      <c r="B2566">
        <v>2004</v>
      </c>
      <c r="C2566" t="s">
        <v>363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532</v>
      </c>
      <c r="B2567">
        <v>2003</v>
      </c>
      <c r="C2567" t="s">
        <v>363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532</v>
      </c>
      <c r="B2568">
        <v>2002</v>
      </c>
      <c r="C2568" t="s">
        <v>363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532</v>
      </c>
      <c r="B2569">
        <v>2001</v>
      </c>
      <c r="C2569" t="s">
        <v>363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532</v>
      </c>
      <c r="B2570">
        <v>2000</v>
      </c>
      <c r="C2570" t="s">
        <v>363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533</v>
      </c>
      <c r="B2571">
        <v>2015</v>
      </c>
      <c r="C2571" t="s">
        <v>363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533</v>
      </c>
      <c r="B2572">
        <v>2014</v>
      </c>
      <c r="C2572" t="s">
        <v>363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533</v>
      </c>
      <c r="B2573">
        <v>2013</v>
      </c>
      <c r="C2573" t="s">
        <v>363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533</v>
      </c>
      <c r="B2574">
        <v>2012</v>
      </c>
      <c r="C2574" t="s">
        <v>363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533</v>
      </c>
      <c r="B2575">
        <v>2011</v>
      </c>
      <c r="C2575" t="s">
        <v>363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533</v>
      </c>
      <c r="B2576">
        <v>2010</v>
      </c>
      <c r="C2576" t="s">
        <v>363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533</v>
      </c>
      <c r="B2577">
        <v>2009</v>
      </c>
      <c r="C2577" t="s">
        <v>363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533</v>
      </c>
      <c r="B2578">
        <v>2008</v>
      </c>
      <c r="C2578" t="s">
        <v>363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533</v>
      </c>
      <c r="B2579">
        <v>2007</v>
      </c>
      <c r="C2579" t="s">
        <v>363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533</v>
      </c>
      <c r="B2580">
        <v>2006</v>
      </c>
      <c r="C2580" t="s">
        <v>363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533</v>
      </c>
      <c r="B2581">
        <v>2005</v>
      </c>
      <c r="C2581" t="s">
        <v>363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533</v>
      </c>
      <c r="B2582">
        <v>2004</v>
      </c>
      <c r="C2582" t="s">
        <v>363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533</v>
      </c>
      <c r="B2583">
        <v>2003</v>
      </c>
      <c r="C2583" t="s">
        <v>363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533</v>
      </c>
      <c r="B2584">
        <v>2002</v>
      </c>
      <c r="C2584" t="s">
        <v>363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533</v>
      </c>
      <c r="B2585">
        <v>2001</v>
      </c>
      <c r="C2585" t="s">
        <v>363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533</v>
      </c>
      <c r="B2586">
        <v>2000</v>
      </c>
      <c r="C2586" t="s">
        <v>363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534</v>
      </c>
      <c r="B2587">
        <v>2015</v>
      </c>
      <c r="C2587" t="s">
        <v>363</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534</v>
      </c>
      <c r="B2588">
        <v>2014</v>
      </c>
      <c r="C2588" t="s">
        <v>363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534</v>
      </c>
      <c r="B2589">
        <v>2013</v>
      </c>
      <c r="C2589" t="s">
        <v>363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534</v>
      </c>
      <c r="B2590">
        <v>2012</v>
      </c>
      <c r="C2590" t="s">
        <v>363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534</v>
      </c>
      <c r="B2591">
        <v>2011</v>
      </c>
      <c r="C2591" t="s">
        <v>363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534</v>
      </c>
      <c r="B2592">
        <v>2010</v>
      </c>
      <c r="C2592" t="s">
        <v>363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534</v>
      </c>
      <c r="B2593">
        <v>2009</v>
      </c>
      <c r="C2593" t="s">
        <v>363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534</v>
      </c>
      <c r="B2594">
        <v>2008</v>
      </c>
      <c r="C2594" t="s">
        <v>363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534</v>
      </c>
      <c r="B2595">
        <v>2007</v>
      </c>
      <c r="C2595" t="s">
        <v>363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534</v>
      </c>
      <c r="B2596">
        <v>2006</v>
      </c>
      <c r="C2596" t="s">
        <v>363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534</v>
      </c>
      <c r="B2597">
        <v>2005</v>
      </c>
      <c r="C2597" t="s">
        <v>363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534</v>
      </c>
      <c r="B2598">
        <v>2004</v>
      </c>
      <c r="C2598" t="s">
        <v>363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534</v>
      </c>
      <c r="B2599">
        <v>2003</v>
      </c>
      <c r="C2599" t="s">
        <v>363</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534</v>
      </c>
      <c r="B2600">
        <v>2002</v>
      </c>
      <c r="C2600" t="s">
        <v>363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534</v>
      </c>
      <c r="B2601">
        <v>2001</v>
      </c>
      <c r="C2601" t="s">
        <v>363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534</v>
      </c>
      <c r="B2602">
        <v>2000</v>
      </c>
      <c r="C2602" t="s">
        <v>363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535</v>
      </c>
      <c r="B2603">
        <v>2015</v>
      </c>
      <c r="C2603" t="s">
        <v>363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535</v>
      </c>
      <c r="B2604">
        <v>2014</v>
      </c>
      <c r="C2604" t="s">
        <v>363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535</v>
      </c>
      <c r="B2605">
        <v>2013</v>
      </c>
      <c r="C2605" t="s">
        <v>363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535</v>
      </c>
      <c r="B2606">
        <v>2012</v>
      </c>
      <c r="C2606" t="s">
        <v>363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535</v>
      </c>
      <c r="B2607">
        <v>2011</v>
      </c>
      <c r="C2607" t="s">
        <v>363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535</v>
      </c>
      <c r="B2608">
        <v>2010</v>
      </c>
      <c r="C2608" t="s">
        <v>363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535</v>
      </c>
      <c r="B2609">
        <v>2009</v>
      </c>
      <c r="C2609" t="s">
        <v>363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535</v>
      </c>
      <c r="B2610">
        <v>2008</v>
      </c>
      <c r="C2610" t="s">
        <v>363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535</v>
      </c>
      <c r="B2611">
        <v>2007</v>
      </c>
      <c r="C2611" t="s">
        <v>363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535</v>
      </c>
      <c r="B2612">
        <v>2006</v>
      </c>
      <c r="C2612" t="s">
        <v>363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535</v>
      </c>
      <c r="B2613">
        <v>2005</v>
      </c>
      <c r="C2613" t="s">
        <v>363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535</v>
      </c>
      <c r="B2614">
        <v>2004</v>
      </c>
      <c r="C2614" t="s">
        <v>363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535</v>
      </c>
      <c r="B2615">
        <v>2003</v>
      </c>
      <c r="C2615" t="s">
        <v>363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535</v>
      </c>
      <c r="B2616">
        <v>2002</v>
      </c>
      <c r="C2616" t="s">
        <v>363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535</v>
      </c>
      <c r="B2617">
        <v>2001</v>
      </c>
      <c r="C2617" t="s">
        <v>363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535</v>
      </c>
      <c r="B2618">
        <v>2000</v>
      </c>
      <c r="C2618" t="s">
        <v>363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536</v>
      </c>
      <c r="B2619">
        <v>2015</v>
      </c>
      <c r="C2619" t="s">
        <v>363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536</v>
      </c>
      <c r="B2620">
        <v>2014</v>
      </c>
      <c r="C2620" t="s">
        <v>363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536</v>
      </c>
      <c r="B2621">
        <v>2013</v>
      </c>
      <c r="C2621" t="s">
        <v>363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536</v>
      </c>
      <c r="B2622">
        <v>2012</v>
      </c>
      <c r="C2622" t="s">
        <v>363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536</v>
      </c>
      <c r="B2623">
        <v>2011</v>
      </c>
      <c r="C2623" t="s">
        <v>363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536</v>
      </c>
      <c r="B2624">
        <v>2010</v>
      </c>
      <c r="C2624" t="s">
        <v>363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536</v>
      </c>
      <c r="B2625">
        <v>2009</v>
      </c>
      <c r="C2625" t="s">
        <v>363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536</v>
      </c>
      <c r="B2626">
        <v>2008</v>
      </c>
      <c r="C2626" t="s">
        <v>363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536</v>
      </c>
      <c r="B2627">
        <v>2007</v>
      </c>
      <c r="C2627" t="s">
        <v>363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536</v>
      </c>
      <c r="B2628">
        <v>2006</v>
      </c>
      <c r="C2628" t="s">
        <v>363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536</v>
      </c>
      <c r="B2629">
        <v>2005</v>
      </c>
      <c r="C2629" t="s">
        <v>363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536</v>
      </c>
      <c r="B2630">
        <v>2004</v>
      </c>
      <c r="C2630" t="s">
        <v>363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536</v>
      </c>
      <c r="B2631">
        <v>2003</v>
      </c>
      <c r="C2631" t="s">
        <v>363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536</v>
      </c>
      <c r="B2632">
        <v>2002</v>
      </c>
      <c r="C2632" t="s">
        <v>363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536</v>
      </c>
      <c r="B2633">
        <v>2001</v>
      </c>
      <c r="C2633" t="s">
        <v>363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536</v>
      </c>
      <c r="B2634">
        <v>2000</v>
      </c>
      <c r="C2634" t="s">
        <v>363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537</v>
      </c>
      <c r="B2635">
        <v>2015</v>
      </c>
      <c r="C2635" t="s">
        <v>363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537</v>
      </c>
      <c r="B2636">
        <v>2014</v>
      </c>
      <c r="C2636" t="s">
        <v>363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537</v>
      </c>
      <c r="B2637">
        <v>2013</v>
      </c>
      <c r="C2637" t="s">
        <v>363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537</v>
      </c>
      <c r="B2638">
        <v>2012</v>
      </c>
      <c r="C2638" t="s">
        <v>363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537</v>
      </c>
      <c r="B2639">
        <v>2011</v>
      </c>
      <c r="C2639" t="s">
        <v>363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537</v>
      </c>
      <c r="B2640">
        <v>2010</v>
      </c>
      <c r="C2640" t="s">
        <v>363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537</v>
      </c>
      <c r="B2641">
        <v>2009</v>
      </c>
      <c r="C2641" t="s">
        <v>363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537</v>
      </c>
      <c r="B2642">
        <v>2008</v>
      </c>
      <c r="C2642" t="s">
        <v>363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537</v>
      </c>
      <c r="B2643">
        <v>2007</v>
      </c>
      <c r="C2643" t="s">
        <v>363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537</v>
      </c>
      <c r="B2644">
        <v>2006</v>
      </c>
      <c r="C2644" t="s">
        <v>363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537</v>
      </c>
      <c r="B2645">
        <v>2005</v>
      </c>
      <c r="C2645" t="s">
        <v>363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537</v>
      </c>
      <c r="B2646">
        <v>2004</v>
      </c>
      <c r="C2646" t="s">
        <v>363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537</v>
      </c>
      <c r="B2647">
        <v>2003</v>
      </c>
      <c r="C2647" t="s">
        <v>363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537</v>
      </c>
      <c r="B2648">
        <v>2002</v>
      </c>
      <c r="C2648" t="s">
        <v>363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537</v>
      </c>
      <c r="B2649">
        <v>2001</v>
      </c>
      <c r="C2649" t="s">
        <v>363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537</v>
      </c>
      <c r="B2650">
        <v>2000</v>
      </c>
      <c r="C2650" t="s">
        <v>363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538</v>
      </c>
      <c r="B2651">
        <v>2015</v>
      </c>
      <c r="C2651" t="s">
        <v>363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538</v>
      </c>
      <c r="B2652">
        <v>2014</v>
      </c>
      <c r="C2652" t="s">
        <v>363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538</v>
      </c>
      <c r="B2653">
        <v>2013</v>
      </c>
      <c r="C2653" t="s">
        <v>363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538</v>
      </c>
      <c r="B2654">
        <v>2012</v>
      </c>
      <c r="C2654" t="s">
        <v>363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538</v>
      </c>
      <c r="B2655">
        <v>2011</v>
      </c>
      <c r="C2655" t="s">
        <v>363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538</v>
      </c>
      <c r="B2656">
        <v>2010</v>
      </c>
      <c r="C2656" t="s">
        <v>363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538</v>
      </c>
      <c r="B2657">
        <v>2009</v>
      </c>
      <c r="C2657" t="s">
        <v>363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538</v>
      </c>
      <c r="B2658">
        <v>2008</v>
      </c>
      <c r="C2658" t="s">
        <v>363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538</v>
      </c>
      <c r="B2659">
        <v>2007</v>
      </c>
      <c r="C2659" t="s">
        <v>363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538</v>
      </c>
      <c r="B2660">
        <v>2006</v>
      </c>
      <c r="C2660" t="s">
        <v>363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538</v>
      </c>
      <c r="B2661">
        <v>2005</v>
      </c>
      <c r="C2661" t="s">
        <v>363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538</v>
      </c>
      <c r="B2662">
        <v>2004</v>
      </c>
      <c r="C2662" t="s">
        <v>363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538</v>
      </c>
      <c r="B2663">
        <v>2003</v>
      </c>
      <c r="C2663" t="s">
        <v>363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538</v>
      </c>
      <c r="B2664">
        <v>2002</v>
      </c>
      <c r="C2664" t="s">
        <v>363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538</v>
      </c>
      <c r="B2665">
        <v>2001</v>
      </c>
      <c r="C2665" t="s">
        <v>363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538</v>
      </c>
      <c r="B2666">
        <v>2000</v>
      </c>
      <c r="C2666" t="s">
        <v>363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539</v>
      </c>
      <c r="B2667">
        <v>2015</v>
      </c>
      <c r="C2667" t="s">
        <v>363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539</v>
      </c>
      <c r="B2668">
        <v>2014</v>
      </c>
      <c r="C2668" t="s">
        <v>363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539</v>
      </c>
      <c r="B2669">
        <v>2013</v>
      </c>
      <c r="C2669" t="s">
        <v>363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539</v>
      </c>
      <c r="B2670">
        <v>2012</v>
      </c>
      <c r="C2670" t="s">
        <v>363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539</v>
      </c>
      <c r="B2671">
        <v>2011</v>
      </c>
      <c r="C2671" t="s">
        <v>363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539</v>
      </c>
      <c r="B2672">
        <v>2010</v>
      </c>
      <c r="C2672" t="s">
        <v>363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539</v>
      </c>
      <c r="B2673">
        <v>2009</v>
      </c>
      <c r="C2673" t="s">
        <v>363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539</v>
      </c>
      <c r="B2674">
        <v>2008</v>
      </c>
      <c r="C2674" t="s">
        <v>363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539</v>
      </c>
      <c r="B2675">
        <v>2007</v>
      </c>
      <c r="C2675" t="s">
        <v>363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539</v>
      </c>
      <c r="B2676">
        <v>2006</v>
      </c>
      <c r="C2676" t="s">
        <v>363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539</v>
      </c>
      <c r="B2677">
        <v>2005</v>
      </c>
      <c r="C2677" t="s">
        <v>363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539</v>
      </c>
      <c r="B2678">
        <v>2004</v>
      </c>
      <c r="C2678" t="s">
        <v>363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539</v>
      </c>
      <c r="B2679">
        <v>2003</v>
      </c>
      <c r="C2679" t="s">
        <v>363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539</v>
      </c>
      <c r="B2680">
        <v>2002</v>
      </c>
      <c r="C2680" t="s">
        <v>363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539</v>
      </c>
      <c r="B2681">
        <v>2001</v>
      </c>
      <c r="C2681" t="s">
        <v>363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539</v>
      </c>
      <c r="B2682">
        <v>2000</v>
      </c>
      <c r="C2682" t="s">
        <v>363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540</v>
      </c>
      <c r="B2683">
        <v>2015</v>
      </c>
      <c r="C2683" t="s">
        <v>363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540</v>
      </c>
      <c r="B2684">
        <v>2014</v>
      </c>
      <c r="C2684" t="s">
        <v>363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540</v>
      </c>
      <c r="B2685">
        <v>2013</v>
      </c>
      <c r="C2685" t="s">
        <v>363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540</v>
      </c>
      <c r="B2686">
        <v>2012</v>
      </c>
      <c r="C2686" t="s">
        <v>363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540</v>
      </c>
      <c r="B2687">
        <v>2011</v>
      </c>
      <c r="C2687" t="s">
        <v>363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540</v>
      </c>
      <c r="B2688">
        <v>2010</v>
      </c>
      <c r="C2688" t="s">
        <v>363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540</v>
      </c>
      <c r="B2689">
        <v>2009</v>
      </c>
      <c r="C2689" t="s">
        <v>363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540</v>
      </c>
      <c r="B2690">
        <v>2008</v>
      </c>
      <c r="C2690" t="s">
        <v>363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540</v>
      </c>
      <c r="B2691">
        <v>2007</v>
      </c>
      <c r="C2691" t="s">
        <v>363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540</v>
      </c>
      <c r="B2692">
        <v>2006</v>
      </c>
      <c r="C2692" t="s">
        <v>363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540</v>
      </c>
      <c r="B2693">
        <v>2005</v>
      </c>
      <c r="C2693" t="s">
        <v>363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540</v>
      </c>
      <c r="B2694">
        <v>2004</v>
      </c>
      <c r="C2694" t="s">
        <v>363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540</v>
      </c>
      <c r="B2695">
        <v>2003</v>
      </c>
      <c r="C2695" t="s">
        <v>363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540</v>
      </c>
      <c r="B2696">
        <v>2002</v>
      </c>
      <c r="C2696" t="s">
        <v>363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540</v>
      </c>
      <c r="B2697">
        <v>2001</v>
      </c>
      <c r="C2697" t="s">
        <v>363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540</v>
      </c>
      <c r="B2698">
        <v>2000</v>
      </c>
      <c r="C2698" t="s">
        <v>363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541</v>
      </c>
      <c r="B2699">
        <v>2015</v>
      </c>
      <c r="C2699" t="s">
        <v>363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541</v>
      </c>
      <c r="B2700">
        <v>2014</v>
      </c>
      <c r="C2700" t="s">
        <v>363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541</v>
      </c>
      <c r="B2701">
        <v>2013</v>
      </c>
      <c r="C2701" t="s">
        <v>363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541</v>
      </c>
      <c r="B2702">
        <v>2012</v>
      </c>
      <c r="C2702" t="s">
        <v>363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541</v>
      </c>
      <c r="B2703">
        <v>2011</v>
      </c>
      <c r="C2703" t="s">
        <v>363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541</v>
      </c>
      <c r="B2704">
        <v>2010</v>
      </c>
      <c r="C2704" t="s">
        <v>363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541</v>
      </c>
      <c r="B2705">
        <v>2009</v>
      </c>
      <c r="C2705" t="s">
        <v>363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541</v>
      </c>
      <c r="B2706">
        <v>2008</v>
      </c>
      <c r="C2706" t="s">
        <v>363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541</v>
      </c>
      <c r="B2707">
        <v>2007</v>
      </c>
      <c r="C2707" t="s">
        <v>363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541</v>
      </c>
      <c r="B2708">
        <v>2006</v>
      </c>
      <c r="C2708" t="s">
        <v>363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541</v>
      </c>
      <c r="B2709">
        <v>2005</v>
      </c>
      <c r="C2709" t="s">
        <v>363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541</v>
      </c>
      <c r="B2710">
        <v>2004</v>
      </c>
      <c r="C2710" t="s">
        <v>363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541</v>
      </c>
      <c r="B2711">
        <v>2003</v>
      </c>
      <c r="C2711" t="s">
        <v>363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541</v>
      </c>
      <c r="B2712">
        <v>2002</v>
      </c>
      <c r="C2712" t="s">
        <v>363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541</v>
      </c>
      <c r="B2713">
        <v>2001</v>
      </c>
      <c r="C2713" t="s">
        <v>363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541</v>
      </c>
      <c r="B2714">
        <v>2000</v>
      </c>
      <c r="C2714" t="s">
        <v>363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542</v>
      </c>
      <c r="B2715">
        <v>2013</v>
      </c>
      <c r="C2715" t="s">
        <v>363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543</v>
      </c>
      <c r="B2716">
        <v>2015</v>
      </c>
      <c r="C2716" t="s">
        <v>363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543</v>
      </c>
      <c r="B2717">
        <v>2014</v>
      </c>
      <c r="C2717" t="s">
        <v>363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543</v>
      </c>
      <c r="B2718">
        <v>2013</v>
      </c>
      <c r="C2718" t="s">
        <v>363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543</v>
      </c>
      <c r="B2719">
        <v>2012</v>
      </c>
      <c r="C2719" t="s">
        <v>363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543</v>
      </c>
      <c r="B2720">
        <v>2011</v>
      </c>
      <c r="C2720" t="s">
        <v>363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543</v>
      </c>
      <c r="B2721">
        <v>2010</v>
      </c>
      <c r="C2721" t="s">
        <v>363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543</v>
      </c>
      <c r="B2722">
        <v>2009</v>
      </c>
      <c r="C2722" t="s">
        <v>363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543</v>
      </c>
      <c r="B2723">
        <v>2008</v>
      </c>
      <c r="C2723" t="s">
        <v>363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543</v>
      </c>
      <c r="B2724">
        <v>2007</v>
      </c>
      <c r="C2724" t="s">
        <v>363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543</v>
      </c>
      <c r="B2725">
        <v>2006</v>
      </c>
      <c r="C2725" t="s">
        <v>363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543</v>
      </c>
      <c r="B2726">
        <v>2005</v>
      </c>
      <c r="C2726" t="s">
        <v>363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543</v>
      </c>
      <c r="B2727">
        <v>2004</v>
      </c>
      <c r="C2727" t="s">
        <v>363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543</v>
      </c>
      <c r="B2728">
        <v>2003</v>
      </c>
      <c r="C2728" t="s">
        <v>363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543</v>
      </c>
      <c r="B2729">
        <v>2002</v>
      </c>
      <c r="C2729" t="s">
        <v>363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543</v>
      </c>
      <c r="B2730">
        <v>2001</v>
      </c>
      <c r="C2730" t="s">
        <v>363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543</v>
      </c>
      <c r="B2731">
        <v>2000</v>
      </c>
      <c r="C2731" t="s">
        <v>363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544</v>
      </c>
      <c r="B2732">
        <v>2015</v>
      </c>
      <c r="C2732" t="s">
        <v>363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544</v>
      </c>
      <c r="B2733">
        <v>2014</v>
      </c>
      <c r="C2733" t="s">
        <v>363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544</v>
      </c>
      <c r="B2734">
        <v>2013</v>
      </c>
      <c r="C2734" t="s">
        <v>363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544</v>
      </c>
      <c r="B2735">
        <v>2012</v>
      </c>
      <c r="C2735" t="s">
        <v>363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544</v>
      </c>
      <c r="B2736">
        <v>2011</v>
      </c>
      <c r="C2736" t="s">
        <v>363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544</v>
      </c>
      <c r="B2737">
        <v>2010</v>
      </c>
      <c r="C2737" t="s">
        <v>363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544</v>
      </c>
      <c r="B2738">
        <v>2009</v>
      </c>
      <c r="C2738" t="s">
        <v>363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544</v>
      </c>
      <c r="B2739">
        <v>2008</v>
      </c>
      <c r="C2739" t="s">
        <v>363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544</v>
      </c>
      <c r="B2740">
        <v>2007</v>
      </c>
      <c r="C2740" t="s">
        <v>363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544</v>
      </c>
      <c r="B2741">
        <v>2006</v>
      </c>
      <c r="C2741" t="s">
        <v>363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544</v>
      </c>
      <c r="B2742">
        <v>2005</v>
      </c>
      <c r="C2742" t="s">
        <v>363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544</v>
      </c>
      <c r="B2743">
        <v>2004</v>
      </c>
      <c r="C2743" t="s">
        <v>363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544</v>
      </c>
      <c r="B2744">
        <v>2003</v>
      </c>
      <c r="C2744" t="s">
        <v>363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544</v>
      </c>
      <c r="B2745">
        <v>2002</v>
      </c>
      <c r="C2745" t="s">
        <v>363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544</v>
      </c>
      <c r="B2746">
        <v>2001</v>
      </c>
      <c r="C2746" t="s">
        <v>363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544</v>
      </c>
      <c r="B2747">
        <v>2000</v>
      </c>
      <c r="C2747" t="s">
        <v>363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545</v>
      </c>
      <c r="B2748">
        <v>2015</v>
      </c>
      <c r="C2748" t="s">
        <v>363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545</v>
      </c>
      <c r="B2749">
        <v>2014</v>
      </c>
      <c r="C2749" t="s">
        <v>363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545</v>
      </c>
      <c r="B2750">
        <v>2013</v>
      </c>
      <c r="C2750" t="s">
        <v>363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545</v>
      </c>
      <c r="B2751">
        <v>2012</v>
      </c>
      <c r="C2751" t="s">
        <v>363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545</v>
      </c>
      <c r="B2752">
        <v>2011</v>
      </c>
      <c r="C2752" t="s">
        <v>363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545</v>
      </c>
      <c r="B2753">
        <v>2010</v>
      </c>
      <c r="C2753" t="s">
        <v>363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545</v>
      </c>
      <c r="B2754">
        <v>2009</v>
      </c>
      <c r="C2754" t="s">
        <v>363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545</v>
      </c>
      <c r="B2755">
        <v>2008</v>
      </c>
      <c r="C2755" t="s">
        <v>363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545</v>
      </c>
      <c r="B2756">
        <v>2007</v>
      </c>
      <c r="C2756" t="s">
        <v>363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545</v>
      </c>
      <c r="B2757">
        <v>2006</v>
      </c>
      <c r="C2757" t="s">
        <v>363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545</v>
      </c>
      <c r="B2758">
        <v>2005</v>
      </c>
      <c r="C2758" t="s">
        <v>363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545</v>
      </c>
      <c r="B2759">
        <v>2004</v>
      </c>
      <c r="C2759" t="s">
        <v>363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545</v>
      </c>
      <c r="B2760">
        <v>2003</v>
      </c>
      <c r="C2760" t="s">
        <v>363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545</v>
      </c>
      <c r="B2761">
        <v>2002</v>
      </c>
      <c r="C2761" t="s">
        <v>363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545</v>
      </c>
      <c r="B2762">
        <v>2001</v>
      </c>
      <c r="C2762" t="s">
        <v>363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545</v>
      </c>
      <c r="B2763">
        <v>2000</v>
      </c>
      <c r="C2763" t="s">
        <v>363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546</v>
      </c>
      <c r="B2764">
        <v>2015</v>
      </c>
      <c r="C2764" t="s">
        <v>371</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546</v>
      </c>
      <c r="B2765">
        <v>2014</v>
      </c>
      <c r="C2765" t="s">
        <v>371</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546</v>
      </c>
      <c r="B2766">
        <v>2013</v>
      </c>
      <c r="C2766" t="s">
        <v>371</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546</v>
      </c>
      <c r="B2767">
        <v>2012</v>
      </c>
      <c r="C2767" t="s">
        <v>371</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546</v>
      </c>
      <c r="B2768">
        <v>2011</v>
      </c>
      <c r="C2768" t="s">
        <v>371</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546</v>
      </c>
      <c r="B2769">
        <v>2010</v>
      </c>
      <c r="C2769" t="s">
        <v>371</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546</v>
      </c>
      <c r="B2770">
        <v>2009</v>
      </c>
      <c r="C2770" t="s">
        <v>371</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546</v>
      </c>
      <c r="B2771">
        <v>2008</v>
      </c>
      <c r="C2771" t="s">
        <v>371</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546</v>
      </c>
      <c r="B2772">
        <v>2007</v>
      </c>
      <c r="C2772" t="s">
        <v>371</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546</v>
      </c>
      <c r="B2773">
        <v>2006</v>
      </c>
      <c r="C2773" t="s">
        <v>371</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546</v>
      </c>
      <c r="B2774">
        <v>2005</v>
      </c>
      <c r="C2774" t="s">
        <v>371</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546</v>
      </c>
      <c r="B2775">
        <v>2004</v>
      </c>
      <c r="C2775" t="s">
        <v>371</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546</v>
      </c>
      <c r="B2776">
        <v>2003</v>
      </c>
      <c r="C2776" t="s">
        <v>371</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546</v>
      </c>
      <c r="B2777">
        <v>2002</v>
      </c>
      <c r="C2777" t="s">
        <v>371</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546</v>
      </c>
      <c r="B2778">
        <v>2001</v>
      </c>
      <c r="C2778" t="s">
        <v>371</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546</v>
      </c>
      <c r="B2779">
        <v>2000</v>
      </c>
      <c r="C2779" t="s">
        <v>371</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547</v>
      </c>
      <c r="B2780">
        <v>2015</v>
      </c>
      <c r="C2780" t="s">
        <v>363</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547</v>
      </c>
      <c r="B2781">
        <v>2014</v>
      </c>
      <c r="C2781" t="s">
        <v>363</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547</v>
      </c>
      <c r="B2782">
        <v>2013</v>
      </c>
      <c r="C2782" t="s">
        <v>363</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547</v>
      </c>
      <c r="B2783">
        <v>2012</v>
      </c>
      <c r="C2783" t="s">
        <v>363</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547</v>
      </c>
      <c r="B2784">
        <v>2011</v>
      </c>
      <c r="C2784" t="s">
        <v>363</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547</v>
      </c>
      <c r="B2785">
        <v>2010</v>
      </c>
      <c r="C2785" t="s">
        <v>363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547</v>
      </c>
      <c r="B2786">
        <v>2009</v>
      </c>
      <c r="C2786" t="s">
        <v>363</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547</v>
      </c>
      <c r="B2787">
        <v>2008</v>
      </c>
      <c r="C2787" t="s">
        <v>363</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547</v>
      </c>
      <c r="B2788">
        <v>2007</v>
      </c>
      <c r="C2788" t="s">
        <v>363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547</v>
      </c>
      <c r="B2789">
        <v>2006</v>
      </c>
      <c r="C2789" t="s">
        <v>363</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547</v>
      </c>
      <c r="B2790">
        <v>2005</v>
      </c>
      <c r="C2790" t="s">
        <v>363</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547</v>
      </c>
      <c r="B2791">
        <v>2004</v>
      </c>
      <c r="C2791" t="s">
        <v>363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547</v>
      </c>
      <c r="B2792">
        <v>2003</v>
      </c>
      <c r="C2792" t="s">
        <v>363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547</v>
      </c>
      <c r="B2793">
        <v>2002</v>
      </c>
      <c r="C2793" t="s">
        <v>363</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547</v>
      </c>
      <c r="B2794">
        <v>2001</v>
      </c>
      <c r="C2794" t="s">
        <v>363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547</v>
      </c>
      <c r="B2795">
        <v>2000</v>
      </c>
      <c r="C2795" t="s">
        <v>363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548</v>
      </c>
      <c r="B2796">
        <v>2015</v>
      </c>
      <c r="C2796" t="s">
        <v>371</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548</v>
      </c>
      <c r="B2797">
        <v>2014</v>
      </c>
      <c r="C2797" t="s">
        <v>371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548</v>
      </c>
      <c r="B2798">
        <v>2013</v>
      </c>
      <c r="C2798" t="s">
        <v>371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548</v>
      </c>
      <c r="B2799">
        <v>2012</v>
      </c>
      <c r="C2799" t="s">
        <v>371</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548</v>
      </c>
      <c r="B2800">
        <v>2011</v>
      </c>
      <c r="C2800" t="s">
        <v>371</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548</v>
      </c>
      <c r="B2801">
        <v>2010</v>
      </c>
      <c r="C2801" t="s">
        <v>371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548</v>
      </c>
      <c r="B2802">
        <v>2009</v>
      </c>
      <c r="C2802" t="s">
        <v>371</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548</v>
      </c>
      <c r="B2803">
        <v>2008</v>
      </c>
      <c r="C2803" t="s">
        <v>371</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548</v>
      </c>
      <c r="B2804">
        <v>2007</v>
      </c>
      <c r="C2804" t="s">
        <v>371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548</v>
      </c>
      <c r="B2805">
        <v>2006</v>
      </c>
      <c r="C2805" t="s">
        <v>371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548</v>
      </c>
      <c r="B2806">
        <v>2005</v>
      </c>
      <c r="C2806" t="s">
        <v>371</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548</v>
      </c>
      <c r="B2807">
        <v>2004</v>
      </c>
      <c r="C2807" t="s">
        <v>371</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548</v>
      </c>
      <c r="B2808">
        <v>2003</v>
      </c>
      <c r="C2808" t="s">
        <v>371</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548</v>
      </c>
      <c r="B2809">
        <v>2002</v>
      </c>
      <c r="C2809" t="s">
        <v>371</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548</v>
      </c>
      <c r="B2810">
        <v>2001</v>
      </c>
      <c r="C2810" t="s">
        <v>371</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548</v>
      </c>
      <c r="B2811">
        <v>2000</v>
      </c>
      <c r="C2811" t="s">
        <v>371</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549</v>
      </c>
      <c r="B2812">
        <v>2015</v>
      </c>
      <c r="C2812" t="s">
        <v>363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549</v>
      </c>
      <c r="B2813">
        <v>2014</v>
      </c>
      <c r="C2813" t="s">
        <v>363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549</v>
      </c>
      <c r="B2814">
        <v>2013</v>
      </c>
      <c r="C2814" t="s">
        <v>363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549</v>
      </c>
      <c r="B2815">
        <v>2012</v>
      </c>
      <c r="C2815" t="s">
        <v>363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549</v>
      </c>
      <c r="B2816">
        <v>2011</v>
      </c>
      <c r="C2816" t="s">
        <v>363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549</v>
      </c>
      <c r="B2817">
        <v>2010</v>
      </c>
      <c r="C2817" t="s">
        <v>363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549</v>
      </c>
      <c r="B2818">
        <v>2009</v>
      </c>
      <c r="C2818" t="s">
        <v>363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549</v>
      </c>
      <c r="B2819">
        <v>2008</v>
      </c>
      <c r="C2819" t="s">
        <v>363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549</v>
      </c>
      <c r="B2820">
        <v>2007</v>
      </c>
      <c r="C2820" t="s">
        <v>363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549</v>
      </c>
      <c r="B2821">
        <v>2006</v>
      </c>
      <c r="C2821" t="s">
        <v>363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549</v>
      </c>
      <c r="B2822">
        <v>2005</v>
      </c>
      <c r="C2822" t="s">
        <v>363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549</v>
      </c>
      <c r="B2823">
        <v>2004</v>
      </c>
      <c r="C2823" t="s">
        <v>363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549</v>
      </c>
      <c r="B2824">
        <v>2003</v>
      </c>
      <c r="C2824" t="s">
        <v>363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549</v>
      </c>
      <c r="B2825">
        <v>2002</v>
      </c>
      <c r="C2825" t="s">
        <v>363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549</v>
      </c>
      <c r="B2826">
        <v>2001</v>
      </c>
      <c r="C2826" t="s">
        <v>363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549</v>
      </c>
      <c r="B2827">
        <v>2000</v>
      </c>
      <c r="C2827" t="s">
        <v>363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550</v>
      </c>
      <c r="B2828">
        <v>2015</v>
      </c>
      <c r="C2828" t="s">
        <v>363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550</v>
      </c>
      <c r="B2829">
        <v>2014</v>
      </c>
      <c r="C2829" t="s">
        <v>363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550</v>
      </c>
      <c r="B2830">
        <v>2013</v>
      </c>
      <c r="C2830" t="s">
        <v>363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550</v>
      </c>
      <c r="B2831">
        <v>2012</v>
      </c>
      <c r="C2831" t="s">
        <v>363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550</v>
      </c>
      <c r="B2832">
        <v>2011</v>
      </c>
      <c r="C2832" t="s">
        <v>363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550</v>
      </c>
      <c r="B2833">
        <v>2010</v>
      </c>
      <c r="C2833" t="s">
        <v>363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550</v>
      </c>
      <c r="B2834">
        <v>2009</v>
      </c>
      <c r="C2834" t="s">
        <v>363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550</v>
      </c>
      <c r="B2835">
        <v>2008</v>
      </c>
      <c r="C2835" t="s">
        <v>363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550</v>
      </c>
      <c r="B2836">
        <v>2007</v>
      </c>
      <c r="C2836" t="s">
        <v>363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550</v>
      </c>
      <c r="B2837">
        <v>2006</v>
      </c>
      <c r="C2837" t="s">
        <v>363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550</v>
      </c>
      <c r="B2838">
        <v>2005</v>
      </c>
      <c r="C2838" t="s">
        <v>363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550</v>
      </c>
      <c r="B2839">
        <v>2004</v>
      </c>
      <c r="C2839" t="s">
        <v>363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550</v>
      </c>
      <c r="B2840">
        <v>2003</v>
      </c>
      <c r="C2840" t="s">
        <v>363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550</v>
      </c>
      <c r="B2841">
        <v>2002</v>
      </c>
      <c r="C2841" t="s">
        <v>363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550</v>
      </c>
      <c r="B2842">
        <v>2001</v>
      </c>
      <c r="C2842" t="s">
        <v>363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550</v>
      </c>
      <c r="B2843">
        <v>2000</v>
      </c>
      <c r="C2843" t="s">
        <v>363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551</v>
      </c>
      <c r="B2844">
        <v>2015</v>
      </c>
      <c r="C2844" t="s">
        <v>363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551</v>
      </c>
      <c r="B2845">
        <v>2014</v>
      </c>
      <c r="C2845" t="s">
        <v>363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551</v>
      </c>
      <c r="B2846">
        <v>2013</v>
      </c>
      <c r="C2846" t="s">
        <v>363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551</v>
      </c>
      <c r="B2847">
        <v>2012</v>
      </c>
      <c r="C2847" t="s">
        <v>363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551</v>
      </c>
      <c r="B2848">
        <v>2011</v>
      </c>
      <c r="C2848" t="s">
        <v>363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551</v>
      </c>
      <c r="B2849">
        <v>2010</v>
      </c>
      <c r="C2849" t="s">
        <v>363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551</v>
      </c>
      <c r="B2850">
        <v>2009</v>
      </c>
      <c r="C2850" t="s">
        <v>363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551</v>
      </c>
      <c r="B2851">
        <v>2008</v>
      </c>
      <c r="C2851" t="s">
        <v>363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551</v>
      </c>
      <c r="B2852">
        <v>2007</v>
      </c>
      <c r="C2852" t="s">
        <v>363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551</v>
      </c>
      <c r="B2853">
        <v>2006</v>
      </c>
      <c r="C2853" t="s">
        <v>363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551</v>
      </c>
      <c r="B2854">
        <v>2005</v>
      </c>
      <c r="C2854" t="s">
        <v>363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551</v>
      </c>
      <c r="B2855">
        <v>2004</v>
      </c>
      <c r="C2855" t="s">
        <v>363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551</v>
      </c>
      <c r="B2856">
        <v>2003</v>
      </c>
      <c r="C2856" t="s">
        <v>363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551</v>
      </c>
      <c r="B2857">
        <v>2002</v>
      </c>
      <c r="C2857" t="s">
        <v>363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551</v>
      </c>
      <c r="B2858">
        <v>2001</v>
      </c>
      <c r="C2858" t="s">
        <v>363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551</v>
      </c>
      <c r="B2859">
        <v>2000</v>
      </c>
      <c r="C2859" t="s">
        <v>363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552</v>
      </c>
      <c r="B2860">
        <v>2015</v>
      </c>
      <c r="C2860" t="s">
        <v>363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552</v>
      </c>
      <c r="B2861">
        <v>2014</v>
      </c>
      <c r="C2861" t="s">
        <v>363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552</v>
      </c>
      <c r="B2862">
        <v>2013</v>
      </c>
      <c r="C2862" t="s">
        <v>363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552</v>
      </c>
      <c r="B2863">
        <v>2012</v>
      </c>
      <c r="C2863" t="s">
        <v>363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552</v>
      </c>
      <c r="B2864">
        <v>2011</v>
      </c>
      <c r="C2864" t="s">
        <v>363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552</v>
      </c>
      <c r="B2865">
        <v>2010</v>
      </c>
      <c r="C2865" t="s">
        <v>363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552</v>
      </c>
      <c r="B2866">
        <v>2009</v>
      </c>
      <c r="C2866" t="s">
        <v>363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552</v>
      </c>
      <c r="B2867">
        <v>2008</v>
      </c>
      <c r="C2867" t="s">
        <v>363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552</v>
      </c>
      <c r="B2868">
        <v>2007</v>
      </c>
      <c r="C2868" t="s">
        <v>363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552</v>
      </c>
      <c r="B2869">
        <v>2006</v>
      </c>
      <c r="C2869" t="s">
        <v>363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552</v>
      </c>
      <c r="B2870">
        <v>2005</v>
      </c>
      <c r="C2870" t="s">
        <v>363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552</v>
      </c>
      <c r="B2871">
        <v>2004</v>
      </c>
      <c r="C2871" t="s">
        <v>363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552</v>
      </c>
      <c r="B2872">
        <v>2003</v>
      </c>
      <c r="C2872" t="s">
        <v>363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552</v>
      </c>
      <c r="B2873">
        <v>2002</v>
      </c>
      <c r="C2873" t="s">
        <v>363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552</v>
      </c>
      <c r="B2874">
        <v>2001</v>
      </c>
      <c r="C2874" t="s">
        <v>363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552</v>
      </c>
      <c r="B2875">
        <v>2000</v>
      </c>
      <c r="C2875" t="s">
        <v>363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553</v>
      </c>
      <c r="B2876">
        <v>2015</v>
      </c>
      <c r="C2876" t="s">
        <v>363</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553</v>
      </c>
      <c r="B2877">
        <v>2014</v>
      </c>
      <c r="C2877" t="s">
        <v>363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553</v>
      </c>
      <c r="B2878">
        <v>2013</v>
      </c>
      <c r="C2878" t="s">
        <v>363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553</v>
      </c>
      <c r="B2879">
        <v>2012</v>
      </c>
      <c r="C2879" t="s">
        <v>363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553</v>
      </c>
      <c r="B2880">
        <v>2011</v>
      </c>
      <c r="C2880" t="s">
        <v>363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553</v>
      </c>
      <c r="B2881">
        <v>2010</v>
      </c>
      <c r="C2881" t="s">
        <v>363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553</v>
      </c>
      <c r="B2882">
        <v>2009</v>
      </c>
      <c r="C2882" t="s">
        <v>363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553</v>
      </c>
      <c r="B2883">
        <v>2008</v>
      </c>
      <c r="C2883" t="s">
        <v>363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553</v>
      </c>
      <c r="B2884">
        <v>2007</v>
      </c>
      <c r="C2884" t="s">
        <v>363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553</v>
      </c>
      <c r="B2885">
        <v>2006</v>
      </c>
      <c r="C2885" t="s">
        <v>363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553</v>
      </c>
      <c r="B2886">
        <v>2005</v>
      </c>
      <c r="C2886" t="s">
        <v>363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553</v>
      </c>
      <c r="B2887">
        <v>2004</v>
      </c>
      <c r="C2887" t="s">
        <v>363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553</v>
      </c>
      <c r="B2888">
        <v>2003</v>
      </c>
      <c r="C2888" t="s">
        <v>363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553</v>
      </c>
      <c r="B2889">
        <v>2002</v>
      </c>
      <c r="C2889" t="s">
        <v>363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553</v>
      </c>
      <c r="B2890">
        <v>2001</v>
      </c>
      <c r="C2890" t="s">
        <v>363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553</v>
      </c>
      <c r="B2891">
        <v>2000</v>
      </c>
      <c r="C2891" t="s">
        <v>363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554</v>
      </c>
      <c r="B2892">
        <v>2015</v>
      </c>
      <c r="C2892" t="s">
        <v>363</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554</v>
      </c>
      <c r="B2893">
        <v>2014</v>
      </c>
      <c r="C2893" t="s">
        <v>363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554</v>
      </c>
      <c r="B2894">
        <v>2013</v>
      </c>
      <c r="C2894" t="s">
        <v>363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554</v>
      </c>
      <c r="B2895">
        <v>2012</v>
      </c>
      <c r="C2895" t="s">
        <v>363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554</v>
      </c>
      <c r="B2896">
        <v>2011</v>
      </c>
      <c r="C2896" t="s">
        <v>363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554</v>
      </c>
      <c r="B2897">
        <v>2010</v>
      </c>
      <c r="C2897" t="s">
        <v>363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554</v>
      </c>
      <c r="B2898">
        <v>2009</v>
      </c>
      <c r="C2898" t="s">
        <v>363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554</v>
      </c>
      <c r="B2899">
        <v>2008</v>
      </c>
      <c r="C2899" t="s">
        <v>363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554</v>
      </c>
      <c r="B2900">
        <v>2007</v>
      </c>
      <c r="C2900" t="s">
        <v>363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554</v>
      </c>
      <c r="B2901">
        <v>2006</v>
      </c>
      <c r="C2901" t="s">
        <v>363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554</v>
      </c>
      <c r="B2902">
        <v>2005</v>
      </c>
      <c r="C2902" t="s">
        <v>363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554</v>
      </c>
      <c r="B2903">
        <v>2004</v>
      </c>
      <c r="C2903" t="s">
        <v>363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554</v>
      </c>
      <c r="B2904">
        <v>2003</v>
      </c>
      <c r="C2904" t="s">
        <v>363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554</v>
      </c>
      <c r="B2905">
        <v>2002</v>
      </c>
      <c r="C2905" t="s">
        <v>363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554</v>
      </c>
      <c r="B2906">
        <v>2001</v>
      </c>
      <c r="C2906" t="s">
        <v>363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554</v>
      </c>
      <c r="B2907">
        <v>2000</v>
      </c>
      <c r="C2907" t="s">
        <v>363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555</v>
      </c>
      <c r="B2908">
        <v>2015</v>
      </c>
      <c r="C2908" t="s">
        <v>363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555</v>
      </c>
      <c r="B2909">
        <v>2014</v>
      </c>
      <c r="C2909" t="s">
        <v>363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555</v>
      </c>
      <c r="B2910">
        <v>2013</v>
      </c>
      <c r="C2910" t="s">
        <v>363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555</v>
      </c>
      <c r="B2911">
        <v>2012</v>
      </c>
      <c r="C2911" t="s">
        <v>363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555</v>
      </c>
      <c r="B2912">
        <v>2011</v>
      </c>
      <c r="C2912" t="s">
        <v>363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555</v>
      </c>
      <c r="B2913">
        <v>2010</v>
      </c>
      <c r="C2913" t="s">
        <v>363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555</v>
      </c>
      <c r="B2914">
        <v>2009</v>
      </c>
      <c r="C2914" t="s">
        <v>363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555</v>
      </c>
      <c r="B2915">
        <v>2008</v>
      </c>
      <c r="C2915" t="s">
        <v>363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555</v>
      </c>
      <c r="B2916">
        <v>2007</v>
      </c>
      <c r="C2916" t="s">
        <v>363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555</v>
      </c>
      <c r="B2917">
        <v>2006</v>
      </c>
      <c r="C2917" t="s">
        <v>363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555</v>
      </c>
      <c r="B2918">
        <v>2005</v>
      </c>
      <c r="C2918" t="s">
        <v>363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555</v>
      </c>
      <c r="B2919">
        <v>2004</v>
      </c>
      <c r="C2919" t="s">
        <v>363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555</v>
      </c>
      <c r="B2920">
        <v>2003</v>
      </c>
      <c r="C2920" t="s">
        <v>363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555</v>
      </c>
      <c r="B2921">
        <v>2002</v>
      </c>
      <c r="C2921" t="s">
        <v>363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555</v>
      </c>
      <c r="B2922">
        <v>2001</v>
      </c>
      <c r="C2922" t="s">
        <v>363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555</v>
      </c>
      <c r="B2923">
        <v>2000</v>
      </c>
      <c r="C2923" t="s">
        <v>363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556</v>
      </c>
      <c r="B2924">
        <v>2015</v>
      </c>
      <c r="C2924" t="s">
        <v>363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556</v>
      </c>
      <c r="B2925">
        <v>2014</v>
      </c>
      <c r="C2925" t="s">
        <v>363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556</v>
      </c>
      <c r="B2926">
        <v>2013</v>
      </c>
      <c r="C2926" t="s">
        <v>363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556</v>
      </c>
      <c r="B2927">
        <v>2012</v>
      </c>
      <c r="C2927" t="s">
        <v>363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556</v>
      </c>
      <c r="B2928">
        <v>2011</v>
      </c>
      <c r="C2928" t="s">
        <v>363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556</v>
      </c>
      <c r="B2929">
        <v>2010</v>
      </c>
      <c r="C2929" t="s">
        <v>363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556</v>
      </c>
      <c r="B2930">
        <v>2009</v>
      </c>
      <c r="C2930" t="s">
        <v>363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556</v>
      </c>
      <c r="B2931">
        <v>2008</v>
      </c>
      <c r="C2931" t="s">
        <v>363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556</v>
      </c>
      <c r="B2932">
        <v>2007</v>
      </c>
      <c r="C2932" t="s">
        <v>363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556</v>
      </c>
      <c r="B2933">
        <v>2006</v>
      </c>
      <c r="C2933" t="s">
        <v>363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556</v>
      </c>
      <c r="B2934">
        <v>2005</v>
      </c>
      <c r="C2934" t="s">
        <v>363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556</v>
      </c>
      <c r="B2935">
        <v>2004</v>
      </c>
      <c r="C2935" t="s">
        <v>363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556</v>
      </c>
      <c r="B2936">
        <v>2003</v>
      </c>
      <c r="C2936" t="s">
        <v>363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556</v>
      </c>
      <c r="B2937">
        <v>2002</v>
      </c>
      <c r="C2937" t="s">
        <v>363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556</v>
      </c>
      <c r="B2938">
        <v>2001</v>
      </c>
      <c r="C2938" t="s">
        <v>363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556</v>
      </c>
      <c r="B2939">
        <v>2000</v>
      </c>
      <c r="C2939" t="s">
        <v>363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1751</v>
      </c>
      <c r="B1" t="s">
        <v>1752</v>
      </c>
      <c r="C1" t="s">
        <v>1753</v>
      </c>
      <c r="D1" t="s">
        <v>1754</v>
      </c>
      <c r="E1" t="s">
        <v>1755</v>
      </c>
      <c r="F1" t="s">
        <v>1756</v>
      </c>
      <c r="G1" t="s">
        <v>1757</v>
      </c>
      <c r="H1" t="s">
        <v>1758</v>
      </c>
      <c r="I1" t="s">
        <v>1759</v>
      </c>
      <c r="J1" t="s">
        <v>1760</v>
      </c>
      <c r="K1" t="s">
        <v>361</v>
      </c>
    </row>
    <row r="2" spans="1:11" x14ac:dyDescent="0.25">
      <c r="A2" t="s">
        <v>1761</v>
      </c>
      <c r="B2" t="s">
        <v>1762</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1763</v>
      </c>
      <c r="B3" t="s">
        <v>1762</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1764</v>
      </c>
      <c r="B4" t="s">
        <v>1762</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1765</v>
      </c>
      <c r="B5" t="s">
        <v>1762</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1766</v>
      </c>
      <c r="B6" t="s">
        <v>1762</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1767</v>
      </c>
      <c r="B7" t="s">
        <v>1762</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1768</v>
      </c>
      <c r="B8" t="s">
        <v>1762</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1769</v>
      </c>
      <c r="B9" t="s">
        <v>1762</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1770</v>
      </c>
      <c r="B10" t="s">
        <v>1762</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1771</v>
      </c>
      <c r="B11" t="s">
        <v>1762</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1772</v>
      </c>
      <c r="B12" t="s">
        <v>1762</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1773</v>
      </c>
      <c r="B13" t="s">
        <v>1762</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1774</v>
      </c>
      <c r="B14" t="s">
        <v>1762</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1775</v>
      </c>
      <c r="B15" t="s">
        <v>1762</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1776</v>
      </c>
      <c r="B16" t="s">
        <v>1762</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1777</v>
      </c>
      <c r="B17" t="s">
        <v>1762</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1778</v>
      </c>
      <c r="B18" t="s">
        <v>1762</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1779</v>
      </c>
      <c r="B19" t="s">
        <v>1762</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1780</v>
      </c>
      <c r="B20" t="s">
        <v>1781</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1782</v>
      </c>
      <c r="B21" t="s">
        <v>1781</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1783</v>
      </c>
      <c r="B22" t="s">
        <v>1781</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1784</v>
      </c>
      <c r="B23" t="s">
        <v>1781</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1785</v>
      </c>
      <c r="B24" t="s">
        <v>1781</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1786</v>
      </c>
      <c r="B25" t="s">
        <v>1781</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1787</v>
      </c>
      <c r="B26" t="s">
        <v>1781</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1788</v>
      </c>
      <c r="B27" t="s">
        <v>1781</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1789</v>
      </c>
      <c r="B28" t="s">
        <v>1781</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1790</v>
      </c>
      <c r="B29" t="s">
        <v>1781</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1791</v>
      </c>
      <c r="B30" t="s">
        <v>1781</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1792</v>
      </c>
      <c r="B31" t="s">
        <v>1781</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1793</v>
      </c>
      <c r="B32" t="s">
        <v>1781</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1794</v>
      </c>
      <c r="B33" t="s">
        <v>1781</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1795</v>
      </c>
      <c r="B34" t="s">
        <v>1781</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1796</v>
      </c>
      <c r="B35" t="s">
        <v>1781</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1797</v>
      </c>
      <c r="B36" t="s">
        <v>1781</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1798</v>
      </c>
      <c r="B37" t="s">
        <v>1781</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1799</v>
      </c>
      <c r="B38" t="s">
        <v>1781</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1800</v>
      </c>
      <c r="B39" t="s">
        <v>1781</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1801</v>
      </c>
      <c r="B40" t="s">
        <v>1802</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1803</v>
      </c>
      <c r="B41" t="s">
        <v>1802</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1804</v>
      </c>
      <c r="B42" t="s">
        <v>1802</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1805</v>
      </c>
      <c r="B43" t="s">
        <v>1802</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1806</v>
      </c>
      <c r="B44" t="s">
        <v>1802</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1807</v>
      </c>
      <c r="B45" t="s">
        <v>1802</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1808</v>
      </c>
      <c r="B46" t="s">
        <v>1802</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1809</v>
      </c>
      <c r="B47" t="s">
        <v>1802</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1810</v>
      </c>
      <c r="B48" t="s">
        <v>1802</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1811</v>
      </c>
      <c r="B49" t="s">
        <v>1802</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1812</v>
      </c>
      <c r="B50" t="s">
        <v>1802</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1813</v>
      </c>
      <c r="B51" t="s">
        <v>1802</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1814</v>
      </c>
      <c r="B52" t="s">
        <v>1802</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6"/>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644</v>
      </c>
      <c r="B1" s="13"/>
      <c r="C1" s="13"/>
      <c r="D1" s="13"/>
    </row>
    <row r="2" spans="1:4" x14ac:dyDescent="0.25">
      <c r="A2" s="6" t="s">
        <v>645</v>
      </c>
      <c r="B2" s="6" t="s">
        <v>646</v>
      </c>
      <c r="C2" s="6" t="s">
        <v>869</v>
      </c>
      <c r="D2" s="6" t="s">
        <v>647</v>
      </c>
    </row>
    <row r="3" spans="1:4" ht="105" x14ac:dyDescent="0.25">
      <c r="A3" t="s">
        <v>648</v>
      </c>
      <c r="B3" s="18">
        <v>46189</v>
      </c>
      <c r="C3" t="s">
        <v>871</v>
      </c>
      <c r="D3" s="2" t="s">
        <v>649</v>
      </c>
    </row>
    <row r="4" spans="1:4" ht="105" x14ac:dyDescent="0.25">
      <c r="A4" t="s">
        <v>870</v>
      </c>
      <c r="B4" s="18">
        <v>46202</v>
      </c>
      <c r="C4" t="s">
        <v>871</v>
      </c>
      <c r="D4" s="2" t="s">
        <v>831</v>
      </c>
    </row>
    <row r="5" spans="1:4" ht="105" x14ac:dyDescent="0.25">
      <c r="A5" t="s">
        <v>872</v>
      </c>
      <c r="B5" s="18">
        <v>46206</v>
      </c>
      <c r="C5" t="s">
        <v>871</v>
      </c>
      <c r="D5" s="2" t="s">
        <v>873</v>
      </c>
    </row>
    <row r="6" spans="1:4" ht="150" x14ac:dyDescent="0.25">
      <c r="A6" t="s">
        <v>830</v>
      </c>
      <c r="B6" s="18">
        <v>46208</v>
      </c>
      <c r="C6" t="s">
        <v>874</v>
      </c>
      <c r="D6" s="2" t="s">
        <v>941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2CD85-BA01-4C4C-B4B7-F3295986A6F1}">
  <sheetPr>
    <tabColor rgb="FFDCE6F1"/>
  </sheetPr>
  <dimension ref="A1:A20"/>
  <sheetViews>
    <sheetView workbookViewId="0"/>
  </sheetViews>
  <sheetFormatPr defaultRowHeight="15" x14ac:dyDescent="0.25"/>
  <cols>
    <col min="1" max="1" width="110.7109375" customWidth="1"/>
  </cols>
  <sheetData>
    <row r="1" spans="1:1" x14ac:dyDescent="0.25">
      <c r="A1" s="4" t="s">
        <v>557</v>
      </c>
    </row>
    <row r="2" spans="1:1" ht="30" x14ac:dyDescent="0.25">
      <c r="A2" s="2" t="s">
        <v>862</v>
      </c>
    </row>
    <row r="3" spans="1:1" ht="30" x14ac:dyDescent="0.25">
      <c r="A3" s="2" t="s">
        <v>558</v>
      </c>
    </row>
    <row r="5" spans="1:1" x14ac:dyDescent="0.25">
      <c r="A5" s="4" t="s">
        <v>863</v>
      </c>
    </row>
    <row r="6" spans="1:1" ht="75" x14ac:dyDescent="0.25">
      <c r="A6" s="2" t="s">
        <v>1612</v>
      </c>
    </row>
    <row r="8" spans="1:1" x14ac:dyDescent="0.25">
      <c r="A8" s="4" t="s">
        <v>1623</v>
      </c>
    </row>
    <row r="9" spans="1:1" ht="180" x14ac:dyDescent="0.25">
      <c r="A9" s="2" t="s">
        <v>1840</v>
      </c>
    </row>
    <row r="10" spans="1:1" ht="90" x14ac:dyDescent="0.25">
      <c r="A10" s="2" t="s">
        <v>864</v>
      </c>
    </row>
    <row r="11" spans="1:1" ht="150" x14ac:dyDescent="0.25">
      <c r="A11" s="2" t="s">
        <v>949</v>
      </c>
    </row>
    <row r="13" spans="1:1" x14ac:dyDescent="0.25">
      <c r="A13" s="4" t="s">
        <v>865</v>
      </c>
    </row>
    <row r="14" spans="1:1" ht="45" x14ac:dyDescent="0.25">
      <c r="A14" s="2" t="s">
        <v>866</v>
      </c>
    </row>
    <row r="16" spans="1:1" x14ac:dyDescent="0.25">
      <c r="A16" s="4" t="s">
        <v>867</v>
      </c>
    </row>
    <row r="17" spans="1:1" ht="60" x14ac:dyDescent="0.25">
      <c r="A17" s="2" t="s">
        <v>868</v>
      </c>
    </row>
    <row r="19" spans="1:1" x14ac:dyDescent="0.25">
      <c r="A19" s="4" t="s">
        <v>559</v>
      </c>
    </row>
    <row r="20" spans="1:1" ht="120" x14ac:dyDescent="0.25">
      <c r="A20" s="2" t="s">
        <v>1735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AW394"/>
  <sheetViews>
    <sheetView tabSelected="1" topLeftCell="AT1" zoomScaleNormal="100" workbookViewId="0">
      <pane ySplit="2" topLeftCell="A3" activePane="bottomLeft" state="frozenSplit"/>
      <selection pane="bottomLeft" activeCell="D5" sqref="D5"/>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customWidth="1" outlineLevel="1"/>
    <col min="7" max="7" width="11.7109375"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hidden="1" customWidth="1" outlineLevel="1"/>
    <col min="17" max="22" width="9.7109375" hidden="1" customWidth="1" outlineLevel="1"/>
    <col min="23" max="23" width="2.7109375" customWidth="1" collapsed="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50" width="15.7109375" customWidth="1"/>
  </cols>
  <sheetData>
    <row r="1" spans="1:49" x14ac:dyDescent="0.25">
      <c r="A1" s="4" t="s">
        <v>859</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946</v>
      </c>
      <c r="J1" s="3" t="s">
        <v>1736</v>
      </c>
      <c r="K1" s="3" t="s">
        <v>1737</v>
      </c>
      <c r="L1" s="3" t="s">
        <v>1738</v>
      </c>
      <c r="M1" s="3" t="s">
        <v>944</v>
      </c>
      <c r="N1" s="3" t="s">
        <v>945</v>
      </c>
      <c r="P1" s="4" t="s">
        <v>650</v>
      </c>
      <c r="X1" s="4" t="s">
        <v>653</v>
      </c>
      <c r="AG1" s="36" t="s">
        <v>677</v>
      </c>
      <c r="AH1" s="37"/>
      <c r="AK1" s="4" t="s">
        <v>686</v>
      </c>
    </row>
    <row r="2" spans="1:49" ht="60" x14ac:dyDescent="0.25">
      <c r="A2" s="3" t="s">
        <v>685</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cm="1">
        <f t="array" ref="M2:N10">IFERROR(Sequence_Delta_Spectrum(),"")</f>
        <v>1</v>
      </c>
      <c r="N2">
        <v>44</v>
      </c>
      <c r="P2" s="26"/>
      <c r="Q2" s="26" t="s">
        <v>651</v>
      </c>
      <c r="R2" s="26" t="s">
        <v>652</v>
      </c>
      <c r="S2" s="26" t="s">
        <v>219</v>
      </c>
      <c r="T2" s="26" t="s">
        <v>225</v>
      </c>
      <c r="U2" s="26" t="s">
        <v>1599</v>
      </c>
      <c r="V2" s="26" t="s">
        <v>104</v>
      </c>
      <c r="W2" s="2"/>
      <c r="X2" s="2"/>
      <c r="Y2" s="2"/>
      <c r="Z2" s="2"/>
      <c r="AA2" s="2"/>
      <c r="AB2" s="30" t="s">
        <v>764</v>
      </c>
      <c r="AC2" s="30" t="str" cm="1">
        <f t="array" ref="AC2">_xlfn.LET(_xlpm.n_c,COLUMNS(Source_Data),_xlpm.p,_xlfn.XMATCH("Response (y)",_xlfn.TAKE(Spec_Role,_xlpm.n_c)),_xlpm.h,INDEX(_xlfn.TOROW(Header_Names),_xlpm.p),IFERROR(IF(INDEX(_xlfn.TAKE(Spec_Transform,_xlpm.n_c),_xlpm.p)="Log","Ln("&amp;_xlpm.h&amp;")",_xlpm.h),"(none)"))</f>
        <v>MPG</v>
      </c>
      <c r="AD2" s="2"/>
      <c r="AE2" s="2"/>
      <c r="AF2" s="2"/>
      <c r="AG2" s="27" t="s">
        <v>678</v>
      </c>
      <c r="AH2" s="28"/>
      <c r="AI2" s="32"/>
      <c r="AJ2" s="2"/>
      <c r="AK2" s="26" t="s">
        <v>860</v>
      </c>
      <c r="AL2" s="29" t="str" cm="1">
        <f t="array" ref="AL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M2" s="29" t="str" cm="1">
        <f t="array" ref="AM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N2" s="29" t="str" cm="1">
        <f t="array" ref="AN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O2" s="29" t="str" cm="1">
        <f t="array" ref="AO2">IF(SUMPRODUCT(N(_xlfn.TAKE(Spec_Role,COLUMNS(Source_Data))="Fixed Effects"))&gt;0,"Hat Diagonal"&amp;" (Within "&amp;IFERROR(INDEX(_xlfn.TOROW(Header_Names),_xlfn.XMATCH("Fixed Effects",_xlfn.TAKE(Spec_Role,COLUMNS(Source_Data)))),"FE")&amp;")","Hat Diagonal")</f>
        <v>Hat Diagonal</v>
      </c>
      <c r="AP2" s="29" t="str" cm="1">
        <f t="array" ref="AP2">IF(SUMPRODUCT(N(_xlfn.TAKE(Spec_Role,COLUMNS(Source_Data))="Fixed Effects"))&gt;0,"Studentized Residuals"&amp;" (Within "&amp;IFERROR(INDEX(_xlfn.TOROW(Header_Names),_xlfn.XMATCH("Fixed Effects",_xlfn.TAKE(Spec_Role,COLUMNS(Source_Data)))),"FE")&amp;")","Studentized Residuals")</f>
        <v>Studentized Residuals</v>
      </c>
      <c r="AQ2" s="29" t="str" cm="1">
        <f t="array" ref="AQ2">IF(SUMPRODUCT(N(_xlfn.TAKE(Spec_Role,COLUMNS(Source_Data))="Fixed Effects"))&gt;0,"Cook's Distance"&amp;" (Within "&amp;IFERROR(INDEX(_xlfn.TOROW(Header_Names),_xlfn.XMATCH("Fixed Effects",_xlfn.TAKE(Spec_Role,COLUMNS(Source_Data)))),"FE")&amp;")","Cook's Distance")</f>
        <v>Cook's Distance</v>
      </c>
      <c r="AR2" s="29" t="str" cm="1">
        <f t="array" ref="AR2">IF(SUMPRODUCT(N(_xlfn.TAKE(Spec_Role,COLUMNS(Source_Data))="Fixed Effects"))&gt;0,"Normal Scores Ranked"&amp;" (Within "&amp;IFERROR(INDEX(_xlfn.TOROW(Header_Names),_xlfn.XMATCH("Fixed Effects",_xlfn.TAKE(Spec_Role,COLUMNS(Source_Data)))),"FE")&amp;")","Normal Scores Ranked")</f>
        <v>Normal Scores Ranked</v>
      </c>
      <c r="AS2" s="29" t="str" cm="1">
        <f t="array" ref="AS2">IF(SUMPRODUCT(N(_xlfn.TAKE(Spec_Role,COLUMNS(Source_Data))="Fixed Effects"))&gt;0,"Studentized Residuals Ranked"&amp;" (Within "&amp;IFERROR(INDEX(_xlfn.TOROW(Header_Names),_xlfn.XMATCH("Fixed Effects",_xlfn.TAKE(Spec_Role,COLUMNS(Source_Data)))),"FE")&amp;")","Studentized Residuals Ranked")</f>
        <v>Studentized Residuals Ranked</v>
      </c>
      <c r="AT2" s="29" t="str" cm="1">
        <f t="array" ref="AT2">IF(SUMPRODUCT(N(_xlfn.TAKE(Spec_Role,COLUMNS(Source_Data))="Fixed Effects"))&gt;0,"Scale-Location"&amp;" (Within "&amp;IFERROR(INDEX(_xlfn.TOROW(Header_Names),_xlfn.XMATCH("Fixed Effects",_xlfn.TAKE(Spec_Role,COLUMNS(Source_Data)))),"FE")&amp;")","Scale-Location")</f>
        <v>Scale-Location</v>
      </c>
      <c r="AU2" s="29" t="str" cm="1">
        <f t="array" ref="AU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V2" s="29" t="str" cm="1">
        <f t="array" ref="AV2">IF(SUMPRODUCT(N(_xlfn.TAKE(Spec_Role,COLUMNS(Source_Data))="Fixed Effects"))&gt;0,"Cook's Distance (Flagged)"&amp;" (Within "&amp;IFERROR(INDEX(_xlfn.TOROW(Header_Names),_xlfn.XMATCH("Fixed Effects",_xlfn.TAKE(Spec_Role,COLUMNS(Source_Data)))),"FE")&amp;")","Cook's Distance (Flagged)")</f>
        <v>Cook's Distance (Flagged)</v>
      </c>
      <c r="AW2" s="2"/>
    </row>
    <row r="3" spans="1:49" x14ac:dyDescent="0.25">
      <c r="A3" s="6" t="s">
        <v>933</v>
      </c>
      <c r="B3" s="6" t="s">
        <v>832</v>
      </c>
      <c r="C3" s="6" t="s">
        <v>829</v>
      </c>
      <c r="D3" s="6" t="s">
        <v>833</v>
      </c>
      <c r="E3" s="6" t="s">
        <v>834</v>
      </c>
      <c r="F3" s="6" t="s">
        <v>835</v>
      </c>
      <c r="G3" s="6" t="s">
        <v>836</v>
      </c>
      <c r="H3" s="6" t="s">
        <v>877</v>
      </c>
      <c r="I3" s="6" t="s">
        <v>942</v>
      </c>
      <c r="J3" s="6" t="s">
        <v>943</v>
      </c>
      <c r="K3" s="6" t="s">
        <v>837</v>
      </c>
      <c r="L3" s="6" t="s">
        <v>858</v>
      </c>
      <c r="M3">
        <v>2</v>
      </c>
      <c r="N3">
        <v>22</v>
      </c>
      <c r="P3" t="str" cm="1">
        <f t="array" ref="P3:P4">TRANSPOSE(Constructed_Column_Names())</f>
        <v>Cylinders</v>
      </c>
      <c r="Q3" s="14" cm="1">
        <f t="array" ref="Q3:Q4">Pearson_R(X_s(),Response_Column(),Sample_Include())</f>
        <v>-0.77761750812602182</v>
      </c>
      <c r="R3" s="14" cm="1">
        <f t="array" ref="R3:R4">Spearman_R(X_s(),Response_Column(),Sample_Include())</f>
        <v>-0.82317463912457323</v>
      </c>
      <c r="S3" s="14" cm="1">
        <f t="array" ref="S3:S4">Skewness(X_s(),Sample_Include())</f>
        <v>0.508109240295195</v>
      </c>
      <c r="T3" s="14" cm="1">
        <f t="array" ref="T3:T4">Kurtosis(X_s(),Sample_Include())</f>
        <v>-1.3981986376833817</v>
      </c>
      <c r="U3" s="14" cm="1">
        <f t="array" ref="U3:U4">GVIF(X_s(),Constructed_Column_Names(),Allow_Intercept,Sample_Include())</f>
        <v>3.4556750586742844</v>
      </c>
      <c r="V3" s="14" cm="1">
        <f t="array" ref="V3:V4">Generalized_Tolerance(X_s(),Constructed_Column_Names(),Allow_Intercept,Sample_Include())</f>
        <v>0.28937905995815311</v>
      </c>
      <c r="X3" s="36" t="s">
        <v>654</v>
      </c>
      <c r="Y3" s="37"/>
      <c r="AA3" s="36" t="s">
        <v>659</v>
      </c>
      <c r="AB3" s="37"/>
      <c r="AG3" s="8" t="s">
        <v>679</v>
      </c>
      <c r="AH3" s="11" cm="1">
        <f t="array" ref="AH3:AH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H$19:$AH$62,COLUMNS(X_s())),_xlpm.trn,TRANSPOSE(Constructed_Column_Transforms()),_xlpm.pred_input,IF(_xlpm.trn="Log",Ln_Positive(_xlpm.raw),_xlpm.raw),Group_Prediction_Interval(X_s(),Response_Column(),_xlpm.pred_input,Prediction_Group_Column(),$AH$12,Allow_Intercept,Sample_Include(),alpha,Absorbed_Degrees_Of_Freedom())))</f>
        <v>23.445918367346941</v>
      </c>
      <c r="AK3" t="str" cm="1">
        <f t="array" ref="AK3:AK394">IFERROR(_xlfn._xlws.FILTER(Row_Labels(),Sample_Include()),NA())</f>
        <v>chevrolet chevelle malibu</v>
      </c>
      <c r="AL3" s="7" cm="1">
        <f t="array" ref="AL3:AL394">Dependent_Variable(y_s(),Sample_Include())</f>
        <v>18</v>
      </c>
      <c r="AM3" s="7" cm="1">
        <f t="array" ref="AM3:AM394">Predictions(X_s_Within(),y_s(),Allow_Intercept,Sample_Include())</f>
        <v>16.393685809888794</v>
      </c>
      <c r="AN3" s="7" cm="1">
        <f t="array" ref="AN3:AN394">Residuals(X_s_Within(),y_s(),Allow_Intercept,Sample_Include())</f>
        <v>1.6063141901112061</v>
      </c>
      <c r="AO3" s="7" cm="1">
        <f t="array" ref="AO3:AO394">Hat_Diagonal(X_s_Within(),Allow_Intercept,Sample_Include())</f>
        <v>1.1204199527405607E-2</v>
      </c>
      <c r="AP3" s="7" cm="1">
        <f t="array" ref="AP3:AP394">Studentized_Residuals(X_s_Within(),y_s(),Allow_Intercept,Sample_Include(),Absorbed_Degrees_Of_Freedom())</f>
        <v>0.35243154659916875</v>
      </c>
      <c r="AQ3" s="7" cm="1">
        <f t="array" ref="AQ3:AQ394">Cooks_Distance(X_s_Within(),y_s(),Allow_Intercept,Sample_Include(),Absorbed_Degrees_Of_Freedom())</f>
        <v>4.6914005859207027E-4</v>
      </c>
      <c r="AR3" s="7" cm="1">
        <f t="array" ref="AR3:AR394">_xlfn._xlws.SORT(Normal_Scores(y_s(),Sample_Include()))</f>
        <v>-3.0172230343004571</v>
      </c>
      <c r="AS3" s="7" cm="1">
        <f t="array" ref="AS3:AS394">Studentized_Residuals_Ranked(X_s_Within(),y_s(),Allow_Intercept,Sample_Include(),Absorbed_Degrees_Of_Freedom())</f>
        <v>-2.5133548803803922</v>
      </c>
      <c r="AT3" s="7" cm="1">
        <f t="array" ref="AT3:AT394">SQRT(ABS(Studentized_Residuals(X_s_Within(),y_s(),Allow_Intercept,Sample_Include(),Absorbed_Degrees_Of_Freedom())))</f>
        <v>0.59365945338987802</v>
      </c>
      <c r="AU3" s="7" cm="1">
        <f t="array" ref="AU3:AU394">LOOCV_Residual(X_s_Within(),y_s(),Allow_Intercept,Sample_Include())</f>
        <v>1.6245155868820127</v>
      </c>
      <c r="AV3" s="7" t="e" cm="1">
        <f t="array" ref="AV3:AV394">IF(_xlfn.ANCHORARRAY(AQ3)&gt;MIN(4/$Y$8,0.9),_xlfn.ANCHORARRAY(AQ3),NA())</f>
        <v>#N/A</v>
      </c>
    </row>
    <row r="4" spans="1:49" x14ac:dyDescent="0.25">
      <c r="A4" t="str" cm="1">
        <f t="array" ref="A4:A15">TRANSPOSE(Header_Names)</f>
        <v>MPG</v>
      </c>
      <c r="B4" s="16" t="s">
        <v>857</v>
      </c>
      <c r="C4" s="16" t="b">
        <v>0</v>
      </c>
      <c r="D4" s="16" t="s">
        <v>838</v>
      </c>
      <c r="E4" s="16"/>
      <c r="F4" s="16"/>
      <c r="G4" s="16" t="s">
        <v>1841</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Horsepower</v>
      </c>
      <c r="Q4" s="14">
        <v>-0.7784267838977752</v>
      </c>
      <c r="R4" s="14">
        <v>-0.85361640244538828</v>
      </c>
      <c r="S4" s="14">
        <v>1.0873262824048666</v>
      </c>
      <c r="T4" s="14">
        <v>0.69694699974278684</v>
      </c>
      <c r="U4" s="14">
        <v>3.4556750586742844</v>
      </c>
      <c r="V4" s="14">
        <v>0.28937905995815311</v>
      </c>
      <c r="X4" s="8" t="s">
        <v>655</v>
      </c>
      <c r="Y4" s="11" cm="1">
        <f t="array" ref="Y4">Multiple_R(X_s_Within(),y_s(),Allow_Intercept,Sample_Include())</f>
        <v>0.810488654301879</v>
      </c>
      <c r="AA4" s="8" t="s">
        <v>52</v>
      </c>
      <c r="AB4" s="11" cm="1">
        <f t="array" ref="AB4">PRESS(X_s_Within(),y_s(),Allow_Intercept,Sample_Include())</f>
        <v>8301.4574171992517</v>
      </c>
      <c r="AG4" s="8" t="s">
        <v>1739</v>
      </c>
      <c r="AH4" s="11">
        <v>0.23150446948928274</v>
      </c>
      <c r="AK4" t="str">
        <v>buick skylark 320</v>
      </c>
      <c r="AL4" s="7">
        <v>15</v>
      </c>
      <c r="AM4" s="7">
        <v>13.379333514450185</v>
      </c>
      <c r="AN4" s="7">
        <v>1.6206664855498154</v>
      </c>
      <c r="AO4" s="7">
        <v>9.0920471527640764E-3</v>
      </c>
      <c r="AP4" s="7">
        <v>0.35520132790581171</v>
      </c>
      <c r="AQ4" s="7">
        <v>3.8588355607109374E-4</v>
      </c>
      <c r="AR4" s="7">
        <v>-2.6670046532742777</v>
      </c>
      <c r="AS4" s="7">
        <v>-2.2468801609092361</v>
      </c>
      <c r="AT4" s="7">
        <v>0.59598769106904526</v>
      </c>
      <c r="AU4" s="7">
        <v>1.6355368638358954</v>
      </c>
      <c r="AV4" s="7" t="e">
        <v>#N/A</v>
      </c>
    </row>
    <row r="5" spans="1:49" x14ac:dyDescent="0.25">
      <c r="A5" t="str">
        <v>Cylinders</v>
      </c>
      <c r="B5" s="16" t="s">
        <v>856</v>
      </c>
      <c r="C5" s="16" t="b">
        <v>1</v>
      </c>
      <c r="D5" s="16" t="s">
        <v>838</v>
      </c>
      <c r="E5" s="16"/>
      <c r="F5" s="16"/>
      <c r="G5" s="16" t="s">
        <v>1841</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Q5" s="14"/>
      <c r="R5" s="14"/>
      <c r="S5" s="14"/>
      <c r="T5" s="14"/>
      <c r="U5" s="14"/>
      <c r="V5" s="14"/>
      <c r="X5" s="8" t="s">
        <v>656</v>
      </c>
      <c r="Y5" s="11" cm="1">
        <f t="array" ref="Y5">R_Squared(X_s_Within(),y_s(),Allow_Intercept,Sample_Include())</f>
        <v>0.65689185875207068</v>
      </c>
      <c r="AA5" s="8" t="s">
        <v>598</v>
      </c>
      <c r="AB5" s="11" cm="1">
        <f t="array" ref="AB5">1-PRESS(X_s_Within(),y_s(),Allow_Intercept,Sample_Include())/SS_Total(y_s(),Allow_Intercept,Sample_Include())</f>
        <v>0.65147740487572192</v>
      </c>
      <c r="AG5" s="8" t="s">
        <v>1740</v>
      </c>
      <c r="AH5" s="11">
        <v>4.5893972939429748</v>
      </c>
      <c r="AK5" t="str">
        <v>plymouth satellite</v>
      </c>
      <c r="AL5" s="7">
        <v>18</v>
      </c>
      <c r="AM5" s="7">
        <v>14.671198783923874</v>
      </c>
      <c r="AN5" s="7">
        <v>3.3288012160761262</v>
      </c>
      <c r="AO5" s="7">
        <v>8.2076576737747202E-3</v>
      </c>
      <c r="AP5" s="7">
        <v>0.72924770746745926</v>
      </c>
      <c r="AQ5" s="7">
        <v>1.4669907453303567E-3</v>
      </c>
      <c r="AR5" s="7">
        <v>-2.6670046532742777</v>
      </c>
      <c r="AS5" s="7">
        <v>-2.2468801609092361</v>
      </c>
      <c r="AT5" s="7">
        <v>0.85396001514559172</v>
      </c>
      <c r="AU5" s="7">
        <v>3.3563489795338635</v>
      </c>
      <c r="AV5" s="7" t="e">
        <v>#N/A</v>
      </c>
    </row>
    <row r="6" spans="1:49" x14ac:dyDescent="0.25">
      <c r="A6" t="str">
        <v>Displacement</v>
      </c>
      <c r="B6" s="16" t="s">
        <v>856</v>
      </c>
      <c r="C6" s="16" t="b">
        <v>0</v>
      </c>
      <c r="D6" s="16" t="s">
        <v>838</v>
      </c>
      <c r="E6" s="16"/>
      <c r="F6" s="16"/>
      <c r="G6" s="16" t="s">
        <v>1841</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Q6" s="14"/>
      <c r="R6" s="14"/>
      <c r="S6" s="14"/>
      <c r="T6" s="14"/>
      <c r="U6" s="14"/>
      <c r="V6" s="14"/>
      <c r="X6" s="8" t="s">
        <v>657</v>
      </c>
      <c r="Y6" s="11" cm="1">
        <f t="array" ref="Y6">Adjusted_R_Squared(X_s_Within(),y_s(),Allow_Intercept,Sample_Include(),Absorbed_Degrees_Of_Freedom())</f>
        <v>0.65512780661197856</v>
      </c>
      <c r="AA6" s="8" t="s">
        <v>660</v>
      </c>
      <c r="AB6" s="11" cm="1">
        <f t="array" ref="AB6">(Regression_Degrees_Of_Freedom(X_s_Within())+IF(Allow_Intercept,1,0))/Observations(y_s(),Sample_Include())</f>
        <v>7.6530612244897957E-3</v>
      </c>
      <c r="AG6" s="8" t="s">
        <v>680</v>
      </c>
      <c r="AH6" s="11">
        <v>1.9660810640467155</v>
      </c>
      <c r="AK6" t="str">
        <v>amc rebel sst</v>
      </c>
      <c r="AL6" s="7">
        <v>16</v>
      </c>
      <c r="AM6" s="7">
        <v>14.671198783923874</v>
      </c>
      <c r="AN6" s="7">
        <v>1.3288012160761262</v>
      </c>
      <c r="AO6" s="7">
        <v>8.2076576737747202E-3</v>
      </c>
      <c r="AP6" s="7">
        <v>0.29110336652836843</v>
      </c>
      <c r="AQ6" s="7">
        <v>2.3376080004740575E-4</v>
      </c>
      <c r="AR6" s="7">
        <v>-2.368567059267872</v>
      </c>
      <c r="AS6" s="7">
        <v>-2.1644452901855202</v>
      </c>
      <c r="AT6" s="7">
        <v>0.53953995823142553</v>
      </c>
      <c r="AU6" s="7">
        <v>1.3397978179176648</v>
      </c>
      <c r="AV6" s="7" t="e">
        <v>#N/A</v>
      </c>
    </row>
    <row r="7" spans="1:49" x14ac:dyDescent="0.25">
      <c r="A7" t="str">
        <v>Horsepower</v>
      </c>
      <c r="B7" s="16" t="s">
        <v>856</v>
      </c>
      <c r="C7" s="16" t="b">
        <v>1</v>
      </c>
      <c r="D7" s="16" t="s">
        <v>838</v>
      </c>
      <c r="E7" s="16"/>
      <c r="F7" s="16"/>
      <c r="G7" s="16" t="s">
        <v>1841</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Q7" s="14"/>
      <c r="R7" s="14"/>
      <c r="S7" s="14"/>
      <c r="T7" s="14"/>
      <c r="U7" s="14"/>
      <c r="V7" s="14"/>
      <c r="X7" s="8" t="s">
        <v>658</v>
      </c>
      <c r="Y7" s="11" cm="1">
        <f t="array" ref="Y7">SE_Regression(X_s_Within(),y_s(),Allow_Intercept,Sample_Include(),Absorbed_Degrees_Of_Freedom())</f>
        <v>4.5835546470242488</v>
      </c>
      <c r="AA7" s="8" t="s">
        <v>55</v>
      </c>
      <c r="AB7" s="11" cm="1">
        <f t="array" ref="AB7">AIC(X_s_Within(),y_s(),Allow_Intercept,Sample_Include(),Absorbed_Degrees_Of_Freedom())</f>
        <v>1196.60872108788</v>
      </c>
      <c r="AG7" s="8" t="s">
        <v>1741</v>
      </c>
      <c r="AH7" s="11">
        <v>22.990761813641882</v>
      </c>
      <c r="AK7" t="str">
        <v>ford torino</v>
      </c>
      <c r="AL7" s="7">
        <v>17</v>
      </c>
      <c r="AM7" s="7">
        <v>15.532442296906334</v>
      </c>
      <c r="AN7" s="7">
        <v>1.4675577030936662</v>
      </c>
      <c r="AO7" s="7">
        <v>9.1093960540734702E-3</v>
      </c>
      <c r="AP7" s="7">
        <v>0.32164730554922211</v>
      </c>
      <c r="AQ7" s="7">
        <v>3.1703152871834765E-4</v>
      </c>
      <c r="AR7" s="7">
        <v>-2.368567059267872</v>
      </c>
      <c r="AS7" s="7">
        <v>-1.9571105263772794</v>
      </c>
      <c r="AT7" s="7">
        <v>0.56713958206884318</v>
      </c>
      <c r="AU7" s="7">
        <v>1.481049166527117</v>
      </c>
      <c r="AV7" s="7" t="e">
        <v>#N/A</v>
      </c>
    </row>
    <row r="8" spans="1:49" x14ac:dyDescent="0.25">
      <c r="A8" t="str">
        <v>Weight</v>
      </c>
      <c r="B8" s="16" t="s">
        <v>856</v>
      </c>
      <c r="C8" s="16" t="b">
        <v>0</v>
      </c>
      <c r="D8" s="16" t="s">
        <v>838</v>
      </c>
      <c r="E8" s="16"/>
      <c r="F8" s="16"/>
      <c r="G8" s="16" t="s">
        <v>1841</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Q8" s="14"/>
      <c r="R8" s="14"/>
      <c r="S8" s="14"/>
      <c r="T8" s="14"/>
      <c r="U8" s="14"/>
      <c r="V8" s="14"/>
      <c r="X8" s="9" t="s">
        <v>6</v>
      </c>
      <c r="Y8" s="12" cm="1">
        <f t="array" ref="Y8">Observations(y_s(),Sample_Include())</f>
        <v>392</v>
      </c>
      <c r="AA8" s="8" t="s">
        <v>58</v>
      </c>
      <c r="AB8" s="11" cm="1">
        <f t="array" ref="AB8">BIC(X_s_Within(),y_s(),Allow_Intercept,Sample_Include(),Absorbed_Degrees_Of_Freedom())</f>
        <v>1208.5225066072514</v>
      </c>
      <c r="AG8" s="8" t="s">
        <v>1742</v>
      </c>
      <c r="AH8" s="11">
        <v>23.901074921052</v>
      </c>
      <c r="AK8" t="str">
        <v>ford galaxie 500</v>
      </c>
      <c r="AL8" s="7">
        <v>15</v>
      </c>
      <c r="AM8" s="7">
        <v>10.537229921608066</v>
      </c>
      <c r="AN8" s="7">
        <v>4.4627700783919337</v>
      </c>
      <c r="AO8" s="7">
        <v>2.0486779543364905E-2</v>
      </c>
      <c r="AP8" s="7">
        <v>0.98377764146278912</v>
      </c>
      <c r="AQ8" s="7">
        <v>6.7473934211591258E-3</v>
      </c>
      <c r="AR8" s="7">
        <v>-2.368567059267872</v>
      </c>
      <c r="AS8" s="7">
        <v>-1.9009455455794548</v>
      </c>
      <c r="AT8" s="7">
        <v>0.99185565555820121</v>
      </c>
      <c r="AU8" s="7">
        <v>4.5561101016191019</v>
      </c>
      <c r="AV8" s="7" t="e">
        <v>#N/A</v>
      </c>
    </row>
    <row r="9" spans="1:49" x14ac:dyDescent="0.25">
      <c r="A9" t="str">
        <v>Acceleration</v>
      </c>
      <c r="B9" s="16" t="s">
        <v>856</v>
      </c>
      <c r="C9" s="16" t="b">
        <v>0</v>
      </c>
      <c r="D9" s="16" t="s">
        <v>838</v>
      </c>
      <c r="E9" s="16"/>
      <c r="F9" s="16"/>
      <c r="G9" s="16" t="s">
        <v>1841</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Q9" s="14"/>
      <c r="R9" s="14"/>
      <c r="S9" s="14"/>
      <c r="T9" s="14"/>
      <c r="U9" s="14"/>
      <c r="V9" s="14"/>
      <c r="AA9" s="8" t="s">
        <v>61</v>
      </c>
      <c r="AB9" s="11" cm="1">
        <f t="array" ref="AB9">AICc(X_s_Within(),y_s(),Allow_Intercept,Sample_Include(),Absorbed_Degrees_Of_Freedom())</f>
        <v>1196.6705767579831</v>
      </c>
      <c r="AG9" s="8" t="s">
        <v>1743</v>
      </c>
      <c r="AH9" s="11">
        <v>14.422791252338421</v>
      </c>
      <c r="AK9" t="str">
        <v>chevrolet impala</v>
      </c>
      <c r="AL9" s="7">
        <v>14</v>
      </c>
      <c r="AM9" s="7">
        <v>8.6424941930466517</v>
      </c>
      <c r="AN9" s="7">
        <v>5.3575058069533483</v>
      </c>
      <c r="AO9" s="7">
        <v>3.5301311616617259E-2</v>
      </c>
      <c r="AP9" s="7">
        <v>1.1900477645127265</v>
      </c>
      <c r="AQ9" s="7">
        <v>1.727454769028625E-2</v>
      </c>
      <c r="AR9" s="7">
        <v>-2.368567059267872</v>
      </c>
      <c r="AS9" s="7">
        <v>-1.7642857847409479</v>
      </c>
      <c r="AT9" s="7">
        <v>1.0908931040724048</v>
      </c>
      <c r="AU9" s="7">
        <v>5.5535535307208912</v>
      </c>
      <c r="AV9" s="7">
        <v>1.727454769028625E-2</v>
      </c>
    </row>
    <row r="10" spans="1:49" x14ac:dyDescent="0.25">
      <c r="A10" t="str">
        <v>Model Year</v>
      </c>
      <c r="B10" s="16" t="s">
        <v>856</v>
      </c>
      <c r="C10" s="16" t="b">
        <v>0</v>
      </c>
      <c r="D10" s="16" t="s">
        <v>1839</v>
      </c>
      <c r="E10" s="16"/>
      <c r="F10" s="16"/>
      <c r="G10" s="16" t="s">
        <v>1841</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Q10" s="14"/>
      <c r="R10" s="14"/>
      <c r="S10" s="14"/>
      <c r="T10" s="14"/>
      <c r="U10" s="14"/>
      <c r="V10" s="14"/>
      <c r="AA10" s="8" t="s">
        <v>602</v>
      </c>
      <c r="AB10" s="11" cm="1">
        <f t="array" ref="AB10">QQ_Correlation(X_s_Within(),y_s(),Allow_Intercept,Sample_Include(),Absorbed_Degrees_Of_Freedom())</f>
        <v>0.9886763812416125</v>
      </c>
      <c r="AG10" s="8" t="s">
        <v>1838</v>
      </c>
      <c r="AH10" s="11">
        <v>32.469045482355462</v>
      </c>
      <c r="AK10" t="str">
        <v>plymouth fury iii</v>
      </c>
      <c r="AL10" s="7">
        <v>14</v>
      </c>
      <c r="AM10" s="7">
        <v>9.0731159495378826</v>
      </c>
      <c r="AN10" s="7">
        <v>4.9268840504621174</v>
      </c>
      <c r="AO10" s="7">
        <v>3.1427319844520754E-2</v>
      </c>
      <c r="AP10" s="7">
        <v>1.092204145566714</v>
      </c>
      <c r="AQ10" s="7">
        <v>1.2902133074302234E-2</v>
      </c>
      <c r="AR10" s="7">
        <v>-2.0720014483779297</v>
      </c>
      <c r="AS10" s="7">
        <v>-1.7089241367002055</v>
      </c>
      <c r="AT10" s="7">
        <v>1.04508571206706</v>
      </c>
      <c r="AU10" s="7">
        <v>5.0867468713563486</v>
      </c>
      <c r="AV10" s="7">
        <v>1.2902133074302234E-2</v>
      </c>
    </row>
    <row r="11" spans="1:49" x14ac:dyDescent="0.25">
      <c r="A11" t="str">
        <v>Origin</v>
      </c>
      <c r="B11" s="16" t="s">
        <v>856</v>
      </c>
      <c r="C11" s="16" t="b">
        <v>0</v>
      </c>
      <c r="D11" s="16" t="s">
        <v>1839</v>
      </c>
      <c r="E11" s="16"/>
      <c r="F11" s="16"/>
      <c r="G11" s="16" t="s">
        <v>1841</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Q11" s="14"/>
      <c r="R11" s="14"/>
      <c r="S11" s="14"/>
      <c r="T11" s="14"/>
      <c r="U11" s="14"/>
      <c r="V11" s="14"/>
      <c r="AA11" s="8" t="s">
        <v>935</v>
      </c>
      <c r="AB11" s="33"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0.96303447281278076</v>
      </c>
      <c r="AG11" s="8" t="s">
        <v>681</v>
      </c>
      <c r="AH11" s="11">
        <v>0.95</v>
      </c>
      <c r="AK11" t="str">
        <v>pontiac catalina</v>
      </c>
      <c r="AL11" s="7">
        <v>14</v>
      </c>
      <c r="AM11" s="7">
        <v>8.2118724365554243</v>
      </c>
      <c r="AN11" s="7">
        <v>5.7881275634445757</v>
      </c>
      <c r="AO11" s="7">
        <v>3.9473569661972151E-2</v>
      </c>
      <c r="AP11" s="7">
        <v>1.2884899056093879</v>
      </c>
      <c r="AQ11" s="7">
        <v>2.2742482481113362E-2</v>
      </c>
      <c r="AR11" s="7">
        <v>-2.0720014483779297</v>
      </c>
      <c r="AS11" s="7">
        <v>-1.6821994714415485</v>
      </c>
      <c r="AT11" s="7">
        <v>1.1351166925075977</v>
      </c>
      <c r="AU11" s="7">
        <v>6.0259951008402979</v>
      </c>
      <c r="AV11" s="7">
        <v>2.2742482481113362E-2</v>
      </c>
    </row>
    <row r="12" spans="1:49" x14ac:dyDescent="0.25">
      <c r="A12" t="str">
        <v>Car Name</v>
      </c>
      <c r="B12" s="16" t="s">
        <v>950</v>
      </c>
      <c r="C12" s="16" t="b">
        <v>0</v>
      </c>
      <c r="D12" s="16" t="s">
        <v>838</v>
      </c>
      <c r="E12" s="16"/>
      <c r="F12" s="16"/>
      <c r="G12" s="16" t="s">
        <v>1841</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12" s="14"/>
      <c r="R12" s="14"/>
      <c r="S12" s="14"/>
      <c r="T12" s="14"/>
      <c r="U12" s="14"/>
      <c r="V12" s="14"/>
      <c r="X12" s="3" t="s">
        <v>661</v>
      </c>
      <c r="Y12" s="16">
        <v>0.05</v>
      </c>
      <c r="AA12" s="8" t="s">
        <v>936</v>
      </c>
      <c r="AB12" s="33"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variables",BFN_Panel_Durbin_Watson(X_s_Within(),y_s(),Serial_Correlation_Group(),Sequence_Column(),Base_Period_Delta(),Allow_Intercept,Sample_Include()))))))</f>
        <v>n/a — no fixed effects</v>
      </c>
      <c r="AG12" s="8" t="s">
        <v>1744</v>
      </c>
      <c r="AH12" s="35" t="str">
        <f>INDEX(_xlfn._xlws.SORT(_xlfn.UNIQUE(_xlfn._xlws.FILTER(Prediction_Group_Column(),Sample_Include()))),1,1)</f>
        <v>(all)</v>
      </c>
      <c r="AK12" t="str">
        <v>amc ambassador dpl</v>
      </c>
      <c r="AL12" s="7">
        <v>15</v>
      </c>
      <c r="AM12" s="7">
        <v>11.226224731994034</v>
      </c>
      <c r="AN12" s="7">
        <v>3.7737752680059664</v>
      </c>
      <c r="AO12" s="7">
        <v>1.6531355082913195E-2</v>
      </c>
      <c r="AP12" s="7">
        <v>0.83022032487102126</v>
      </c>
      <c r="AQ12" s="7">
        <v>3.8620100884744248E-3</v>
      </c>
      <c r="AR12" s="7">
        <v>-2.0720014483779297</v>
      </c>
      <c r="AS12" s="7">
        <v>-1.6732228663761315</v>
      </c>
      <c r="AT12" s="7">
        <v>0.91116426887308377</v>
      </c>
      <c r="AU12" s="7">
        <v>3.8372095414634408</v>
      </c>
      <c r="AV12" s="7" t="e">
        <v>#N/A</v>
      </c>
    </row>
    <row r="13" spans="1:49" x14ac:dyDescent="0.25">
      <c r="A13" t="str">
        <v>Make</v>
      </c>
      <c r="B13" s="16" t="s">
        <v>934</v>
      </c>
      <c r="C13" s="16" t="b">
        <v>0</v>
      </c>
      <c r="D13" s="16" t="s">
        <v>838</v>
      </c>
      <c r="E13" s="16"/>
      <c r="F13" s="16"/>
      <c r="G13" s="16" t="s">
        <v>1841</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13" s="14"/>
      <c r="R13" s="14"/>
      <c r="S13" s="14"/>
      <c r="T13" s="14"/>
      <c r="U13" s="14"/>
      <c r="V13" s="14"/>
      <c r="X13" s="40" t="s">
        <v>662</v>
      </c>
      <c r="Y13" s="41"/>
      <c r="Z13" s="41"/>
      <c r="AA13" s="41"/>
      <c r="AB13" s="41"/>
      <c r="AC13" s="42"/>
      <c r="AG13" s="8" t="s">
        <v>1745</v>
      </c>
      <c r="AH13" s="11" cm="1">
        <f t="array" ref="AH13">Group_Mean_At(Response_Column(),Prediction_Group_Column(),$AH$12,Sample_Include())</f>
        <v>23.445918367346941</v>
      </c>
      <c r="AK13" t="str">
        <v>dodge challenger se</v>
      </c>
      <c r="AL13" s="7">
        <v>15</v>
      </c>
      <c r="AM13" s="7">
        <v>12.948711757958954</v>
      </c>
      <c r="AN13" s="7">
        <v>2.0512882420410463</v>
      </c>
      <c r="AO13" s="7">
        <v>9.9833761922772327E-3</v>
      </c>
      <c r="AP13" s="7">
        <v>0.44978299663282789</v>
      </c>
      <c r="AQ13" s="7">
        <v>6.8001698721160812E-4</v>
      </c>
      <c r="AR13" s="7">
        <v>-2.0720014483779297</v>
      </c>
      <c r="AS13" s="7">
        <v>-1.6683614105691487</v>
      </c>
      <c r="AT13" s="7">
        <v>0.67065862898558748</v>
      </c>
      <c r="AU13" s="7">
        <v>2.071973533284265</v>
      </c>
      <c r="AV13" s="7" t="e">
        <v>#N/A</v>
      </c>
    </row>
    <row r="14" spans="1:49" x14ac:dyDescent="0.25">
      <c r="A14" t="str">
        <v>Model?</v>
      </c>
      <c r="B14" s="16" t="s">
        <v>934</v>
      </c>
      <c r="C14" s="16" t="b">
        <v>0</v>
      </c>
      <c r="D14" s="16" t="s">
        <v>838</v>
      </c>
      <c r="E14" s="16"/>
      <c r="F14" s="16"/>
      <c r="G14" s="16" t="s">
        <v>1841</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14" s="14"/>
      <c r="R14" s="14"/>
      <c r="S14" s="14"/>
      <c r="T14" s="14"/>
      <c r="U14" s="14"/>
      <c r="V14" s="14"/>
      <c r="X14" s="20"/>
      <c r="Y14" s="3" t="s">
        <v>663</v>
      </c>
      <c r="Z14" s="3" t="s">
        <v>664</v>
      </c>
      <c r="AA14" s="3" t="s">
        <v>665</v>
      </c>
      <c r="AB14" s="3" t="s">
        <v>666</v>
      </c>
      <c r="AC14" s="22" t="s">
        <v>606</v>
      </c>
      <c r="AG14" s="9" t="s">
        <v>1746</v>
      </c>
      <c r="AH14" s="12" cm="1">
        <f t="array" ref="AH14">Group_Count_At(Prediction_Group_Column(),$AH$12,Sample_Include())</f>
        <v>392</v>
      </c>
      <c r="AK14" t="str">
        <v>plymouth 'cuda 340</v>
      </c>
      <c r="AL14" s="7">
        <v>14</v>
      </c>
      <c r="AM14" s="7">
        <v>13.809955270941414</v>
      </c>
      <c r="AN14" s="7">
        <v>0.19004472905858627</v>
      </c>
      <c r="AO14" s="7">
        <v>8.4989843865092979E-3</v>
      </c>
      <c r="AP14" s="7">
        <v>4.1639627292631085E-2</v>
      </c>
      <c r="AQ14" s="7">
        <v>4.954117244759764E-6</v>
      </c>
      <c r="AR14" s="7">
        <v>-2.0720014483779297</v>
      </c>
      <c r="AS14" s="7">
        <v>-1.6447679345732358</v>
      </c>
      <c r="AT14" s="7">
        <v>0.20405790181375258</v>
      </c>
      <c r="AU14" s="7">
        <v>0.19167376136372005</v>
      </c>
      <c r="AV14" s="7" t="e">
        <v>#N/A</v>
      </c>
    </row>
    <row r="15" spans="1:49" x14ac:dyDescent="0.25">
      <c r="A15" t="str">
        <v>Full_Data</v>
      </c>
      <c r="B15" s="16" t="s">
        <v>934</v>
      </c>
      <c r="C15" s="16" t="b">
        <v>0</v>
      </c>
      <c r="D15" s="16" t="s">
        <v>838</v>
      </c>
      <c r="E15" s="16"/>
      <c r="F15" s="16"/>
      <c r="G15" s="16" t="s">
        <v>1841</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Q15" s="14"/>
      <c r="R15" s="14"/>
      <c r="S15" s="14"/>
      <c r="T15" s="14"/>
      <c r="U15" s="14"/>
      <c r="V15" s="14"/>
      <c r="X15" s="8" t="s">
        <v>667</v>
      </c>
      <c r="Y15" s="38" cm="1">
        <f t="array" ref="Y15">Regression_Degrees_Of_Freedom(X_s_Within())</f>
        <v>2</v>
      </c>
      <c r="Z15" s="39" cm="1">
        <f t="array" ref="Z15">SS_Regression(X_s_Within(),y_s(),Allow_Intercept,Sample_Include())</f>
        <v>15646.502893709556</v>
      </c>
      <c r="AA15" s="39" cm="1">
        <f t="array" ref="AA15">MS_Regression(X_s_Within(),y_s(),Allow_Intercept,Sample_Include())</f>
        <v>7823.2514468547779</v>
      </c>
      <c r="AB15" s="39" cm="1">
        <f t="array" ref="AB15">F_Statistic(X_s_Within(),y_s(),Allow_Intercept,Sample_Include(),Absorbed_Degrees_Of_Freedom())</f>
        <v>372.37666836635816</v>
      </c>
      <c r="AC15" s="23" cm="1">
        <f t="array" ref="AC15">F_Statistic_P_Value(X_s_Within(),y_s(),Allow_Intercept,Sample_Include(),Absorbed_Degrees_Of_Freedom())</f>
        <v>4.3785870775646057E-91</v>
      </c>
      <c r="AK15" t="str">
        <v>chevrolet monte carlo</v>
      </c>
      <c r="AL15" s="7">
        <v>15</v>
      </c>
      <c r="AM15" s="7">
        <v>14.671198783923874</v>
      </c>
      <c r="AN15" s="7">
        <v>0.32880121607612622</v>
      </c>
      <c r="AO15" s="7">
        <v>8.2076576737747202E-3</v>
      </c>
      <c r="AP15" s="7">
        <v>7.2031196058822966E-2</v>
      </c>
      <c r="AQ15" s="7">
        <v>1.4312598265250438E-5</v>
      </c>
      <c r="AR15" s="7">
        <v>-2.0720014483779297</v>
      </c>
      <c r="AS15" s="7">
        <v>-1.6260625932235175</v>
      </c>
      <c r="AT15" s="7">
        <v>0.26838628142813664</v>
      </c>
      <c r="AU15" s="7">
        <v>0.33152223710956552</v>
      </c>
      <c r="AV15" s="7" t="e">
        <v>#N/A</v>
      </c>
    </row>
    <row r="16" spans="1:49" x14ac:dyDescent="0.25">
      <c r="Q16" s="14"/>
      <c r="R16" s="14"/>
      <c r="S16" s="14"/>
      <c r="T16" s="14"/>
      <c r="U16" s="14"/>
      <c r="V16" s="14"/>
      <c r="X16" s="8" t="s">
        <v>668</v>
      </c>
      <c r="Y16" s="38" cm="1">
        <f t="array" ref="Y16">Residual_Degrees_Of_Freedom(X_s_Within(),y_s(),Allow_Intercept,Sample_Include(),Absorbed_Degrees_Of_Freedom())</f>
        <v>389</v>
      </c>
      <c r="Z16" s="39" cm="1">
        <f t="array" ref="Z16">SS_Residual(X_s_Within(),y_s(),Allow_Intercept,Sample_Include())</f>
        <v>8172.4905756782</v>
      </c>
      <c r="AA16" s="39" cm="1">
        <f t="array" ref="AA16">MS_Residual(X_s_Within(),y_s(),Allow_Intercept,Sample_Include(),Absorbed_Degrees_Of_Freedom())</f>
        <v>21.008973202257582</v>
      </c>
      <c r="AC16" s="24"/>
      <c r="AG16" s="4" t="s">
        <v>682</v>
      </c>
      <c r="AK16" t="str">
        <v>buick estate wagon (sw)</v>
      </c>
      <c r="AL16" s="7">
        <v>14</v>
      </c>
      <c r="AM16" s="7">
        <v>8.2118724365554243</v>
      </c>
      <c r="AN16" s="7">
        <v>5.7881275634445757</v>
      </c>
      <c r="AO16" s="7">
        <v>3.9473569661972151E-2</v>
      </c>
      <c r="AP16" s="7">
        <v>1.2884899056093879</v>
      </c>
      <c r="AQ16" s="7">
        <v>2.2742482481113362E-2</v>
      </c>
      <c r="AR16" s="7">
        <v>-1.8192221095957348</v>
      </c>
      <c r="AS16" s="7">
        <v>-1.5456137585462526</v>
      </c>
      <c r="AT16" s="7">
        <v>1.1351166925075977</v>
      </c>
      <c r="AU16" s="7">
        <v>6.0259951008402979</v>
      </c>
      <c r="AV16" s="7">
        <v>2.2742482481113362E-2</v>
      </c>
    </row>
    <row r="17" spans="17:48" x14ac:dyDescent="0.25">
      <c r="Q17" s="14"/>
      <c r="R17" s="14"/>
      <c r="S17" s="14"/>
      <c r="T17" s="14"/>
      <c r="U17" s="14"/>
      <c r="V17" s="14"/>
      <c r="X17" s="9" t="s">
        <v>669</v>
      </c>
      <c r="Y17" s="10" cm="1">
        <f t="array" ref="Y17">Total_Degrees_Of_Freedom(y_s(),Allow_Intercept,Sample_Include())</f>
        <v>391</v>
      </c>
      <c r="Z17" s="21" cm="1">
        <f t="array" ref="Z17">SS_Total(y_s(),Allow_Intercept,Sample_Include())</f>
        <v>23818.993469387755</v>
      </c>
      <c r="AA17" s="15"/>
      <c r="AB17" s="15"/>
      <c r="AC17" s="25"/>
      <c r="AG17" s="3" t="s">
        <v>683</v>
      </c>
      <c r="AH17" s="3" t="s">
        <v>684</v>
      </c>
      <c r="AI17" s="31" t="s">
        <v>861</v>
      </c>
      <c r="AK17" t="str">
        <v>toyota corona mark ii</v>
      </c>
      <c r="AL17" s="7">
        <v>24</v>
      </c>
      <c r="AM17" s="7">
        <v>27.087322281839008</v>
      </c>
      <c r="AN17" s="7">
        <v>-3.0873222818390076</v>
      </c>
      <c r="AO17" s="7">
        <v>6.5036286637345023E-3</v>
      </c>
      <c r="AP17" s="7">
        <v>-0.67576611506154949</v>
      </c>
      <c r="AQ17" s="7">
        <v>9.9646263620771351E-4</v>
      </c>
      <c r="AR17" s="7">
        <v>-1.8192221095957348</v>
      </c>
      <c r="AS17" s="7">
        <v>-1.5197778019033039</v>
      </c>
      <c r="AT17" s="7">
        <v>0.82204994681682786</v>
      </c>
      <c r="AU17" s="7">
        <v>-3.107532519405702</v>
      </c>
      <c r="AV17" s="7" t="e">
        <v>#N/A</v>
      </c>
    </row>
    <row r="18" spans="17:48" x14ac:dyDescent="0.25">
      <c r="Q18" s="14"/>
      <c r="R18" s="14"/>
      <c r="S18" s="14"/>
      <c r="T18" s="14"/>
      <c r="U18" s="14"/>
      <c r="V18" s="14"/>
      <c r="AK18" t="str">
        <v>plymouth duster</v>
      </c>
      <c r="AL18" s="7">
        <v>22</v>
      </c>
      <c r="AM18" s="7">
        <v>23.247680193583207</v>
      </c>
      <c r="AN18" s="7">
        <v>-1.2476801935832071</v>
      </c>
      <c r="AO18" s="7">
        <v>5.0677331783451334E-3</v>
      </c>
      <c r="AP18" s="7">
        <v>-0.27290036054907113</v>
      </c>
      <c r="AQ18" s="7">
        <v>1.2644660959969353E-4</v>
      </c>
      <c r="AR18" s="7">
        <v>-1.8192221095957348</v>
      </c>
      <c r="AS18" s="7">
        <v>-1.5009425818703794</v>
      </c>
      <c r="AT18" s="7">
        <v>0.52239866055443818</v>
      </c>
      <c r="AU18" s="7">
        <v>-1.2540353099301564</v>
      </c>
      <c r="AV18" s="7" t="e">
        <v>#N/A</v>
      </c>
    </row>
    <row r="19" spans="17:48" x14ac:dyDescent="0.25">
      <c r="Q19" s="14"/>
      <c r="R19" s="14"/>
      <c r="S19" s="14"/>
      <c r="T19" s="14"/>
      <c r="U19" s="14"/>
      <c r="V19" s="14"/>
      <c r="X19" s="4" t="s">
        <v>670</v>
      </c>
      <c r="AG19" t="str" cm="1">
        <f t="array" ref="AG19:AG20">TRANSPOSE(Constructed_Column_Names())</f>
        <v>Cylinders</v>
      </c>
      <c r="AH19" s="17" cm="1">
        <f t="array" ref="AH19">IF(ROW()-18&lt;=IFERROR(ROWS(_xlfn.ANCHORARRAY($AI$19)),0),INDEX(_xlfn.ANCHORARRAY($AI$19),ROW()-18),"")</f>
        <v>5.4719387755102042</v>
      </c>
      <c r="AI19" s="7" cm="1">
        <f t="array" ref="AI19:AI20">IFERROR(TRANSPOSE(_xlfn.LET(_xlpm.m,_xlfn.BYCOL(_xlfn._xlws.FILTER(X_s(),Sample_Include()),_xlfn.LAMBDA(_xlpm.c,AVERAGE(_xlpm.c))),_xlpm.t,Constructed_Column_Transforms(),IF(_xlpm.t="Log",EXP(_xlpm.m),_xlpm.m))),"")</f>
        <v>5.4719387755102042</v>
      </c>
      <c r="AK19" t="str">
        <v>amc hornet</v>
      </c>
      <c r="AL19" s="7">
        <v>18</v>
      </c>
      <c r="AM19" s="7">
        <v>23.075431490986713</v>
      </c>
      <c r="AN19" s="7">
        <v>-5.0754314909867126</v>
      </c>
      <c r="AO19" s="7">
        <v>4.6259610309465887E-3</v>
      </c>
      <c r="AP19" s="7">
        <v>-1.1098835170428225</v>
      </c>
      <c r="AQ19" s="7">
        <v>1.9083112440223412E-3</v>
      </c>
      <c r="AR19" s="7">
        <v>-1.8192221095957348</v>
      </c>
      <c r="AS19" s="7">
        <v>-1.4903094045150971</v>
      </c>
      <c r="AT19" s="7">
        <v>1.053510093469836</v>
      </c>
      <c r="AU19" s="7">
        <v>-5.099019355822791</v>
      </c>
      <c r="AV19" s="7" t="e">
        <v>#N/A</v>
      </c>
    </row>
    <row r="20" spans="17:48" x14ac:dyDescent="0.25">
      <c r="Q20" s="14"/>
      <c r="R20" s="14"/>
      <c r="S20" s="14"/>
      <c r="T20" s="14"/>
      <c r="U20" s="14"/>
      <c r="V20" s="14"/>
      <c r="X20" s="3"/>
      <c r="Y20" s="3" t="s">
        <v>73</v>
      </c>
      <c r="Z20" s="3" t="s">
        <v>671</v>
      </c>
      <c r="AA20" s="3" t="s">
        <v>672</v>
      </c>
      <c r="AB20" s="3" t="s">
        <v>673</v>
      </c>
      <c r="AC20" s="3" t="s">
        <v>674</v>
      </c>
      <c r="AD20" s="3" t="s">
        <v>675</v>
      </c>
      <c r="AE20" s="3" t="s">
        <v>676</v>
      </c>
      <c r="AG20" t="str">
        <v>Horsepower</v>
      </c>
      <c r="AH20" s="17" cm="1">
        <f t="array" ref="AH20">IF(ROW()-18&lt;=IFERROR(ROWS(_xlfn.ANCHORARRAY($AI$19)),0),INDEX(_xlfn.ANCHORARRAY($AI$19),ROW()-18),"")</f>
        <v>104.46938775510205</v>
      </c>
      <c r="AI20" s="7">
        <v>104.46938775510205</v>
      </c>
      <c r="AK20" t="str">
        <v>ford maverick</v>
      </c>
      <c r="AL20" s="7">
        <v>21</v>
      </c>
      <c r="AM20" s="7">
        <v>24.108923706565665</v>
      </c>
      <c r="AN20" s="7">
        <v>-3.1089237065656654</v>
      </c>
      <c r="AO20" s="7">
        <v>7.9924329711578042E-3</v>
      </c>
      <c r="AP20" s="7">
        <v>-0.68100477723248198</v>
      </c>
      <c r="AQ20" s="7">
        <v>1.2454981305941703E-3</v>
      </c>
      <c r="AR20" s="7">
        <v>-1.8192221095957348</v>
      </c>
      <c r="AS20" s="7">
        <v>-1.4903094045150971</v>
      </c>
      <c r="AT20" s="7">
        <v>0.82523013592117567</v>
      </c>
      <c r="AU20" s="7">
        <v>-3.1339717658376238</v>
      </c>
      <c r="AV20" s="7" t="e">
        <v>#N/A</v>
      </c>
    </row>
    <row r="21" spans="17:48" x14ac:dyDescent="0.25">
      <c r="Q21" s="14"/>
      <c r="R21" s="14"/>
      <c r="S21" s="14"/>
      <c r="T21" s="14"/>
      <c r="U21" s="14"/>
      <c r="V21" s="14"/>
      <c r="X21" t="str" cm="1">
        <f t="array" ref="X21:X23">IF(Zero_Predictors_Selected(),IF(AND(Allow_Intercept,Intercept_Only_N()&gt;=1),"Intercept",NA()),IF(Allow_Intercept,_xlfn.VSTACK("Intercept",TRANSPOSE(Constructed_Column_Names())),_xlfn.VSTACK("",TRANSPOSE(Constructed_Column_Names()))))</f>
        <v>Intercept</v>
      </c>
      <c r="Y21" s="7" cm="1">
        <f t="array" ref="Y21:Y23">IF(Zero_Predictors_Selected(),IF(AND(Allow_Intercept,Intercept_Only_N()&gt;=1),Intercept_Only_Point(),NA()),IF(Allow_Intercept,Coefficients(X_s_Within(),y_s(),Allow_Intercept,Sample_Include()),_xlfn.VSTACK("",Coefficients(X_s_Within(),y_s(),Allow_Intercept,Sample_Include()))))</f>
        <v>42.948419831683978</v>
      </c>
      <c r="Z21" s="7" cm="1">
        <f t="array" ref="Z21:Z23">IF(Zero_Predictors_Selected(),IF(AND(Allow_Intercept,Intercept_Only_N()&gt;=2),Intercept_Only_SE(),NA()),IF(Allow_Intercept,SE_Coefficients(X_s_Within(),y_s(),Allow_Intercept,Sample_Include(),Absorbed_Degrees_Of_Freedom()),_xlfn.VSTACK("",SE_Coefficients(X_s_Within(),y_s(),Allow_Intercept,Sample_Include(),Absorbed_Degrees_Of_Freedom()))))</f>
        <v>0.77880248524978268</v>
      </c>
      <c r="AA21" s="7" cm="1">
        <f t="array" ref="AA21:AA23">IF(Zero_Predictors_Selected(),IF(AND(Allow_Intercept,Intercept_Only_N()&gt;=2),Intercept_Only_Point()/Intercept_Only_SE(),NA()),IF(Allow_Intercept,T_Statistics(X_s_Within(),y_s(),Allow_Intercept,Sample_Include(),Absorbed_Degrees_Of_Freedom()),_xlfn.VSTACK("",T_Statistics(X_s_Within(),y_s(),Allow_Intercept,Sample_Include(),Absorbed_Degrees_Of_Freedom()))))</f>
        <v>55.146742139516</v>
      </c>
      <c r="AB21" s="19" cm="1">
        <f t="array" ref="AB21:AB23">IF(Zero_Predictors_Selected(),IF(AND(Allow_Intercept,Intercept_Only_N()&gt;=2),_xlfn.T.DIST.2T(ABS(Intercept_Only_Point()/Intercept_Only_SE()),Intercept_Only_DF()),NA()),IF(Allow_Intercept,P_Values(X_s_Within(),y_s(),Allow_Intercept,Sample_Include(),Absorbed_Degrees_Of_Freedom()),_xlfn.VSTACK("",P_Values(X_s_Within(),y_s(),Allow_Intercept,Sample_Include(),Absorbed_Degrees_Of_Freedom()))))</f>
        <v>5.7432085698223453E-186</v>
      </c>
      <c r="AC21" s="7" cm="1">
        <f t="array" ref="AC21:AC23">IF(Zero_Predictors_Selected(),IF(AND(Allow_Intercept,Intercept_Only_N()&gt;=2),Intercept_Only_Point()-_xlfn.T.INV.2T(alpha,Intercept_Only_DF())*Intercept_Only_SE(),NA()),IF(Allow_Intercept,Confidence_Interval_Lower(X_s_Within(),y_s(),Allow_Intercept,Sample_Include(),0.05,Absorbed_Degrees_Of_Freedom()),_xlfn.VSTACK("",Confidence_Interval_Lower(X_s_Within(),y_s(),Allow_Intercept,Sample_Include(),0.05,Absorbed_Degrees_Of_Freedom()))))</f>
        <v>41.417231012801857</v>
      </c>
      <c r="AD21" s="7" cm="1">
        <f t="array" ref="AD21:AD23">IF(Zero_Predictors_Selected(),IF(AND(Allow_Intercept,Intercept_Only_N()&gt;=2),Intercept_Only_Point()+_xlfn.T.INV.2T(alpha,Intercept_Only_DF())*Intercept_Only_SE(),NA()),IF(Allow_Intercept,Confidence_Interval_Upper(X_s_Within(),y_s(),Allow_Intercept,Sample_Include(),0.05,Absorbed_Degrees_Of_Freedom()),_xlfn.VSTACK("",Confidence_Interval_Upper(X_s_Within(),y_s(),Allow_Intercept,Sample_Include(),0.05,Absorbed_Degrees_Of_Freedom()))))</f>
        <v>44.479608650566099</v>
      </c>
      <c r="AE21" s="7" t="str" cm="1">
        <f t="array" ref="AE21:AE23">IF(Zero_Predictors_Selected(),IF(Allow_Intercept,"",NA()),_xlfn.VSTACK("",Beta_Weights(X_s_Within(),y_s(),Allow_Intercept,Sample_Include())))</f>
        <v/>
      </c>
      <c r="AH21" s="17" t="str" cm="1">
        <f t="array" ref="AH21">IF(ROW()-18&lt;=IFERROR(ROWS(_xlfn.ANCHORARRAY($AI$19)),0),INDEX(_xlfn.ANCHORARRAY($AI$19),ROW()-18),"")</f>
        <v/>
      </c>
      <c r="AK21" t="str">
        <v>datsun pl510</v>
      </c>
      <c r="AL21" s="7">
        <v>27</v>
      </c>
      <c r="AM21" s="7">
        <v>27.690192740926726</v>
      </c>
      <c r="AN21" s="7">
        <v>-0.69019274092672589</v>
      </c>
      <c r="AO21" s="7">
        <v>5.2484190645161813E-3</v>
      </c>
      <c r="AP21" s="7">
        <v>-0.15097695247620252</v>
      </c>
      <c r="AQ21" s="7">
        <v>4.0087956740688448E-5</v>
      </c>
      <c r="AR21" s="7">
        <v>-1.8192221095957348</v>
      </c>
      <c r="AS21" s="7">
        <v>-1.4821947264715534</v>
      </c>
      <c r="AT21" s="7">
        <v>0.38855752788512865</v>
      </c>
      <c r="AU21" s="7">
        <v>-0.69383427395778063</v>
      </c>
      <c r="AV21" s="7" t="e">
        <v>#N/A</v>
      </c>
    </row>
    <row r="22" spans="17:48" x14ac:dyDescent="0.25">
      <c r="Q22" s="14"/>
      <c r="R22" s="14"/>
      <c r="S22" s="14"/>
      <c r="T22" s="14"/>
      <c r="U22" s="14"/>
      <c r="V22" s="14"/>
      <c r="X22" t="str">
        <v>Cylinders</v>
      </c>
      <c r="Y22" s="7">
        <v>-1.9198210441279002</v>
      </c>
      <c r="Z22" s="7">
        <v>0.2526135483437959</v>
      </c>
      <c r="AA22" s="7">
        <v>-7.5998340418191201</v>
      </c>
      <c r="AB22" s="19">
        <v>2.2385136818345881E-13</v>
      </c>
      <c r="AC22" s="7">
        <v>-2.4164797580482871</v>
      </c>
      <c r="AD22" s="7">
        <v>-1.4231623302075136</v>
      </c>
      <c r="AE22" s="7">
        <v>-0.41957660909548727</v>
      </c>
      <c r="AH22" s="17" t="str" cm="1">
        <f t="array" ref="AH22">IF(ROW()-18&lt;=IFERROR(ROWS(_xlfn.ANCHORARRAY($AI$19)),0),INDEX(_xlfn.ANCHORARRAY($AI$19),ROW()-18),"")</f>
        <v/>
      </c>
      <c r="AK22" t="str">
        <v>volkswagen 1131 deluxe sedan</v>
      </c>
      <c r="AL22" s="7">
        <v>26</v>
      </c>
      <c r="AM22" s="7">
        <v>31.307415495453061</v>
      </c>
      <c r="AN22" s="7">
        <v>-5.3074154954530606</v>
      </c>
      <c r="AO22" s="7">
        <v>9.9938012765195018E-3</v>
      </c>
      <c r="AP22" s="7">
        <v>-1.1637554225080031</v>
      </c>
      <c r="AQ22" s="7">
        <v>4.5571673372708796E-3</v>
      </c>
      <c r="AR22" s="7">
        <v>-1.8192221095957348</v>
      </c>
      <c r="AS22" s="7">
        <v>-1.4722552026101394</v>
      </c>
      <c r="AT22" s="7">
        <v>1.0787749637936557</v>
      </c>
      <c r="AU22" s="7">
        <v>-5.3609921860049683</v>
      </c>
      <c r="AV22" s="7" t="e">
        <v>#N/A</v>
      </c>
    </row>
    <row r="23" spans="17:48" x14ac:dyDescent="0.25">
      <c r="Q23" s="14"/>
      <c r="R23" s="14"/>
      <c r="S23" s="14"/>
      <c r="T23" s="14"/>
      <c r="U23" s="14"/>
      <c r="V23" s="14"/>
      <c r="X23" t="str">
        <v>Horsepower</v>
      </c>
      <c r="Y23" s="7">
        <v>-8.6124351298246013E-2</v>
      </c>
      <c r="Z23" s="7">
        <v>1.1194881099879256E-2</v>
      </c>
      <c r="AA23" s="7">
        <v>-7.6931903545786584</v>
      </c>
      <c r="AB23" s="19">
        <v>1.1912592107912599E-13</v>
      </c>
      <c r="AC23" s="7">
        <v>-0.10813439504297309</v>
      </c>
      <c r="AD23" s="7">
        <v>-6.4114307553518934E-2</v>
      </c>
      <c r="AE23" s="7">
        <v>-0.42473068547791443</v>
      </c>
      <c r="AH23" s="17" t="str" cm="1">
        <f t="array" ref="AH23">IF(ROW()-18&lt;=IFERROR(ROWS(_xlfn.ANCHORARRAY($AI$19)),0),INDEX(_xlfn.ANCHORARRAY($AI$19),ROW()-18),"")</f>
        <v/>
      </c>
      <c r="AK23" t="str">
        <v>peugeot 504</v>
      </c>
      <c r="AL23" s="7">
        <v>25</v>
      </c>
      <c r="AM23" s="7">
        <v>27.776317092224975</v>
      </c>
      <c r="AN23" s="7">
        <v>-2.7763170922249749</v>
      </c>
      <c r="AO23" s="7">
        <v>5.1168260112063315E-3</v>
      </c>
      <c r="AP23" s="7">
        <v>-0.60726829885664901</v>
      </c>
      <c r="AQ23" s="7">
        <v>6.3222043575586278E-4</v>
      </c>
      <c r="AR23" s="7">
        <v>-1.8192221095957348</v>
      </c>
      <c r="AS23" s="7">
        <v>-1.4701947618363536</v>
      </c>
      <c r="AT23" s="7">
        <v>0.77927421287801446</v>
      </c>
      <c r="AU23" s="7">
        <v>-2.7905960868690372</v>
      </c>
      <c r="AV23" s="7" t="e">
        <v>#N/A</v>
      </c>
    </row>
    <row r="24" spans="17:48" x14ac:dyDescent="0.25">
      <c r="Q24" s="14"/>
      <c r="R24" s="14"/>
      <c r="S24" s="14"/>
      <c r="T24" s="14"/>
      <c r="U24" s="14"/>
      <c r="V24" s="14"/>
      <c r="Y24" s="7"/>
      <c r="Z24" s="7"/>
      <c r="AA24" s="7"/>
      <c r="AB24" s="19"/>
      <c r="AC24" s="7"/>
      <c r="AD24" s="7"/>
      <c r="AE24" s="7"/>
      <c r="AH24" s="17" t="str" cm="1">
        <f t="array" ref="AH24">IF(ROW()-18&lt;=IFERROR(ROWS(_xlfn.ANCHORARRAY($AI$19)),0),INDEX(_xlfn.ANCHORARRAY($AI$19),ROW()-18),"")</f>
        <v/>
      </c>
      <c r="AK24" t="str">
        <v>audi 100 ls</v>
      </c>
      <c r="AL24" s="7">
        <v>24</v>
      </c>
      <c r="AM24" s="7">
        <v>27.517944038330235</v>
      </c>
      <c r="AN24" s="7">
        <v>-3.5179440383302349</v>
      </c>
      <c r="AO24" s="7">
        <v>5.5473971239268956E-3</v>
      </c>
      <c r="AP24" s="7">
        <v>-0.76965211770235342</v>
      </c>
      <c r="AQ24" s="7">
        <v>1.1014704508770944E-3</v>
      </c>
      <c r="AR24" s="7">
        <v>-1.8192221095957348</v>
      </c>
      <c r="AS24" s="7">
        <v>-1.4537322269517876</v>
      </c>
      <c r="AT24" s="7">
        <v>0.87729819200905312</v>
      </c>
      <c r="AU24" s="7">
        <v>-3.5375683347360445</v>
      </c>
      <c r="AV24" s="7" t="e">
        <v>#N/A</v>
      </c>
    </row>
    <row r="25" spans="17:48" x14ac:dyDescent="0.25">
      <c r="Q25" s="14"/>
      <c r="R25" s="14"/>
      <c r="S25" s="14"/>
      <c r="T25" s="14"/>
      <c r="U25" s="14"/>
      <c r="V25" s="14"/>
      <c r="Y25" s="7"/>
      <c r="Z25" s="7"/>
      <c r="AA25" s="7"/>
      <c r="AB25" s="19"/>
      <c r="AC25" s="7"/>
      <c r="AD25" s="7"/>
      <c r="AE25" s="7"/>
      <c r="AH25" s="17" t="str" cm="1">
        <f t="array" ref="AH25">IF(ROW()-18&lt;=IFERROR(ROWS(_xlfn.ANCHORARRAY($AI$19)),0),INDEX(_xlfn.ANCHORARRAY($AI$19),ROW()-18),"")</f>
        <v/>
      </c>
      <c r="AK25" t="str">
        <v>saab 99e</v>
      </c>
      <c r="AL25" s="7">
        <v>25</v>
      </c>
      <c r="AM25" s="7">
        <v>27.087322281839008</v>
      </c>
      <c r="AN25" s="7">
        <v>-2.0873222818390076</v>
      </c>
      <c r="AO25" s="7">
        <v>6.5036286637345023E-3</v>
      </c>
      <c r="AP25" s="7">
        <v>-0.45688189975409549</v>
      </c>
      <c r="AQ25" s="7">
        <v>4.5548712185187307E-4</v>
      </c>
      <c r="AR25" s="7">
        <v>-1.8192221095957348</v>
      </c>
      <c r="AS25" s="7">
        <v>-1.4257693520918016</v>
      </c>
      <c r="AT25" s="7">
        <v>0.67593039564299484</v>
      </c>
      <c r="AU25" s="7">
        <v>-2.1009863166702183</v>
      </c>
      <c r="AV25" s="7" t="e">
        <v>#N/A</v>
      </c>
    </row>
    <row r="26" spans="17:48" x14ac:dyDescent="0.25">
      <c r="Q26" s="14"/>
      <c r="R26" s="14"/>
      <c r="S26" s="14"/>
      <c r="T26" s="14"/>
      <c r="U26" s="14"/>
      <c r="V26" s="14"/>
      <c r="Y26" s="7"/>
      <c r="Z26" s="7"/>
      <c r="AA26" s="7"/>
      <c r="AB26" s="19"/>
      <c r="AC26" s="7"/>
      <c r="AD26" s="7"/>
      <c r="AE26" s="7"/>
      <c r="AH26" s="17" t="str" cm="1">
        <f t="array" ref="AH26">IF(ROW()-18&lt;=IFERROR(ROWS(_xlfn.ANCHORARRAY($AI$19)),0),INDEX(_xlfn.ANCHORARRAY($AI$19),ROW()-18),"")</f>
        <v/>
      </c>
      <c r="AK26" t="str">
        <v>bmw 2002</v>
      </c>
      <c r="AL26" s="7">
        <v>26</v>
      </c>
      <c r="AM26" s="7">
        <v>25.537083958470578</v>
      </c>
      <c r="AN26" s="7">
        <v>0.46291604152942156</v>
      </c>
      <c r="AO26" s="7">
        <v>1.2415706949620936E-2</v>
      </c>
      <c r="AP26" s="7">
        <v>0.10162784818039022</v>
      </c>
      <c r="AQ26" s="7">
        <v>4.328141838820295E-5</v>
      </c>
      <c r="AR26" s="7">
        <v>-1.8192221095957348</v>
      </c>
      <c r="AS26" s="7">
        <v>-1.4206601870120885</v>
      </c>
      <c r="AT26" s="7">
        <v>0.31879122977332708</v>
      </c>
      <c r="AU26" s="7">
        <v>0.46873572695207605</v>
      </c>
      <c r="AV26" s="7" t="e">
        <v>#N/A</v>
      </c>
    </row>
    <row r="27" spans="17:48" x14ac:dyDescent="0.25">
      <c r="Q27" s="14"/>
      <c r="R27" s="14"/>
      <c r="S27" s="14"/>
      <c r="T27" s="14"/>
      <c r="U27" s="14"/>
      <c r="V27" s="14"/>
      <c r="Y27" s="7"/>
      <c r="Z27" s="7"/>
      <c r="AA27" s="7"/>
      <c r="AB27" s="19"/>
      <c r="AC27" s="7"/>
      <c r="AD27" s="7"/>
      <c r="AE27" s="7"/>
      <c r="AH27" s="17" t="str" cm="1">
        <f t="array" ref="AH27">IF(ROW()-18&lt;=IFERROR(ROWS(_xlfn.ANCHORARRAY($AI$19)),0),INDEX(_xlfn.ANCHORARRAY($AI$19),ROW()-18),"")</f>
        <v/>
      </c>
      <c r="AK27" t="str">
        <v>amc gremlin</v>
      </c>
      <c r="AL27" s="7">
        <v>21</v>
      </c>
      <c r="AM27" s="7">
        <v>23.678301950074435</v>
      </c>
      <c r="AN27" s="7">
        <v>-2.6783019500744345</v>
      </c>
      <c r="AO27" s="7">
        <v>6.3809499381223024E-3</v>
      </c>
      <c r="AP27" s="7">
        <v>-0.58620182918557573</v>
      </c>
      <c r="AQ27" s="7">
        <v>7.3559456511495527E-4</v>
      </c>
      <c r="AR27" s="7">
        <v>-1.8192221095957348</v>
      </c>
      <c r="AS27" s="7">
        <v>-1.3956670734227141</v>
      </c>
      <c r="AT27" s="7">
        <v>0.76563818425257224</v>
      </c>
      <c r="AU27" s="7">
        <v>-2.6955018121961762</v>
      </c>
      <c r="AV27" s="7" t="e">
        <v>#N/A</v>
      </c>
    </row>
    <row r="28" spans="17:48" x14ac:dyDescent="0.25">
      <c r="Q28" s="14"/>
      <c r="R28" s="14"/>
      <c r="S28" s="14"/>
      <c r="T28" s="14"/>
      <c r="U28" s="14"/>
      <c r="V28" s="14"/>
      <c r="Y28" s="7"/>
      <c r="Z28" s="7"/>
      <c r="AA28" s="7"/>
      <c r="AB28" s="19"/>
      <c r="AC28" s="7"/>
      <c r="AD28" s="7"/>
      <c r="AE28" s="7"/>
      <c r="AH28" s="17" t="str" cm="1">
        <f t="array" ref="AH28">IF(ROW()-18&lt;=IFERROR(ROWS(_xlfn.ANCHORARRAY($AI$19)),0),INDEX(_xlfn.ANCHORARRAY($AI$19),ROW()-18),"")</f>
        <v/>
      </c>
      <c r="AK28" t="str">
        <v>ford f250</v>
      </c>
      <c r="AL28" s="7">
        <v>10</v>
      </c>
      <c r="AM28" s="7">
        <v>9.0731159495378826</v>
      </c>
      <c r="AN28" s="7">
        <v>0.92688405046211741</v>
      </c>
      <c r="AO28" s="7">
        <v>3.1427319844520754E-2</v>
      </c>
      <c r="AP28" s="7">
        <v>0.20547400588399048</v>
      </c>
      <c r="AQ28" s="7">
        <v>4.5663337608207696E-4</v>
      </c>
      <c r="AR28" s="7">
        <v>-1.8192221095957348</v>
      </c>
      <c r="AS28" s="7">
        <v>-1.3956670734227141</v>
      </c>
      <c r="AT28" s="7">
        <v>0.45329240660305625</v>
      </c>
      <c r="AU28" s="7">
        <v>0.956958697527304</v>
      </c>
      <c r="AV28" s="7" t="e">
        <v>#N/A</v>
      </c>
    </row>
    <row r="29" spans="17:48" x14ac:dyDescent="0.25">
      <c r="Q29" s="14"/>
      <c r="R29" s="14"/>
      <c r="S29" s="14"/>
      <c r="T29" s="14"/>
      <c r="U29" s="14"/>
      <c r="V29" s="14"/>
      <c r="Y29" s="7"/>
      <c r="Z29" s="7"/>
      <c r="AA29" s="7"/>
      <c r="AB29" s="19"/>
      <c r="AC29" s="7"/>
      <c r="AD29" s="7"/>
      <c r="AE29" s="7"/>
      <c r="AH29" s="17" t="str" cm="1">
        <f t="array" ref="AH29">IF(ROW()-18&lt;=IFERROR(ROWS(_xlfn.ANCHORARRAY($AI$19)),0),INDEX(_xlfn.ANCHORARRAY($AI$19),ROW()-18),"")</f>
        <v/>
      </c>
      <c r="AK29" t="str">
        <v>chevy c20</v>
      </c>
      <c r="AL29" s="7">
        <v>10</v>
      </c>
      <c r="AM29" s="7">
        <v>10.364981219011575</v>
      </c>
      <c r="AN29" s="7">
        <v>-0.36498121901157532</v>
      </c>
      <c r="AO29" s="7">
        <v>2.1594942167781156E-2</v>
      </c>
      <c r="AP29" s="7">
        <v>-8.0502387241465176E-2</v>
      </c>
      <c r="AQ29" s="7">
        <v>4.7679272475985475E-5</v>
      </c>
      <c r="AR29" s="7">
        <v>-1.8192221095957348</v>
      </c>
      <c r="AS29" s="7">
        <v>-1.3728448120257164</v>
      </c>
      <c r="AT29" s="7">
        <v>0.2837294261113309</v>
      </c>
      <c r="AU29" s="7">
        <v>-0.37303692994007792</v>
      </c>
      <c r="AV29" s="7" t="e">
        <v>#N/A</v>
      </c>
    </row>
    <row r="30" spans="17:48" x14ac:dyDescent="0.25">
      <c r="Q30" s="14"/>
      <c r="R30" s="14"/>
      <c r="S30" s="14"/>
      <c r="T30" s="14"/>
      <c r="U30" s="14"/>
      <c r="V30" s="14"/>
      <c r="Y30" s="7"/>
      <c r="Z30" s="7"/>
      <c r="AA30" s="7"/>
      <c r="AB30" s="19"/>
      <c r="AC30" s="7"/>
      <c r="AD30" s="7"/>
      <c r="AE30" s="7"/>
      <c r="AH30" s="17" t="str" cm="1">
        <f t="array" ref="AH30">IF(ROW()-18&lt;=IFERROR(ROWS(_xlfn.ANCHORARRAY($AI$19)),0),INDEX(_xlfn.ANCHORARRAY($AI$19),ROW()-18),"")</f>
        <v/>
      </c>
      <c r="AK30" t="str">
        <v>dodge d200</v>
      </c>
      <c r="AL30" s="7">
        <v>11</v>
      </c>
      <c r="AM30" s="7">
        <v>9.5037377060291135</v>
      </c>
      <c r="AN30" s="7">
        <v>1.4962622939708865</v>
      </c>
      <c r="AO30" s="7">
        <v>2.7851594345682545E-2</v>
      </c>
      <c r="AP30" s="7">
        <v>0.3310846408377961</v>
      </c>
      <c r="AQ30" s="7">
        <v>1.0468255316265951E-3</v>
      </c>
      <c r="AR30" s="7">
        <v>-1.8192221095957348</v>
      </c>
      <c r="AS30" s="7">
        <v>-1.3105303394531658</v>
      </c>
      <c r="AT30" s="7">
        <v>0.57539954886825906</v>
      </c>
      <c r="AU30" s="7">
        <v>1.5391295045778604</v>
      </c>
      <c r="AV30" s="7" t="e">
        <v>#N/A</v>
      </c>
    </row>
    <row r="31" spans="17:48" x14ac:dyDescent="0.25">
      <c r="Q31" s="14"/>
      <c r="R31" s="14"/>
      <c r="S31" s="14"/>
      <c r="T31" s="14"/>
      <c r="U31" s="14"/>
      <c r="V31" s="14"/>
      <c r="Y31" s="7"/>
      <c r="Z31" s="7"/>
      <c r="AA31" s="7"/>
      <c r="AB31" s="19"/>
      <c r="AC31" s="7"/>
      <c r="AD31" s="7"/>
      <c r="AE31" s="7"/>
      <c r="AH31" s="17" t="str" cm="1">
        <f t="array" ref="AH31">IF(ROW()-18&lt;=IFERROR(ROWS(_xlfn.ANCHORARRAY($AI$19)),0),INDEX(_xlfn.ANCHORARRAY($AI$19),ROW()-18),"")</f>
        <v/>
      </c>
      <c r="AK31" t="str">
        <v>hi 1200d</v>
      </c>
      <c r="AL31" s="7">
        <v>9</v>
      </c>
      <c r="AM31" s="7">
        <v>10.967851678099297</v>
      </c>
      <c r="AN31" s="7">
        <v>-1.9678516780992972</v>
      </c>
      <c r="AO31" s="7">
        <v>1.7925159373605091E-2</v>
      </c>
      <c r="AP31" s="7">
        <v>-0.43322913474712527</v>
      </c>
      <c r="AQ31" s="7">
        <v>1.1419116308667488E-3</v>
      </c>
      <c r="AR31" s="7">
        <v>-1.8192221095957348</v>
      </c>
      <c r="AS31" s="7">
        <v>-1.3012875432514226</v>
      </c>
      <c r="AT31" s="7">
        <v>0.65820143933838771</v>
      </c>
      <c r="AU31" s="7">
        <v>-2.003769566934579</v>
      </c>
      <c r="AV31" s="7" t="e">
        <v>#N/A</v>
      </c>
    </row>
    <row r="32" spans="17:48" x14ac:dyDescent="0.25">
      <c r="Q32" s="14"/>
      <c r="R32" s="14"/>
      <c r="S32" s="14"/>
      <c r="T32" s="14"/>
      <c r="U32" s="14"/>
      <c r="V32" s="14"/>
      <c r="Y32" s="7"/>
      <c r="Z32" s="7"/>
      <c r="AA32" s="7"/>
      <c r="AB32" s="19"/>
      <c r="AC32" s="7"/>
      <c r="AD32" s="7"/>
      <c r="AE32" s="7"/>
      <c r="AH32" s="17" t="str" cm="1">
        <f t="array" ref="AH32">IF(ROW()-18&lt;=IFERROR(ROWS(_xlfn.ANCHORARRAY($AI$19)),0),INDEX(_xlfn.ANCHORARRAY($AI$19),ROW()-18),"")</f>
        <v/>
      </c>
      <c r="AK32" t="str">
        <v>datsun pl510</v>
      </c>
      <c r="AL32" s="7">
        <v>27</v>
      </c>
      <c r="AM32" s="7">
        <v>27.690192740926726</v>
      </c>
      <c r="AN32" s="7">
        <v>-0.69019274092672589</v>
      </c>
      <c r="AO32" s="7">
        <v>5.2484190645161813E-3</v>
      </c>
      <c r="AP32" s="7">
        <v>-0.15097695247620252</v>
      </c>
      <c r="AQ32" s="7">
        <v>4.0087956740688448E-5</v>
      </c>
      <c r="AR32" s="7">
        <v>-1.8192221095957348</v>
      </c>
      <c r="AS32" s="7">
        <v>-1.2822241280631019</v>
      </c>
      <c r="AT32" s="7">
        <v>0.38855752788512865</v>
      </c>
      <c r="AU32" s="7">
        <v>-0.69383427395778063</v>
      </c>
      <c r="AV32" s="7" t="e">
        <v>#N/A</v>
      </c>
    </row>
    <row r="33" spans="17:48" x14ac:dyDescent="0.25">
      <c r="Q33" s="14"/>
      <c r="R33" s="14"/>
      <c r="S33" s="14"/>
      <c r="T33" s="14"/>
      <c r="U33" s="14"/>
      <c r="V33" s="14"/>
      <c r="Y33" s="7"/>
      <c r="Z33" s="7"/>
      <c r="AA33" s="7"/>
      <c r="AB33" s="19"/>
      <c r="AC33" s="7"/>
      <c r="AD33" s="7"/>
      <c r="AE33" s="7"/>
      <c r="AH33" s="17" t="str" cm="1">
        <f t="array" ref="AH33">IF(ROW()-18&lt;=IFERROR(ROWS(_xlfn.ANCHORARRAY($AI$19)),0),INDEX(_xlfn.ANCHORARRAY($AI$19),ROW()-18),"")</f>
        <v/>
      </c>
      <c r="AK33" t="str">
        <v>chevrolet vega 2300</v>
      </c>
      <c r="AL33" s="7">
        <v>28</v>
      </c>
      <c r="AM33" s="7">
        <v>27.517944038330235</v>
      </c>
      <c r="AN33" s="7">
        <v>0.48205596166976505</v>
      </c>
      <c r="AO33" s="7">
        <v>5.5473971239268956E-3</v>
      </c>
      <c r="AP33" s="7">
        <v>0.10546369916852878</v>
      </c>
      <c r="AQ33" s="7">
        <v>2.0681875240775726E-5</v>
      </c>
      <c r="AR33" s="7">
        <v>-1.8192221095957348</v>
      </c>
      <c r="AS33" s="7">
        <v>-1.2809066039393426</v>
      </c>
      <c r="AT33" s="7">
        <v>0.32475175006230339</v>
      </c>
      <c r="AU33" s="7">
        <v>0.48474503488210791</v>
      </c>
      <c r="AV33" s="7" t="e">
        <v>#N/A</v>
      </c>
    </row>
    <row r="34" spans="17:48" x14ac:dyDescent="0.25">
      <c r="Q34" s="14"/>
      <c r="R34" s="14"/>
      <c r="S34" s="14"/>
      <c r="T34" s="14"/>
      <c r="U34" s="14"/>
      <c r="V34" s="14"/>
      <c r="Y34" s="7"/>
      <c r="Z34" s="7"/>
      <c r="AA34" s="7"/>
      <c r="AB34" s="19"/>
      <c r="AC34" s="7"/>
      <c r="AD34" s="7"/>
      <c r="AE34" s="7"/>
      <c r="AH34" s="17" t="str" cm="1">
        <f t="array" ref="AH34">IF(ROW()-18&lt;=IFERROR(ROWS(_xlfn.ANCHORARRAY($AI$19)),0),INDEX(_xlfn.ANCHORARRAY($AI$19),ROW()-18),"")</f>
        <v/>
      </c>
      <c r="AK34" t="str">
        <v>toyota corona</v>
      </c>
      <c r="AL34" s="7">
        <v>25</v>
      </c>
      <c r="AM34" s="7">
        <v>27.087322281839008</v>
      </c>
      <c r="AN34" s="7">
        <v>-2.0873222818390076</v>
      </c>
      <c r="AO34" s="7">
        <v>6.5036286637345023E-3</v>
      </c>
      <c r="AP34" s="7">
        <v>-0.45688189975409549</v>
      </c>
      <c r="AQ34" s="7">
        <v>4.5548712185187307E-4</v>
      </c>
      <c r="AR34" s="7">
        <v>-1.8192221095957348</v>
      </c>
      <c r="AS34" s="7">
        <v>-1.2809066039393426</v>
      </c>
      <c r="AT34" s="7">
        <v>0.67593039564299484</v>
      </c>
      <c r="AU34" s="7">
        <v>-2.1009863166702183</v>
      </c>
      <c r="AV34" s="7" t="e">
        <v>#N/A</v>
      </c>
    </row>
    <row r="35" spans="17:48" x14ac:dyDescent="0.25">
      <c r="Q35" s="14"/>
      <c r="R35" s="14"/>
      <c r="S35" s="14"/>
      <c r="T35" s="14"/>
      <c r="U35" s="14"/>
      <c r="V35" s="14"/>
      <c r="Y35" s="7"/>
      <c r="Z35" s="7"/>
      <c r="AA35" s="7"/>
      <c r="AB35" s="19"/>
      <c r="AC35" s="7"/>
      <c r="AD35" s="7"/>
      <c r="AE35" s="7"/>
      <c r="AH35" s="17" t="str" cm="1">
        <f t="array" ref="AH35">IF(ROW()-18&lt;=IFERROR(ROWS(_xlfn.ANCHORARRAY($AI$19)),0),INDEX(_xlfn.ANCHORARRAY($AI$19),ROW()-18),"")</f>
        <v/>
      </c>
      <c r="AK35" t="str">
        <v>amc gremlin</v>
      </c>
      <c r="AL35" s="7">
        <v>19</v>
      </c>
      <c r="AM35" s="7">
        <v>22.817058437091976</v>
      </c>
      <c r="AN35" s="7">
        <v>-3.8170584370919762</v>
      </c>
      <c r="AO35" s="7">
        <v>4.052782691826292E-3</v>
      </c>
      <c r="AP35" s="7">
        <v>-0.83446520795977142</v>
      </c>
      <c r="AQ35" s="7">
        <v>9.4452228363682946E-4</v>
      </c>
      <c r="AR35" s="7">
        <v>-1.8192221095957348</v>
      </c>
      <c r="AS35" s="7">
        <v>-1.2716946723299885</v>
      </c>
      <c r="AT35" s="7">
        <v>0.91349067207047685</v>
      </c>
      <c r="AU35" s="7">
        <v>-3.8325910959504919</v>
      </c>
      <c r="AV35" s="7" t="e">
        <v>#N/A</v>
      </c>
    </row>
    <row r="36" spans="17:48" x14ac:dyDescent="0.25">
      <c r="Q36" s="14"/>
      <c r="R36" s="14"/>
      <c r="S36" s="14"/>
      <c r="T36" s="14"/>
      <c r="U36" s="14"/>
      <c r="V36" s="14"/>
      <c r="Y36" s="7"/>
      <c r="Z36" s="7"/>
      <c r="AA36" s="7"/>
      <c r="AB36" s="19"/>
      <c r="AC36" s="7"/>
      <c r="AD36" s="7"/>
      <c r="AE36" s="7"/>
      <c r="AH36" s="17" t="str" cm="1">
        <f t="array" ref="AH36">IF(ROW()-18&lt;=IFERROR(ROWS(_xlfn.ANCHORARRAY($AI$19)),0),INDEX(_xlfn.ANCHORARRAY($AI$19),ROW()-18),"")</f>
        <v/>
      </c>
      <c r="AK36" t="str">
        <v>plymouth satellite custom</v>
      </c>
      <c r="AL36" s="7">
        <v>16</v>
      </c>
      <c r="AM36" s="7">
        <v>22.386436680600745</v>
      </c>
      <c r="AN36" s="7">
        <v>-6.3864366806007453</v>
      </c>
      <c r="AO36" s="7">
        <v>3.3360984785658094E-3</v>
      </c>
      <c r="AP36" s="7">
        <v>-1.3956670734227141</v>
      </c>
      <c r="AQ36" s="7">
        <v>2.1733643760585776E-3</v>
      </c>
      <c r="AR36" s="7">
        <v>-1.3692588778592949</v>
      </c>
      <c r="AS36" s="7">
        <v>-1.2571683074048949</v>
      </c>
      <c r="AT36" s="7">
        <v>1.1813835420483536</v>
      </c>
      <c r="AU36" s="7">
        <v>-6.4078137783977915</v>
      </c>
      <c r="AV36" s="7" t="e">
        <v>#N/A</v>
      </c>
    </row>
    <row r="37" spans="17:48" x14ac:dyDescent="0.25">
      <c r="Q37" s="14"/>
      <c r="R37" s="14"/>
      <c r="S37" s="14"/>
      <c r="T37" s="14"/>
      <c r="U37" s="14"/>
      <c r="V37" s="14"/>
      <c r="Y37" s="7"/>
      <c r="Z37" s="7"/>
      <c r="AA37" s="7"/>
      <c r="AB37" s="19"/>
      <c r="AC37" s="7"/>
      <c r="AD37" s="7"/>
      <c r="AE37" s="7"/>
      <c r="AH37" s="17" t="str" cm="1">
        <f t="array" ref="AH37">IF(ROW()-18&lt;=IFERROR(ROWS(_xlfn.ANCHORARRAY($AI$19)),0),INDEX(_xlfn.ANCHORARRAY($AI$19),ROW()-18),"")</f>
        <v/>
      </c>
      <c r="AK37" t="str">
        <v>chevrolet chevelle malibu</v>
      </c>
      <c r="AL37" s="7">
        <v>17</v>
      </c>
      <c r="AM37" s="7">
        <v>22.817058437091976</v>
      </c>
      <c r="AN37" s="7">
        <v>-5.8170584370919762</v>
      </c>
      <c r="AO37" s="7">
        <v>4.052782691826292E-3</v>
      </c>
      <c r="AP37" s="7">
        <v>-1.2716946723299885</v>
      </c>
      <c r="AQ37" s="7">
        <v>2.1936202378513856E-3</v>
      </c>
      <c r="AR37" s="7">
        <v>-1.3692588778592949</v>
      </c>
      <c r="AS37" s="7">
        <v>-1.2258528713675785</v>
      </c>
      <c r="AT37" s="7">
        <v>1.1276944055594089</v>
      </c>
      <c r="AU37" s="7">
        <v>-5.8407296451052959</v>
      </c>
      <c r="AV37" s="7" t="e">
        <v>#N/A</v>
      </c>
    </row>
    <row r="38" spans="17:48" x14ac:dyDescent="0.25">
      <c r="Q38" s="14"/>
      <c r="R38" s="14"/>
      <c r="S38" s="14"/>
      <c r="T38" s="14"/>
      <c r="U38" s="14"/>
      <c r="V38" s="14"/>
      <c r="Y38" s="7"/>
      <c r="Z38" s="7"/>
      <c r="AA38" s="7"/>
      <c r="AB38" s="19"/>
      <c r="AC38" s="7"/>
      <c r="AD38" s="7"/>
      <c r="AE38" s="7"/>
      <c r="AH38" s="17" t="str" cm="1">
        <f t="array" ref="AH38">IF(ROW()-18&lt;=IFERROR(ROWS(_xlfn.ANCHORARRAY($AI$19)),0),INDEX(_xlfn.ANCHORARRAY($AI$19),ROW()-18),"")</f>
        <v/>
      </c>
      <c r="AK38" t="str">
        <v>ford torino 500</v>
      </c>
      <c r="AL38" s="7">
        <v>19</v>
      </c>
      <c r="AM38" s="7">
        <v>23.850550652670925</v>
      </c>
      <c r="AN38" s="7">
        <v>-4.8505506526709254</v>
      </c>
      <c r="AO38" s="7">
        <v>6.9897511985455001E-3</v>
      </c>
      <c r="AP38" s="7">
        <v>-1.061968818424303</v>
      </c>
      <c r="AQ38" s="7">
        <v>2.6461244276146417E-3</v>
      </c>
      <c r="AR38" s="7">
        <v>-1.3692588778592949</v>
      </c>
      <c r="AS38" s="7">
        <v>-1.2138796474341278</v>
      </c>
      <c r="AT38" s="7">
        <v>1.0305187132819582</v>
      </c>
      <c r="AU38" s="7">
        <v>-4.8846934445293515</v>
      </c>
      <c r="AV38" s="7" t="e">
        <v>#N/A</v>
      </c>
    </row>
    <row r="39" spans="17:48" x14ac:dyDescent="0.25">
      <c r="Q39" s="14"/>
      <c r="R39" s="14"/>
      <c r="S39" s="14"/>
      <c r="T39" s="14"/>
      <c r="U39" s="14"/>
      <c r="V39" s="14"/>
      <c r="Y39" s="7"/>
      <c r="Z39" s="7"/>
      <c r="AA39" s="7"/>
      <c r="AB39" s="19"/>
      <c r="AC39" s="7"/>
      <c r="AD39" s="7"/>
      <c r="AE39" s="7"/>
      <c r="AH39" s="17" t="str" cm="1">
        <f t="array" ref="AH39">IF(ROW()-18&lt;=IFERROR(ROWS(_xlfn.ANCHORARRAY($AI$19)),0),INDEX(_xlfn.ANCHORARRAY($AI$19),ROW()-18),"")</f>
        <v/>
      </c>
      <c r="AK39" t="str">
        <v>amc matador</v>
      </c>
      <c r="AL39" s="7">
        <v>18</v>
      </c>
      <c r="AM39" s="7">
        <v>22.817058437091976</v>
      </c>
      <c r="AN39" s="7">
        <v>-4.8170584370919762</v>
      </c>
      <c r="AO39" s="7">
        <v>4.052782691826292E-3</v>
      </c>
      <c r="AP39" s="7">
        <v>-1.0530799401448798</v>
      </c>
      <c r="AQ39" s="7">
        <v>1.5042444597758891E-3</v>
      </c>
      <c r="AR39" s="7">
        <v>-1.3692588778592949</v>
      </c>
      <c r="AS39" s="7">
        <v>-1.1790835009243632</v>
      </c>
      <c r="AT39" s="7">
        <v>1.0261968330417317</v>
      </c>
      <c r="AU39" s="7">
        <v>-4.8366603705278939</v>
      </c>
      <c r="AV39" s="7" t="e">
        <v>#N/A</v>
      </c>
    </row>
    <row r="40" spans="17:48" x14ac:dyDescent="0.25">
      <c r="Q40" s="14"/>
      <c r="R40" s="14"/>
      <c r="S40" s="14"/>
      <c r="T40" s="14"/>
      <c r="U40" s="14"/>
      <c r="V40" s="14"/>
      <c r="Y40" s="7"/>
      <c r="Z40" s="7"/>
      <c r="AA40" s="7"/>
      <c r="AB40" s="19"/>
      <c r="AC40" s="7"/>
      <c r="AD40" s="7"/>
      <c r="AE40" s="7"/>
      <c r="AH40" s="17" t="str" cm="1">
        <f t="array" ref="AH40">IF(ROW()-18&lt;=IFERROR(ROWS(_xlfn.ANCHORARRAY($AI$19)),0),INDEX(_xlfn.ANCHORARRAY($AI$19),ROW()-18),"")</f>
        <v/>
      </c>
      <c r="AK40" t="str">
        <v>chevrolet impala</v>
      </c>
      <c r="AL40" s="7">
        <v>14</v>
      </c>
      <c r="AM40" s="7">
        <v>13.379333514450185</v>
      </c>
      <c r="AN40" s="7">
        <v>0.62066648554981541</v>
      </c>
      <c r="AO40" s="7">
        <v>9.0920471527640764E-3</v>
      </c>
      <c r="AP40" s="7">
        <v>0.13603141782692912</v>
      </c>
      <c r="AQ40" s="7">
        <v>5.6595976808154968E-5</v>
      </c>
      <c r="AR40" s="7">
        <v>-1.3692588778592949</v>
      </c>
      <c r="AS40" s="7">
        <v>-1.1637554225080031</v>
      </c>
      <c r="AT40" s="7">
        <v>0.36882437260426421</v>
      </c>
      <c r="AU40" s="7">
        <v>0.62636139286844639</v>
      </c>
      <c r="AV40" s="7" t="e">
        <v>#N/A</v>
      </c>
    </row>
    <row r="41" spans="17:48" x14ac:dyDescent="0.25">
      <c r="Q41" s="14"/>
      <c r="R41" s="14"/>
      <c r="S41" s="14"/>
      <c r="T41" s="14"/>
      <c r="U41" s="14"/>
      <c r="V41" s="14"/>
      <c r="Y41" s="7"/>
      <c r="Z41" s="7"/>
      <c r="AA41" s="7"/>
      <c r="AB41" s="19"/>
      <c r="AC41" s="7"/>
      <c r="AD41" s="7"/>
      <c r="AE41" s="7"/>
      <c r="AH41" s="17" t="str" cm="1">
        <f t="array" ref="AH41">IF(ROW()-18&lt;=IFERROR(ROWS(_xlfn.ANCHORARRAY($AI$19)),0),INDEX(_xlfn.ANCHORARRAY($AI$19),ROW()-18),"")</f>
        <v/>
      </c>
      <c r="AK41" t="str">
        <v>pontiac catalina brougham</v>
      </c>
      <c r="AL41" s="7">
        <v>14</v>
      </c>
      <c r="AM41" s="7">
        <v>12.518090001467725</v>
      </c>
      <c r="AN41" s="7">
        <v>1.4819099985322755</v>
      </c>
      <c r="AO41" s="7">
        <v>1.1172971505048715E-2</v>
      </c>
      <c r="AP41" s="7">
        <v>0.32513165167370728</v>
      </c>
      <c r="AQ41" s="7">
        <v>3.9814898059219959E-4</v>
      </c>
      <c r="AR41" s="7">
        <v>-1.3692588778592949</v>
      </c>
      <c r="AS41" s="7">
        <v>-1.1637554225080031</v>
      </c>
      <c r="AT41" s="7">
        <v>0.57020316701479945</v>
      </c>
      <c r="AU41" s="7">
        <v>1.4986544216816398</v>
      </c>
      <c r="AV41" s="7" t="e">
        <v>#N/A</v>
      </c>
    </row>
    <row r="42" spans="17:48" x14ac:dyDescent="0.25">
      <c r="Q42" s="14"/>
      <c r="R42" s="14"/>
      <c r="S42" s="14"/>
      <c r="T42" s="14"/>
      <c r="U42" s="14"/>
      <c r="V42" s="14"/>
      <c r="Y42" s="7"/>
      <c r="Z42" s="7"/>
      <c r="AA42" s="7"/>
      <c r="AB42" s="19"/>
      <c r="AC42" s="7"/>
      <c r="AD42" s="7"/>
      <c r="AE42" s="7"/>
      <c r="AH42" s="17" t="str" cm="1">
        <f t="array" ref="AH42">IF(ROW()-18&lt;=IFERROR(ROWS(_xlfn.ANCHORARRAY($AI$19)),0),INDEX(_xlfn.ANCHORARRAY($AI$19),ROW()-18),"")</f>
        <v/>
      </c>
      <c r="AK42" t="str">
        <v>ford galaxie 500</v>
      </c>
      <c r="AL42" s="7">
        <v>14</v>
      </c>
      <c r="AM42" s="7">
        <v>14.412825730029136</v>
      </c>
      <c r="AN42" s="7">
        <v>-0.41282573002913558</v>
      </c>
      <c r="AO42" s="7">
        <v>8.1697838528265784E-3</v>
      </c>
      <c r="AP42" s="7">
        <v>-9.0436901951403761E-2</v>
      </c>
      <c r="AQ42" s="7">
        <v>2.2456565181857197E-5</v>
      </c>
      <c r="AR42" s="7">
        <v>-1.3692588778592949</v>
      </c>
      <c r="AS42" s="7">
        <v>-1.1478052021986924</v>
      </c>
      <c r="AT42" s="7">
        <v>0.30072728833846085</v>
      </c>
      <c r="AU42" s="7">
        <v>-0.41622620818387951</v>
      </c>
      <c r="AV42" s="7" t="e">
        <v>#N/A</v>
      </c>
    </row>
    <row r="43" spans="17:48" x14ac:dyDescent="0.25">
      <c r="Q43" s="14"/>
      <c r="R43" s="14"/>
      <c r="S43" s="14"/>
      <c r="T43" s="14"/>
      <c r="U43" s="14"/>
      <c r="V43" s="14"/>
      <c r="Y43" s="7"/>
      <c r="Z43" s="7"/>
      <c r="AA43" s="7"/>
      <c r="AB43" s="19"/>
      <c r="AC43" s="7"/>
      <c r="AD43" s="7"/>
      <c r="AE43" s="7"/>
      <c r="AH43" s="17" t="str" cm="1">
        <f t="array" ref="AH43">IF(ROW()-18&lt;=IFERROR(ROWS(_xlfn.ANCHORARRAY($AI$19)),0),INDEX(_xlfn.ANCHORARRAY($AI$19),ROW()-18),"")</f>
        <v/>
      </c>
      <c r="AK43" t="str">
        <v>plymouth fury iii</v>
      </c>
      <c r="AL43" s="7">
        <v>14</v>
      </c>
      <c r="AM43" s="7">
        <v>14.671198783923874</v>
      </c>
      <c r="AN43" s="7">
        <v>-0.67119878392387378</v>
      </c>
      <c r="AO43" s="7">
        <v>8.2076576737747202E-3</v>
      </c>
      <c r="AP43" s="7">
        <v>-0.14704097441072247</v>
      </c>
      <c r="AQ43" s="7">
        <v>5.9642243722642094E-5</v>
      </c>
      <c r="AR43" s="7">
        <v>-1.3692588778592949</v>
      </c>
      <c r="AS43" s="7">
        <v>-1.1322632369526964</v>
      </c>
      <c r="AT43" s="7">
        <v>0.38345922131397814</v>
      </c>
      <c r="AU43" s="7">
        <v>-0.67675334369853379</v>
      </c>
      <c r="AV43" s="7" t="e">
        <v>#N/A</v>
      </c>
    </row>
    <row r="44" spans="17:48" x14ac:dyDescent="0.25">
      <c r="Q44" s="14"/>
      <c r="R44" s="14"/>
      <c r="S44" s="14"/>
      <c r="T44" s="14"/>
      <c r="U44" s="14"/>
      <c r="V44" s="14"/>
      <c r="Y44" s="7"/>
      <c r="Z44" s="7"/>
      <c r="AA44" s="7"/>
      <c r="AB44" s="19"/>
      <c r="AC44" s="7"/>
      <c r="AD44" s="7"/>
      <c r="AE44" s="7"/>
      <c r="AH44" s="17" t="str" cm="1">
        <f t="array" ref="AH44">IF(ROW()-18&lt;=IFERROR(ROWS(_xlfn.ANCHORARRAY($AI$19)),0),INDEX(_xlfn.ANCHORARRAY($AI$19),ROW()-18),"")</f>
        <v/>
      </c>
      <c r="AK44" t="str">
        <v>dodge monaco (sw)</v>
      </c>
      <c r="AL44" s="7">
        <v>12</v>
      </c>
      <c r="AM44" s="7">
        <v>12.087468244976494</v>
      </c>
      <c r="AN44" s="7">
        <v>-8.7468244976493636E-2</v>
      </c>
      <c r="AO44" s="7">
        <v>1.2660833091078551E-2</v>
      </c>
      <c r="AP44" s="7">
        <v>-1.9205022324902794E-2</v>
      </c>
      <c r="AQ44" s="7">
        <v>1.5765374656592346E-6</v>
      </c>
      <c r="AR44" s="7">
        <v>-1.3692588778592949</v>
      </c>
      <c r="AS44" s="7">
        <v>-1.1198549075803419</v>
      </c>
      <c r="AT44" s="7">
        <v>0.13858218617449644</v>
      </c>
      <c r="AU44" s="7">
        <v>-8.8589866489680411E-2</v>
      </c>
      <c r="AV44" s="7" t="e">
        <v>#N/A</v>
      </c>
    </row>
    <row r="45" spans="17:48" x14ac:dyDescent="0.25">
      <c r="Q45" s="14"/>
      <c r="R45" s="14"/>
      <c r="S45" s="14"/>
      <c r="T45" s="14"/>
      <c r="U45" s="14"/>
      <c r="V45" s="14"/>
      <c r="Y45" s="7"/>
      <c r="Z45" s="7"/>
      <c r="AA45" s="7"/>
      <c r="AB45" s="19"/>
      <c r="AC45" s="7"/>
      <c r="AD45" s="7"/>
      <c r="AE45" s="7"/>
      <c r="AH45" s="17" t="str" cm="1">
        <f t="array" ref="AH45">IF(ROW()-18&lt;=IFERROR(ROWS(_xlfn.ANCHORARRAY($AI$19)),0),INDEX(_xlfn.ANCHORARRAY($AI$19),ROW()-18),"")</f>
        <v/>
      </c>
      <c r="AK45" t="str">
        <v>ford country squire (sw)</v>
      </c>
      <c r="AL45" s="7">
        <v>13</v>
      </c>
      <c r="AM45" s="7">
        <v>12.948711757958954</v>
      </c>
      <c r="AN45" s="7">
        <v>5.1288242041046317E-2</v>
      </c>
      <c r="AO45" s="7">
        <v>9.9833761922772327E-3</v>
      </c>
      <c r="AP45" s="7">
        <v>1.1245898418594844E-2</v>
      </c>
      <c r="AQ45" s="7">
        <v>4.25110671627115E-7</v>
      </c>
      <c r="AR45" s="7">
        <v>-1.3692588778592949</v>
      </c>
      <c r="AS45" s="7">
        <v>-1.1098835170428225</v>
      </c>
      <c r="AT45" s="7">
        <v>0.10604668037517649</v>
      </c>
      <c r="AU45" s="7">
        <v>5.1805435189346195E-2</v>
      </c>
      <c r="AV45" s="7" t="e">
        <v>#N/A</v>
      </c>
    </row>
    <row r="46" spans="17:48" x14ac:dyDescent="0.25">
      <c r="Q46" s="14"/>
      <c r="R46" s="14"/>
      <c r="S46" s="14"/>
      <c r="T46" s="14"/>
      <c r="U46" s="14"/>
      <c r="V46" s="14"/>
      <c r="Y46" s="7"/>
      <c r="Z46" s="7"/>
      <c r="AA46" s="7"/>
      <c r="AB46" s="19"/>
      <c r="AC46" s="7"/>
      <c r="AD46" s="7"/>
      <c r="AE46" s="7"/>
      <c r="AH46" s="17" t="str" cm="1">
        <f t="array" ref="AH46">IF(ROW()-18&lt;=IFERROR(ROWS(_xlfn.ANCHORARRAY($AI$19)),0),INDEX(_xlfn.ANCHORARRAY($AI$19),ROW()-18),"")</f>
        <v/>
      </c>
      <c r="AK46" t="str">
        <v>pontiac safari (sw)</v>
      </c>
      <c r="AL46" s="7">
        <v>13</v>
      </c>
      <c r="AM46" s="7">
        <v>12.518090001467725</v>
      </c>
      <c r="AN46" s="7">
        <v>0.48190999853227545</v>
      </c>
      <c r="AO46" s="7">
        <v>1.1172971505048715E-2</v>
      </c>
      <c r="AP46" s="7">
        <v>0.10573124814331297</v>
      </c>
      <c r="AQ46" s="7">
        <v>4.2105014924579799E-5</v>
      </c>
      <c r="AR46" s="7">
        <v>-1.3692588778592949</v>
      </c>
      <c r="AS46" s="7">
        <v>-1.1098835170428225</v>
      </c>
      <c r="AT46" s="7">
        <v>0.32516341759692613</v>
      </c>
      <c r="AU46" s="7">
        <v>0.48735520434323965</v>
      </c>
      <c r="AV46" s="7" t="e">
        <v>#N/A</v>
      </c>
    </row>
    <row r="47" spans="17:48" x14ac:dyDescent="0.25">
      <c r="Q47" s="14"/>
      <c r="R47" s="14"/>
      <c r="S47" s="14"/>
      <c r="T47" s="14"/>
      <c r="U47" s="14"/>
      <c r="V47" s="14"/>
      <c r="Y47" s="7"/>
      <c r="Z47" s="7"/>
      <c r="AA47" s="7"/>
      <c r="AB47" s="19"/>
      <c r="AC47" s="7"/>
      <c r="AD47" s="7"/>
      <c r="AE47" s="7"/>
      <c r="AH47" s="17" t="str" cm="1">
        <f t="array" ref="AH47">IF(ROW()-18&lt;=IFERROR(ROWS(_xlfn.ANCHORARRAY($AI$19)),0),INDEX(_xlfn.ANCHORARRAY($AI$19),ROW()-18),"")</f>
        <v/>
      </c>
      <c r="AK47" t="str">
        <v>amc hornet sportabout (sw)</v>
      </c>
      <c r="AL47" s="7">
        <v>18</v>
      </c>
      <c r="AM47" s="7">
        <v>21.955814924109514</v>
      </c>
      <c r="AN47" s="7">
        <v>-3.9558149241095144</v>
      </c>
      <c r="AO47" s="7">
        <v>2.917680538563657E-3</v>
      </c>
      <c r="AP47" s="7">
        <v>-0.86430702594766007</v>
      </c>
      <c r="AQ47" s="7">
        <v>7.2865433892643457E-4</v>
      </c>
      <c r="AR47" s="7">
        <v>-1.3692588778592949</v>
      </c>
      <c r="AS47" s="7">
        <v>-1.0827972845995413</v>
      </c>
      <c r="AT47" s="7">
        <v>0.92968114208456443</v>
      </c>
      <c r="AU47" s="7">
        <v>-3.9673905021665683</v>
      </c>
      <c r="AV47" s="7" t="e">
        <v>#N/A</v>
      </c>
    </row>
    <row r="48" spans="17:48" x14ac:dyDescent="0.25">
      <c r="Q48" s="14"/>
      <c r="R48" s="14"/>
      <c r="S48" s="14"/>
      <c r="T48" s="14"/>
      <c r="U48" s="14"/>
      <c r="V48" s="14"/>
      <c r="Y48" s="7"/>
      <c r="Z48" s="7"/>
      <c r="AA48" s="7"/>
      <c r="AB48" s="19"/>
      <c r="AC48" s="7"/>
      <c r="AD48" s="7"/>
      <c r="AE48" s="7"/>
      <c r="AH48" s="17" t="str" cm="1">
        <f t="array" ref="AH48">IF(ROW()-18&lt;=IFERROR(ROWS(_xlfn.ANCHORARRAY($AI$19)),0),INDEX(_xlfn.ANCHORARRAY($AI$19),ROW()-18),"")</f>
        <v/>
      </c>
      <c r="AK48" t="str">
        <v>chevrolet vega (sw)</v>
      </c>
      <c r="AL48" s="7">
        <v>22</v>
      </c>
      <c r="AM48" s="7">
        <v>29.068182361698664</v>
      </c>
      <c r="AN48" s="7">
        <v>-7.0681823616986641</v>
      </c>
      <c r="AO48" s="7">
        <v>4.5746083231985452E-3</v>
      </c>
      <c r="AP48" s="7">
        <v>-1.5456137585462526</v>
      </c>
      <c r="AQ48" s="7">
        <v>3.6595349270175546E-3</v>
      </c>
      <c r="AR48" s="7">
        <v>-1.3692588778592949</v>
      </c>
      <c r="AS48" s="7">
        <v>-1.0740189788333998</v>
      </c>
      <c r="AT48" s="7">
        <v>1.2432271548459086</v>
      </c>
      <c r="AU48" s="7">
        <v>-7.1006651234727487</v>
      </c>
      <c r="AV48" s="7" t="e">
        <v>#N/A</v>
      </c>
    </row>
    <row r="49" spans="17:48" x14ac:dyDescent="0.25">
      <c r="Q49" s="14"/>
      <c r="R49" s="14"/>
      <c r="S49" s="14"/>
      <c r="T49" s="14"/>
      <c r="U49" s="14"/>
      <c r="V49" s="14"/>
      <c r="Y49" s="7"/>
      <c r="Z49" s="7"/>
      <c r="AA49" s="7"/>
      <c r="AB49" s="19"/>
      <c r="AC49" s="7"/>
      <c r="AD49" s="7"/>
      <c r="AE49" s="7"/>
      <c r="AH49" s="17" t="str" cm="1">
        <f t="array" ref="AH49">IF(ROW()-18&lt;=IFERROR(ROWS(_xlfn.ANCHORARRAY($AI$19)),0),INDEX(_xlfn.ANCHORARRAY($AI$19),ROW()-18),"")</f>
        <v/>
      </c>
      <c r="AK49" t="str">
        <v>pontiac firebird</v>
      </c>
      <c r="AL49" s="7">
        <v>19</v>
      </c>
      <c r="AM49" s="7">
        <v>22.817058437091976</v>
      </c>
      <c r="AN49" s="7">
        <v>-3.8170584370919762</v>
      </c>
      <c r="AO49" s="7">
        <v>4.052782691826292E-3</v>
      </c>
      <c r="AP49" s="7">
        <v>-0.83446520795977142</v>
      </c>
      <c r="AQ49" s="7">
        <v>9.4452228363682946E-4</v>
      </c>
      <c r="AR49" s="7">
        <v>-1.3692588778592949</v>
      </c>
      <c r="AS49" s="7">
        <v>-1.0635056742558247</v>
      </c>
      <c r="AT49" s="7">
        <v>0.91349067207047685</v>
      </c>
      <c r="AU49" s="7">
        <v>-3.8325910959504919</v>
      </c>
      <c r="AV49" s="7" t="e">
        <v>#N/A</v>
      </c>
    </row>
    <row r="50" spans="17:48" x14ac:dyDescent="0.25">
      <c r="Q50" s="14"/>
      <c r="R50" s="14"/>
      <c r="S50" s="14"/>
      <c r="T50" s="14"/>
      <c r="U50" s="14"/>
      <c r="V50" s="14"/>
      <c r="Y50" s="7"/>
      <c r="Z50" s="7"/>
      <c r="AA50" s="7"/>
      <c r="AB50" s="19"/>
      <c r="AC50" s="7"/>
      <c r="AD50" s="7"/>
      <c r="AE50" s="7"/>
      <c r="AH50" s="17" t="str" cm="1">
        <f t="array" ref="AH50">IF(ROW()-18&lt;=IFERROR(ROWS(_xlfn.ANCHORARRAY($AI$19)),0),INDEX(_xlfn.ANCHORARRAY($AI$19),ROW()-18),"")</f>
        <v/>
      </c>
      <c r="AK50" t="str">
        <v>ford mustang</v>
      </c>
      <c r="AL50" s="7">
        <v>18</v>
      </c>
      <c r="AM50" s="7">
        <v>23.850550652670925</v>
      </c>
      <c r="AN50" s="7">
        <v>-5.8505506526709254</v>
      </c>
      <c r="AO50" s="7">
        <v>6.9897511985455001E-3</v>
      </c>
      <c r="AP50" s="7">
        <v>-1.2809066039393426</v>
      </c>
      <c r="AQ50" s="7">
        <v>3.8496536763567755E-3</v>
      </c>
      <c r="AR50" s="7">
        <v>-1.3692588778592949</v>
      </c>
      <c r="AS50" s="7">
        <v>-1.061968818424303</v>
      </c>
      <c r="AT50" s="7">
        <v>1.1317714450980563</v>
      </c>
      <c r="AU50" s="7">
        <v>-5.8917323962491173</v>
      </c>
      <c r="AV50" s="7" t="e">
        <v>#N/A</v>
      </c>
    </row>
    <row r="51" spans="17:48" x14ac:dyDescent="0.25">
      <c r="Q51" s="14"/>
      <c r="R51" s="14"/>
      <c r="S51" s="14"/>
      <c r="T51" s="14"/>
      <c r="U51" s="14"/>
      <c r="V51" s="14"/>
      <c r="Y51" s="7"/>
      <c r="Z51" s="7"/>
      <c r="AA51" s="7"/>
      <c r="AB51" s="19"/>
      <c r="AC51" s="7"/>
      <c r="AD51" s="7"/>
      <c r="AE51" s="7"/>
      <c r="AH51" s="17" t="str" cm="1">
        <f t="array" ref="AH51">IF(ROW()-18&lt;=IFERROR(ROWS(_xlfn.ANCHORARRAY($AI$19)),0),INDEX(_xlfn.ANCHORARRAY($AI$19),ROW()-18),"")</f>
        <v/>
      </c>
      <c r="AK51" t="str">
        <v>mercury capri 2000</v>
      </c>
      <c r="AL51" s="7">
        <v>23</v>
      </c>
      <c r="AM51" s="7">
        <v>27.86244144352322</v>
      </c>
      <c r="AN51" s="7">
        <v>-4.8624414435232204</v>
      </c>
      <c r="AO51" s="7">
        <v>4.9971636088268082E-3</v>
      </c>
      <c r="AP51" s="7">
        <v>-1.0635056742558247</v>
      </c>
      <c r="AQ51" s="7">
        <v>1.893466465632689E-3</v>
      </c>
      <c r="AR51" s="7">
        <v>-1.3692588778592949</v>
      </c>
      <c r="AS51" s="7">
        <v>-1.0573623275614561</v>
      </c>
      <c r="AT51" s="7">
        <v>1.0312641146941091</v>
      </c>
      <c r="AU51" s="7">
        <v>-4.8868618919309403</v>
      </c>
      <c r="AV51" s="7" t="e">
        <v>#N/A</v>
      </c>
    </row>
    <row r="52" spans="17:48" x14ac:dyDescent="0.25">
      <c r="Q52" s="14"/>
      <c r="R52" s="14"/>
      <c r="S52" s="14"/>
      <c r="T52" s="14"/>
      <c r="U52" s="14"/>
      <c r="V52" s="14"/>
      <c r="Y52" s="7"/>
      <c r="Z52" s="7"/>
      <c r="AA52" s="7"/>
      <c r="AB52" s="19"/>
      <c r="AC52" s="7"/>
      <c r="AD52" s="7"/>
      <c r="AE52" s="7"/>
      <c r="AH52" s="17" t="str" cm="1">
        <f t="array" ref="AH52">IF(ROW()-18&lt;=IFERROR(ROWS(_xlfn.ANCHORARRAY($AI$19)),0),INDEX(_xlfn.ANCHORARRAY($AI$19),ROW()-18),"")</f>
        <v/>
      </c>
      <c r="AK52" t="str">
        <v>opel 1900</v>
      </c>
      <c r="AL52" s="7">
        <v>28</v>
      </c>
      <c r="AM52" s="7">
        <v>27.517944038330235</v>
      </c>
      <c r="AN52" s="7">
        <v>0.48205596166976505</v>
      </c>
      <c r="AO52" s="7">
        <v>5.5473971239268956E-3</v>
      </c>
      <c r="AP52" s="7">
        <v>0.10546369916852878</v>
      </c>
      <c r="AQ52" s="7">
        <v>2.0681875240775726E-5</v>
      </c>
      <c r="AR52" s="7">
        <v>-1.3692588778592949</v>
      </c>
      <c r="AS52" s="7">
        <v>-1.0530799401448798</v>
      </c>
      <c r="AT52" s="7">
        <v>0.32475175006230339</v>
      </c>
      <c r="AU52" s="7">
        <v>0.48474503488210791</v>
      </c>
      <c r="AV52" s="7" t="e">
        <v>#N/A</v>
      </c>
    </row>
    <row r="53" spans="17:48" x14ac:dyDescent="0.25">
      <c r="Q53" s="14"/>
      <c r="R53" s="14"/>
      <c r="S53" s="14"/>
      <c r="T53" s="14"/>
      <c r="U53" s="14"/>
      <c r="V53" s="14"/>
      <c r="Y53" s="7"/>
      <c r="Z53" s="7"/>
      <c r="AA53" s="7"/>
      <c r="AB53" s="19"/>
      <c r="AC53" s="7"/>
      <c r="AD53" s="7"/>
      <c r="AE53" s="7"/>
      <c r="AH53" s="17" t="str" cm="1">
        <f t="array" ref="AH53">IF(ROW()-18&lt;=IFERROR(ROWS(_xlfn.ANCHORARRAY($AI$19)),0),INDEX(_xlfn.ANCHORARRAY($AI$19),ROW()-18),"")</f>
        <v/>
      </c>
      <c r="AK53" t="str">
        <v>peugeot 304</v>
      </c>
      <c r="AL53" s="7">
        <v>30</v>
      </c>
      <c r="AM53" s="7">
        <v>29.240431064295155</v>
      </c>
      <c r="AN53" s="7">
        <v>0.75956893570484496</v>
      </c>
      <c r="AO53" s="7">
        <v>4.7051336972798391E-3</v>
      </c>
      <c r="AP53" s="7">
        <v>0.16610736899485454</v>
      </c>
      <c r="AQ53" s="7">
        <v>4.347871985036367E-5</v>
      </c>
      <c r="AR53" s="7">
        <v>-1.3692588778592949</v>
      </c>
      <c r="AS53" s="7">
        <v>-1.0530799401448798</v>
      </c>
      <c r="AT53" s="7">
        <v>0.40756271786665488</v>
      </c>
      <c r="AU53" s="7">
        <v>0.76315970414522483</v>
      </c>
      <c r="AV53" s="7" t="e">
        <v>#N/A</v>
      </c>
    </row>
    <row r="54" spans="17:48" x14ac:dyDescent="0.25">
      <c r="Q54" s="14"/>
      <c r="R54" s="14"/>
      <c r="S54" s="14"/>
      <c r="T54" s="14"/>
      <c r="U54" s="14"/>
      <c r="V54" s="14"/>
      <c r="Y54" s="7"/>
      <c r="Z54" s="7"/>
      <c r="AA54" s="7"/>
      <c r="AB54" s="19"/>
      <c r="AC54" s="7"/>
      <c r="AD54" s="7"/>
      <c r="AE54" s="7"/>
      <c r="AH54" s="17" t="str" cm="1">
        <f t="array" ref="AH54">IF(ROW()-18&lt;=IFERROR(ROWS(_xlfn.ANCHORARRAY($AI$19)),0),INDEX(_xlfn.ANCHORARRAY($AI$19),ROW()-18),"")</f>
        <v/>
      </c>
      <c r="AK54" t="str">
        <v>fiat 124b</v>
      </c>
      <c r="AL54" s="7">
        <v>30</v>
      </c>
      <c r="AM54" s="7">
        <v>28.723684956505679</v>
      </c>
      <c r="AN54" s="7">
        <v>1.2763150434943213</v>
      </c>
      <c r="AO54" s="7">
        <v>4.4567253861999443E-3</v>
      </c>
      <c r="AP54" s="7">
        <v>0.27907787225852959</v>
      </c>
      <c r="AQ54" s="7">
        <v>1.1622118077164167E-4</v>
      </c>
      <c r="AR54" s="7">
        <v>-1.3692588778592949</v>
      </c>
      <c r="AS54" s="7">
        <v>-1.0530799401448798</v>
      </c>
      <c r="AT54" s="7">
        <v>0.52827821482484927</v>
      </c>
      <c r="AU54" s="7">
        <v>1.2820286933176668</v>
      </c>
      <c r="AV54" s="7" t="e">
        <v>#N/A</v>
      </c>
    </row>
    <row r="55" spans="17:48" x14ac:dyDescent="0.25">
      <c r="Q55" s="14"/>
      <c r="R55" s="14"/>
      <c r="S55" s="14"/>
      <c r="T55" s="14"/>
      <c r="U55" s="14"/>
      <c r="V55" s="14"/>
      <c r="Y55" s="7"/>
      <c r="Z55" s="7"/>
      <c r="AA55" s="7"/>
      <c r="AB55" s="19"/>
      <c r="AC55" s="7"/>
      <c r="AD55" s="7"/>
      <c r="AE55" s="7"/>
      <c r="AH55" s="17" t="str" cm="1">
        <f t="array" ref="AH55">IF(ROW()-18&lt;=IFERROR(ROWS(_xlfn.ANCHORARRAY($AI$19)),0),INDEX(_xlfn.ANCHORARRAY($AI$19),ROW()-18),"")</f>
        <v/>
      </c>
      <c r="AK55" t="str">
        <v>toyota corolla 1200</v>
      </c>
      <c r="AL55" s="7">
        <v>31</v>
      </c>
      <c r="AM55" s="7">
        <v>29.671052820786386</v>
      </c>
      <c r="AN55" s="7">
        <v>1.328947179213614</v>
      </c>
      <c r="AO55" s="7">
        <v>5.240233523763925E-3</v>
      </c>
      <c r="AP55" s="7">
        <v>0.29070078214316813</v>
      </c>
      <c r="AQ55" s="7">
        <v>1.4838963795885704E-4</v>
      </c>
      <c r="AR55" s="7">
        <v>-1.1080108204698569</v>
      </c>
      <c r="AS55" s="7">
        <v>-1.0517145886062083</v>
      </c>
      <c r="AT55" s="7">
        <v>0.53916674799468867</v>
      </c>
      <c r="AU55" s="7">
        <v>1.3359478579649224</v>
      </c>
      <c r="AV55" s="7" t="e">
        <v>#N/A</v>
      </c>
    </row>
    <row r="56" spans="17:48" x14ac:dyDescent="0.25">
      <c r="Q56" s="14"/>
      <c r="R56" s="14"/>
      <c r="S56" s="14"/>
      <c r="T56" s="14"/>
      <c r="U56" s="14"/>
      <c r="V56" s="14"/>
      <c r="Y56" s="7"/>
      <c r="Z56" s="7"/>
      <c r="AA56" s="7"/>
      <c r="AB56" s="19"/>
      <c r="AC56" s="7"/>
      <c r="AD56" s="7"/>
      <c r="AE56" s="7"/>
      <c r="AH56" s="17" t="str" cm="1">
        <f t="array" ref="AH56">IF(ROW()-18&lt;=IFERROR(ROWS(_xlfn.ANCHORARRAY($AI$19)),0),INDEX(_xlfn.ANCHORARRAY($AI$19),ROW()-18),"")</f>
        <v/>
      </c>
      <c r="AK56" t="str">
        <v>datsun 1200</v>
      </c>
      <c r="AL56" s="7">
        <v>35</v>
      </c>
      <c r="AM56" s="7">
        <v>29.326555415593404</v>
      </c>
      <c r="AN56" s="7">
        <v>5.6734445844065959</v>
      </c>
      <c r="AO56" s="7">
        <v>4.7882923607159931E-3</v>
      </c>
      <c r="AP56" s="7">
        <v>1.2407568041047297</v>
      </c>
      <c r="AQ56" s="7">
        <v>2.4689782224412665E-3</v>
      </c>
      <c r="AR56" s="7">
        <v>-1.0962733150227</v>
      </c>
      <c r="AS56" s="7">
        <v>-1.0517145886062083</v>
      </c>
      <c r="AT56" s="7">
        <v>1.1138926358068491</v>
      </c>
      <c r="AU56" s="7">
        <v>5.7007414009069759</v>
      </c>
      <c r="AV56" s="7" t="e">
        <v>#N/A</v>
      </c>
    </row>
    <row r="57" spans="17:48" x14ac:dyDescent="0.25">
      <c r="Q57" s="14"/>
      <c r="R57" s="14"/>
      <c r="S57" s="14"/>
      <c r="T57" s="14"/>
      <c r="U57" s="14"/>
      <c r="V57" s="14"/>
      <c r="Y57" s="7"/>
      <c r="Z57" s="7"/>
      <c r="AA57" s="7"/>
      <c r="AB57" s="19"/>
      <c r="AC57" s="7"/>
      <c r="AD57" s="7"/>
      <c r="AE57" s="7"/>
      <c r="AH57" s="17" t="str" cm="1">
        <f t="array" ref="AH57">IF(ROW()-18&lt;=IFERROR(ROWS(_xlfn.ANCHORARRAY($AI$19)),0),INDEX(_xlfn.ANCHORARRAY($AI$19),ROW()-18),"")</f>
        <v/>
      </c>
      <c r="AK57" t="str">
        <v>volkswagen model 111</v>
      </c>
      <c r="AL57" s="7">
        <v>27</v>
      </c>
      <c r="AM57" s="7">
        <v>30.101674577277617</v>
      </c>
      <c r="AN57" s="7">
        <v>-3.1016745772776169</v>
      </c>
      <c r="AO57" s="7">
        <v>6.0735996235063523E-3</v>
      </c>
      <c r="AP57" s="7">
        <v>-0.67876072309281366</v>
      </c>
      <c r="AQ57" s="7">
        <v>9.3843475973618426E-4</v>
      </c>
      <c r="AR57" s="7">
        <v>-1.0962733150227</v>
      </c>
      <c r="AS57" s="7">
        <v>-1.0259612490278287</v>
      </c>
      <c r="AT57" s="7">
        <v>0.82386936045274417</v>
      </c>
      <c r="AU57" s="7">
        <v>-3.120628022459933</v>
      </c>
      <c r="AV57" s="7" t="e">
        <v>#N/A</v>
      </c>
    </row>
    <row r="58" spans="17:48" x14ac:dyDescent="0.25">
      <c r="Q58" s="14"/>
      <c r="R58" s="14"/>
      <c r="S58" s="14"/>
      <c r="T58" s="14"/>
      <c r="U58" s="14"/>
      <c r="V58" s="14"/>
      <c r="Y58" s="7"/>
      <c r="Z58" s="7"/>
      <c r="AA58" s="7"/>
      <c r="AB58" s="19"/>
      <c r="AC58" s="7"/>
      <c r="AD58" s="7"/>
      <c r="AE58" s="7"/>
      <c r="AH58" s="17" t="str" cm="1">
        <f t="array" ref="AH58">IF(ROW()-18&lt;=IFERROR(ROWS(_xlfn.ANCHORARRAY($AI$19)),0),INDEX(_xlfn.ANCHORARRAY($AI$19),ROW()-18),"")</f>
        <v/>
      </c>
      <c r="AK58" t="str">
        <v>plymouth cricket</v>
      </c>
      <c r="AL58" s="7">
        <v>26</v>
      </c>
      <c r="AM58" s="7">
        <v>29.240431064295155</v>
      </c>
      <c r="AN58" s="7">
        <v>-3.240431064295155</v>
      </c>
      <c r="AO58" s="7">
        <v>4.7051336972798391E-3</v>
      </c>
      <c r="AP58" s="7">
        <v>-0.7086380882596055</v>
      </c>
      <c r="AQ58" s="7">
        <v>7.9131232924197382E-4</v>
      </c>
      <c r="AR58" s="7">
        <v>-1.0962733150227</v>
      </c>
      <c r="AS58" s="7">
        <v>-1.0239432340852617</v>
      </c>
      <c r="AT58" s="7">
        <v>0.84180644346524547</v>
      </c>
      <c r="AU58" s="7">
        <v>-3.2557498024003411</v>
      </c>
      <c r="AV58" s="7" t="e">
        <v>#N/A</v>
      </c>
    </row>
    <row r="59" spans="17:48" x14ac:dyDescent="0.25">
      <c r="Q59" s="14"/>
      <c r="R59" s="14"/>
      <c r="S59" s="14"/>
      <c r="T59" s="14"/>
      <c r="U59" s="14"/>
      <c r="V59" s="14"/>
      <c r="Y59" s="7"/>
      <c r="Z59" s="7"/>
      <c r="AA59" s="7"/>
      <c r="AB59" s="19"/>
      <c r="AC59" s="7"/>
      <c r="AD59" s="7"/>
      <c r="AE59" s="7"/>
      <c r="AH59" s="17" t="str" cm="1">
        <f t="array" ref="AH59">IF(ROW()-18&lt;=IFERROR(ROWS(_xlfn.ANCHORARRAY($AI$19)),0),INDEX(_xlfn.ANCHORARRAY($AI$19),ROW()-18),"")</f>
        <v/>
      </c>
      <c r="AK59" t="str">
        <v>toyota corona hardtop</v>
      </c>
      <c r="AL59" s="7">
        <v>24</v>
      </c>
      <c r="AM59" s="7">
        <v>27.087322281839008</v>
      </c>
      <c r="AN59" s="7">
        <v>-3.0873222818390076</v>
      </c>
      <c r="AO59" s="7">
        <v>6.5036286637345023E-3</v>
      </c>
      <c r="AP59" s="7">
        <v>-0.67576611506154949</v>
      </c>
      <c r="AQ59" s="7">
        <v>9.9646263620771351E-4</v>
      </c>
      <c r="AR59" s="7">
        <v>-1.0962733150227</v>
      </c>
      <c r="AS59" s="7">
        <v>-1.0038982760201329</v>
      </c>
      <c r="AT59" s="7">
        <v>0.82204994681682786</v>
      </c>
      <c r="AU59" s="7">
        <v>-3.107532519405702</v>
      </c>
      <c r="AV59" s="7" t="e">
        <v>#N/A</v>
      </c>
    </row>
    <row r="60" spans="17:48" x14ac:dyDescent="0.25">
      <c r="Q60" s="14"/>
      <c r="R60" s="14"/>
      <c r="S60" s="14"/>
      <c r="T60" s="14"/>
      <c r="U60" s="14"/>
      <c r="V60" s="14"/>
      <c r="Y60" s="7"/>
      <c r="Z60" s="7"/>
      <c r="AA60" s="7"/>
      <c r="AB60" s="19"/>
      <c r="AC60" s="7"/>
      <c r="AD60" s="7"/>
      <c r="AE60" s="7"/>
      <c r="AH60" s="17" t="str" cm="1">
        <f t="array" ref="AH60">IF(ROW()-18&lt;=IFERROR(ROWS(_xlfn.ANCHORARRAY($AI$19)),0),INDEX(_xlfn.ANCHORARRAY($AI$19),ROW()-18),"")</f>
        <v/>
      </c>
      <c r="AK60" t="str">
        <v>dodge colt hardtop</v>
      </c>
      <c r="AL60" s="7">
        <v>25</v>
      </c>
      <c r="AM60" s="7">
        <v>28.379187551312697</v>
      </c>
      <c r="AN60" s="7">
        <v>-3.3791875513126968</v>
      </c>
      <c r="AO60" s="7">
        <v>4.5297328640866892E-3</v>
      </c>
      <c r="AP60" s="7">
        <v>-0.73891713310851737</v>
      </c>
      <c r="AQ60" s="7">
        <v>8.2816050695779355E-4</v>
      </c>
      <c r="AR60" s="7">
        <v>-1.0962733150227</v>
      </c>
      <c r="AS60" s="7">
        <v>-1.002056163840277</v>
      </c>
      <c r="AT60" s="7">
        <v>0.85960289268273016</v>
      </c>
      <c r="AU60" s="7">
        <v>-3.3945640195111224</v>
      </c>
      <c r="AV60" s="7" t="e">
        <v>#N/A</v>
      </c>
    </row>
    <row r="61" spans="17:48" x14ac:dyDescent="0.25">
      <c r="Q61" s="14"/>
      <c r="R61" s="14"/>
      <c r="S61" s="14"/>
      <c r="T61" s="14"/>
      <c r="U61" s="14"/>
      <c r="V61" s="14"/>
      <c r="Y61" s="7"/>
      <c r="Z61" s="7"/>
      <c r="AA61" s="7"/>
      <c r="AB61" s="19"/>
      <c r="AC61" s="7"/>
      <c r="AD61" s="7"/>
      <c r="AE61" s="7"/>
      <c r="AH61" s="17" t="str" cm="1">
        <f t="array" ref="AH61">IF(ROW()-18&lt;=IFERROR(ROWS(_xlfn.ANCHORARRAY($AI$19)),0),INDEX(_xlfn.ANCHORARRAY($AI$19),ROW()-18),"")</f>
        <v/>
      </c>
      <c r="AK61" t="str">
        <v>volkswagen type 3</v>
      </c>
      <c r="AL61" s="7">
        <v>23</v>
      </c>
      <c r="AM61" s="7">
        <v>30.618420685067093</v>
      </c>
      <c r="AN61" s="7">
        <v>-7.6184206850670932</v>
      </c>
      <c r="AO61" s="7">
        <v>7.4673504238982674E-3</v>
      </c>
      <c r="AP61" s="7">
        <v>-1.6683614105691487</v>
      </c>
      <c r="AQ61" s="7">
        <v>6.9804070351377322E-3</v>
      </c>
      <c r="AR61" s="7">
        <v>-1.0962733150227</v>
      </c>
      <c r="AS61" s="7">
        <v>-0.98161112479142443</v>
      </c>
      <c r="AT61" s="7">
        <v>1.2916506534543883</v>
      </c>
      <c r="AU61" s="7">
        <v>-7.6757381113062877</v>
      </c>
      <c r="AV61" s="7" t="e">
        <v>#N/A</v>
      </c>
    </row>
    <row r="62" spans="17:48" x14ac:dyDescent="0.25">
      <c r="Q62" s="14"/>
      <c r="R62" s="14"/>
      <c r="S62" s="14"/>
      <c r="T62" s="14"/>
      <c r="U62" s="14"/>
      <c r="V62" s="14"/>
      <c r="Y62" s="7"/>
      <c r="Z62" s="7"/>
      <c r="AA62" s="7"/>
      <c r="AB62" s="19"/>
      <c r="AC62" s="7"/>
      <c r="AD62" s="7"/>
      <c r="AE62" s="7"/>
      <c r="AH62" s="17" t="str" cm="1">
        <f t="array" ref="AH62">IF(ROW()-18&lt;=IFERROR(ROWS(_xlfn.ANCHORARRAY($AI$19)),0),INDEX(_xlfn.ANCHORARRAY($AI$19),ROW()-18),"")</f>
        <v/>
      </c>
      <c r="AK62" t="str">
        <v>chevrolet vega</v>
      </c>
      <c r="AL62" s="7">
        <v>20</v>
      </c>
      <c r="AM62" s="7">
        <v>27.517944038330235</v>
      </c>
      <c r="AN62" s="7">
        <v>-7.5179440383302349</v>
      </c>
      <c r="AO62" s="7">
        <v>5.5473971239268956E-3</v>
      </c>
      <c r="AP62" s="7">
        <v>-1.6447679345732358</v>
      </c>
      <c r="AQ62" s="7">
        <v>5.0302917559023183E-3</v>
      </c>
      <c r="AR62" s="7">
        <v>-1.0962733150227</v>
      </c>
      <c r="AS62" s="7">
        <v>-0.97355215527360073</v>
      </c>
      <c r="AT62" s="7">
        <v>1.2824850621247936</v>
      </c>
      <c r="AU62" s="7">
        <v>-7.559881704354197</v>
      </c>
      <c r="AV62" s="7" t="e">
        <v>#N/A</v>
      </c>
    </row>
    <row r="63" spans="17:48" x14ac:dyDescent="0.25">
      <c r="AK63" t="str">
        <v>ford pinto runabout</v>
      </c>
      <c r="AL63" s="7">
        <v>21</v>
      </c>
      <c r="AM63" s="7">
        <v>27.86244144352322</v>
      </c>
      <c r="AN63" s="7">
        <v>-6.8624414435232204</v>
      </c>
      <c r="AO63" s="7">
        <v>4.9971636088268082E-3</v>
      </c>
      <c r="AP63" s="7">
        <v>-1.5009425818703794</v>
      </c>
      <c r="AQ63" s="7">
        <v>3.7714308795130441E-3</v>
      </c>
      <c r="AR63" s="7">
        <v>-1.0962733150227</v>
      </c>
      <c r="AS63" s="7">
        <v>-0.95859483949228097</v>
      </c>
      <c r="AT63" s="7">
        <v>1.2251296183956943</v>
      </c>
      <c r="AU63" s="7">
        <v>-6.8969064132650733</v>
      </c>
      <c r="AV63" s="7" t="e">
        <v>#N/A</v>
      </c>
    </row>
    <row r="64" spans="17:48" x14ac:dyDescent="0.25">
      <c r="AK64" t="str">
        <v>chevrolet impala</v>
      </c>
      <c r="AL64" s="7">
        <v>13</v>
      </c>
      <c r="AM64" s="7">
        <v>13.379333514450185</v>
      </c>
      <c r="AN64" s="7">
        <v>-0.37933351445018459</v>
      </c>
      <c r="AO64" s="7">
        <v>9.0920471527640764E-3</v>
      </c>
      <c r="AP64" s="7">
        <v>-8.3138492251953466E-2</v>
      </c>
      <c r="AQ64" s="7">
        <v>2.1140312310995463E-5</v>
      </c>
      <c r="AR64" s="7">
        <v>-1.0962733150227</v>
      </c>
      <c r="AS64" s="7">
        <v>-0.95859483949228097</v>
      </c>
      <c r="AT64" s="7">
        <v>0.28833746244973696</v>
      </c>
      <c r="AU64" s="7">
        <v>-0.38281407809900264</v>
      </c>
      <c r="AV64" s="7" t="e">
        <v>#N/A</v>
      </c>
    </row>
    <row r="65" spans="37:48" x14ac:dyDescent="0.25">
      <c r="AK65" t="str">
        <v>pontiac catalina</v>
      </c>
      <c r="AL65" s="7">
        <v>14</v>
      </c>
      <c r="AM65" s="7">
        <v>12.518090001467725</v>
      </c>
      <c r="AN65" s="7">
        <v>1.4819099985322755</v>
      </c>
      <c r="AO65" s="7">
        <v>1.1172971505048715E-2</v>
      </c>
      <c r="AP65" s="7">
        <v>0.32513165167370728</v>
      </c>
      <c r="AQ65" s="7">
        <v>3.9814898059219959E-4</v>
      </c>
      <c r="AR65" s="7">
        <v>-1.0962733150227</v>
      </c>
      <c r="AS65" s="7">
        <v>-0.95859483949228097</v>
      </c>
      <c r="AT65" s="7">
        <v>0.57020316701479945</v>
      </c>
      <c r="AU65" s="7">
        <v>1.4986544216816398</v>
      </c>
      <c r="AV65" s="7" t="e">
        <v>#N/A</v>
      </c>
    </row>
    <row r="66" spans="37:48" x14ac:dyDescent="0.25">
      <c r="AK66" t="str">
        <v>plymouth fury iii</v>
      </c>
      <c r="AL66" s="7">
        <v>15</v>
      </c>
      <c r="AM66" s="7">
        <v>14.671198783923874</v>
      </c>
      <c r="AN66" s="7">
        <v>0.32880121607612622</v>
      </c>
      <c r="AO66" s="7">
        <v>8.2076576737747202E-3</v>
      </c>
      <c r="AP66" s="7">
        <v>7.2031196058822966E-2</v>
      </c>
      <c r="AQ66" s="7">
        <v>1.4312598265250438E-5</v>
      </c>
      <c r="AR66" s="7">
        <v>-1.0962733150227</v>
      </c>
      <c r="AS66" s="7">
        <v>-0.94386286247694762</v>
      </c>
      <c r="AT66" s="7">
        <v>0.26838628142813664</v>
      </c>
      <c r="AU66" s="7">
        <v>0.33152223710956552</v>
      </c>
      <c r="AV66" s="7" t="e">
        <v>#N/A</v>
      </c>
    </row>
    <row r="67" spans="37:48" x14ac:dyDescent="0.25">
      <c r="AK67" t="str">
        <v>ford galaxie 500</v>
      </c>
      <c r="AL67" s="7">
        <v>14</v>
      </c>
      <c r="AM67" s="7">
        <v>14.412825730029136</v>
      </c>
      <c r="AN67" s="7">
        <v>-0.41282573002913558</v>
      </c>
      <c r="AO67" s="7">
        <v>8.1697838528265784E-3</v>
      </c>
      <c r="AP67" s="7">
        <v>-9.0436901951403761E-2</v>
      </c>
      <c r="AQ67" s="7">
        <v>2.2456565181857197E-5</v>
      </c>
      <c r="AR67" s="7">
        <v>-1.0962733150227</v>
      </c>
      <c r="AS67" s="7">
        <v>-0.94241973589503336</v>
      </c>
      <c r="AT67" s="7">
        <v>0.30072728833846085</v>
      </c>
      <c r="AU67" s="7">
        <v>-0.41622620818387951</v>
      </c>
      <c r="AV67" s="7" t="e">
        <v>#N/A</v>
      </c>
    </row>
    <row r="68" spans="37:48" x14ac:dyDescent="0.25">
      <c r="AK68" t="str">
        <v>amc ambassador sst</v>
      </c>
      <c r="AL68" s="7">
        <v>17</v>
      </c>
      <c r="AM68" s="7">
        <v>14.671198783923874</v>
      </c>
      <c r="AN68" s="7">
        <v>2.3288012160761262</v>
      </c>
      <c r="AO68" s="7">
        <v>8.2076576737747202E-3</v>
      </c>
      <c r="AP68" s="7">
        <v>0.51017553699791385</v>
      </c>
      <c r="AQ68" s="7">
        <v>7.1798684906910777E-4</v>
      </c>
      <c r="AR68" s="7">
        <v>-1.0962733150227</v>
      </c>
      <c r="AS68" s="7">
        <v>-0.93639495310532472</v>
      </c>
      <c r="AT68" s="7">
        <v>0.71426573276191396</v>
      </c>
      <c r="AU68" s="7">
        <v>2.3480733987257643</v>
      </c>
      <c r="AV68" s="7" t="e">
        <v>#N/A</v>
      </c>
    </row>
    <row r="69" spans="37:48" x14ac:dyDescent="0.25">
      <c r="AK69" t="str">
        <v>mercury marquis</v>
      </c>
      <c r="AL69" s="7">
        <v>11</v>
      </c>
      <c r="AM69" s="7">
        <v>9.6759864086256044</v>
      </c>
      <c r="AN69" s="7">
        <v>1.3240135913743956</v>
      </c>
      <c r="AO69" s="7">
        <v>2.650481870265959E-2</v>
      </c>
      <c r="AP69" s="7">
        <v>0.29276767691947903</v>
      </c>
      <c r="AQ69" s="7">
        <v>7.778861343742681E-4</v>
      </c>
      <c r="AR69" s="7">
        <v>-1.0962733150227</v>
      </c>
      <c r="AS69" s="7">
        <v>-0.92907899178628706</v>
      </c>
      <c r="AT69" s="7">
        <v>0.54108010212858415</v>
      </c>
      <c r="AU69" s="7">
        <v>1.3600617823397261</v>
      </c>
      <c r="AV69" s="7" t="e">
        <v>#N/A</v>
      </c>
    </row>
    <row r="70" spans="37:48" x14ac:dyDescent="0.25">
      <c r="AK70" t="str">
        <v>buick lesabre custom</v>
      </c>
      <c r="AL70" s="7">
        <v>13</v>
      </c>
      <c r="AM70" s="7">
        <v>14.240577027432645</v>
      </c>
      <c r="AN70" s="7">
        <v>-1.2405770274326446</v>
      </c>
      <c r="AO70" s="7">
        <v>8.2041878935128383E-3</v>
      </c>
      <c r="AP70" s="7">
        <v>-0.27177542663229604</v>
      </c>
      <c r="AQ70" s="7">
        <v>2.036631448312533E-4</v>
      </c>
      <c r="AR70" s="7">
        <v>-1.0962733150227</v>
      </c>
      <c r="AS70" s="7">
        <v>-0.91303866455275395</v>
      </c>
      <c r="AT70" s="7">
        <v>0.52132084806987722</v>
      </c>
      <c r="AU70" s="7">
        <v>-1.2508391468176983</v>
      </c>
      <c r="AV70" s="7" t="e">
        <v>#N/A</v>
      </c>
    </row>
    <row r="71" spans="37:48" x14ac:dyDescent="0.25">
      <c r="AK71" t="str">
        <v>oldsmobile delta 88 royale</v>
      </c>
      <c r="AL71" s="7">
        <v>12</v>
      </c>
      <c r="AM71" s="7">
        <v>13.809955270941414</v>
      </c>
      <c r="AN71" s="7">
        <v>-1.8099552709414137</v>
      </c>
      <c r="AO71" s="7">
        <v>8.4989843865092979E-3</v>
      </c>
      <c r="AP71" s="7">
        <v>-0.39656907756226206</v>
      </c>
      <c r="AQ71" s="7">
        <v>4.4935575432241385E-4</v>
      </c>
      <c r="AR71" s="7">
        <v>-1.0962733150227</v>
      </c>
      <c r="AS71" s="7">
        <v>-0.90845772512271084</v>
      </c>
      <c r="AT71" s="7">
        <v>0.62973730837728048</v>
      </c>
      <c r="AU71" s="7">
        <v>-1.8254699112148716</v>
      </c>
      <c r="AV71" s="7" t="e">
        <v>#N/A</v>
      </c>
    </row>
    <row r="72" spans="37:48" x14ac:dyDescent="0.25">
      <c r="AK72" t="str">
        <v>chrysler newport royal</v>
      </c>
      <c r="AL72" s="7">
        <v>13</v>
      </c>
      <c r="AM72" s="7">
        <v>11.226224731994034</v>
      </c>
      <c r="AN72" s="7">
        <v>1.7737752680059664</v>
      </c>
      <c r="AO72" s="7">
        <v>1.6531355082913195E-2</v>
      </c>
      <c r="AP72" s="7">
        <v>0.39022574866526683</v>
      </c>
      <c r="AQ72" s="7">
        <v>8.5321508724898912E-4</v>
      </c>
      <c r="AR72" s="7">
        <v>-0.92571937406474636</v>
      </c>
      <c r="AS72" s="7">
        <v>-0.90731877851447384</v>
      </c>
      <c r="AT72" s="7">
        <v>0.62468051727684515</v>
      </c>
      <c r="AU72" s="7">
        <v>1.8035910724489927</v>
      </c>
      <c r="AV72" s="7" t="e">
        <v>#N/A</v>
      </c>
    </row>
    <row r="73" spans="37:48" x14ac:dyDescent="0.25">
      <c r="AK73" t="str">
        <v>mazda rx2 coupe</v>
      </c>
      <c r="AL73" s="7">
        <v>19</v>
      </c>
      <c r="AM73" s="7">
        <v>28.834894623370413</v>
      </c>
      <c r="AN73" s="7">
        <v>-9.8348946233704133</v>
      </c>
      <c r="AO73" s="7">
        <v>1.7253808838312758E-2</v>
      </c>
      <c r="AP73" s="7">
        <v>-2.1644452901855202</v>
      </c>
      <c r="AQ73" s="7">
        <v>2.7416725483792134E-2</v>
      </c>
      <c r="AR73" s="7">
        <v>-0.92571937406474636</v>
      </c>
      <c r="AS73" s="7">
        <v>-0.89465033036900343</v>
      </c>
      <c r="AT73" s="7">
        <v>1.471205386812297</v>
      </c>
      <c r="AU73" s="7">
        <v>-10.007563205861683</v>
      </c>
      <c r="AV73" s="7">
        <v>2.7416725483792134E-2</v>
      </c>
    </row>
    <row r="74" spans="37:48" x14ac:dyDescent="0.25">
      <c r="AK74" t="str">
        <v>amc matador (sw)</v>
      </c>
      <c r="AL74" s="7">
        <v>15</v>
      </c>
      <c r="AM74" s="7">
        <v>14.671198783923874</v>
      </c>
      <c r="AN74" s="7">
        <v>0.32880121607612622</v>
      </c>
      <c r="AO74" s="7">
        <v>8.2076576737747202E-3</v>
      </c>
      <c r="AP74" s="7">
        <v>7.2031196058822966E-2</v>
      </c>
      <c r="AQ74" s="7">
        <v>1.4312598265250438E-5</v>
      </c>
      <c r="AR74" s="7">
        <v>-0.92571937406474636</v>
      </c>
      <c r="AS74" s="7">
        <v>-0.86430702594766007</v>
      </c>
      <c r="AT74" s="7">
        <v>0.26838628142813664</v>
      </c>
      <c r="AU74" s="7">
        <v>0.33152223710956552</v>
      </c>
      <c r="AV74" s="7" t="e">
        <v>#N/A</v>
      </c>
    </row>
    <row r="75" spans="37:48" x14ac:dyDescent="0.25">
      <c r="AK75" t="str">
        <v>chevrolet chevelle concours (sw)</v>
      </c>
      <c r="AL75" s="7">
        <v>13</v>
      </c>
      <c r="AM75" s="7">
        <v>16.393685809888794</v>
      </c>
      <c r="AN75" s="7">
        <v>-3.3936858098887939</v>
      </c>
      <c r="AO75" s="7">
        <v>1.1204199527405607E-2</v>
      </c>
      <c r="AP75" s="7">
        <v>-0.74458779360466054</v>
      </c>
      <c r="AQ75" s="7">
        <v>2.0940391210730724E-3</v>
      </c>
      <c r="AR75" s="7">
        <v>-0.92571937406474636</v>
      </c>
      <c r="AS75" s="7">
        <v>-0.85714885799950735</v>
      </c>
      <c r="AT75" s="7">
        <v>0.86289500728921853</v>
      </c>
      <c r="AU75" s="7">
        <v>-3.4321401934219216</v>
      </c>
      <c r="AV75" s="7" t="e">
        <v>#N/A</v>
      </c>
    </row>
    <row r="76" spans="37:48" x14ac:dyDescent="0.25">
      <c r="AK76" t="str">
        <v>ford gran torino (sw)</v>
      </c>
      <c r="AL76" s="7">
        <v>13</v>
      </c>
      <c r="AM76" s="7">
        <v>15.532442296906334</v>
      </c>
      <c r="AN76" s="7">
        <v>-2.5324422969063338</v>
      </c>
      <c r="AO76" s="7">
        <v>9.1093960540734702E-3</v>
      </c>
      <c r="AP76" s="7">
        <v>-0.55504000935819897</v>
      </c>
      <c r="AQ76" s="7">
        <v>9.4404174546683817E-4</v>
      </c>
      <c r="AR76" s="7">
        <v>-0.92571937406474636</v>
      </c>
      <c r="AS76" s="7">
        <v>-0.85624350072879274</v>
      </c>
      <c r="AT76" s="7">
        <v>0.74501007332666247</v>
      </c>
      <c r="AU76" s="7">
        <v>-2.555723393502408</v>
      </c>
      <c r="AV76" s="7" t="e">
        <v>#N/A</v>
      </c>
    </row>
    <row r="77" spans="37:48" x14ac:dyDescent="0.25">
      <c r="AK77" t="str">
        <v>plymouth satellite custom (sw)</v>
      </c>
      <c r="AL77" s="7">
        <v>14</v>
      </c>
      <c r="AM77" s="7">
        <v>14.671198783923874</v>
      </c>
      <c r="AN77" s="7">
        <v>-0.67119878392387378</v>
      </c>
      <c r="AO77" s="7">
        <v>8.2076576737747202E-3</v>
      </c>
      <c r="AP77" s="7">
        <v>-0.14704097441072247</v>
      </c>
      <c r="AQ77" s="7">
        <v>5.9642243722642094E-5</v>
      </c>
      <c r="AR77" s="7">
        <v>-0.87770829679608253</v>
      </c>
      <c r="AS77" s="7">
        <v>-0.83446520795977142</v>
      </c>
      <c r="AT77" s="7">
        <v>0.38345922131397814</v>
      </c>
      <c r="AU77" s="7">
        <v>-0.67675334369853379</v>
      </c>
      <c r="AV77" s="7" t="e">
        <v>#N/A</v>
      </c>
    </row>
    <row r="78" spans="37:48" x14ac:dyDescent="0.25">
      <c r="AK78" t="str">
        <v>volvo 145e (sw)</v>
      </c>
      <c r="AL78" s="7">
        <v>18</v>
      </c>
      <c r="AM78" s="7">
        <v>25.623208309768824</v>
      </c>
      <c r="AN78" s="7">
        <v>-7.6232083097688239</v>
      </c>
      <c r="AO78" s="7">
        <v>1.1985847623052744E-2</v>
      </c>
      <c r="AP78" s="7">
        <v>-1.6732228663761315</v>
      </c>
      <c r="AQ78" s="7">
        <v>1.132118569809845E-2</v>
      </c>
      <c r="AR78" s="7">
        <v>-0.87770829679608253</v>
      </c>
      <c r="AS78" s="7">
        <v>-0.83446520795977142</v>
      </c>
      <c r="AT78" s="7">
        <v>1.2935311617336984</v>
      </c>
      <c r="AU78" s="7">
        <v>-7.7156873628065368</v>
      </c>
      <c r="AV78" s="7">
        <v>1.132118569809845E-2</v>
      </c>
    </row>
    <row r="79" spans="37:48" x14ac:dyDescent="0.25">
      <c r="AK79" t="str">
        <v>volkswagen 411 (sw)</v>
      </c>
      <c r="AL79" s="7">
        <v>22</v>
      </c>
      <c r="AM79" s="7">
        <v>28.723684956505679</v>
      </c>
      <c r="AN79" s="7">
        <v>-6.7236849565056787</v>
      </c>
      <c r="AO79" s="7">
        <v>4.4567253861999443E-3</v>
      </c>
      <c r="AP79" s="7">
        <v>-1.4701947618363536</v>
      </c>
      <c r="AQ79" s="7">
        <v>3.225404735215048E-3</v>
      </c>
      <c r="AR79" s="7">
        <v>-0.87770829679608253</v>
      </c>
      <c r="AS79" s="7">
        <v>-0.83446520795977142</v>
      </c>
      <c r="AT79" s="7">
        <v>1.2125158810656269</v>
      </c>
      <c r="AU79" s="7">
        <v>-6.753784720321665</v>
      </c>
      <c r="AV79" s="7" t="e">
        <v>#N/A</v>
      </c>
    </row>
    <row r="80" spans="37:48" x14ac:dyDescent="0.25">
      <c r="AK80" t="str">
        <v>peugeot 504 (sw)</v>
      </c>
      <c r="AL80" s="7">
        <v>21</v>
      </c>
      <c r="AM80" s="7">
        <v>27.776317092224975</v>
      </c>
      <c r="AN80" s="7">
        <v>-6.7763170922249749</v>
      </c>
      <c r="AO80" s="7">
        <v>5.1168260112063315E-3</v>
      </c>
      <c r="AP80" s="7">
        <v>-1.4821947264715534</v>
      </c>
      <c r="AQ80" s="7">
        <v>3.7663253786473423E-3</v>
      </c>
      <c r="AR80" s="7">
        <v>-0.87770829679608253</v>
      </c>
      <c r="AS80" s="7">
        <v>-0.83446520795977142</v>
      </c>
      <c r="AT80" s="7">
        <v>1.2174541989214844</v>
      </c>
      <c r="AU80" s="7">
        <v>-6.8111686571767303</v>
      </c>
      <c r="AV80" s="7" t="e">
        <v>#N/A</v>
      </c>
    </row>
    <row r="81" spans="37:48" x14ac:dyDescent="0.25">
      <c r="AK81" t="str">
        <v>renault 12 (sw)</v>
      </c>
      <c r="AL81" s="7">
        <v>26</v>
      </c>
      <c r="AM81" s="7">
        <v>29.326555415593404</v>
      </c>
      <c r="AN81" s="7">
        <v>-3.3265554155934041</v>
      </c>
      <c r="AO81" s="7">
        <v>4.7882923607159931E-3</v>
      </c>
      <c r="AP81" s="7">
        <v>-0.72750270223370062</v>
      </c>
      <c r="AQ81" s="7">
        <v>8.488152037356444E-4</v>
      </c>
      <c r="AR81" s="7">
        <v>-0.87770829679608253</v>
      </c>
      <c r="AS81" s="7">
        <v>-0.83305423820524749</v>
      </c>
      <c r="AT81" s="7">
        <v>0.85293768953757731</v>
      </c>
      <c r="AU81" s="7">
        <v>-3.3425605728496102</v>
      </c>
      <c r="AV81" s="7" t="e">
        <v>#N/A</v>
      </c>
    </row>
    <row r="82" spans="37:48" x14ac:dyDescent="0.25">
      <c r="AK82" t="str">
        <v>ford pinto (sw)</v>
      </c>
      <c r="AL82" s="7">
        <v>22</v>
      </c>
      <c r="AM82" s="7">
        <v>27.86244144352322</v>
      </c>
      <c r="AN82" s="7">
        <v>-5.8624414435232204</v>
      </c>
      <c r="AO82" s="7">
        <v>4.9971636088268082E-3</v>
      </c>
      <c r="AP82" s="7">
        <v>-1.2822241280631019</v>
      </c>
      <c r="AQ82" s="7">
        <v>2.7523641023484971E-3</v>
      </c>
      <c r="AR82" s="7">
        <v>-0.87770829679608253</v>
      </c>
      <c r="AS82" s="7">
        <v>-0.82690090618220891</v>
      </c>
      <c r="AT82" s="7">
        <v>1.1323533583043333</v>
      </c>
      <c r="AU82" s="7">
        <v>-5.8918841525980064</v>
      </c>
      <c r="AV82" s="7" t="e">
        <v>#N/A</v>
      </c>
    </row>
    <row r="83" spans="37:48" x14ac:dyDescent="0.25">
      <c r="AK83" t="str">
        <v>datsun 510 (sw)</v>
      </c>
      <c r="AL83" s="7">
        <v>28</v>
      </c>
      <c r="AM83" s="7">
        <v>27.345695335733744</v>
      </c>
      <c r="AN83" s="7">
        <v>0.654304664266256</v>
      </c>
      <c r="AO83" s="7">
        <v>5.894097787058938E-3</v>
      </c>
      <c r="AP83" s="7">
        <v>0.14317304990868077</v>
      </c>
      <c r="AQ83" s="7">
        <v>4.0512214438734125E-5</v>
      </c>
      <c r="AR83" s="7">
        <v>-0.87770829679608253</v>
      </c>
      <c r="AS83" s="7">
        <v>-0.82558485889031452</v>
      </c>
      <c r="AT83" s="7">
        <v>0.37838214797831143</v>
      </c>
      <c r="AU83" s="7">
        <v>0.65818406551025743</v>
      </c>
      <c r="AV83" s="7" t="e">
        <v>#N/A</v>
      </c>
    </row>
    <row r="84" spans="37:48" x14ac:dyDescent="0.25">
      <c r="AK84" t="str">
        <v>toyouta corona mark ii (sw)</v>
      </c>
      <c r="AL84" s="7">
        <v>23</v>
      </c>
      <c r="AM84" s="7">
        <v>26.915073579242513</v>
      </c>
      <c r="AN84" s="7">
        <v>-3.9150735792425131</v>
      </c>
      <c r="AO84" s="7">
        <v>6.9696358361698695E-3</v>
      </c>
      <c r="AP84" s="7">
        <v>-0.85714885799950735</v>
      </c>
      <c r="AQ84" s="7">
        <v>1.7188532732917408E-3</v>
      </c>
      <c r="AR84" s="7">
        <v>-0.87770829679608253</v>
      </c>
      <c r="AS84" s="7">
        <v>-0.80425748581935874</v>
      </c>
      <c r="AT84" s="7">
        <v>0.92582334059987237</v>
      </c>
      <c r="AU84" s="7">
        <v>-3.9425517290593182</v>
      </c>
      <c r="AV84" s="7" t="e">
        <v>#N/A</v>
      </c>
    </row>
    <row r="85" spans="37:48" x14ac:dyDescent="0.25">
      <c r="AK85" t="str">
        <v>dodge colt (sw)</v>
      </c>
      <c r="AL85" s="7">
        <v>28</v>
      </c>
      <c r="AM85" s="7">
        <v>28.379187551312697</v>
      </c>
      <c r="AN85" s="7">
        <v>-0.37918755131269677</v>
      </c>
      <c r="AO85" s="7">
        <v>4.5297328640866892E-3</v>
      </c>
      <c r="AP85" s="7">
        <v>-8.2915841181284339E-2</v>
      </c>
      <c r="AQ85" s="7">
        <v>1.0427928988292944E-5</v>
      </c>
      <c r="AR85" s="7">
        <v>-0.87770829679608253</v>
      </c>
      <c r="AS85" s="7">
        <v>-0.80075190092835813</v>
      </c>
      <c r="AT85" s="7">
        <v>0.28795110901207577</v>
      </c>
      <c r="AU85" s="7">
        <v>-0.38091298538093415</v>
      </c>
      <c r="AV85" s="7" t="e">
        <v>#N/A</v>
      </c>
    </row>
    <row r="86" spans="37:48" x14ac:dyDescent="0.25">
      <c r="AK86" t="str">
        <v>toyota corolla 1600 (sw)</v>
      </c>
      <c r="AL86" s="7">
        <v>27</v>
      </c>
      <c r="AM86" s="7">
        <v>27.690192740926726</v>
      </c>
      <c r="AN86" s="7">
        <v>-0.69019274092672589</v>
      </c>
      <c r="AO86" s="7">
        <v>5.2484190645161813E-3</v>
      </c>
      <c r="AP86" s="7">
        <v>-0.15097695247620252</v>
      </c>
      <c r="AQ86" s="7">
        <v>4.0087956740688448E-5</v>
      </c>
      <c r="AR86" s="7">
        <v>-0.87770829679608253</v>
      </c>
      <c r="AS86" s="7">
        <v>-0.79924347580625543</v>
      </c>
      <c r="AT86" s="7">
        <v>0.38855752788512865</v>
      </c>
      <c r="AU86" s="7">
        <v>-0.69383427395778063</v>
      </c>
      <c r="AV86" s="7" t="e">
        <v>#N/A</v>
      </c>
    </row>
    <row r="87" spans="37:48" x14ac:dyDescent="0.25">
      <c r="AK87" t="str">
        <v>buick century 350</v>
      </c>
      <c r="AL87" s="7">
        <v>13</v>
      </c>
      <c r="AM87" s="7">
        <v>12.518090001467725</v>
      </c>
      <c r="AN87" s="7">
        <v>0.48190999853227545</v>
      </c>
      <c r="AO87" s="7">
        <v>1.1172971505048715E-2</v>
      </c>
      <c r="AP87" s="7">
        <v>0.10573124814331297</v>
      </c>
      <c r="AQ87" s="7">
        <v>4.2105014924579799E-5</v>
      </c>
      <c r="AR87" s="7">
        <v>-0.87770829679608253</v>
      </c>
      <c r="AS87" s="7">
        <v>-0.76965211770235342</v>
      </c>
      <c r="AT87" s="7">
        <v>0.32516341759692613</v>
      </c>
      <c r="AU87" s="7">
        <v>0.48735520434323965</v>
      </c>
      <c r="AV87" s="7" t="e">
        <v>#N/A</v>
      </c>
    </row>
    <row r="88" spans="37:48" x14ac:dyDescent="0.25">
      <c r="AK88" t="str">
        <v>amc matador</v>
      </c>
      <c r="AL88" s="7">
        <v>14</v>
      </c>
      <c r="AM88" s="7">
        <v>14.671198783923874</v>
      </c>
      <c r="AN88" s="7">
        <v>-0.67119878392387378</v>
      </c>
      <c r="AO88" s="7">
        <v>8.2076576737747202E-3</v>
      </c>
      <c r="AP88" s="7">
        <v>-0.14704097441072247</v>
      </c>
      <c r="AQ88" s="7">
        <v>5.9642243722642094E-5</v>
      </c>
      <c r="AR88" s="7">
        <v>-0.87770829679608253</v>
      </c>
      <c r="AS88" s="7">
        <v>-0.76525042661573339</v>
      </c>
      <c r="AT88" s="7">
        <v>0.38345922131397814</v>
      </c>
      <c r="AU88" s="7">
        <v>-0.67675334369853379</v>
      </c>
      <c r="AV88" s="7" t="e">
        <v>#N/A</v>
      </c>
    </row>
    <row r="89" spans="37:48" x14ac:dyDescent="0.25">
      <c r="AK89" t="str">
        <v>chevrolet malibu</v>
      </c>
      <c r="AL89" s="7">
        <v>13</v>
      </c>
      <c r="AM89" s="7">
        <v>15.101820540415105</v>
      </c>
      <c r="AN89" s="7">
        <v>-2.1018205404151047</v>
      </c>
      <c r="AO89" s="7">
        <v>8.5093937272949383E-3</v>
      </c>
      <c r="AP89" s="7">
        <v>-0.46052044583529883</v>
      </c>
      <c r="AQ89" s="7">
        <v>6.0671759954483619E-4</v>
      </c>
      <c r="AR89" s="7">
        <v>-0.87770829679608253</v>
      </c>
      <c r="AS89" s="7">
        <v>-0.76359003832862615</v>
      </c>
      <c r="AT89" s="7">
        <v>0.67861656761038391</v>
      </c>
      <c r="AU89" s="7">
        <v>-2.1198592574834829</v>
      </c>
      <c r="AV89" s="7" t="e">
        <v>#N/A</v>
      </c>
    </row>
    <row r="90" spans="37:48" x14ac:dyDescent="0.25">
      <c r="AK90" t="str">
        <v>ford gran torino</v>
      </c>
      <c r="AL90" s="7">
        <v>14</v>
      </c>
      <c r="AM90" s="7">
        <v>15.790815350801072</v>
      </c>
      <c r="AN90" s="7">
        <v>-1.790815350801072</v>
      </c>
      <c r="AO90" s="7">
        <v>9.6125652613046186E-3</v>
      </c>
      <c r="AP90" s="7">
        <v>-0.39259596712187428</v>
      </c>
      <c r="AQ90" s="7">
        <v>4.9866006925553441E-4</v>
      </c>
      <c r="AR90" s="7">
        <v>-0.76138260968642557</v>
      </c>
      <c r="AS90" s="7">
        <v>-0.76129839114545028</v>
      </c>
      <c r="AT90" s="7">
        <v>0.62657478972735114</v>
      </c>
      <c r="AU90" s="7">
        <v>-1.8081967601634226</v>
      </c>
      <c r="AV90" s="7" t="e">
        <v>#N/A</v>
      </c>
    </row>
    <row r="91" spans="37:48" x14ac:dyDescent="0.25">
      <c r="AK91" t="str">
        <v>dodge coronet custom</v>
      </c>
      <c r="AL91" s="7">
        <v>15</v>
      </c>
      <c r="AM91" s="7">
        <v>14.671198783923874</v>
      </c>
      <c r="AN91" s="7">
        <v>0.32880121607612622</v>
      </c>
      <c r="AO91" s="7">
        <v>8.2076576737747202E-3</v>
      </c>
      <c r="AP91" s="7">
        <v>7.2031196058822966E-2</v>
      </c>
      <c r="AQ91" s="7">
        <v>1.4312598265250438E-5</v>
      </c>
      <c r="AR91" s="7">
        <v>-0.75286571534072255</v>
      </c>
      <c r="AS91" s="7">
        <v>-0.75506189662171941</v>
      </c>
      <c r="AT91" s="7">
        <v>0.26838628142813664</v>
      </c>
      <c r="AU91" s="7">
        <v>0.33152223710956552</v>
      </c>
      <c r="AV91" s="7" t="e">
        <v>#N/A</v>
      </c>
    </row>
    <row r="92" spans="37:48" x14ac:dyDescent="0.25">
      <c r="AK92" t="str">
        <v>mercury marquis brougham</v>
      </c>
      <c r="AL92" s="7">
        <v>12</v>
      </c>
      <c r="AM92" s="7">
        <v>10.537229921608066</v>
      </c>
      <c r="AN92" s="7">
        <v>1.4627700783919337</v>
      </c>
      <c r="AO92" s="7">
        <v>2.0486779543364905E-2</v>
      </c>
      <c r="AP92" s="7">
        <v>0.3224545455949826</v>
      </c>
      <c r="AQ92" s="7">
        <v>7.2490174352285441E-4</v>
      </c>
      <c r="AR92" s="7">
        <v>-0.75286571534072255</v>
      </c>
      <c r="AS92" s="7">
        <v>-0.74458779360466054</v>
      </c>
      <c r="AT92" s="7">
        <v>0.56785081279767713</v>
      </c>
      <c r="AU92" s="7">
        <v>1.4933643036589248</v>
      </c>
      <c r="AV92" s="7" t="e">
        <v>#N/A</v>
      </c>
    </row>
    <row r="93" spans="37:48" x14ac:dyDescent="0.25">
      <c r="AK93" t="str">
        <v>chevrolet caprice classic</v>
      </c>
      <c r="AL93" s="7">
        <v>13</v>
      </c>
      <c r="AM93" s="7">
        <v>14.671198783923874</v>
      </c>
      <c r="AN93" s="7">
        <v>-1.6711987839238738</v>
      </c>
      <c r="AO93" s="7">
        <v>8.2076576737747202E-3</v>
      </c>
      <c r="AP93" s="7">
        <v>-0.36611314488026792</v>
      </c>
      <c r="AQ93" s="7">
        <v>3.6974973641958064E-4</v>
      </c>
      <c r="AR93" s="7">
        <v>-0.75286571534072255</v>
      </c>
      <c r="AS93" s="7">
        <v>-0.74458779360466054</v>
      </c>
      <c r="AT93" s="7">
        <v>0.60507284262332239</v>
      </c>
      <c r="AU93" s="7">
        <v>-1.685028924506633</v>
      </c>
      <c r="AV93" s="7" t="e">
        <v>#N/A</v>
      </c>
    </row>
    <row r="94" spans="37:48" x14ac:dyDescent="0.25">
      <c r="AK94" t="str">
        <v>ford ltd</v>
      </c>
      <c r="AL94" s="7">
        <v>13</v>
      </c>
      <c r="AM94" s="7">
        <v>13.982203973537906</v>
      </c>
      <c r="AN94" s="7">
        <v>-0.98220397353790645</v>
      </c>
      <c r="AO94" s="7">
        <v>8.3452738365197027E-3</v>
      </c>
      <c r="AP94" s="7">
        <v>-0.21518848608563401</v>
      </c>
      <c r="AQ94" s="7">
        <v>1.2989633912545326E-4</v>
      </c>
      <c r="AR94" s="7">
        <v>-0.72763551415159011</v>
      </c>
      <c r="AS94" s="7">
        <v>-0.73891713310851737</v>
      </c>
      <c r="AT94" s="7">
        <v>0.46388413002131684</v>
      </c>
      <c r="AU94" s="7">
        <v>-0.99046971453245936</v>
      </c>
      <c r="AV94" s="7" t="e">
        <v>#N/A</v>
      </c>
    </row>
    <row r="95" spans="37:48" x14ac:dyDescent="0.25">
      <c r="AK95" t="str">
        <v>plymouth fury gran sedan</v>
      </c>
      <c r="AL95" s="7">
        <v>14</v>
      </c>
      <c r="AM95" s="7">
        <v>14.671198783923874</v>
      </c>
      <c r="AN95" s="7">
        <v>-0.67119878392387378</v>
      </c>
      <c r="AO95" s="7">
        <v>8.2076576737747202E-3</v>
      </c>
      <c r="AP95" s="7">
        <v>-0.14704097441072247</v>
      </c>
      <c r="AQ95" s="7">
        <v>5.9642243722642094E-5</v>
      </c>
      <c r="AR95" s="7">
        <v>-0.71932811724388146</v>
      </c>
      <c r="AS95" s="7">
        <v>-0.73321287075653097</v>
      </c>
      <c r="AT95" s="7">
        <v>0.38345922131397814</v>
      </c>
      <c r="AU95" s="7">
        <v>-0.67675334369853379</v>
      </c>
      <c r="AV95" s="7" t="e">
        <v>#N/A</v>
      </c>
    </row>
    <row r="96" spans="37:48" x14ac:dyDescent="0.25">
      <c r="AK96" t="str">
        <v>chrysler new yorker brougham</v>
      </c>
      <c r="AL96" s="7">
        <v>13</v>
      </c>
      <c r="AM96" s="7">
        <v>9.0731159495378826</v>
      </c>
      <c r="AN96" s="7">
        <v>3.9268840504621174</v>
      </c>
      <c r="AO96" s="7">
        <v>3.1427319844520754E-2</v>
      </c>
      <c r="AP96" s="7">
        <v>0.87052161064603317</v>
      </c>
      <c r="AQ96" s="7">
        <v>8.1962083464860499E-3</v>
      </c>
      <c r="AR96" s="7">
        <v>-0.71932811724388146</v>
      </c>
      <c r="AS96" s="7">
        <v>-0.73209535472197551</v>
      </c>
      <c r="AT96" s="7">
        <v>0.93301747606678476</v>
      </c>
      <c r="AU96" s="7">
        <v>4.0542998278990874</v>
      </c>
      <c r="AV96" s="7" t="e">
        <v>#N/A</v>
      </c>
    </row>
    <row r="97" spans="37:48" x14ac:dyDescent="0.25">
      <c r="AK97" t="str">
        <v>buick electra 225 custom</v>
      </c>
      <c r="AL97" s="7">
        <v>12</v>
      </c>
      <c r="AM97" s="7">
        <v>8.2118724365554243</v>
      </c>
      <c r="AN97" s="7">
        <v>3.7881275634445757</v>
      </c>
      <c r="AO97" s="7">
        <v>3.9473569661972151E-2</v>
      </c>
      <c r="AP97" s="7">
        <v>0.8432716924701481</v>
      </c>
      <c r="AQ97" s="7">
        <v>9.7411643692934483E-3</v>
      </c>
      <c r="AR97" s="7">
        <v>-0.71932811724388146</v>
      </c>
      <c r="AS97" s="7">
        <v>-0.72750270223370062</v>
      </c>
      <c r="AT97" s="7">
        <v>0.91829825899331208</v>
      </c>
      <c r="AU97" s="7">
        <v>3.9438035683322741</v>
      </c>
      <c r="AV97" s="7" t="e">
        <v>#N/A</v>
      </c>
    </row>
    <row r="98" spans="37:48" x14ac:dyDescent="0.25">
      <c r="AK98" t="str">
        <v>amc ambassador brougham</v>
      </c>
      <c r="AL98" s="7">
        <v>13</v>
      </c>
      <c r="AM98" s="7">
        <v>12.518090001467725</v>
      </c>
      <c r="AN98" s="7">
        <v>0.48190999853227545</v>
      </c>
      <c r="AO98" s="7">
        <v>1.1172971505048715E-2</v>
      </c>
      <c r="AP98" s="7">
        <v>0.10573124814331297</v>
      </c>
      <c r="AQ98" s="7">
        <v>4.2105014924579799E-5</v>
      </c>
      <c r="AR98" s="7">
        <v>-0.71932811724388146</v>
      </c>
      <c r="AS98" s="7">
        <v>-0.72481445810655942</v>
      </c>
      <c r="AT98" s="7">
        <v>0.32516341759692613</v>
      </c>
      <c r="AU98" s="7">
        <v>0.48735520434323965</v>
      </c>
      <c r="AV98" s="7" t="e">
        <v>#N/A</v>
      </c>
    </row>
    <row r="99" spans="37:48" x14ac:dyDescent="0.25">
      <c r="AK99" t="str">
        <v>plymouth valiant</v>
      </c>
      <c r="AL99" s="7">
        <v>18</v>
      </c>
      <c r="AM99" s="7">
        <v>22.386436680600745</v>
      </c>
      <c r="AN99" s="7">
        <v>-4.3864366806007453</v>
      </c>
      <c r="AO99" s="7">
        <v>3.3360984785658094E-3</v>
      </c>
      <c r="AP99" s="7">
        <v>-0.95859483949228097</v>
      </c>
      <c r="AQ99" s="7">
        <v>1.0252718938503491E-3</v>
      </c>
      <c r="AR99" s="7">
        <v>-0.71932811724388146</v>
      </c>
      <c r="AS99" s="7">
        <v>-0.72010196089208145</v>
      </c>
      <c r="AT99" s="7">
        <v>0.97907856655749592</v>
      </c>
      <c r="AU99" s="7">
        <v>-4.4011192478274097</v>
      </c>
      <c r="AV99" s="7" t="e">
        <v>#N/A</v>
      </c>
    </row>
    <row r="100" spans="37:48" x14ac:dyDescent="0.25">
      <c r="AK100" t="str">
        <v>chevrolet nova custom</v>
      </c>
      <c r="AL100" s="7">
        <v>16</v>
      </c>
      <c r="AM100" s="7">
        <v>22.817058437091976</v>
      </c>
      <c r="AN100" s="7">
        <v>-6.8170584370919762</v>
      </c>
      <c r="AO100" s="7">
        <v>4.052782691826292E-3</v>
      </c>
      <c r="AP100" s="7">
        <v>-1.4903094045150971</v>
      </c>
      <c r="AQ100" s="7">
        <v>3.01264961786332E-3</v>
      </c>
      <c r="AR100" s="7">
        <v>-0.71932811724388146</v>
      </c>
      <c r="AS100" s="7">
        <v>-0.71035278137388169</v>
      </c>
      <c r="AT100" s="7">
        <v>1.2207822920222495</v>
      </c>
      <c r="AU100" s="7">
        <v>-6.8447989196826979</v>
      </c>
      <c r="AV100" s="7" t="e">
        <v>#N/A</v>
      </c>
    </row>
    <row r="101" spans="37:48" x14ac:dyDescent="0.25">
      <c r="AK101" t="str">
        <v>amc hornet</v>
      </c>
      <c r="AL101" s="7">
        <v>18</v>
      </c>
      <c r="AM101" s="7">
        <v>22.817058437091976</v>
      </c>
      <c r="AN101" s="7">
        <v>-4.8170584370919762</v>
      </c>
      <c r="AO101" s="7">
        <v>4.052782691826292E-3</v>
      </c>
      <c r="AP101" s="7">
        <v>-1.0530799401448798</v>
      </c>
      <c r="AQ101" s="7">
        <v>1.5042444597758891E-3</v>
      </c>
      <c r="AR101" s="7">
        <v>-0.71932811724388146</v>
      </c>
      <c r="AS101" s="7">
        <v>-0.7086380882596055</v>
      </c>
      <c r="AT101" s="7">
        <v>1.0261968330417317</v>
      </c>
      <c r="AU101" s="7">
        <v>-4.8366603705278939</v>
      </c>
      <c r="AV101" s="7" t="e">
        <v>#N/A</v>
      </c>
    </row>
    <row r="102" spans="37:48" x14ac:dyDescent="0.25">
      <c r="AK102" t="str">
        <v>ford maverick</v>
      </c>
      <c r="AL102" s="7">
        <v>18</v>
      </c>
      <c r="AM102" s="7">
        <v>23.850550652670925</v>
      </c>
      <c r="AN102" s="7">
        <v>-5.8505506526709254</v>
      </c>
      <c r="AO102" s="7">
        <v>6.9897511985455001E-3</v>
      </c>
      <c r="AP102" s="7">
        <v>-1.2809066039393426</v>
      </c>
      <c r="AQ102" s="7">
        <v>3.8496536763567755E-3</v>
      </c>
      <c r="AR102" s="7">
        <v>-0.66249652488531496</v>
      </c>
      <c r="AS102" s="7">
        <v>-0.70401843143703713</v>
      </c>
      <c r="AT102" s="7">
        <v>1.1317714450980563</v>
      </c>
      <c r="AU102" s="7">
        <v>-5.8917323962491173</v>
      </c>
      <c r="AV102" s="7" t="e">
        <v>#N/A</v>
      </c>
    </row>
    <row r="103" spans="37:48" x14ac:dyDescent="0.25">
      <c r="AK103" t="str">
        <v>plymouth duster</v>
      </c>
      <c r="AL103" s="7">
        <v>23</v>
      </c>
      <c r="AM103" s="7">
        <v>23.247680193583207</v>
      </c>
      <c r="AN103" s="7">
        <v>-0.24768019358320714</v>
      </c>
      <c r="AO103" s="7">
        <v>5.0677331783451334E-3</v>
      </c>
      <c r="AP103" s="7">
        <v>-5.4174150136665843E-2</v>
      </c>
      <c r="AQ103" s="7">
        <v>4.9829116190698151E-6</v>
      </c>
      <c r="AR103" s="7">
        <v>-0.66249652488531496</v>
      </c>
      <c r="AS103" s="7">
        <v>-0.69784213782096893</v>
      </c>
      <c r="AT103" s="7">
        <v>0.23275341058009405</v>
      </c>
      <c r="AU103" s="7">
        <v>-0.2489417640202081</v>
      </c>
      <c r="AV103" s="7" t="e">
        <v>#N/A</v>
      </c>
    </row>
    <row r="104" spans="37:48" x14ac:dyDescent="0.25">
      <c r="AK104" t="str">
        <v>volkswagen super beetle</v>
      </c>
      <c r="AL104" s="7">
        <v>26</v>
      </c>
      <c r="AM104" s="7">
        <v>31.307415495453061</v>
      </c>
      <c r="AN104" s="7">
        <v>-5.3074154954530606</v>
      </c>
      <c r="AO104" s="7">
        <v>9.9938012765195018E-3</v>
      </c>
      <c r="AP104" s="7">
        <v>-1.1637554225080031</v>
      </c>
      <c r="AQ104" s="7">
        <v>4.5571673372708796E-3</v>
      </c>
      <c r="AR104" s="7">
        <v>-0.66249652488531496</v>
      </c>
      <c r="AS104" s="7">
        <v>-0.69635149913402117</v>
      </c>
      <c r="AT104" s="7">
        <v>1.0787749637936557</v>
      </c>
      <c r="AU104" s="7">
        <v>-5.3609921860049683</v>
      </c>
      <c r="AV104" s="7" t="e">
        <v>#N/A</v>
      </c>
    </row>
    <row r="105" spans="37:48" x14ac:dyDescent="0.25">
      <c r="AK105" t="str">
        <v>chevrolet impala</v>
      </c>
      <c r="AL105" s="7">
        <v>11</v>
      </c>
      <c r="AM105" s="7">
        <v>14.671198783923874</v>
      </c>
      <c r="AN105" s="7">
        <v>-3.6711987839238738</v>
      </c>
      <c r="AO105" s="7">
        <v>8.2076576737747202E-3</v>
      </c>
      <c r="AP105" s="7">
        <v>-0.80425748581935874</v>
      </c>
      <c r="AQ105" s="7">
        <v>1.7842982635320984E-3</v>
      </c>
      <c r="AR105" s="7">
        <v>-0.66249652488531496</v>
      </c>
      <c r="AS105" s="7">
        <v>-0.68349652954978846</v>
      </c>
      <c r="AT105" s="7">
        <v>0.89680403980990109</v>
      </c>
      <c r="AU105" s="7">
        <v>-3.7015800861228314</v>
      </c>
      <c r="AV105" s="7" t="e">
        <v>#N/A</v>
      </c>
    </row>
    <row r="106" spans="37:48" x14ac:dyDescent="0.25">
      <c r="AK106" t="str">
        <v>ford country</v>
      </c>
      <c r="AL106" s="7">
        <v>12</v>
      </c>
      <c r="AM106" s="7">
        <v>13.207084811853692</v>
      </c>
      <c r="AN106" s="7">
        <v>-1.2070848118536919</v>
      </c>
      <c r="AO106" s="7">
        <v>9.4127868157783418E-3</v>
      </c>
      <c r="AP106" s="7">
        <v>-0.26459949626391299</v>
      </c>
      <c r="AQ106" s="7">
        <v>2.2175952181912074E-4</v>
      </c>
      <c r="AR106" s="7">
        <v>-0.66249652488531496</v>
      </c>
      <c r="AS106" s="7">
        <v>-0.68100477723248198</v>
      </c>
      <c r="AT106" s="7">
        <v>0.51439235634281444</v>
      </c>
      <c r="AU106" s="7">
        <v>-1.2185548084893438</v>
      </c>
      <c r="AV106" s="7" t="e">
        <v>#N/A</v>
      </c>
    </row>
    <row r="107" spans="37:48" x14ac:dyDescent="0.25">
      <c r="AK107" t="str">
        <v>plymouth custom suburb</v>
      </c>
      <c r="AL107" s="7">
        <v>13</v>
      </c>
      <c r="AM107" s="7">
        <v>12.948711757958954</v>
      </c>
      <c r="AN107" s="7">
        <v>5.1288242041046317E-2</v>
      </c>
      <c r="AO107" s="7">
        <v>9.9833761922772327E-3</v>
      </c>
      <c r="AP107" s="7">
        <v>1.1245898418594844E-2</v>
      </c>
      <c r="AQ107" s="7">
        <v>4.25110671627115E-7</v>
      </c>
      <c r="AR107" s="7">
        <v>-0.62318453179067923</v>
      </c>
      <c r="AS107" s="7">
        <v>-0.67876072309281366</v>
      </c>
      <c r="AT107" s="7">
        <v>0.10604668037517649</v>
      </c>
      <c r="AU107" s="7">
        <v>5.1805435189346195E-2</v>
      </c>
      <c r="AV107" s="7" t="e">
        <v>#N/A</v>
      </c>
    </row>
    <row r="108" spans="37:48" x14ac:dyDescent="0.25">
      <c r="AK108" t="str">
        <v>oldsmobile vista cruiser</v>
      </c>
      <c r="AL108" s="7">
        <v>12</v>
      </c>
      <c r="AM108" s="7">
        <v>12.087468244976494</v>
      </c>
      <c r="AN108" s="7">
        <v>-8.7468244976493636E-2</v>
      </c>
      <c r="AO108" s="7">
        <v>1.2660833091078551E-2</v>
      </c>
      <c r="AP108" s="7">
        <v>-1.9205022324902794E-2</v>
      </c>
      <c r="AQ108" s="7">
        <v>1.5765374656592346E-6</v>
      </c>
      <c r="AR108" s="7">
        <v>-0.62318453179067923</v>
      </c>
      <c r="AS108" s="7">
        <v>-0.67576611506154949</v>
      </c>
      <c r="AT108" s="7">
        <v>0.13858218617449644</v>
      </c>
      <c r="AU108" s="7">
        <v>-8.8589866489680411E-2</v>
      </c>
      <c r="AV108" s="7" t="e">
        <v>#N/A</v>
      </c>
    </row>
    <row r="109" spans="37:48" x14ac:dyDescent="0.25">
      <c r="AK109" t="str">
        <v>amc gremlin</v>
      </c>
      <c r="AL109" s="7">
        <v>18</v>
      </c>
      <c r="AM109" s="7">
        <v>22.817058437091976</v>
      </c>
      <c r="AN109" s="7">
        <v>-4.8170584370919762</v>
      </c>
      <c r="AO109" s="7">
        <v>4.052782691826292E-3</v>
      </c>
      <c r="AP109" s="7">
        <v>-1.0530799401448798</v>
      </c>
      <c r="AQ109" s="7">
        <v>1.5042444597758891E-3</v>
      </c>
      <c r="AR109" s="7">
        <v>-0.60772881744947449</v>
      </c>
      <c r="AS109" s="7">
        <v>-0.67576611506154949</v>
      </c>
      <c r="AT109" s="7">
        <v>1.0261968330417317</v>
      </c>
      <c r="AU109" s="7">
        <v>-4.8366603705278939</v>
      </c>
      <c r="AV109" s="7" t="e">
        <v>#N/A</v>
      </c>
    </row>
    <row r="110" spans="37:48" x14ac:dyDescent="0.25">
      <c r="AK110" t="str">
        <v>toyota carina</v>
      </c>
      <c r="AL110" s="7">
        <v>20</v>
      </c>
      <c r="AM110" s="7">
        <v>27.690192740926726</v>
      </c>
      <c r="AN110" s="7">
        <v>-7.6901927409267259</v>
      </c>
      <c r="AO110" s="7">
        <v>5.2484190645161813E-3</v>
      </c>
      <c r="AP110" s="7">
        <v>-1.6821994714415485</v>
      </c>
      <c r="AQ110" s="7">
        <v>4.9767702929504644E-3</v>
      </c>
      <c r="AR110" s="7">
        <v>-0.60005529056970508</v>
      </c>
      <c r="AS110" s="7">
        <v>-0.66329866092594092</v>
      </c>
      <c r="AT110" s="7">
        <v>1.2969963266877622</v>
      </c>
      <c r="AU110" s="7">
        <v>-7.7307670460746785</v>
      </c>
      <c r="AV110" s="7" t="e">
        <v>#N/A</v>
      </c>
    </row>
    <row r="111" spans="37:48" x14ac:dyDescent="0.25">
      <c r="AK111" t="str">
        <v>chevrolet vega</v>
      </c>
      <c r="AL111" s="7">
        <v>21</v>
      </c>
      <c r="AM111" s="7">
        <v>29.068182361698664</v>
      </c>
      <c r="AN111" s="7">
        <v>-8.0681823616986641</v>
      </c>
      <c r="AO111" s="7">
        <v>4.5746083231985452E-3</v>
      </c>
      <c r="AP111" s="7">
        <v>-1.7642857847409479</v>
      </c>
      <c r="AQ111" s="7">
        <v>4.7682807289658744E-3</v>
      </c>
      <c r="AR111" s="7">
        <v>-0.60005529056970508</v>
      </c>
      <c r="AS111" s="7">
        <v>-0.66010684676128883</v>
      </c>
      <c r="AT111" s="7">
        <v>1.3282641999018674</v>
      </c>
      <c r="AU111" s="7">
        <v>-8.105260755010228</v>
      </c>
      <c r="AV111" s="7" t="e">
        <v>#N/A</v>
      </c>
    </row>
    <row r="112" spans="37:48" x14ac:dyDescent="0.25">
      <c r="AK112" t="str">
        <v>datsun 610</v>
      </c>
      <c r="AL112" s="7">
        <v>22</v>
      </c>
      <c r="AM112" s="7">
        <v>27.173446633137253</v>
      </c>
      <c r="AN112" s="7">
        <v>-5.1734466331372531</v>
      </c>
      <c r="AO112" s="7">
        <v>6.2885210539123104E-3</v>
      </c>
      <c r="AP112" s="7">
        <v>-1.1322632369526964</v>
      </c>
      <c r="AQ112" s="7">
        <v>2.7043429841116674E-3</v>
      </c>
      <c r="AR112" s="7">
        <v>-0.60005529056970508</v>
      </c>
      <c r="AS112" s="7">
        <v>-0.65698992744513074</v>
      </c>
      <c r="AT112" s="7">
        <v>1.0640785858914257</v>
      </c>
      <c r="AU112" s="7">
        <v>-5.2061858424178782</v>
      </c>
      <c r="AV112" s="7" t="e">
        <v>#N/A</v>
      </c>
    </row>
    <row r="113" spans="37:48" x14ac:dyDescent="0.25">
      <c r="AK113" t="str">
        <v>maxda rx3</v>
      </c>
      <c r="AL113" s="7">
        <v>18</v>
      </c>
      <c r="AM113" s="7">
        <v>29.437765082458135</v>
      </c>
      <c r="AN113" s="7">
        <v>-11.437765082458135</v>
      </c>
      <c r="AO113" s="7">
        <v>1.4242956316360437E-2</v>
      </c>
      <c r="AP113" s="7">
        <v>-2.5133548803803922</v>
      </c>
      <c r="AQ113" s="7">
        <v>3.0424022063268347E-2</v>
      </c>
      <c r="AR113" s="7">
        <v>-0.60005529056970508</v>
      </c>
      <c r="AS113" s="7">
        <v>-0.6543037006170267</v>
      </c>
      <c r="AT113" s="7">
        <v>1.5853563890748326</v>
      </c>
      <c r="AU113" s="7">
        <v>-11.603026481775638</v>
      </c>
      <c r="AV113" s="7">
        <v>3.0424022063268347E-2</v>
      </c>
    </row>
    <row r="114" spans="37:48" x14ac:dyDescent="0.25">
      <c r="AK114" t="str">
        <v>ford pinto</v>
      </c>
      <c r="AL114" s="7">
        <v>19</v>
      </c>
      <c r="AM114" s="7">
        <v>27.948565794821466</v>
      </c>
      <c r="AN114" s="7">
        <v>-8.9485657948214659</v>
      </c>
      <c r="AO114" s="7">
        <v>4.8894318573776182E-3</v>
      </c>
      <c r="AP114" s="7">
        <v>-1.9571105263772794</v>
      </c>
      <c r="AQ114" s="7">
        <v>6.2733065511267599E-3</v>
      </c>
      <c r="AR114" s="7">
        <v>-0.60005529056970508</v>
      </c>
      <c r="AS114" s="7">
        <v>-0.63821328995704207</v>
      </c>
      <c r="AT114" s="7">
        <v>1.3989676645216926</v>
      </c>
      <c r="AU114" s="7">
        <v>-8.9925341779094943</v>
      </c>
      <c r="AV114" s="7" t="e">
        <v>#N/A</v>
      </c>
    </row>
    <row r="115" spans="37:48" x14ac:dyDescent="0.25">
      <c r="AK115" t="str">
        <v>mercury capri v6</v>
      </c>
      <c r="AL115" s="7">
        <v>21</v>
      </c>
      <c r="AM115" s="7">
        <v>22.214187978004254</v>
      </c>
      <c r="AN115" s="7">
        <v>-1.2141879780042544</v>
      </c>
      <c r="AO115" s="7">
        <v>3.1329393497739454E-3</v>
      </c>
      <c r="AP115" s="7">
        <v>-0.26531688637162615</v>
      </c>
      <c r="AQ115" s="7">
        <v>7.3743419294491084E-5</v>
      </c>
      <c r="AR115" s="7">
        <v>-0.60005529056970508</v>
      </c>
      <c r="AS115" s="7">
        <v>-0.63821328995704207</v>
      </c>
      <c r="AT115" s="7">
        <v>0.51508920234424072</v>
      </c>
      <c r="AU115" s="7">
        <v>-1.2180039103832727</v>
      </c>
      <c r="AV115" s="7" t="e">
        <v>#N/A</v>
      </c>
    </row>
    <row r="116" spans="37:48" x14ac:dyDescent="0.25">
      <c r="AK116" t="str">
        <v>fiat 124 sport coupe</v>
      </c>
      <c r="AL116" s="7">
        <v>26</v>
      </c>
      <c r="AM116" s="7">
        <v>27.517944038330235</v>
      </c>
      <c r="AN116" s="7">
        <v>-1.5179440383302349</v>
      </c>
      <c r="AO116" s="7">
        <v>5.5473971239268956E-3</v>
      </c>
      <c r="AP116" s="7">
        <v>-0.33209420926691235</v>
      </c>
      <c r="AQ116" s="7">
        <v>2.0507207188532207E-4</v>
      </c>
      <c r="AR116" s="7">
        <v>-0.60005529056970508</v>
      </c>
      <c r="AS116" s="7">
        <v>-0.61585047577466279</v>
      </c>
      <c r="AT116" s="7">
        <v>0.57627615712166369</v>
      </c>
      <c r="AU116" s="7">
        <v>-1.5264116499269684</v>
      </c>
      <c r="AV116" s="7" t="e">
        <v>#N/A</v>
      </c>
    </row>
    <row r="117" spans="37:48" x14ac:dyDescent="0.25">
      <c r="AK117" t="str">
        <v>chevrolet monte carlo s</v>
      </c>
      <c r="AL117" s="7">
        <v>15</v>
      </c>
      <c r="AM117" s="7">
        <v>15.101820540415105</v>
      </c>
      <c r="AN117" s="7">
        <v>-0.10182054041510469</v>
      </c>
      <c r="AO117" s="7">
        <v>8.5093937272949383E-3</v>
      </c>
      <c r="AP117" s="7">
        <v>-2.2309440680360997E-2</v>
      </c>
      <c r="AQ117" s="7">
        <v>1.4238561802666164E-6</v>
      </c>
      <c r="AR117" s="7">
        <v>-0.60005529056970508</v>
      </c>
      <c r="AS117" s="7">
        <v>-0.61585047577466279</v>
      </c>
      <c r="AT117" s="7">
        <v>0.14936345162174378</v>
      </c>
      <c r="AU117" s="7">
        <v>-0.10269440756264654</v>
      </c>
      <c r="AV117" s="7" t="e">
        <v>#N/A</v>
      </c>
    </row>
    <row r="118" spans="37:48" x14ac:dyDescent="0.25">
      <c r="AK118" t="str">
        <v>pontiac grand prix</v>
      </c>
      <c r="AL118" s="7">
        <v>16</v>
      </c>
      <c r="AM118" s="7">
        <v>7.7812506800641934</v>
      </c>
      <c r="AN118" s="7">
        <v>8.2187493199358066</v>
      </c>
      <c r="AO118" s="7">
        <v>4.3944093980585332E-2</v>
      </c>
      <c r="AP118" s="7">
        <v>1.8338409920627767</v>
      </c>
      <c r="AQ118" s="7">
        <v>5.1525157037105626E-2</v>
      </c>
      <c r="AR118" s="7">
        <v>-0.60005529056970508</v>
      </c>
      <c r="AS118" s="7">
        <v>-0.61439388780428683</v>
      </c>
      <c r="AT118" s="7">
        <v>1.3541938532066879</v>
      </c>
      <c r="AU118" s="7">
        <v>8.5965154006055666</v>
      </c>
      <c r="AV118" s="7">
        <v>5.1525157037105626E-2</v>
      </c>
    </row>
    <row r="119" spans="37:48" x14ac:dyDescent="0.25">
      <c r="AK119" t="str">
        <v>fiat 128</v>
      </c>
      <c r="AL119" s="7">
        <v>29</v>
      </c>
      <c r="AM119" s="7">
        <v>31.049042441558321</v>
      </c>
      <c r="AN119" s="7">
        <v>-2.0490424415583206</v>
      </c>
      <c r="AO119" s="7">
        <v>8.9569023248090383E-3</v>
      </c>
      <c r="AP119" s="7">
        <v>-0.44905782636707342</v>
      </c>
      <c r="AQ119" s="7">
        <v>6.075032170618892E-4</v>
      </c>
      <c r="AR119" s="7">
        <v>-0.60005529056970508</v>
      </c>
      <c r="AS119" s="7">
        <v>-0.61439388780428683</v>
      </c>
      <c r="AT119" s="7">
        <v>0.6701177705202821</v>
      </c>
      <c r="AU119" s="7">
        <v>-2.0675613869517946</v>
      </c>
      <c r="AV119" s="7" t="e">
        <v>#N/A</v>
      </c>
    </row>
    <row r="120" spans="37:48" x14ac:dyDescent="0.25">
      <c r="AK120" t="str">
        <v>opel manta</v>
      </c>
      <c r="AL120" s="7">
        <v>24</v>
      </c>
      <c r="AM120" s="7">
        <v>28.809809307803924</v>
      </c>
      <c r="AN120" s="7">
        <v>-4.8098093078039241</v>
      </c>
      <c r="AO120" s="7">
        <v>4.4683001440540973E-3</v>
      </c>
      <c r="AP120" s="7">
        <v>-1.0517145886062083</v>
      </c>
      <c r="AQ120" s="7">
        <v>1.6548620093130018E-3</v>
      </c>
      <c r="AR120" s="7">
        <v>-0.60005529056970508</v>
      </c>
      <c r="AS120" s="7">
        <v>-0.60726829885664901</v>
      </c>
      <c r="AT120" s="7">
        <v>1.0255313689040468</v>
      </c>
      <c r="AU120" s="7">
        <v>-4.8313974416886039</v>
      </c>
      <c r="AV120" s="7" t="e">
        <v>#N/A</v>
      </c>
    </row>
    <row r="121" spans="37:48" x14ac:dyDescent="0.25">
      <c r="AK121" t="str">
        <v>audi 100ls</v>
      </c>
      <c r="AL121" s="7">
        <v>20</v>
      </c>
      <c r="AM121" s="7">
        <v>27.431819687031989</v>
      </c>
      <c r="AN121" s="7">
        <v>-7.4318196870319895</v>
      </c>
      <c r="AO121" s="7">
        <v>5.7147821300277454E-3</v>
      </c>
      <c r="AP121" s="7">
        <v>-1.6260625932235175</v>
      </c>
      <c r="AQ121" s="7">
        <v>5.0657290723706725E-3</v>
      </c>
      <c r="AR121" s="7">
        <v>-0.60005529056970508</v>
      </c>
      <c r="AS121" s="7">
        <v>-0.60098967616767907</v>
      </c>
      <c r="AT121" s="7">
        <v>1.2751715936388788</v>
      </c>
      <c r="AU121" s="7">
        <v>-7.4745350262301562</v>
      </c>
      <c r="AV121" s="7" t="e">
        <v>#N/A</v>
      </c>
    </row>
    <row r="122" spans="37:48" x14ac:dyDescent="0.25">
      <c r="AK122" t="str">
        <v>volvo 144ea</v>
      </c>
      <c r="AL122" s="7">
        <v>19</v>
      </c>
      <c r="AM122" s="7">
        <v>25.623208309768824</v>
      </c>
      <c r="AN122" s="7">
        <v>-6.6232083097688239</v>
      </c>
      <c r="AO122" s="7">
        <v>1.1985847623052744E-2</v>
      </c>
      <c r="AP122" s="7">
        <v>-1.4537322269517876</v>
      </c>
      <c r="AQ122" s="7">
        <v>8.5458087295181909E-3</v>
      </c>
      <c r="AR122" s="7">
        <v>-0.60005529056970508</v>
      </c>
      <c r="AS122" s="7">
        <v>-0.58620182918557573</v>
      </c>
      <c r="AT122" s="7">
        <v>1.205708184824084</v>
      </c>
      <c r="AU122" s="7">
        <v>-6.7035561118581395</v>
      </c>
      <c r="AV122" s="7" t="e">
        <v>#N/A</v>
      </c>
    </row>
    <row r="123" spans="37:48" x14ac:dyDescent="0.25">
      <c r="AK123" t="str">
        <v>dodge dart custom</v>
      </c>
      <c r="AL123" s="7">
        <v>15</v>
      </c>
      <c r="AM123" s="7">
        <v>14.671198783923874</v>
      </c>
      <c r="AN123" s="7">
        <v>0.32880121607612622</v>
      </c>
      <c r="AO123" s="7">
        <v>8.2076576737747202E-3</v>
      </c>
      <c r="AP123" s="7">
        <v>7.2031196058822966E-2</v>
      </c>
      <c r="AQ123" s="7">
        <v>1.4312598265250438E-5</v>
      </c>
      <c r="AR123" s="7">
        <v>-0.60005529056970508</v>
      </c>
      <c r="AS123" s="7">
        <v>-0.56659449333822465</v>
      </c>
      <c r="AT123" s="7">
        <v>0.26838628142813664</v>
      </c>
      <c r="AU123" s="7">
        <v>0.33152223710956552</v>
      </c>
      <c r="AV123" s="7" t="e">
        <v>#N/A</v>
      </c>
    </row>
    <row r="124" spans="37:48" x14ac:dyDescent="0.25">
      <c r="AK124" t="str">
        <v>saab 99le</v>
      </c>
      <c r="AL124" s="7">
        <v>24</v>
      </c>
      <c r="AM124" s="7">
        <v>25.795457012365315</v>
      </c>
      <c r="AN124" s="7">
        <v>-1.7954570123653149</v>
      </c>
      <c r="AO124" s="7">
        <v>1.1161920922707359E-2</v>
      </c>
      <c r="AP124" s="7">
        <v>-0.39392179191486232</v>
      </c>
      <c r="AQ124" s="7">
        <v>5.8386510212930353E-4</v>
      </c>
      <c r="AR124" s="7">
        <v>-0.60005529056970508</v>
      </c>
      <c r="AS124" s="7">
        <v>-0.5615896406701244</v>
      </c>
      <c r="AT124" s="7">
        <v>0.62763189204729097</v>
      </c>
      <c r="AU124" s="7">
        <v>-1.8157239798458173</v>
      </c>
      <c r="AV124" s="7" t="e">
        <v>#N/A</v>
      </c>
    </row>
    <row r="125" spans="37:48" x14ac:dyDescent="0.25">
      <c r="AK125" t="str">
        <v>toyota mark ii</v>
      </c>
      <c r="AL125" s="7">
        <v>20</v>
      </c>
      <c r="AM125" s="7">
        <v>20.922322708530565</v>
      </c>
      <c r="AN125" s="7">
        <v>-0.92232270853056519</v>
      </c>
      <c r="AO125" s="7">
        <v>3.1304038774525207E-3</v>
      </c>
      <c r="AP125" s="7">
        <v>-0.20154002715469738</v>
      </c>
      <c r="AQ125" s="7">
        <v>4.2517076359471493E-5</v>
      </c>
      <c r="AR125" s="7">
        <v>-0.60005529056970508</v>
      </c>
      <c r="AS125" s="7">
        <v>-0.55789824447052005</v>
      </c>
      <c r="AT125" s="7">
        <v>0.44893209637393644</v>
      </c>
      <c r="AU125" s="7">
        <v>-0.92521901773116366</v>
      </c>
      <c r="AV125" s="7" t="e">
        <v>#N/A</v>
      </c>
    </row>
    <row r="126" spans="37:48" x14ac:dyDescent="0.25">
      <c r="AK126" t="str">
        <v>oldsmobile omega</v>
      </c>
      <c r="AL126" s="7">
        <v>11</v>
      </c>
      <c r="AM126" s="7">
        <v>12.087468244976494</v>
      </c>
      <c r="AN126" s="7">
        <v>-1.0874682449764936</v>
      </c>
      <c r="AO126" s="7">
        <v>1.2660833091078551E-2</v>
      </c>
      <c r="AP126" s="7">
        <v>-0.23877067532347371</v>
      </c>
      <c r="AQ126" s="7">
        <v>2.4368940009117176E-4</v>
      </c>
      <c r="AR126" s="7">
        <v>-0.60005529056970508</v>
      </c>
      <c r="AS126" s="7">
        <v>-0.55504000935819897</v>
      </c>
      <c r="AT126" s="7">
        <v>0.48864166351578509</v>
      </c>
      <c r="AU126" s="7">
        <v>-1.1014130517895364</v>
      </c>
      <c r="AV126" s="7" t="e">
        <v>#N/A</v>
      </c>
    </row>
    <row r="127" spans="37:48" x14ac:dyDescent="0.25">
      <c r="AK127" t="str">
        <v>plymouth duster</v>
      </c>
      <c r="AL127" s="7">
        <v>20</v>
      </c>
      <c r="AM127" s="7">
        <v>23.247680193583207</v>
      </c>
      <c r="AN127" s="7">
        <v>-3.2476801935832071</v>
      </c>
      <c r="AO127" s="7">
        <v>5.0677331783451334E-3</v>
      </c>
      <c r="AP127" s="7">
        <v>-0.71035278137388169</v>
      </c>
      <c r="AQ127" s="7">
        <v>8.5673624555228161E-4</v>
      </c>
      <c r="AR127" s="7">
        <v>-0.47441488350636313</v>
      </c>
      <c r="AS127" s="7">
        <v>-0.53907281029913701</v>
      </c>
      <c r="AT127" s="7">
        <v>0.84282428855241331</v>
      </c>
      <c r="AU127" s="7">
        <v>-3.264222401750053</v>
      </c>
      <c r="AV127" s="7" t="e">
        <v>#N/A</v>
      </c>
    </row>
    <row r="128" spans="37:48" x14ac:dyDescent="0.25">
      <c r="AK128" t="str">
        <v>amc hornet</v>
      </c>
      <c r="AL128" s="7">
        <v>19</v>
      </c>
      <c r="AM128" s="7">
        <v>22.817058437091976</v>
      </c>
      <c r="AN128" s="7">
        <v>-3.8170584370919762</v>
      </c>
      <c r="AO128" s="7">
        <v>4.052782691826292E-3</v>
      </c>
      <c r="AP128" s="7">
        <v>-0.83446520795977142</v>
      </c>
      <c r="AQ128" s="7">
        <v>9.4452228363682946E-4</v>
      </c>
      <c r="AR128" s="7">
        <v>-0.47441488350636313</v>
      </c>
      <c r="AS128" s="7">
        <v>-0.52025003579943963</v>
      </c>
      <c r="AT128" s="7">
        <v>0.91349067207047685</v>
      </c>
      <c r="AU128" s="7">
        <v>-3.8325910959504919</v>
      </c>
      <c r="AV128" s="7" t="e">
        <v>#N/A</v>
      </c>
    </row>
    <row r="129" spans="37:48" x14ac:dyDescent="0.25">
      <c r="AK129" t="str">
        <v>chevrolet nova</v>
      </c>
      <c r="AL129" s="7">
        <v>15</v>
      </c>
      <c r="AM129" s="7">
        <v>22.817058437091976</v>
      </c>
      <c r="AN129" s="7">
        <v>-7.8170584370919762</v>
      </c>
      <c r="AO129" s="7">
        <v>4.052782691826292E-3</v>
      </c>
      <c r="AP129" s="7">
        <v>-1.7089241367002055</v>
      </c>
      <c r="AQ129" s="7">
        <v>3.9613325998116896E-3</v>
      </c>
      <c r="AR129" s="7">
        <v>-0.4601505487612142</v>
      </c>
      <c r="AS129" s="7">
        <v>-0.51327825356431145</v>
      </c>
      <c r="AT129" s="7">
        <v>1.3072582517238915</v>
      </c>
      <c r="AU129" s="7">
        <v>-7.8488681942600991</v>
      </c>
      <c r="AV129" s="7" t="e">
        <v>#N/A</v>
      </c>
    </row>
    <row r="130" spans="37:48" x14ac:dyDescent="0.25">
      <c r="AK130" t="str">
        <v>datsun b210</v>
      </c>
      <c r="AL130" s="7">
        <v>31</v>
      </c>
      <c r="AM130" s="7">
        <v>29.498804118189895</v>
      </c>
      <c r="AN130" s="7">
        <v>1.501195881810105</v>
      </c>
      <c r="AO130" s="7">
        <v>4.9904016403792923E-3</v>
      </c>
      <c r="AP130" s="7">
        <v>0.32833812645198651</v>
      </c>
      <c r="AQ130" s="7">
        <v>1.8023104743808351E-4</v>
      </c>
      <c r="AR130" s="7">
        <v>-0.45305351907680225</v>
      </c>
      <c r="AS130" s="7">
        <v>-0.50654310968210858</v>
      </c>
      <c r="AT130" s="7">
        <v>0.5730079636898483</v>
      </c>
      <c r="AU130" s="7">
        <v>1.5087250256530051</v>
      </c>
      <c r="AV130" s="7" t="e">
        <v>#N/A</v>
      </c>
    </row>
    <row r="131" spans="37:48" x14ac:dyDescent="0.25">
      <c r="AK131" t="str">
        <v>ford pinto</v>
      </c>
      <c r="AL131" s="7">
        <v>26</v>
      </c>
      <c r="AM131" s="7">
        <v>28.379187551312697</v>
      </c>
      <c r="AN131" s="7">
        <v>-2.3791875513126968</v>
      </c>
      <c r="AO131" s="7">
        <v>4.5297328640866892E-3</v>
      </c>
      <c r="AP131" s="7">
        <v>-0.52025003579943963</v>
      </c>
      <c r="AQ131" s="7">
        <v>4.1053225103979178E-4</v>
      </c>
      <c r="AR131" s="7">
        <v>-0.45305351907680225</v>
      </c>
      <c r="AS131" s="7">
        <v>-0.46052044583529883</v>
      </c>
      <c r="AT131" s="7">
        <v>0.72128360289101234</v>
      </c>
      <c r="AU131" s="7">
        <v>-2.3900136748010596</v>
      </c>
      <c r="AV131" s="7" t="e">
        <v>#N/A</v>
      </c>
    </row>
    <row r="132" spans="37:48" x14ac:dyDescent="0.25">
      <c r="AK132" t="str">
        <v>toyota corolla 1200</v>
      </c>
      <c r="AL132" s="7">
        <v>32</v>
      </c>
      <c r="AM132" s="7">
        <v>29.671052820786386</v>
      </c>
      <c r="AN132" s="7">
        <v>2.328947179213614</v>
      </c>
      <c r="AO132" s="7">
        <v>5.240233523763925E-3</v>
      </c>
      <c r="AP132" s="7">
        <v>0.5094459562855943</v>
      </c>
      <c r="AQ132" s="7">
        <v>4.5572978492392147E-4</v>
      </c>
      <c r="AR132" s="7">
        <v>-0.45305351907680225</v>
      </c>
      <c r="AS132" s="7">
        <v>-0.46052044583529883</v>
      </c>
      <c r="AT132" s="7">
        <v>0.71375482925553246</v>
      </c>
      <c r="AU132" s="7">
        <v>2.3412156961911572</v>
      </c>
      <c r="AV132" s="7" t="e">
        <v>#N/A</v>
      </c>
    </row>
    <row r="133" spans="37:48" x14ac:dyDescent="0.25">
      <c r="AK133" t="str">
        <v>chevrolet vega</v>
      </c>
      <c r="AL133" s="7">
        <v>25</v>
      </c>
      <c r="AM133" s="7">
        <v>28.809809307803924</v>
      </c>
      <c r="AN133" s="7">
        <v>-3.8098093078039241</v>
      </c>
      <c r="AO133" s="7">
        <v>4.4683001440540973E-3</v>
      </c>
      <c r="AP133" s="7">
        <v>-0.83305423820524749</v>
      </c>
      <c r="AQ133" s="7">
        <v>1.0382753563246119E-3</v>
      </c>
      <c r="AR133" s="7">
        <v>-0.43189692948271047</v>
      </c>
      <c r="AS133" s="7">
        <v>-0.46028990667948183</v>
      </c>
      <c r="AT133" s="7">
        <v>0.91271804967648551</v>
      </c>
      <c r="AU133" s="7">
        <v>-3.8269090862251862</v>
      </c>
      <c r="AV133" s="7" t="e">
        <v>#N/A</v>
      </c>
    </row>
    <row r="134" spans="37:48" x14ac:dyDescent="0.25">
      <c r="AK134" t="str">
        <v>chevrolet chevelle malibu classic</v>
      </c>
      <c r="AL134" s="7">
        <v>16</v>
      </c>
      <c r="AM134" s="7">
        <v>22.817058437091976</v>
      </c>
      <c r="AN134" s="7">
        <v>-6.8170584370919762</v>
      </c>
      <c r="AO134" s="7">
        <v>4.052782691826292E-3</v>
      </c>
      <c r="AP134" s="7">
        <v>-1.4903094045150971</v>
      </c>
      <c r="AQ134" s="7">
        <v>3.01264961786332E-3</v>
      </c>
      <c r="AR134" s="7">
        <v>-0.42488793897993393</v>
      </c>
      <c r="AS134" s="7">
        <v>-0.45688189975409549</v>
      </c>
      <c r="AT134" s="7">
        <v>1.2207822920222495</v>
      </c>
      <c r="AU134" s="7">
        <v>-6.8447989196826979</v>
      </c>
      <c r="AV134" s="7" t="e">
        <v>#N/A</v>
      </c>
    </row>
    <row r="135" spans="37:48" x14ac:dyDescent="0.25">
      <c r="AK135" t="str">
        <v>amc matador</v>
      </c>
      <c r="AL135" s="7">
        <v>16</v>
      </c>
      <c r="AM135" s="7">
        <v>21.955814924109514</v>
      </c>
      <c r="AN135" s="7">
        <v>-5.9558149241095144</v>
      </c>
      <c r="AO135" s="7">
        <v>2.917680538563657E-3</v>
      </c>
      <c r="AP135" s="7">
        <v>-1.3012875432514226</v>
      </c>
      <c r="AQ135" s="7">
        <v>1.6517032125573368E-3</v>
      </c>
      <c r="AR135" s="7">
        <v>-0.42488793897993393</v>
      </c>
      <c r="AS135" s="7">
        <v>-0.45688189975409549</v>
      </c>
      <c r="AT135" s="7">
        <v>1.1407399104315683</v>
      </c>
      <c r="AU135" s="7">
        <v>-5.9732429387841179</v>
      </c>
      <c r="AV135" s="7" t="e">
        <v>#N/A</v>
      </c>
    </row>
    <row r="136" spans="37:48" x14ac:dyDescent="0.25">
      <c r="AK136" t="str">
        <v>plymouth satellite sebring</v>
      </c>
      <c r="AL136" s="7">
        <v>18</v>
      </c>
      <c r="AM136" s="7">
        <v>22.386436680600745</v>
      </c>
      <c r="AN136" s="7">
        <v>-4.3864366806007453</v>
      </c>
      <c r="AO136" s="7">
        <v>3.3360984785658094E-3</v>
      </c>
      <c r="AP136" s="7">
        <v>-0.95859483949228097</v>
      </c>
      <c r="AQ136" s="7">
        <v>1.0252718938503491E-3</v>
      </c>
      <c r="AR136" s="7">
        <v>-0.42488793897993393</v>
      </c>
      <c r="AS136" s="7">
        <v>-0.44905782636707342</v>
      </c>
      <c r="AT136" s="7">
        <v>0.97907856655749592</v>
      </c>
      <c r="AU136" s="7">
        <v>-4.4011192478274097</v>
      </c>
      <c r="AV136" s="7" t="e">
        <v>#N/A</v>
      </c>
    </row>
    <row r="137" spans="37:48" x14ac:dyDescent="0.25">
      <c r="AK137" t="str">
        <v>ford gran torino</v>
      </c>
      <c r="AL137" s="7">
        <v>16</v>
      </c>
      <c r="AM137" s="7">
        <v>15.532442296906334</v>
      </c>
      <c r="AN137" s="7">
        <v>0.46755770309366618</v>
      </c>
      <c r="AO137" s="7">
        <v>9.1093960540734702E-3</v>
      </c>
      <c r="AP137" s="7">
        <v>0.10247547682236685</v>
      </c>
      <c r="AQ137" s="7">
        <v>3.2179738835022898E-5</v>
      </c>
      <c r="AR137" s="7">
        <v>-0.42488793897993393</v>
      </c>
      <c r="AS137" s="7">
        <v>-0.43322913474712527</v>
      </c>
      <c r="AT137" s="7">
        <v>0.32011791081157398</v>
      </c>
      <c r="AU137" s="7">
        <v>0.47185602651973585</v>
      </c>
      <c r="AV137" s="7" t="e">
        <v>#N/A</v>
      </c>
    </row>
    <row r="138" spans="37:48" x14ac:dyDescent="0.25">
      <c r="AK138" t="str">
        <v>buick century luxus (sw)</v>
      </c>
      <c r="AL138" s="7">
        <v>13</v>
      </c>
      <c r="AM138" s="7">
        <v>14.671198783923874</v>
      </c>
      <c r="AN138" s="7">
        <v>-1.6711987839238738</v>
      </c>
      <c r="AO138" s="7">
        <v>8.2076576737747202E-3</v>
      </c>
      <c r="AP138" s="7">
        <v>-0.36611314488026792</v>
      </c>
      <c r="AQ138" s="7">
        <v>3.6974973641958064E-4</v>
      </c>
      <c r="AR138" s="7">
        <v>-0.42488793897993393</v>
      </c>
      <c r="AS138" s="7">
        <v>-0.42736493796348551</v>
      </c>
      <c r="AT138" s="7">
        <v>0.60507284262332239</v>
      </c>
      <c r="AU138" s="7">
        <v>-1.685028924506633</v>
      </c>
      <c r="AV138" s="7" t="e">
        <v>#N/A</v>
      </c>
    </row>
    <row r="139" spans="37:48" x14ac:dyDescent="0.25">
      <c r="AK139" t="str">
        <v>dodge coronet custom (sw)</v>
      </c>
      <c r="AL139" s="7">
        <v>14</v>
      </c>
      <c r="AM139" s="7">
        <v>14.671198783923874</v>
      </c>
      <c r="AN139" s="7">
        <v>-0.67119878392387378</v>
      </c>
      <c r="AO139" s="7">
        <v>8.2076576737747202E-3</v>
      </c>
      <c r="AP139" s="7">
        <v>-0.14704097441072247</v>
      </c>
      <c r="AQ139" s="7">
        <v>5.9642243722642094E-5</v>
      </c>
      <c r="AR139" s="7">
        <v>-0.42488793897993393</v>
      </c>
      <c r="AS139" s="7">
        <v>-0.41225454707923942</v>
      </c>
      <c r="AT139" s="7">
        <v>0.38345922131397814</v>
      </c>
      <c r="AU139" s="7">
        <v>-0.67675334369853379</v>
      </c>
      <c r="AV139" s="7" t="e">
        <v>#N/A</v>
      </c>
    </row>
    <row r="140" spans="37:48" x14ac:dyDescent="0.25">
      <c r="AK140" t="str">
        <v>ford gran torino (sw)</v>
      </c>
      <c r="AL140" s="7">
        <v>14</v>
      </c>
      <c r="AM140" s="7">
        <v>15.532442296906334</v>
      </c>
      <c r="AN140" s="7">
        <v>-1.5324422969063338</v>
      </c>
      <c r="AO140" s="7">
        <v>9.1093960540734702E-3</v>
      </c>
      <c r="AP140" s="7">
        <v>-0.33586818063134366</v>
      </c>
      <c r="AQ140" s="7">
        <v>3.4568484720926809E-4</v>
      </c>
      <c r="AR140" s="7">
        <v>-0.42488793897993393</v>
      </c>
      <c r="AS140" s="7">
        <v>-0.39656907756226206</v>
      </c>
      <c r="AT140" s="7">
        <v>0.57954135368526005</v>
      </c>
      <c r="AU140" s="7">
        <v>-1.5465302534950267</v>
      </c>
      <c r="AV140" s="7" t="e">
        <v>#N/A</v>
      </c>
    </row>
    <row r="141" spans="37:48" x14ac:dyDescent="0.25">
      <c r="AK141" t="str">
        <v>amc matador (sw)</v>
      </c>
      <c r="AL141" s="7">
        <v>14</v>
      </c>
      <c r="AM141" s="7">
        <v>14.671198783923874</v>
      </c>
      <c r="AN141" s="7">
        <v>-0.67119878392387378</v>
      </c>
      <c r="AO141" s="7">
        <v>8.2076576737747202E-3</v>
      </c>
      <c r="AP141" s="7">
        <v>-0.14704097441072247</v>
      </c>
      <c r="AQ141" s="7">
        <v>5.9642243722642094E-5</v>
      </c>
      <c r="AR141" s="7">
        <v>-0.42488793897993393</v>
      </c>
      <c r="AS141" s="7">
        <v>-0.39392179191486232</v>
      </c>
      <c r="AT141" s="7">
        <v>0.38345922131397814</v>
      </c>
      <c r="AU141" s="7">
        <v>-0.67675334369853379</v>
      </c>
      <c r="AV141" s="7" t="e">
        <v>#N/A</v>
      </c>
    </row>
    <row r="142" spans="37:48" x14ac:dyDescent="0.25">
      <c r="AK142" t="str">
        <v>audi fox</v>
      </c>
      <c r="AL142" s="7">
        <v>29</v>
      </c>
      <c r="AM142" s="7">
        <v>28.120814497417957</v>
      </c>
      <c r="AN142" s="7">
        <v>0.8791855025820432</v>
      </c>
      <c r="AO142" s="7">
        <v>4.7097603072702486E-3</v>
      </c>
      <c r="AP142" s="7">
        <v>0.19226632799068005</v>
      </c>
      <c r="AQ142" s="7">
        <v>5.8308822235538233E-5</v>
      </c>
      <c r="AR142" s="7">
        <v>-0.42488793897993393</v>
      </c>
      <c r="AS142" s="7">
        <v>-0.39259596712187428</v>
      </c>
      <c r="AT142" s="7">
        <v>0.43848184453940625</v>
      </c>
      <c r="AU142" s="7">
        <v>0.88334584980303743</v>
      </c>
      <c r="AV142" s="7" t="e">
        <v>#N/A</v>
      </c>
    </row>
    <row r="143" spans="37:48" x14ac:dyDescent="0.25">
      <c r="AK143" t="str">
        <v>volkswagen dasher</v>
      </c>
      <c r="AL143" s="7">
        <v>26</v>
      </c>
      <c r="AM143" s="7">
        <v>29.498804118189895</v>
      </c>
      <c r="AN143" s="7">
        <v>-3.498804118189895</v>
      </c>
      <c r="AO143" s="7">
        <v>4.9904016403792923E-3</v>
      </c>
      <c r="AP143" s="7">
        <v>-0.76525042661573339</v>
      </c>
      <c r="AQ143" s="7">
        <v>9.7902579825934655E-4</v>
      </c>
      <c r="AR143" s="7">
        <v>-0.42488793897993393</v>
      </c>
      <c r="AS143" s="7">
        <v>-0.39225018124211614</v>
      </c>
      <c r="AT143" s="7">
        <v>0.87478593188032772</v>
      </c>
      <c r="AU143" s="7">
        <v>-3.5163521276156997</v>
      </c>
      <c r="AV143" s="7" t="e">
        <v>#N/A</v>
      </c>
    </row>
    <row r="144" spans="37:48" x14ac:dyDescent="0.25">
      <c r="AK144" t="str">
        <v>opel manta</v>
      </c>
      <c r="AL144" s="7">
        <v>26</v>
      </c>
      <c r="AM144" s="7">
        <v>28.551436253909188</v>
      </c>
      <c r="AN144" s="7">
        <v>-2.5514362539091877</v>
      </c>
      <c r="AO144" s="7">
        <v>4.4693678232826531E-3</v>
      </c>
      <c r="AP144" s="7">
        <v>-0.55789824447052005</v>
      </c>
      <c r="AQ144" s="7">
        <v>4.657793229523524E-4</v>
      </c>
      <c r="AR144" s="7">
        <v>-0.42488793897993393</v>
      </c>
      <c r="AS144" s="7">
        <v>-0.39040093538271747</v>
      </c>
      <c r="AT144" s="7">
        <v>0.74692586276719597</v>
      </c>
      <c r="AU144" s="7">
        <v>-2.5628907553858982</v>
      </c>
      <c r="AV144" s="7" t="e">
        <v>#N/A</v>
      </c>
    </row>
    <row r="145" spans="37:48" x14ac:dyDescent="0.25">
      <c r="AK145" t="str">
        <v>toyota corona</v>
      </c>
      <c r="AL145" s="7">
        <v>31</v>
      </c>
      <c r="AM145" s="7">
        <v>30.790669387663584</v>
      </c>
      <c r="AN145" s="7">
        <v>0.20933061233641581</v>
      </c>
      <c r="AO145" s="7">
        <v>8.0273792314715757E-3</v>
      </c>
      <c r="AP145" s="7">
        <v>4.5854344299489626E-2</v>
      </c>
      <c r="AQ145" s="7">
        <v>5.6717073703398107E-6</v>
      </c>
      <c r="AR145" s="7">
        <v>-0.42488793897993393</v>
      </c>
      <c r="AS145" s="7">
        <v>-0.38568003244594273</v>
      </c>
      <c r="AT145" s="7">
        <v>0.2141362750668126</v>
      </c>
      <c r="AU145" s="7">
        <v>0.21102458672119137</v>
      </c>
      <c r="AV145" s="7" t="e">
        <v>#N/A</v>
      </c>
    </row>
    <row r="146" spans="37:48" x14ac:dyDescent="0.25">
      <c r="AK146" t="str">
        <v>datsun 710</v>
      </c>
      <c r="AL146" s="7">
        <v>32</v>
      </c>
      <c r="AM146" s="7">
        <v>30.015550225979371</v>
      </c>
      <c r="AN146" s="7">
        <v>1.9844497740206286</v>
      </c>
      <c r="AO146" s="7">
        <v>5.8830651016971991E-3</v>
      </c>
      <c r="AP146" s="7">
        <v>0.43422913739196117</v>
      </c>
      <c r="AQ146" s="7">
        <v>3.719485339020649E-4</v>
      </c>
      <c r="AR146" s="7">
        <v>-0.34227644932452284</v>
      </c>
      <c r="AS146" s="7">
        <v>-0.36611314488026792</v>
      </c>
      <c r="AT146" s="7">
        <v>0.65896064935014231</v>
      </c>
      <c r="AU146" s="7">
        <v>1.996193510397885</v>
      </c>
      <c r="AV146" s="7" t="e">
        <v>#N/A</v>
      </c>
    </row>
    <row r="147" spans="37:48" x14ac:dyDescent="0.25">
      <c r="AK147" t="str">
        <v>dodge colt</v>
      </c>
      <c r="AL147" s="7">
        <v>28</v>
      </c>
      <c r="AM147" s="7">
        <v>28.809809307803924</v>
      </c>
      <c r="AN147" s="7">
        <v>-0.80980930780392413</v>
      </c>
      <c r="AO147" s="7">
        <v>4.4683001440540973E-3</v>
      </c>
      <c r="AP147" s="7">
        <v>-0.17707318700236546</v>
      </c>
      <c r="AQ147" s="7">
        <v>4.6910665853454279E-5</v>
      </c>
      <c r="AR147" s="7">
        <v>-0.3355040396155593</v>
      </c>
      <c r="AS147" s="7">
        <v>-0.36611314488026792</v>
      </c>
      <c r="AT147" s="7">
        <v>0.42080064995478023</v>
      </c>
      <c r="AU147" s="7">
        <v>-0.81344401983493253</v>
      </c>
      <c r="AV147" s="7" t="e">
        <v>#N/A</v>
      </c>
    </row>
    <row r="148" spans="37:48" x14ac:dyDescent="0.25">
      <c r="AK148" t="str">
        <v>fiat 128</v>
      </c>
      <c r="AL148" s="7">
        <v>24</v>
      </c>
      <c r="AM148" s="7">
        <v>28.809809307803924</v>
      </c>
      <c r="AN148" s="7">
        <v>-4.8098093078039241</v>
      </c>
      <c r="AO148" s="7">
        <v>4.4683001440540973E-3</v>
      </c>
      <c r="AP148" s="7">
        <v>-1.0517145886062083</v>
      </c>
      <c r="AQ148" s="7">
        <v>1.6548620093130018E-3</v>
      </c>
      <c r="AR148" s="7">
        <v>-0.3355040396155593</v>
      </c>
      <c r="AS148" s="7">
        <v>-0.36611314488026792</v>
      </c>
      <c r="AT148" s="7">
        <v>1.0255313689040468</v>
      </c>
      <c r="AU148" s="7">
        <v>-4.8313974416886039</v>
      </c>
      <c r="AV148" s="7" t="e">
        <v>#N/A</v>
      </c>
    </row>
    <row r="149" spans="37:48" x14ac:dyDescent="0.25">
      <c r="AK149" t="str">
        <v>fiat 124 tc</v>
      </c>
      <c r="AL149" s="7">
        <v>26</v>
      </c>
      <c r="AM149" s="7">
        <v>28.809809307803924</v>
      </c>
      <c r="AN149" s="7">
        <v>-2.8098093078039241</v>
      </c>
      <c r="AO149" s="7">
        <v>4.4683001440540973E-3</v>
      </c>
      <c r="AP149" s="7">
        <v>-0.61439388780428683</v>
      </c>
      <c r="AQ149" s="7">
        <v>5.647545814185575E-4</v>
      </c>
      <c r="AR149" s="7">
        <v>-0.3355040396155593</v>
      </c>
      <c r="AS149" s="7">
        <v>-0.36611314488026792</v>
      </c>
      <c r="AT149" s="7">
        <v>0.78383281878490318</v>
      </c>
      <c r="AU149" s="7">
        <v>-2.8224207307617681</v>
      </c>
      <c r="AV149" s="7" t="e">
        <v>#N/A</v>
      </c>
    </row>
    <row r="150" spans="37:48" x14ac:dyDescent="0.25">
      <c r="AK150" t="str">
        <v>honda civic</v>
      </c>
      <c r="AL150" s="7">
        <v>24</v>
      </c>
      <c r="AM150" s="7">
        <v>26.915073579242513</v>
      </c>
      <c r="AN150" s="7">
        <v>-2.9150735792425131</v>
      </c>
      <c r="AO150" s="7">
        <v>6.9696358361698695E-3</v>
      </c>
      <c r="AP150" s="7">
        <v>-0.63821328995704207</v>
      </c>
      <c r="AQ150" s="7">
        <v>9.5292339853806697E-4</v>
      </c>
      <c r="AR150" s="7">
        <v>-0.31527742954587812</v>
      </c>
      <c r="AS150" s="7">
        <v>-0.33822457263818001</v>
      </c>
      <c r="AT150" s="7">
        <v>0.79888252575522145</v>
      </c>
      <c r="AU150" s="7">
        <v>-2.9355331764674863</v>
      </c>
      <c r="AV150" s="7" t="e">
        <v>#N/A</v>
      </c>
    </row>
    <row r="151" spans="37:48" x14ac:dyDescent="0.25">
      <c r="AK151" t="str">
        <v>subaru</v>
      </c>
      <c r="AL151" s="7">
        <v>26</v>
      </c>
      <c r="AM151" s="7">
        <v>27.259570984435499</v>
      </c>
      <c r="AN151" s="7">
        <v>-1.2595709844354985</v>
      </c>
      <c r="AO151" s="7">
        <v>6.0853440950204615E-3</v>
      </c>
      <c r="AP151" s="7">
        <v>-0.27564218684348796</v>
      </c>
      <c r="AQ151" s="7">
        <v>1.5506227971474616E-4</v>
      </c>
      <c r="AR151" s="7">
        <v>-0.31527742954587812</v>
      </c>
      <c r="AS151" s="7">
        <v>-0.33586818063134366</v>
      </c>
      <c r="AT151" s="7">
        <v>0.52501636816721053</v>
      </c>
      <c r="AU151" s="7">
        <v>-1.2672828365616899</v>
      </c>
      <c r="AV151" s="7" t="e">
        <v>#N/A</v>
      </c>
    </row>
    <row r="152" spans="37:48" x14ac:dyDescent="0.25">
      <c r="AK152" t="str">
        <v>fiat x1.9</v>
      </c>
      <c r="AL152" s="7">
        <v>31</v>
      </c>
      <c r="AM152" s="7">
        <v>29.498804118189895</v>
      </c>
      <c r="AN152" s="7">
        <v>1.501195881810105</v>
      </c>
      <c r="AO152" s="7">
        <v>4.9904016403792923E-3</v>
      </c>
      <c r="AP152" s="7">
        <v>0.32833812645198651</v>
      </c>
      <c r="AQ152" s="7">
        <v>1.8023104743808351E-4</v>
      </c>
      <c r="AR152" s="7">
        <v>-0.30186483701074074</v>
      </c>
      <c r="AS152" s="7">
        <v>-0.33209420926691235</v>
      </c>
      <c r="AT152" s="7">
        <v>0.5730079636898483</v>
      </c>
      <c r="AU152" s="7">
        <v>1.5087250256530051</v>
      </c>
      <c r="AV152" s="7" t="e">
        <v>#N/A</v>
      </c>
    </row>
    <row r="153" spans="37:48" x14ac:dyDescent="0.25">
      <c r="AK153" t="str">
        <v>plymouth valiant custom</v>
      </c>
      <c r="AL153" s="7">
        <v>19</v>
      </c>
      <c r="AM153" s="7">
        <v>23.247680193583207</v>
      </c>
      <c r="AN153" s="7">
        <v>-4.2476801935832071</v>
      </c>
      <c r="AO153" s="7">
        <v>5.0677331783451334E-3</v>
      </c>
      <c r="AP153" s="7">
        <v>-0.92907899178628706</v>
      </c>
      <c r="AQ153" s="7">
        <v>1.4655621835242465E-3</v>
      </c>
      <c r="AR153" s="7">
        <v>-0.29517900048864582</v>
      </c>
      <c r="AS153" s="7">
        <v>-0.32862608274858007</v>
      </c>
      <c r="AT153" s="7">
        <v>0.96388743730079141</v>
      </c>
      <c r="AU153" s="7">
        <v>-4.2693159476600018</v>
      </c>
      <c r="AV153" s="7" t="e">
        <v>#N/A</v>
      </c>
    </row>
    <row r="154" spans="37:48" x14ac:dyDescent="0.25">
      <c r="AK154" t="str">
        <v>chevrolet nova</v>
      </c>
      <c r="AL154" s="7">
        <v>18</v>
      </c>
      <c r="AM154" s="7">
        <v>22.386436680600745</v>
      </c>
      <c r="AN154" s="7">
        <v>-4.3864366806007453</v>
      </c>
      <c r="AO154" s="7">
        <v>3.3360984785658094E-3</v>
      </c>
      <c r="AP154" s="7">
        <v>-0.95859483949228097</v>
      </c>
      <c r="AQ154" s="7">
        <v>1.0252718938503491E-3</v>
      </c>
      <c r="AR154" s="7">
        <v>-0.28850633275119353</v>
      </c>
      <c r="AS154" s="7">
        <v>-0.31376112138228479</v>
      </c>
      <c r="AT154" s="7">
        <v>0.97907856655749592</v>
      </c>
      <c r="AU154" s="7">
        <v>-4.4011192478274097</v>
      </c>
      <c r="AV154" s="7" t="e">
        <v>#N/A</v>
      </c>
    </row>
    <row r="155" spans="37:48" x14ac:dyDescent="0.25">
      <c r="AK155" t="str">
        <v>mercury monarch</v>
      </c>
      <c r="AL155" s="7">
        <v>15</v>
      </c>
      <c r="AM155" s="7">
        <v>25.228540273442864</v>
      </c>
      <c r="AN155" s="7">
        <v>-10.228540273442864</v>
      </c>
      <c r="AO155" s="7">
        <v>1.3578175015899155E-2</v>
      </c>
      <c r="AP155" s="7">
        <v>-2.2468801609092361</v>
      </c>
      <c r="AQ155" s="7">
        <v>2.316419936452873E-2</v>
      </c>
      <c r="AR155" s="7">
        <v>-0.28850633275119353</v>
      </c>
      <c r="AS155" s="7">
        <v>-0.30578005752312881</v>
      </c>
      <c r="AT155" s="7">
        <v>1.4989596928901177</v>
      </c>
      <c r="AU155" s="7">
        <v>-10.36933694528477</v>
      </c>
      <c r="AV155" s="7">
        <v>2.316419936452873E-2</v>
      </c>
    </row>
    <row r="156" spans="37:48" x14ac:dyDescent="0.25">
      <c r="AK156" t="str">
        <v>ford maverick</v>
      </c>
      <c r="AL156" s="7">
        <v>15</v>
      </c>
      <c r="AM156" s="7">
        <v>25.228540273442864</v>
      </c>
      <c r="AN156" s="7">
        <v>-10.228540273442864</v>
      </c>
      <c r="AO156" s="7">
        <v>1.3578175015899155E-2</v>
      </c>
      <c r="AP156" s="7">
        <v>-2.2468801609092361</v>
      </c>
      <c r="AQ156" s="7">
        <v>2.316419936452873E-2</v>
      </c>
      <c r="AR156" s="7">
        <v>-0.28850633275119353</v>
      </c>
      <c r="AS156" s="7">
        <v>-0.29623235345276833</v>
      </c>
      <c r="AT156" s="7">
        <v>1.4989596928901177</v>
      </c>
      <c r="AU156" s="7">
        <v>-10.36933694528477</v>
      </c>
      <c r="AV156" s="7">
        <v>2.316419936452873E-2</v>
      </c>
    </row>
    <row r="157" spans="37:48" x14ac:dyDescent="0.25">
      <c r="AK157" t="str">
        <v>pontiac catalina</v>
      </c>
      <c r="AL157" s="7">
        <v>16</v>
      </c>
      <c r="AM157" s="7">
        <v>12.948711757958954</v>
      </c>
      <c r="AN157" s="7">
        <v>3.0512882420410463</v>
      </c>
      <c r="AO157" s="7">
        <v>9.9833761922772327E-3</v>
      </c>
      <c r="AP157" s="7">
        <v>0.66905154573994441</v>
      </c>
      <c r="AQ157" s="7">
        <v>1.5046408604116324E-3</v>
      </c>
      <c r="AR157" s="7">
        <v>-0.28850633275119353</v>
      </c>
      <c r="AS157" s="7">
        <v>-0.29446115240664739</v>
      </c>
      <c r="AT157" s="7">
        <v>0.81795571135602718</v>
      </c>
      <c r="AU157" s="7">
        <v>3.0820575823317244</v>
      </c>
      <c r="AV157" s="7" t="e">
        <v>#N/A</v>
      </c>
    </row>
    <row r="158" spans="37:48" x14ac:dyDescent="0.25">
      <c r="AK158" t="str">
        <v>chevrolet bel air</v>
      </c>
      <c r="AL158" s="7">
        <v>15</v>
      </c>
      <c r="AM158" s="7">
        <v>15.101820540415105</v>
      </c>
      <c r="AN158" s="7">
        <v>-0.10182054041510469</v>
      </c>
      <c r="AO158" s="7">
        <v>8.5093937272949383E-3</v>
      </c>
      <c r="AP158" s="7">
        <v>-2.2309440680360997E-2</v>
      </c>
      <c r="AQ158" s="7">
        <v>1.4238561802666164E-6</v>
      </c>
      <c r="AR158" s="7">
        <v>-0.28850633275119353</v>
      </c>
      <c r="AS158" s="7">
        <v>-0.28818348187427234</v>
      </c>
      <c r="AT158" s="7">
        <v>0.14936345162174378</v>
      </c>
      <c r="AU158" s="7">
        <v>-0.10269440756264654</v>
      </c>
      <c r="AV158" s="7" t="e">
        <v>#N/A</v>
      </c>
    </row>
    <row r="159" spans="37:48" x14ac:dyDescent="0.25">
      <c r="AK159" t="str">
        <v>plymouth grand fury</v>
      </c>
      <c r="AL159" s="7">
        <v>16</v>
      </c>
      <c r="AM159" s="7">
        <v>14.671198783923874</v>
      </c>
      <c r="AN159" s="7">
        <v>1.3288012160761262</v>
      </c>
      <c r="AO159" s="7">
        <v>8.2076576737747202E-3</v>
      </c>
      <c r="AP159" s="7">
        <v>0.29110336652836843</v>
      </c>
      <c r="AQ159" s="7">
        <v>2.3376080004740575E-4</v>
      </c>
      <c r="AR159" s="7">
        <v>-0.28850633275119353</v>
      </c>
      <c r="AS159" s="7">
        <v>-0.28222459695894675</v>
      </c>
      <c r="AT159" s="7">
        <v>0.53953995823142553</v>
      </c>
      <c r="AU159" s="7">
        <v>1.3397978179176648</v>
      </c>
      <c r="AV159" s="7" t="e">
        <v>#N/A</v>
      </c>
    </row>
    <row r="160" spans="37:48" x14ac:dyDescent="0.25">
      <c r="AK160" t="str">
        <v>ford ltd</v>
      </c>
      <c r="AL160" s="7">
        <v>14</v>
      </c>
      <c r="AM160" s="7">
        <v>14.843447486520366</v>
      </c>
      <c r="AN160" s="7">
        <v>-0.8434474865203665</v>
      </c>
      <c r="AO160" s="7">
        <v>8.2925601423917954E-3</v>
      </c>
      <c r="AP160" s="7">
        <v>-0.18478378093408979</v>
      </c>
      <c r="AQ160" s="7">
        <v>9.5172505391953103E-5</v>
      </c>
      <c r="AR160" s="7">
        <v>-0.28850633275119353</v>
      </c>
      <c r="AS160" s="7">
        <v>-0.27564218684348796</v>
      </c>
      <c r="AT160" s="7">
        <v>0.4298648403092416</v>
      </c>
      <c r="AU160" s="7">
        <v>-0.85050031150464167</v>
      </c>
      <c r="AV160" s="7" t="e">
        <v>#N/A</v>
      </c>
    </row>
    <row r="161" spans="37:48" x14ac:dyDescent="0.25">
      <c r="AK161" t="str">
        <v>buick century</v>
      </c>
      <c r="AL161" s="7">
        <v>17</v>
      </c>
      <c r="AM161" s="7">
        <v>21.955814924109514</v>
      </c>
      <c r="AN161" s="7">
        <v>-4.9558149241095144</v>
      </c>
      <c r="AO161" s="7">
        <v>2.917680538563657E-3</v>
      </c>
      <c r="AP161" s="7">
        <v>-1.0827972845995413</v>
      </c>
      <c r="AQ161" s="7">
        <v>1.1436148459056255E-3</v>
      </c>
      <c r="AR161" s="7">
        <v>-0.28850633275119353</v>
      </c>
      <c r="AS161" s="7">
        <v>-0.27290036054907113</v>
      </c>
      <c r="AT161" s="7">
        <v>1.0405754583880698</v>
      </c>
      <c r="AU161" s="7">
        <v>-4.9703167204753429</v>
      </c>
      <c r="AV161" s="7" t="e">
        <v>#N/A</v>
      </c>
    </row>
    <row r="162" spans="37:48" x14ac:dyDescent="0.25">
      <c r="AK162" t="str">
        <v>chevroelt chevelle malibu</v>
      </c>
      <c r="AL162" s="7">
        <v>16</v>
      </c>
      <c r="AM162" s="7">
        <v>22.386436680600745</v>
      </c>
      <c r="AN162" s="7">
        <v>-6.3864366806007453</v>
      </c>
      <c r="AO162" s="7">
        <v>3.3360984785658094E-3</v>
      </c>
      <c r="AP162" s="7">
        <v>-1.3956670734227141</v>
      </c>
      <c r="AQ162" s="7">
        <v>2.1733643760585776E-3</v>
      </c>
      <c r="AR162" s="7">
        <v>-0.28850633275119353</v>
      </c>
      <c r="AS162" s="7">
        <v>-0.27177542663229604</v>
      </c>
      <c r="AT162" s="7">
        <v>1.1813835420483536</v>
      </c>
      <c r="AU162" s="7">
        <v>-6.4078137783977915</v>
      </c>
      <c r="AV162" s="7" t="e">
        <v>#N/A</v>
      </c>
    </row>
    <row r="163" spans="37:48" x14ac:dyDescent="0.25">
      <c r="AK163" t="str">
        <v>amc matador</v>
      </c>
      <c r="AL163" s="7">
        <v>15</v>
      </c>
      <c r="AM163" s="7">
        <v>21.955814924109514</v>
      </c>
      <c r="AN163" s="7">
        <v>-6.9558149241095144</v>
      </c>
      <c r="AO163" s="7">
        <v>2.917680538563657E-3</v>
      </c>
      <c r="AP163" s="7">
        <v>-1.5197778019033039</v>
      </c>
      <c r="AQ163" s="7">
        <v>2.2529194388815677E-3</v>
      </c>
      <c r="AR163" s="7">
        <v>-0.22898889026089997</v>
      </c>
      <c r="AS163" s="7">
        <v>-0.26531688637162615</v>
      </c>
      <c r="AT163" s="7">
        <v>1.2327926840727534</v>
      </c>
      <c r="AU163" s="7">
        <v>-6.9761691570928921</v>
      </c>
      <c r="AV163" s="7" t="e">
        <v>#N/A</v>
      </c>
    </row>
    <row r="164" spans="37:48" x14ac:dyDescent="0.25">
      <c r="AK164" t="str">
        <v>plymouth fury</v>
      </c>
      <c r="AL164" s="7">
        <v>18</v>
      </c>
      <c r="AM164" s="7">
        <v>23.247680193583207</v>
      </c>
      <c r="AN164" s="7">
        <v>-5.2476801935832071</v>
      </c>
      <c r="AO164" s="7">
        <v>5.0677331783451334E-3</v>
      </c>
      <c r="AP164" s="7">
        <v>-1.1478052021986924</v>
      </c>
      <c r="AQ164" s="7">
        <v>2.2368422014933248E-3</v>
      </c>
      <c r="AR164" s="7">
        <v>-0.22898889026089997</v>
      </c>
      <c r="AS164" s="7">
        <v>-0.26459949626391299</v>
      </c>
      <c r="AT164" s="7">
        <v>1.0713567109971787</v>
      </c>
      <c r="AU164" s="7">
        <v>-5.2744094935699497</v>
      </c>
      <c r="AV164" s="7" t="e">
        <v>#N/A</v>
      </c>
    </row>
    <row r="165" spans="37:48" x14ac:dyDescent="0.25">
      <c r="AK165" t="str">
        <v>buick skyhawk</v>
      </c>
      <c r="AL165" s="7">
        <v>21</v>
      </c>
      <c r="AM165" s="7">
        <v>21.955814924109514</v>
      </c>
      <c r="AN165" s="7">
        <v>-0.95581492410951441</v>
      </c>
      <c r="AO165" s="7">
        <v>2.917680538563657E-3</v>
      </c>
      <c r="AP165" s="7">
        <v>-0.20883624999201611</v>
      </c>
      <c r="AQ165" s="7">
        <v>4.2539976023981011E-5</v>
      </c>
      <c r="AR165" s="7">
        <v>-0.22898889026089997</v>
      </c>
      <c r="AS165" s="7">
        <v>-0.25789577551081128</v>
      </c>
      <c r="AT165" s="7">
        <v>0.45698605010658272</v>
      </c>
      <c r="AU165" s="7">
        <v>-0.95861184724024384</v>
      </c>
      <c r="AV165" s="7" t="e">
        <v>#N/A</v>
      </c>
    </row>
    <row r="166" spans="37:48" x14ac:dyDescent="0.25">
      <c r="AK166" t="str">
        <v>chevrolet monza 2+2</v>
      </c>
      <c r="AL166" s="7">
        <v>20</v>
      </c>
      <c r="AM166" s="7">
        <v>18.116172835853714</v>
      </c>
      <c r="AN166" s="7">
        <v>1.883827164146286</v>
      </c>
      <c r="AO166" s="7">
        <v>1.8973001753169925E-2</v>
      </c>
      <c r="AP166" s="7">
        <v>0.41495228618534152</v>
      </c>
      <c r="AQ166" s="7">
        <v>1.1100183441474852E-3</v>
      </c>
      <c r="AR166" s="7">
        <v>-0.22898889026089997</v>
      </c>
      <c r="AS166" s="7">
        <v>-0.24586038402592467</v>
      </c>
      <c r="AT166" s="7">
        <v>0.64416790216941233</v>
      </c>
      <c r="AU166" s="7">
        <v>1.9202602655307435</v>
      </c>
      <c r="AV166" s="7" t="e">
        <v>#N/A</v>
      </c>
    </row>
    <row r="167" spans="37:48" x14ac:dyDescent="0.25">
      <c r="AK167" t="str">
        <v>ford mustang ii</v>
      </c>
      <c r="AL167" s="7">
        <v>13</v>
      </c>
      <c r="AM167" s="7">
        <v>16.479810161187039</v>
      </c>
      <c r="AN167" s="7">
        <v>-3.4798101611870393</v>
      </c>
      <c r="AO167" s="7">
        <v>1.1479298454855659E-2</v>
      </c>
      <c r="AP167" s="7">
        <v>-0.76359003832862615</v>
      </c>
      <c r="AQ167" s="7">
        <v>2.2569858277979855E-3</v>
      </c>
      <c r="AR167" s="7">
        <v>-0.20280722023220576</v>
      </c>
      <c r="AS167" s="7">
        <v>-0.24510741719966056</v>
      </c>
      <c r="AT167" s="7">
        <v>0.87383639105305411</v>
      </c>
      <c r="AU167" s="7">
        <v>-3.5202198150709352</v>
      </c>
      <c r="AV167" s="7" t="e">
        <v>#N/A</v>
      </c>
    </row>
    <row r="168" spans="37:48" x14ac:dyDescent="0.25">
      <c r="AK168" t="str">
        <v>toyota corolla</v>
      </c>
      <c r="AL168" s="7">
        <v>29</v>
      </c>
      <c r="AM168" s="7">
        <v>28.809809307803924</v>
      </c>
      <c r="AN168" s="7">
        <v>0.19019069219607587</v>
      </c>
      <c r="AO168" s="7">
        <v>4.4683001440540973E-3</v>
      </c>
      <c r="AP168" s="7">
        <v>4.1587163398595209E-2</v>
      </c>
      <c r="AQ168" s="7">
        <v>2.5875251944054132E-6</v>
      </c>
      <c r="AR168" s="7">
        <v>-0.1962841646325432</v>
      </c>
      <c r="AS168" s="7">
        <v>-0.23877067532347371</v>
      </c>
      <c r="AT168" s="7">
        <v>0.2039293098075782</v>
      </c>
      <c r="AU168" s="7">
        <v>0.19104433562848536</v>
      </c>
      <c r="AV168" s="7" t="e">
        <v>#N/A</v>
      </c>
    </row>
    <row r="169" spans="37:48" x14ac:dyDescent="0.25">
      <c r="AK169" t="str">
        <v>ford pinto</v>
      </c>
      <c r="AL169" s="7">
        <v>23</v>
      </c>
      <c r="AM169" s="7">
        <v>28.120814497417957</v>
      </c>
      <c r="AN169" s="7">
        <v>-5.1208144974179568</v>
      </c>
      <c r="AO169" s="7">
        <v>4.7097603072702486E-3</v>
      </c>
      <c r="AP169" s="7">
        <v>-1.1198549075803419</v>
      </c>
      <c r="AQ169" s="7">
        <v>1.9781140173576188E-3</v>
      </c>
      <c r="AR169" s="7">
        <v>-0.1962841646325432</v>
      </c>
      <c r="AS169" s="7">
        <v>-0.23517284937736221</v>
      </c>
      <c r="AT169" s="7">
        <v>1.0582319724806759</v>
      </c>
      <c r="AU169" s="7">
        <v>-5.1450464328866286</v>
      </c>
      <c r="AV169" s="7" t="e">
        <v>#N/A</v>
      </c>
    </row>
    <row r="170" spans="37:48" x14ac:dyDescent="0.25">
      <c r="AK170" t="str">
        <v>amc gremlin</v>
      </c>
      <c r="AL170" s="7">
        <v>20</v>
      </c>
      <c r="AM170" s="7">
        <v>22.817058437091976</v>
      </c>
      <c r="AN170" s="7">
        <v>-2.8170584370919762</v>
      </c>
      <c r="AO170" s="7">
        <v>4.052782691826292E-3</v>
      </c>
      <c r="AP170" s="7">
        <v>-0.61585047577466279</v>
      </c>
      <c r="AQ170" s="7">
        <v>5.1445370943420648E-4</v>
      </c>
      <c r="AR170" s="7">
        <v>-0.1962841646325432</v>
      </c>
      <c r="AS170" s="7">
        <v>-0.21518848608563401</v>
      </c>
      <c r="AT170" s="7">
        <v>0.78476141328091742</v>
      </c>
      <c r="AU170" s="7">
        <v>-2.8285218213730903</v>
      </c>
      <c r="AV170" s="7" t="e">
        <v>#N/A</v>
      </c>
    </row>
    <row r="171" spans="37:48" x14ac:dyDescent="0.25">
      <c r="AK171" t="str">
        <v>pontiac astro</v>
      </c>
      <c r="AL171" s="7">
        <v>23</v>
      </c>
      <c r="AM171" s="7">
        <v>28.551436253909188</v>
      </c>
      <c r="AN171" s="7">
        <v>-5.5514362539091877</v>
      </c>
      <c r="AO171" s="7">
        <v>4.4693678232826531E-3</v>
      </c>
      <c r="AP171" s="7">
        <v>-1.2138796474341278</v>
      </c>
      <c r="AQ171" s="7">
        <v>2.2050654031271909E-3</v>
      </c>
      <c r="AR171" s="7">
        <v>-0.17676385996282307</v>
      </c>
      <c r="AS171" s="7">
        <v>-0.21411609956673125</v>
      </c>
      <c r="AT171" s="7">
        <v>1.1017620648008026</v>
      </c>
      <c r="AU171" s="7">
        <v>-5.5763590536345733</v>
      </c>
      <c r="AV171" s="7" t="e">
        <v>#N/A</v>
      </c>
    </row>
    <row r="172" spans="37:48" x14ac:dyDescent="0.25">
      <c r="AK172" t="str">
        <v>toyota corona</v>
      </c>
      <c r="AL172" s="7">
        <v>24</v>
      </c>
      <c r="AM172" s="7">
        <v>27.001197930540762</v>
      </c>
      <c r="AN172" s="7">
        <v>-3.0011979305407621</v>
      </c>
      <c r="AO172" s="7">
        <v>6.7306669244870179E-3</v>
      </c>
      <c r="AP172" s="7">
        <v>-0.65698992744513074</v>
      </c>
      <c r="AQ172" s="7">
        <v>9.7496099281538229E-4</v>
      </c>
      <c r="AR172" s="7">
        <v>-0.17676385996282307</v>
      </c>
      <c r="AS172" s="7">
        <v>-0.20883624999201611</v>
      </c>
      <c r="AT172" s="7">
        <v>0.81054915177620834</v>
      </c>
      <c r="AU172" s="7">
        <v>-3.0215348753877183</v>
      </c>
      <c r="AV172" s="7" t="e">
        <v>#N/A</v>
      </c>
    </row>
    <row r="173" spans="37:48" x14ac:dyDescent="0.25">
      <c r="AK173" t="str">
        <v>volkswagen dasher</v>
      </c>
      <c r="AL173" s="7">
        <v>25</v>
      </c>
      <c r="AM173" s="7">
        <v>29.15430671299691</v>
      </c>
      <c r="AN173" s="7">
        <v>-4.1543067129969096</v>
      </c>
      <c r="AO173" s="7">
        <v>4.6339056847740255E-3</v>
      </c>
      <c r="AP173" s="7">
        <v>-0.90845772512271084</v>
      </c>
      <c r="AQ173" s="7">
        <v>1.2807151208521709E-3</v>
      </c>
      <c r="AR173" s="7">
        <v>-0.16378810102408645</v>
      </c>
      <c r="AS173" s="7">
        <v>-0.20154002715469738</v>
      </c>
      <c r="AT173" s="7">
        <v>0.95313048693382529</v>
      </c>
      <c r="AU173" s="7">
        <v>-4.1736469995543848</v>
      </c>
      <c r="AV173" s="7" t="e">
        <v>#N/A</v>
      </c>
    </row>
    <row r="174" spans="37:48" x14ac:dyDescent="0.25">
      <c r="AK174" t="str">
        <v>datsun 710</v>
      </c>
      <c r="AL174" s="7">
        <v>24</v>
      </c>
      <c r="AM174" s="7">
        <v>26.915073579242513</v>
      </c>
      <c r="AN174" s="7">
        <v>-2.9150735792425131</v>
      </c>
      <c r="AO174" s="7">
        <v>6.9696358361698695E-3</v>
      </c>
      <c r="AP174" s="7">
        <v>-0.63821328995704207</v>
      </c>
      <c r="AQ174" s="7">
        <v>9.5292339853806697E-4</v>
      </c>
      <c r="AR174" s="7">
        <v>-0.1573106846101707</v>
      </c>
      <c r="AS174" s="7">
        <v>-0.18863185902671509</v>
      </c>
      <c r="AT174" s="7">
        <v>0.79888252575522145</v>
      </c>
      <c r="AU174" s="7">
        <v>-2.9355331764674863</v>
      </c>
      <c r="AV174" s="7" t="e">
        <v>#N/A</v>
      </c>
    </row>
    <row r="175" spans="37:48" x14ac:dyDescent="0.25">
      <c r="AK175" t="str">
        <v>ford pinto</v>
      </c>
      <c r="AL175" s="7">
        <v>18</v>
      </c>
      <c r="AM175" s="7">
        <v>23.075431490986713</v>
      </c>
      <c r="AN175" s="7">
        <v>-5.0754314909867126</v>
      </c>
      <c r="AO175" s="7">
        <v>4.6259610309465887E-3</v>
      </c>
      <c r="AP175" s="7">
        <v>-1.1098835170428225</v>
      </c>
      <c r="AQ175" s="7">
        <v>1.9083112440223412E-3</v>
      </c>
      <c r="AR175" s="7">
        <v>-0.1573106846101707</v>
      </c>
      <c r="AS175" s="7">
        <v>-0.18478378093408979</v>
      </c>
      <c r="AT175" s="7">
        <v>1.053510093469836</v>
      </c>
      <c r="AU175" s="7">
        <v>-5.099019355822791</v>
      </c>
      <c r="AV175" s="7" t="e">
        <v>#N/A</v>
      </c>
    </row>
    <row r="176" spans="37:48" x14ac:dyDescent="0.25">
      <c r="AK176" t="str">
        <v>volkswagen rabbit</v>
      </c>
      <c r="AL176" s="7">
        <v>29</v>
      </c>
      <c r="AM176" s="7">
        <v>29.240431064295155</v>
      </c>
      <c r="AN176" s="7">
        <v>-0.24043106429515504</v>
      </c>
      <c r="AO176" s="7">
        <v>4.7051336972798391E-3</v>
      </c>
      <c r="AP176" s="7">
        <v>-5.2578995318760473E-2</v>
      </c>
      <c r="AQ176" s="7">
        <v>4.3563575398886093E-6</v>
      </c>
      <c r="AR176" s="7">
        <v>-0.1573106846101707</v>
      </c>
      <c r="AS176" s="7">
        <v>-0.1825434690281979</v>
      </c>
      <c r="AT176" s="7">
        <v>0.22930110186992228</v>
      </c>
      <c r="AU176" s="7">
        <v>-0.2415676724911667</v>
      </c>
      <c r="AV176" s="7" t="e">
        <v>#N/A</v>
      </c>
    </row>
    <row r="177" spans="37:48" x14ac:dyDescent="0.25">
      <c r="AK177" t="str">
        <v>amc pacer</v>
      </c>
      <c r="AL177" s="7">
        <v>19</v>
      </c>
      <c r="AM177" s="7">
        <v>23.678301950074435</v>
      </c>
      <c r="AN177" s="7">
        <v>-4.6783019500744345</v>
      </c>
      <c r="AO177" s="7">
        <v>6.3809499381223024E-3</v>
      </c>
      <c r="AP177" s="7">
        <v>-1.0239432340852617</v>
      </c>
      <c r="AQ177" s="7">
        <v>2.2443776465300644E-3</v>
      </c>
      <c r="AR177" s="7">
        <v>-0.1573106846101707</v>
      </c>
      <c r="AS177" s="7">
        <v>-0.17862101140444575</v>
      </c>
      <c r="AT177" s="7">
        <v>1.0119008024926464</v>
      </c>
      <c r="AU177" s="7">
        <v>-4.7083456680737887</v>
      </c>
      <c r="AV177" s="7" t="e">
        <v>#N/A</v>
      </c>
    </row>
    <row r="178" spans="37:48" x14ac:dyDescent="0.25">
      <c r="AK178" t="str">
        <v>audi 100ls</v>
      </c>
      <c r="AL178" s="7">
        <v>23</v>
      </c>
      <c r="AM178" s="7">
        <v>27.087322281839008</v>
      </c>
      <c r="AN178" s="7">
        <v>-4.0873222818390076</v>
      </c>
      <c r="AO178" s="7">
        <v>6.5036286637345023E-3</v>
      </c>
      <c r="AP178" s="7">
        <v>-0.89465033036900343</v>
      </c>
      <c r="AQ178" s="7">
        <v>1.7465251739131641E-3</v>
      </c>
      <c r="AR178" s="7">
        <v>-0.1573106846101707</v>
      </c>
      <c r="AS178" s="7">
        <v>-0.17707318700236546</v>
      </c>
      <c r="AT178" s="7">
        <v>0.94585957222465289</v>
      </c>
      <c r="AU178" s="7">
        <v>-4.1140787221411852</v>
      </c>
      <c r="AV178" s="7" t="e">
        <v>#N/A</v>
      </c>
    </row>
    <row r="179" spans="37:48" x14ac:dyDescent="0.25">
      <c r="AK179" t="str">
        <v>peugeot 504</v>
      </c>
      <c r="AL179" s="7">
        <v>23</v>
      </c>
      <c r="AM179" s="7">
        <v>27.690192740926726</v>
      </c>
      <c r="AN179" s="7">
        <v>-4.6901927409267259</v>
      </c>
      <c r="AO179" s="7">
        <v>5.2484190645161813E-3</v>
      </c>
      <c r="AP179" s="7">
        <v>-1.0259612490278287</v>
      </c>
      <c r="AQ179" s="7">
        <v>1.851205052063545E-3</v>
      </c>
      <c r="AR179" s="7">
        <v>-0.1573106846101707</v>
      </c>
      <c r="AS179" s="7">
        <v>-0.17707318700236546</v>
      </c>
      <c r="AT179" s="7">
        <v>1.0128974523750311</v>
      </c>
      <c r="AU179" s="7">
        <v>-4.7149387151674365</v>
      </c>
      <c r="AV179" s="7" t="e">
        <v>#N/A</v>
      </c>
    </row>
    <row r="180" spans="37:48" x14ac:dyDescent="0.25">
      <c r="AK180" t="str">
        <v>volvo 244dl</v>
      </c>
      <c r="AL180" s="7">
        <v>22</v>
      </c>
      <c r="AM180" s="7">
        <v>26.828949227944268</v>
      </c>
      <c r="AN180" s="7">
        <v>-4.8289492279442676</v>
      </c>
      <c r="AO180" s="7">
        <v>7.2205353987830623E-3</v>
      </c>
      <c r="AP180" s="7">
        <v>-1.0573623275614561</v>
      </c>
      <c r="AQ180" s="7">
        <v>2.7104601556095652E-3</v>
      </c>
      <c r="AR180" s="7">
        <v>-0.1573106846101707</v>
      </c>
      <c r="AS180" s="7">
        <v>-0.15097695247620252</v>
      </c>
      <c r="AT180" s="7">
        <v>1.028281249251126</v>
      </c>
      <c r="AU180" s="7">
        <v>-4.864070420598372</v>
      </c>
      <c r="AV180" s="7" t="e">
        <v>#N/A</v>
      </c>
    </row>
    <row r="181" spans="37:48" x14ac:dyDescent="0.25">
      <c r="AK181" t="str">
        <v>saab 99le</v>
      </c>
      <c r="AL181" s="7">
        <v>25</v>
      </c>
      <c r="AM181" s="7">
        <v>25.364835255874084</v>
      </c>
      <c r="AN181" s="7">
        <v>-0.36483525587408394</v>
      </c>
      <c r="AO181" s="7">
        <v>1.3311217555548323E-2</v>
      </c>
      <c r="AP181" s="7">
        <v>-8.0131687892265116E-2</v>
      </c>
      <c r="AQ181" s="7">
        <v>2.8875194456706404E-5</v>
      </c>
      <c r="AR181" s="7">
        <v>-0.11213762424542992</v>
      </c>
      <c r="AS181" s="7">
        <v>-0.15097695247620252</v>
      </c>
      <c r="AT181" s="7">
        <v>0.28307541025717003</v>
      </c>
      <c r="AU181" s="7">
        <v>-0.36975717406073105</v>
      </c>
      <c r="AV181" s="7" t="e">
        <v>#N/A</v>
      </c>
    </row>
    <row r="182" spans="37:48" x14ac:dyDescent="0.25">
      <c r="AK182" t="str">
        <v>honda civic cvcc</v>
      </c>
      <c r="AL182" s="7">
        <v>33</v>
      </c>
      <c r="AM182" s="7">
        <v>30.704545036365339</v>
      </c>
      <c r="AN182" s="7">
        <v>2.2954549636346613</v>
      </c>
      <c r="AO182" s="7">
        <v>7.7413995022197531E-3</v>
      </c>
      <c r="AP182" s="7">
        <v>0.50275213888896431</v>
      </c>
      <c r="AQ182" s="7">
        <v>6.5732660035616773E-4</v>
      </c>
      <c r="AR182" s="7">
        <v>-0.1057051091748199</v>
      </c>
      <c r="AS182" s="7">
        <v>-0.15097695247620252</v>
      </c>
      <c r="AT182" s="7">
        <v>0.70905016669412346</v>
      </c>
      <c r="AU182" s="7">
        <v>2.3133636357327765</v>
      </c>
      <c r="AV182" s="7" t="e">
        <v>#N/A</v>
      </c>
    </row>
    <row r="183" spans="37:48" x14ac:dyDescent="0.25">
      <c r="AK183" t="str">
        <v>fiat 131</v>
      </c>
      <c r="AL183" s="7">
        <v>28</v>
      </c>
      <c r="AM183" s="7">
        <v>27.86244144352322</v>
      </c>
      <c r="AN183" s="7">
        <v>0.13755855647677961</v>
      </c>
      <c r="AO183" s="7">
        <v>4.9971636088268082E-3</v>
      </c>
      <c r="AP183" s="7">
        <v>3.0086594780562279E-2</v>
      </c>
      <c r="AQ183" s="7">
        <v>1.5153887847294473E-6</v>
      </c>
      <c r="AR183" s="7">
        <v>-0.1057051091748199</v>
      </c>
      <c r="AS183" s="7">
        <v>-0.15097695247620252</v>
      </c>
      <c r="AT183" s="7">
        <v>0.1734548782264779</v>
      </c>
      <c r="AU183" s="7">
        <v>0.13824941140439137</v>
      </c>
      <c r="AV183" s="7" t="e">
        <v>#N/A</v>
      </c>
    </row>
    <row r="184" spans="37:48" x14ac:dyDescent="0.25">
      <c r="AK184" t="str">
        <v>opel 1900</v>
      </c>
      <c r="AL184" s="7">
        <v>25</v>
      </c>
      <c r="AM184" s="7">
        <v>28.293063200014451</v>
      </c>
      <c r="AN184" s="7">
        <v>-3.2930632000144513</v>
      </c>
      <c r="AO184" s="7">
        <v>4.5778113608842073E-3</v>
      </c>
      <c r="AP184" s="7">
        <v>-0.72010196089208145</v>
      </c>
      <c r="AQ184" s="7">
        <v>7.9490880529467956E-4</v>
      </c>
      <c r="AR184" s="7">
        <v>-0.1057051091748199</v>
      </c>
      <c r="AS184" s="7">
        <v>-0.14704097441072247</v>
      </c>
      <c r="AT184" s="7">
        <v>0.84858821632879244</v>
      </c>
      <c r="AU184" s="7">
        <v>-3.3082075501215606</v>
      </c>
      <c r="AV184" s="7" t="e">
        <v>#N/A</v>
      </c>
    </row>
    <row r="185" spans="37:48" x14ac:dyDescent="0.25">
      <c r="AK185" t="str">
        <v>capri ii</v>
      </c>
      <c r="AL185" s="7">
        <v>25</v>
      </c>
      <c r="AM185" s="7">
        <v>27.345695335733744</v>
      </c>
      <c r="AN185" s="7">
        <v>-2.345695335733744</v>
      </c>
      <c r="AO185" s="7">
        <v>5.894097787058938E-3</v>
      </c>
      <c r="AP185" s="7">
        <v>-0.51327825356431145</v>
      </c>
      <c r="AQ185" s="7">
        <v>5.2067791722220811E-4</v>
      </c>
      <c r="AR185" s="7">
        <v>-8.6432705492186665E-2</v>
      </c>
      <c r="AS185" s="7">
        <v>-0.14704097441072247</v>
      </c>
      <c r="AT185" s="7">
        <v>0.7164344028341405</v>
      </c>
      <c r="AU185" s="7">
        <v>-2.3596030669489854</v>
      </c>
      <c r="AV185" s="7" t="e">
        <v>#N/A</v>
      </c>
    </row>
    <row r="186" spans="37:48" x14ac:dyDescent="0.25">
      <c r="AK186" t="str">
        <v>dodge colt</v>
      </c>
      <c r="AL186" s="7">
        <v>26</v>
      </c>
      <c r="AM186" s="7">
        <v>28.465311902610942</v>
      </c>
      <c r="AN186" s="7">
        <v>-2.4653119026109422</v>
      </c>
      <c r="AO186" s="7">
        <v>4.493585018219501E-3</v>
      </c>
      <c r="AP186" s="7">
        <v>-0.53907281029913701</v>
      </c>
      <c r="AQ186" s="7">
        <v>4.3724263232613206E-4</v>
      </c>
      <c r="AR186" s="7">
        <v>-8.0016051321401133E-2</v>
      </c>
      <c r="AS186" s="7">
        <v>-0.14704097441072247</v>
      </c>
      <c r="AT186" s="7">
        <v>0.73421577911342728</v>
      </c>
      <c r="AU186" s="7">
        <v>-2.4764399962767309</v>
      </c>
      <c r="AV186" s="7" t="e">
        <v>#N/A</v>
      </c>
    </row>
    <row r="187" spans="37:48" x14ac:dyDescent="0.25">
      <c r="AK187" t="str">
        <v>renault 12tl</v>
      </c>
      <c r="AL187" s="7">
        <v>27</v>
      </c>
      <c r="AM187" s="7">
        <v>28.120814497417957</v>
      </c>
      <c r="AN187" s="7">
        <v>-1.1208144974179568</v>
      </c>
      <c r="AO187" s="7">
        <v>4.7097603072702486E-3</v>
      </c>
      <c r="AP187" s="7">
        <v>-0.24510741719966056</v>
      </c>
      <c r="AQ187" s="7">
        <v>9.4763417089141044E-5</v>
      </c>
      <c r="AR187" s="7">
        <v>-8.0016051321401133E-2</v>
      </c>
      <c r="AS187" s="7">
        <v>-0.14704097441072247</v>
      </c>
      <c r="AT187" s="7">
        <v>0.49508324269728676</v>
      </c>
      <c r="AU187" s="7">
        <v>-1.1261182444268512</v>
      </c>
      <c r="AV187" s="7" t="e">
        <v>#N/A</v>
      </c>
    </row>
    <row r="188" spans="37:48" x14ac:dyDescent="0.25">
      <c r="AK188" t="str">
        <v>chevrolet chevelle malibu classic</v>
      </c>
      <c r="AL188" s="7">
        <v>17.5</v>
      </c>
      <c r="AM188" s="7">
        <v>15.532442296906334</v>
      </c>
      <c r="AN188" s="7">
        <v>1.9675577030936662</v>
      </c>
      <c r="AO188" s="7">
        <v>9.1093960540734702E-3</v>
      </c>
      <c r="AP188" s="7">
        <v>0.43123321991264973</v>
      </c>
      <c r="AQ188" s="7">
        <v>5.6985850967762185E-4</v>
      </c>
      <c r="AR188" s="7">
        <v>-8.0016051321401133E-2</v>
      </c>
      <c r="AS188" s="7">
        <v>-0.14704097441072247</v>
      </c>
      <c r="AT188" s="7">
        <v>0.6566835005637417</v>
      </c>
      <c r="AU188" s="7">
        <v>1.9856457365308078</v>
      </c>
      <c r="AV188" s="7" t="e">
        <v>#N/A</v>
      </c>
    </row>
    <row r="189" spans="37:48" x14ac:dyDescent="0.25">
      <c r="AK189" t="str">
        <v>dodge coronet brougham</v>
      </c>
      <c r="AL189" s="7">
        <v>16</v>
      </c>
      <c r="AM189" s="7">
        <v>14.671198783923874</v>
      </c>
      <c r="AN189" s="7">
        <v>1.3288012160761262</v>
      </c>
      <c r="AO189" s="7">
        <v>8.2076576737747202E-3</v>
      </c>
      <c r="AP189" s="7">
        <v>0.29110336652836843</v>
      </c>
      <c r="AQ189" s="7">
        <v>2.3376080004740575E-4</v>
      </c>
      <c r="AR189" s="7">
        <v>-8.0016051321401133E-2</v>
      </c>
      <c r="AS189" s="7">
        <v>-0.14704097441072247</v>
      </c>
      <c r="AT189" s="7">
        <v>0.53953995823142553</v>
      </c>
      <c r="AU189" s="7">
        <v>1.3397978179176648</v>
      </c>
      <c r="AV189" s="7" t="e">
        <v>#N/A</v>
      </c>
    </row>
    <row r="190" spans="37:48" x14ac:dyDescent="0.25">
      <c r="AK190" t="str">
        <v>amc matador</v>
      </c>
      <c r="AL190" s="7">
        <v>15.5</v>
      </c>
      <c r="AM190" s="7">
        <v>17.254929322871256</v>
      </c>
      <c r="AN190" s="7">
        <v>-1.7549293228712557</v>
      </c>
      <c r="AO190" s="7">
        <v>1.4492068093771095E-2</v>
      </c>
      <c r="AP190" s="7">
        <v>-0.38568003244594273</v>
      </c>
      <c r="AQ190" s="7">
        <v>7.2912719559616328E-4</v>
      </c>
      <c r="AR190" s="7">
        <v>-8.0016051321401133E-2</v>
      </c>
      <c r="AS190" s="7">
        <v>-0.11331525504919178</v>
      </c>
      <c r="AT190" s="7">
        <v>0.62103142629495223</v>
      </c>
      <c r="AU190" s="7">
        <v>-1.7807358683321457</v>
      </c>
      <c r="AV190" s="7" t="e">
        <v>#N/A</v>
      </c>
    </row>
    <row r="191" spans="37:48" x14ac:dyDescent="0.25">
      <c r="AK191" t="str">
        <v>ford gran torino</v>
      </c>
      <c r="AL191" s="7">
        <v>14.5</v>
      </c>
      <c r="AM191" s="7">
        <v>14.498950081327383</v>
      </c>
      <c r="AN191" s="7">
        <v>1.0499186726171672E-3</v>
      </c>
      <c r="AO191" s="7">
        <v>8.1704778088789488E-3</v>
      </c>
      <c r="AP191" s="7">
        <v>2.3000365133047466E-4</v>
      </c>
      <c r="AQ191" s="7">
        <v>1.4526421115746986E-10</v>
      </c>
      <c r="AR191" s="7">
        <v>-8.0016051321401133E-2</v>
      </c>
      <c r="AS191" s="7">
        <v>-0.11331525504919178</v>
      </c>
      <c r="AT191" s="7">
        <v>1.5165871268426178E-2</v>
      </c>
      <c r="AU191" s="7">
        <v>1.0585676763257836E-3</v>
      </c>
      <c r="AV191" s="7" t="e">
        <v>#N/A</v>
      </c>
    </row>
    <row r="192" spans="37:48" x14ac:dyDescent="0.25">
      <c r="AK192" t="str">
        <v>plymouth valiant</v>
      </c>
      <c r="AL192" s="7">
        <v>22</v>
      </c>
      <c r="AM192" s="7">
        <v>22.817058437091976</v>
      </c>
      <c r="AN192" s="7">
        <v>-0.81705843709197623</v>
      </c>
      <c r="AO192" s="7">
        <v>4.052782691826292E-3</v>
      </c>
      <c r="AP192" s="7">
        <v>-0.17862101140444575</v>
      </c>
      <c r="AQ192" s="7">
        <v>4.3277366838271794E-5</v>
      </c>
      <c r="AR192" s="7">
        <v>-8.0016051321401133E-2</v>
      </c>
      <c r="AS192" s="7">
        <v>-0.1017465557767618</v>
      </c>
      <c r="AT192" s="7">
        <v>0.42263579049158362</v>
      </c>
      <c r="AU192" s="7">
        <v>-0.82038327221828633</v>
      </c>
      <c r="AV192" s="7" t="e">
        <v>#N/A</v>
      </c>
    </row>
    <row r="193" spans="37:48" x14ac:dyDescent="0.25">
      <c r="AK193" t="str">
        <v>chevrolet nova</v>
      </c>
      <c r="AL193" s="7">
        <v>22</v>
      </c>
      <c r="AM193" s="7">
        <v>22.386436680600745</v>
      </c>
      <c r="AN193" s="7">
        <v>-0.38643668060074532</v>
      </c>
      <c r="AO193" s="7">
        <v>3.3360984785658094E-3</v>
      </c>
      <c r="AP193" s="7">
        <v>-8.4450371631414528E-2</v>
      </c>
      <c r="AQ193" s="7">
        <v>7.9574150108420239E-6</v>
      </c>
      <c r="AR193" s="7">
        <v>-8.0016051321401133E-2</v>
      </c>
      <c r="AS193" s="7">
        <v>-9.9396544937197254E-2</v>
      </c>
      <c r="AT193" s="7">
        <v>0.29060346114837404</v>
      </c>
      <c r="AU193" s="7">
        <v>-0.38773018668664472</v>
      </c>
      <c r="AV193" s="7" t="e">
        <v>#N/A</v>
      </c>
    </row>
    <row r="194" spans="37:48" x14ac:dyDescent="0.25">
      <c r="AK194" t="str">
        <v>ford maverick</v>
      </c>
      <c r="AL194" s="7">
        <v>24</v>
      </c>
      <c r="AM194" s="7">
        <v>24.453421111758651</v>
      </c>
      <c r="AN194" s="7">
        <v>-0.45342111175865085</v>
      </c>
      <c r="AO194" s="7">
        <v>9.4963711143322138E-3</v>
      </c>
      <c r="AP194" s="7">
        <v>-9.9396544937197254E-2</v>
      </c>
      <c r="AQ194" s="7">
        <v>3.1573514705533122E-5</v>
      </c>
      <c r="AR194" s="7">
        <v>-8.0016051321401133E-2</v>
      </c>
      <c r="AS194" s="7">
        <v>-9.0436901951403761E-2</v>
      </c>
      <c r="AT194" s="7">
        <v>0.31527217596419327</v>
      </c>
      <c r="AU194" s="7">
        <v>-0.45776824893489465</v>
      </c>
      <c r="AV194" s="7" t="e">
        <v>#N/A</v>
      </c>
    </row>
    <row r="195" spans="37:48" x14ac:dyDescent="0.25">
      <c r="AK195" t="str">
        <v>amc hornet</v>
      </c>
      <c r="AL195" s="7">
        <v>22.5</v>
      </c>
      <c r="AM195" s="7">
        <v>23.678301950074435</v>
      </c>
      <c r="AN195" s="7">
        <v>-1.1783019500744345</v>
      </c>
      <c r="AO195" s="7">
        <v>6.3809499381223024E-3</v>
      </c>
      <c r="AP195" s="7">
        <v>-0.25789577551081128</v>
      </c>
      <c r="AQ195" s="7">
        <v>1.423746369481291E-4</v>
      </c>
      <c r="AR195" s="7">
        <v>-8.0016051321401133E-2</v>
      </c>
      <c r="AS195" s="7">
        <v>-9.0436901951403761E-2</v>
      </c>
      <c r="AT195" s="7">
        <v>0.50783439772312711</v>
      </c>
      <c r="AU195" s="7">
        <v>-1.1858689202879671</v>
      </c>
      <c r="AV195" s="7" t="e">
        <v>#N/A</v>
      </c>
    </row>
    <row r="196" spans="37:48" x14ac:dyDescent="0.25">
      <c r="AK196" t="str">
        <v>chevrolet chevette</v>
      </c>
      <c r="AL196" s="7">
        <v>29</v>
      </c>
      <c r="AM196" s="7">
        <v>30.790669387663584</v>
      </c>
      <c r="AN196" s="7">
        <v>-1.7906693876635842</v>
      </c>
      <c r="AO196" s="7">
        <v>8.0273792314715757E-3</v>
      </c>
      <c r="AP196" s="7">
        <v>-0.39225018124211614</v>
      </c>
      <c r="AQ196" s="7">
        <v>4.1502967110699005E-4</v>
      </c>
      <c r="AR196" s="7">
        <v>-1.5986830666930081E-2</v>
      </c>
      <c r="AS196" s="7">
        <v>-8.4450371631414528E-2</v>
      </c>
      <c r="AT196" s="7">
        <v>0.62629879549789658</v>
      </c>
      <c r="AU196" s="7">
        <v>-1.8051600922979782</v>
      </c>
      <c r="AV196" s="7" t="e">
        <v>#N/A</v>
      </c>
    </row>
    <row r="197" spans="37:48" x14ac:dyDescent="0.25">
      <c r="AK197" t="str">
        <v>chevrolet woody</v>
      </c>
      <c r="AL197" s="7">
        <v>24.5</v>
      </c>
      <c r="AM197" s="7">
        <v>30.101674577277617</v>
      </c>
      <c r="AN197" s="7">
        <v>-5.6016745772776169</v>
      </c>
      <c r="AO197" s="7">
        <v>6.0735996235063523E-3</v>
      </c>
      <c r="AP197" s="7">
        <v>-1.2258528713675785</v>
      </c>
      <c r="AQ197" s="7">
        <v>3.0608875558330185E-3</v>
      </c>
      <c r="AR197" s="7">
        <v>-9.5918369045287465E-3</v>
      </c>
      <c r="AS197" s="7">
        <v>-8.3138492251953466E-2</v>
      </c>
      <c r="AT197" s="7">
        <v>1.1071824020312002</v>
      </c>
      <c r="AU197" s="7">
        <v>-5.6359048065890338</v>
      </c>
      <c r="AV197" s="7" t="e">
        <v>#N/A</v>
      </c>
    </row>
    <row r="198" spans="37:48" x14ac:dyDescent="0.25">
      <c r="AK198" t="str">
        <v>vw rabbit</v>
      </c>
      <c r="AL198" s="7">
        <v>29</v>
      </c>
      <c r="AM198" s="7">
        <v>29.240431064295155</v>
      </c>
      <c r="AN198" s="7">
        <v>-0.24043106429515504</v>
      </c>
      <c r="AO198" s="7">
        <v>4.7051336972798391E-3</v>
      </c>
      <c r="AP198" s="7">
        <v>-5.2578995318760473E-2</v>
      </c>
      <c r="AQ198" s="7">
        <v>4.3563575398886093E-6</v>
      </c>
      <c r="AR198" s="7">
        <v>-3.1972353893137463E-3</v>
      </c>
      <c r="AS198" s="7">
        <v>-8.2915841181284339E-2</v>
      </c>
      <c r="AT198" s="7">
        <v>0.22930110186992228</v>
      </c>
      <c r="AU198" s="7">
        <v>-0.2415676724911667</v>
      </c>
      <c r="AV198" s="7" t="e">
        <v>#N/A</v>
      </c>
    </row>
    <row r="199" spans="37:48" x14ac:dyDescent="0.25">
      <c r="AK199" t="str">
        <v>honda civic</v>
      </c>
      <c r="AL199" s="7">
        <v>33</v>
      </c>
      <c r="AM199" s="7">
        <v>30.704545036365339</v>
      </c>
      <c r="AN199" s="7">
        <v>2.2954549636346613</v>
      </c>
      <c r="AO199" s="7">
        <v>7.7413995022197531E-3</v>
      </c>
      <c r="AP199" s="7">
        <v>0.50275213888896431</v>
      </c>
      <c r="AQ199" s="7">
        <v>6.5732660035616773E-4</v>
      </c>
      <c r="AR199" s="7">
        <v>3.1972353893138855E-3</v>
      </c>
      <c r="AS199" s="7">
        <v>-8.0502387241465176E-2</v>
      </c>
      <c r="AT199" s="7">
        <v>0.70905016669412346</v>
      </c>
      <c r="AU199" s="7">
        <v>2.3133636357327765</v>
      </c>
      <c r="AV199" s="7" t="e">
        <v>#N/A</v>
      </c>
    </row>
    <row r="200" spans="37:48" x14ac:dyDescent="0.25">
      <c r="AK200" t="str">
        <v>dodge aspen se</v>
      </c>
      <c r="AL200" s="7">
        <v>20</v>
      </c>
      <c r="AM200" s="7">
        <v>22.817058437091976</v>
      </c>
      <c r="AN200" s="7">
        <v>-2.8170584370919762</v>
      </c>
      <c r="AO200" s="7">
        <v>4.052782691826292E-3</v>
      </c>
      <c r="AP200" s="7">
        <v>-0.61585047577466279</v>
      </c>
      <c r="AQ200" s="7">
        <v>5.1445370943420648E-4</v>
      </c>
      <c r="AR200" s="7">
        <v>3.1972353893138855E-3</v>
      </c>
      <c r="AS200" s="7">
        <v>-8.0131687892265116E-2</v>
      </c>
      <c r="AT200" s="7">
        <v>0.78476141328091742</v>
      </c>
      <c r="AU200" s="7">
        <v>-2.8285218213730903</v>
      </c>
      <c r="AV200" s="7" t="e">
        <v>#N/A</v>
      </c>
    </row>
    <row r="201" spans="37:48" x14ac:dyDescent="0.25">
      <c r="AK201" t="str">
        <v>ford granada ghia</v>
      </c>
      <c r="AL201" s="7">
        <v>18</v>
      </c>
      <c r="AM201" s="7">
        <v>24.711794165653387</v>
      </c>
      <c r="AN201" s="7">
        <v>-6.7117941656533873</v>
      </c>
      <c r="AO201" s="7">
        <v>1.0749596556481528E-2</v>
      </c>
      <c r="AP201" s="7">
        <v>-1.4722552026101394</v>
      </c>
      <c r="AQ201" s="7">
        <v>7.8511065190129924E-3</v>
      </c>
      <c r="AR201" s="7">
        <v>3.1972353893138855E-3</v>
      </c>
      <c r="AS201" s="7">
        <v>-6.1049131450376271E-2</v>
      </c>
      <c r="AT201" s="7">
        <v>1.2133652387513578</v>
      </c>
      <c r="AU201" s="7">
        <v>-6.7847272462968462</v>
      </c>
      <c r="AV201" s="7" t="e">
        <v>#N/A</v>
      </c>
    </row>
    <row r="202" spans="37:48" x14ac:dyDescent="0.25">
      <c r="AK202" t="str">
        <v>pontiac ventura sj</v>
      </c>
      <c r="AL202" s="7">
        <v>18.5</v>
      </c>
      <c r="AM202" s="7">
        <v>21.955814924109514</v>
      </c>
      <c r="AN202" s="7">
        <v>-3.4558149241095144</v>
      </c>
      <c r="AO202" s="7">
        <v>2.917680538563657E-3</v>
      </c>
      <c r="AP202" s="7">
        <v>-0.75506189662171941</v>
      </c>
      <c r="AQ202" s="7">
        <v>5.5609703281403401E-4</v>
      </c>
      <c r="AR202" s="7">
        <v>3.1972353893138855E-3</v>
      </c>
      <c r="AS202" s="7">
        <v>-5.4174150136665843E-2</v>
      </c>
      <c r="AT202" s="7">
        <v>0.86894297662258568</v>
      </c>
      <c r="AU202" s="7">
        <v>-3.4659273930121808</v>
      </c>
      <c r="AV202" s="7" t="e">
        <v>#N/A</v>
      </c>
    </row>
    <row r="203" spans="37:48" x14ac:dyDescent="0.25">
      <c r="AK203" t="str">
        <v>amc pacer d/l</v>
      </c>
      <c r="AL203" s="7">
        <v>17.5</v>
      </c>
      <c r="AM203" s="7">
        <v>23.247680193583207</v>
      </c>
      <c r="AN203" s="7">
        <v>-5.7476801935832071</v>
      </c>
      <c r="AO203" s="7">
        <v>5.0677331783451334E-3</v>
      </c>
      <c r="AP203" s="7">
        <v>-1.2571683074048949</v>
      </c>
      <c r="AQ203" s="7">
        <v>2.6834024904767808E-3</v>
      </c>
      <c r="AR203" s="7">
        <v>3.1972353893138855E-3</v>
      </c>
      <c r="AS203" s="7">
        <v>-5.2578995318760473E-2</v>
      </c>
      <c r="AT203" s="7">
        <v>1.1212351704280841</v>
      </c>
      <c r="AU203" s="7">
        <v>-5.7769562665249241</v>
      </c>
      <c r="AV203" s="7" t="e">
        <v>#N/A</v>
      </c>
    </row>
    <row r="204" spans="37:48" x14ac:dyDescent="0.25">
      <c r="AK204" t="str">
        <v>volkswagen rabbit</v>
      </c>
      <c r="AL204" s="7">
        <v>29.5</v>
      </c>
      <c r="AM204" s="7">
        <v>29.15430671299691</v>
      </c>
      <c r="AN204" s="7">
        <v>0.34569328700309043</v>
      </c>
      <c r="AO204" s="7">
        <v>4.6339056847740255E-3</v>
      </c>
      <c r="AP204" s="7">
        <v>7.5595703157523106E-2</v>
      </c>
      <c r="AQ204" s="7">
        <v>8.8682374801642029E-6</v>
      </c>
      <c r="AR204" s="7">
        <v>3.1972353893138855E-3</v>
      </c>
      <c r="AS204" s="7">
        <v>-5.2578995318760473E-2</v>
      </c>
      <c r="AT204" s="7">
        <v>0.27494672785382102</v>
      </c>
      <c r="AU204" s="7">
        <v>0.34730265474927019</v>
      </c>
      <c r="AV204" s="7" t="e">
        <v>#N/A</v>
      </c>
    </row>
    <row r="205" spans="37:48" x14ac:dyDescent="0.25">
      <c r="AK205" t="str">
        <v>datsun b-210</v>
      </c>
      <c r="AL205" s="7">
        <v>32</v>
      </c>
      <c r="AM205" s="7">
        <v>29.240431064295155</v>
      </c>
      <c r="AN205" s="7">
        <v>2.759568935704845</v>
      </c>
      <c r="AO205" s="7">
        <v>4.7051336972798391E-3</v>
      </c>
      <c r="AP205" s="7">
        <v>0.60348009762208454</v>
      </c>
      <c r="AQ205" s="7">
        <v>5.7388497378806894E-4</v>
      </c>
      <c r="AR205" s="7">
        <v>3.1972353893138855E-3</v>
      </c>
      <c r="AS205" s="7">
        <v>-2.8317893867576063E-2</v>
      </c>
      <c r="AT205" s="7">
        <v>0.77683981464783625</v>
      </c>
      <c r="AU205" s="7">
        <v>2.7726144574180078</v>
      </c>
      <c r="AV205" s="7" t="e">
        <v>#N/A</v>
      </c>
    </row>
    <row r="206" spans="37:48" x14ac:dyDescent="0.25">
      <c r="AK206" t="str">
        <v>toyota corolla</v>
      </c>
      <c r="AL206" s="7">
        <v>28</v>
      </c>
      <c r="AM206" s="7">
        <v>28.809809307803924</v>
      </c>
      <c r="AN206" s="7">
        <v>-0.80980930780392413</v>
      </c>
      <c r="AO206" s="7">
        <v>4.4683001440540973E-3</v>
      </c>
      <c r="AP206" s="7">
        <v>-0.17707318700236546</v>
      </c>
      <c r="AQ206" s="7">
        <v>4.6910665853454279E-5</v>
      </c>
      <c r="AR206" s="7">
        <v>3.1972353893138855E-3</v>
      </c>
      <c r="AS206" s="7">
        <v>-2.2309440680360997E-2</v>
      </c>
      <c r="AT206" s="7">
        <v>0.42080064995478023</v>
      </c>
      <c r="AU206" s="7">
        <v>-0.81344401983493253</v>
      </c>
      <c r="AV206" s="7" t="e">
        <v>#N/A</v>
      </c>
    </row>
    <row r="207" spans="37:48" x14ac:dyDescent="0.25">
      <c r="AK207" t="str">
        <v>ford pinto</v>
      </c>
      <c r="AL207" s="7">
        <v>26.5</v>
      </c>
      <c r="AM207" s="7">
        <v>29.068182361698664</v>
      </c>
      <c r="AN207" s="7">
        <v>-2.5681823616986641</v>
      </c>
      <c r="AO207" s="7">
        <v>4.5746083231985452E-3</v>
      </c>
      <c r="AP207" s="7">
        <v>-0.5615896406701244</v>
      </c>
      <c r="AQ207" s="7">
        <v>4.8312790475057234E-4</v>
      </c>
      <c r="AR207" s="7">
        <v>3.1972353893138855E-3</v>
      </c>
      <c r="AS207" s="7">
        <v>-2.2309440680360997E-2</v>
      </c>
      <c r="AT207" s="7">
        <v>0.74939284802440198</v>
      </c>
      <c r="AU207" s="7">
        <v>-2.5799847815540868</v>
      </c>
      <c r="AV207" s="7" t="e">
        <v>#N/A</v>
      </c>
    </row>
    <row r="208" spans="37:48" x14ac:dyDescent="0.25">
      <c r="AK208" t="str">
        <v>volvo 245</v>
      </c>
      <c r="AL208" s="7">
        <v>20</v>
      </c>
      <c r="AM208" s="7">
        <v>26.484451822751282</v>
      </c>
      <c r="AN208" s="7">
        <v>-6.4844518227512822</v>
      </c>
      <c r="AO208" s="7">
        <v>8.3434401585391598E-3</v>
      </c>
      <c r="AP208" s="7">
        <v>-1.4206601870120885</v>
      </c>
      <c r="AQ208" s="7">
        <v>5.6603466796968449E-3</v>
      </c>
      <c r="AR208" s="7">
        <v>6.0784779324276172E-2</v>
      </c>
      <c r="AS208" s="7">
        <v>-1.9205022324902794E-2</v>
      </c>
      <c r="AT208" s="7">
        <v>1.1919145049088413</v>
      </c>
      <c r="AU208" s="7">
        <v>-6.5390096585333648</v>
      </c>
      <c r="AV208" s="7" t="e">
        <v>#N/A</v>
      </c>
    </row>
    <row r="209" spans="37:48" x14ac:dyDescent="0.25">
      <c r="AK209" t="str">
        <v>plymouth volare premier v8</v>
      </c>
      <c r="AL209" s="7">
        <v>13</v>
      </c>
      <c r="AM209" s="7">
        <v>14.671198783923874</v>
      </c>
      <c r="AN209" s="7">
        <v>-1.6711987839238738</v>
      </c>
      <c r="AO209" s="7">
        <v>8.2076576737747202E-3</v>
      </c>
      <c r="AP209" s="7">
        <v>-0.36611314488026792</v>
      </c>
      <c r="AQ209" s="7">
        <v>3.6974973641958064E-4</v>
      </c>
      <c r="AR209" s="7">
        <v>6.7192354710227428E-2</v>
      </c>
      <c r="AS209" s="7">
        <v>-1.9205022324902794E-2</v>
      </c>
      <c r="AT209" s="7">
        <v>0.60507284262332239</v>
      </c>
      <c r="AU209" s="7">
        <v>-1.685028924506633</v>
      </c>
      <c r="AV209" s="7" t="e">
        <v>#N/A</v>
      </c>
    </row>
    <row r="210" spans="37:48" x14ac:dyDescent="0.25">
      <c r="AK210" t="str">
        <v>peugeot 504</v>
      </c>
      <c r="AL210" s="7">
        <v>19</v>
      </c>
      <c r="AM210" s="7">
        <v>27.690192740926726</v>
      </c>
      <c r="AN210" s="7">
        <v>-8.6901927409267259</v>
      </c>
      <c r="AO210" s="7">
        <v>5.2484190645161813E-3</v>
      </c>
      <c r="AP210" s="7">
        <v>-1.9009455455794548</v>
      </c>
      <c r="AQ210" s="7">
        <v>6.3552401197974886E-3</v>
      </c>
      <c r="AR210" s="7">
        <v>7.3602690030832113E-2</v>
      </c>
      <c r="AS210" s="7">
        <v>-5.5041300863685741E-3</v>
      </c>
      <c r="AT210" s="7">
        <v>1.3787478179781301</v>
      </c>
      <c r="AU210" s="7">
        <v>-8.7360431563770913</v>
      </c>
      <c r="AV210" s="7" t="e">
        <v>#N/A</v>
      </c>
    </row>
    <row r="211" spans="37:48" x14ac:dyDescent="0.25">
      <c r="AK211" t="str">
        <v>toyota mark ii</v>
      </c>
      <c r="AL211" s="7">
        <v>19</v>
      </c>
      <c r="AM211" s="7">
        <v>22.128063626706009</v>
      </c>
      <c r="AN211" s="7">
        <v>-3.1280636267060089</v>
      </c>
      <c r="AO211" s="7">
        <v>3.04925576177352E-3</v>
      </c>
      <c r="AP211" s="7">
        <v>-0.68349652954978846</v>
      </c>
      <c r="AQ211" s="7">
        <v>4.762900665962039E-4</v>
      </c>
      <c r="AR211" s="7">
        <v>8.0016051321400994E-2</v>
      </c>
      <c r="AS211" s="7">
        <v>2.3000365133047466E-4</v>
      </c>
      <c r="AT211" s="7">
        <v>0.82673848921517401</v>
      </c>
      <c r="AU211" s="7">
        <v>-3.137631066313284</v>
      </c>
      <c r="AV211" s="7" t="e">
        <v>#N/A</v>
      </c>
    </row>
    <row r="212" spans="37:48" x14ac:dyDescent="0.25">
      <c r="AK212" t="str">
        <v>mercedes-benz 280s</v>
      </c>
      <c r="AL212" s="7">
        <v>16.5</v>
      </c>
      <c r="AM212" s="7">
        <v>21.094571411127056</v>
      </c>
      <c r="AN212" s="7">
        <v>-4.5945714111270561</v>
      </c>
      <c r="AO212" s="7">
        <v>2.9756434783343778E-3</v>
      </c>
      <c r="AP212" s="7">
        <v>-1.0038982760201329</v>
      </c>
      <c r="AQ212" s="7">
        <v>1.0026129042495016E-3</v>
      </c>
      <c r="AR212" s="7">
        <v>8.6432705492186818E-2</v>
      </c>
      <c r="AS212" s="7">
        <v>1.1245898418594844E-2</v>
      </c>
      <c r="AT212" s="7">
        <v>1.001947242134102</v>
      </c>
      <c r="AU212" s="7">
        <v>-4.6082840214217118</v>
      </c>
      <c r="AV212" s="7" t="e">
        <v>#N/A</v>
      </c>
    </row>
    <row r="213" spans="37:48" x14ac:dyDescent="0.25">
      <c r="AK213" t="str">
        <v>cadillac seville</v>
      </c>
      <c r="AL213" s="7">
        <v>16.5</v>
      </c>
      <c r="AM213" s="7">
        <v>12.087468244976494</v>
      </c>
      <c r="AN213" s="7">
        <v>4.4125317550235064</v>
      </c>
      <c r="AO213" s="7">
        <v>1.2660833091078551E-2</v>
      </c>
      <c r="AP213" s="7">
        <v>0.96884041616866634</v>
      </c>
      <c r="AQ213" s="7">
        <v>4.0121684493181729E-3</v>
      </c>
      <c r="AR213" s="7">
        <v>8.6432705492186818E-2</v>
      </c>
      <c r="AS213" s="7">
        <v>1.1245898418594844E-2</v>
      </c>
      <c r="AT213" s="7">
        <v>0.98429691463941227</v>
      </c>
      <c r="AU213" s="7">
        <v>4.4691144673596721</v>
      </c>
      <c r="AV213" s="7" t="e">
        <v>#N/A</v>
      </c>
    </row>
    <row r="214" spans="37:48" x14ac:dyDescent="0.25">
      <c r="AK214" t="str">
        <v>chevy c10</v>
      </c>
      <c r="AL214" s="7">
        <v>13</v>
      </c>
      <c r="AM214" s="7">
        <v>15.101820540415105</v>
      </c>
      <c r="AN214" s="7">
        <v>-2.1018205404151047</v>
      </c>
      <c r="AO214" s="7">
        <v>8.5093937272949383E-3</v>
      </c>
      <c r="AP214" s="7">
        <v>-0.46052044583529883</v>
      </c>
      <c r="AQ214" s="7">
        <v>6.0671759954483619E-4</v>
      </c>
      <c r="AR214" s="7">
        <v>9.9276964964338646E-2</v>
      </c>
      <c r="AS214" s="7">
        <v>1.9097454473565451E-2</v>
      </c>
      <c r="AT214" s="7">
        <v>0.67861656761038391</v>
      </c>
      <c r="AU214" s="7">
        <v>-2.1198592574834829</v>
      </c>
      <c r="AV214" s="7" t="e">
        <v>#N/A</v>
      </c>
    </row>
    <row r="215" spans="37:48" x14ac:dyDescent="0.25">
      <c r="AK215" t="str">
        <v>ford f108</v>
      </c>
      <c r="AL215" s="7">
        <v>13</v>
      </c>
      <c r="AM215" s="7">
        <v>16.393685809888794</v>
      </c>
      <c r="AN215" s="7">
        <v>-3.3936858098887939</v>
      </c>
      <c r="AO215" s="7">
        <v>1.1204199527405607E-2</v>
      </c>
      <c r="AP215" s="7">
        <v>-0.74458779360466054</v>
      </c>
      <c r="AQ215" s="7">
        <v>2.0940391210730724E-3</v>
      </c>
      <c r="AR215" s="7">
        <v>9.9276964964338646E-2</v>
      </c>
      <c r="AS215" s="7">
        <v>3.0086594780562279E-2</v>
      </c>
      <c r="AT215" s="7">
        <v>0.86289500728921853</v>
      </c>
      <c r="AU215" s="7">
        <v>-3.4321401934219216</v>
      </c>
      <c r="AV215" s="7" t="e">
        <v>#N/A</v>
      </c>
    </row>
    <row r="216" spans="37:48" x14ac:dyDescent="0.25">
      <c r="AK216" t="str">
        <v>dodge d100</v>
      </c>
      <c r="AL216" s="7">
        <v>13</v>
      </c>
      <c r="AM216" s="7">
        <v>14.671198783923874</v>
      </c>
      <c r="AN216" s="7">
        <v>-1.6711987839238738</v>
      </c>
      <c r="AO216" s="7">
        <v>8.2076576737747202E-3</v>
      </c>
      <c r="AP216" s="7">
        <v>-0.36611314488026792</v>
      </c>
      <c r="AQ216" s="7">
        <v>3.6974973641958064E-4</v>
      </c>
      <c r="AR216" s="7">
        <v>9.9276964964338646E-2</v>
      </c>
      <c r="AS216" s="7">
        <v>3.0637362277204226E-2</v>
      </c>
      <c r="AT216" s="7">
        <v>0.60507284262332239</v>
      </c>
      <c r="AU216" s="7">
        <v>-1.685028924506633</v>
      </c>
      <c r="AV216" s="7" t="e">
        <v>#N/A</v>
      </c>
    </row>
    <row r="217" spans="37:48" x14ac:dyDescent="0.25">
      <c r="AK217" t="str">
        <v>honda accord cvcc</v>
      </c>
      <c r="AL217" s="7">
        <v>31.5</v>
      </c>
      <c r="AM217" s="7">
        <v>29.41267976689165</v>
      </c>
      <c r="AN217" s="7">
        <v>2.0873202331083505</v>
      </c>
      <c r="AO217" s="7">
        <v>4.8833816750824743E-3</v>
      </c>
      <c r="AP217" s="7">
        <v>0.45650935303935508</v>
      </c>
      <c r="AQ217" s="7">
        <v>3.4089826838666924E-4</v>
      </c>
      <c r="AR217" s="7">
        <v>9.9276964964338646E-2</v>
      </c>
      <c r="AS217" s="7">
        <v>4.1587163398595209E-2</v>
      </c>
      <c r="AT217" s="7">
        <v>0.6756547587631978</v>
      </c>
      <c r="AU217" s="7">
        <v>2.0975634359538105</v>
      </c>
      <c r="AV217" s="7" t="e">
        <v>#N/A</v>
      </c>
    </row>
    <row r="218" spans="37:48" x14ac:dyDescent="0.25">
      <c r="AK218" t="str">
        <v>buick opel isuzu deluxe</v>
      </c>
      <c r="AL218" s="7">
        <v>30</v>
      </c>
      <c r="AM218" s="7">
        <v>28.379187551312697</v>
      </c>
      <c r="AN218" s="7">
        <v>1.6208124486873032</v>
      </c>
      <c r="AO218" s="7">
        <v>4.5297328640866892E-3</v>
      </c>
      <c r="AP218" s="7">
        <v>0.354418353436871</v>
      </c>
      <c r="AQ218" s="7">
        <v>1.9052652664946644E-4</v>
      </c>
      <c r="AR218" s="7">
        <v>9.9276964964338646E-2</v>
      </c>
      <c r="AS218" s="7">
        <v>4.1639627292631085E-2</v>
      </c>
      <c r="AT218" s="7">
        <v>0.59533045734018264</v>
      </c>
      <c r="AU218" s="7">
        <v>1.6281877040391914</v>
      </c>
      <c r="AV218" s="7" t="e">
        <v>#N/A</v>
      </c>
    </row>
    <row r="219" spans="37:48" x14ac:dyDescent="0.25">
      <c r="AK219" t="str">
        <v>renault 5 gtl</v>
      </c>
      <c r="AL219" s="7">
        <v>36</v>
      </c>
      <c r="AM219" s="7">
        <v>30.273923279874108</v>
      </c>
      <c r="AN219" s="7">
        <v>5.7260767201258922</v>
      </c>
      <c r="AO219" s="7">
        <v>6.4904606199156552E-3</v>
      </c>
      <c r="AP219" s="7">
        <v>1.2533395036684445</v>
      </c>
      <c r="AQ219" s="7">
        <v>3.4207369567450002E-3</v>
      </c>
      <c r="AR219" s="7">
        <v>9.9276964964338646E-2</v>
      </c>
      <c r="AS219" s="7">
        <v>4.5854344299489626E-2</v>
      </c>
      <c r="AT219" s="7">
        <v>1.1195264640322016</v>
      </c>
      <c r="AU219" s="7">
        <v>5.7634843885834917</v>
      </c>
      <c r="AV219" s="7" t="e">
        <v>#N/A</v>
      </c>
    </row>
    <row r="220" spans="37:48" x14ac:dyDescent="0.25">
      <c r="AK220" t="str">
        <v>plymouth arrow gs</v>
      </c>
      <c r="AL220" s="7">
        <v>25.5</v>
      </c>
      <c r="AM220" s="7">
        <v>27.001197930540762</v>
      </c>
      <c r="AN220" s="7">
        <v>-1.5011979305407621</v>
      </c>
      <c r="AO220" s="7">
        <v>6.7306669244870179E-3</v>
      </c>
      <c r="AP220" s="7">
        <v>-0.32862608274858007</v>
      </c>
      <c r="AQ220" s="7">
        <v>2.4393486526469644E-4</v>
      </c>
      <c r="AR220" s="7">
        <v>9.9276964964338646E-2</v>
      </c>
      <c r="AS220" s="7">
        <v>4.7286683926876731E-2</v>
      </c>
      <c r="AT220" s="7">
        <v>0.57325917589566766</v>
      </c>
      <c r="AU220" s="7">
        <v>-1.5113704617180947</v>
      </c>
      <c r="AV220" s="7" t="e">
        <v>#N/A</v>
      </c>
    </row>
    <row r="221" spans="37:48" x14ac:dyDescent="0.25">
      <c r="AK221" t="str">
        <v>datsun f-10 hatchback</v>
      </c>
      <c r="AL221" s="7">
        <v>33.5</v>
      </c>
      <c r="AM221" s="7">
        <v>29.240431064295155</v>
      </c>
      <c r="AN221" s="7">
        <v>4.259568935704845</v>
      </c>
      <c r="AO221" s="7">
        <v>4.7051336972798391E-3</v>
      </c>
      <c r="AP221" s="7">
        <v>0.93150964409250714</v>
      </c>
      <c r="AQ221" s="7">
        <v>1.3673310023935086E-3</v>
      </c>
      <c r="AR221" s="7">
        <v>9.9276964964338646E-2</v>
      </c>
      <c r="AS221" s="7">
        <v>5.0081090586498962E-2</v>
      </c>
      <c r="AT221" s="7">
        <v>0.96514747271725643</v>
      </c>
      <c r="AU221" s="7">
        <v>4.2797055223725948</v>
      </c>
      <c r="AV221" s="7" t="e">
        <v>#N/A</v>
      </c>
    </row>
    <row r="222" spans="37:48" x14ac:dyDescent="0.25">
      <c r="AK222" t="str">
        <v>chevrolet caprice classic</v>
      </c>
      <c r="AL222" s="7">
        <v>17.5</v>
      </c>
      <c r="AM222" s="7">
        <v>15.101820540415105</v>
      </c>
      <c r="AN222" s="7">
        <v>2.3981794595848953</v>
      </c>
      <c r="AO222" s="7">
        <v>8.5093937272949383E-3</v>
      </c>
      <c r="AP222" s="7">
        <v>0.52545431576331125</v>
      </c>
      <c r="AQ222" s="7">
        <v>7.8987557954873105E-4</v>
      </c>
      <c r="AR222" s="7">
        <v>9.9276964964338646E-2</v>
      </c>
      <c r="AS222" s="7">
        <v>6.2380527778846714E-2</v>
      </c>
      <c r="AT222" s="7">
        <v>0.72488227717561926</v>
      </c>
      <c r="AU222" s="7">
        <v>2.418761654838399</v>
      </c>
      <c r="AV222" s="7" t="e">
        <v>#N/A</v>
      </c>
    </row>
    <row r="223" spans="37:48" x14ac:dyDescent="0.25">
      <c r="AK223" t="str">
        <v>oldsmobile cutlass supreme</v>
      </c>
      <c r="AL223" s="7">
        <v>17</v>
      </c>
      <c r="AM223" s="7">
        <v>18.116172835853714</v>
      </c>
      <c r="AN223" s="7">
        <v>-1.116172835853714</v>
      </c>
      <c r="AO223" s="7">
        <v>1.8973001753169925E-2</v>
      </c>
      <c r="AP223" s="7">
        <v>-0.24586038402592467</v>
      </c>
      <c r="AQ223" s="7">
        <v>3.8968253690279135E-4</v>
      </c>
      <c r="AR223" s="7">
        <v>9.9276964964338646E-2</v>
      </c>
      <c r="AS223" s="7">
        <v>6.776912166170404E-2</v>
      </c>
      <c r="AT223" s="7">
        <v>0.49584310424359507</v>
      </c>
      <c r="AU223" s="7">
        <v>-1.1377595497864992</v>
      </c>
      <c r="AV223" s="7" t="e">
        <v>#N/A</v>
      </c>
    </row>
    <row r="224" spans="37:48" x14ac:dyDescent="0.25">
      <c r="AK224" t="str">
        <v>dodge monaco brougham</v>
      </c>
      <c r="AL224" s="7">
        <v>15.5</v>
      </c>
      <c r="AM224" s="7">
        <v>15.101820540415105</v>
      </c>
      <c r="AN224" s="7">
        <v>0.39817945958489531</v>
      </c>
      <c r="AO224" s="7">
        <v>8.5093937272949383E-3</v>
      </c>
      <c r="AP224" s="7">
        <v>8.7243310608373453E-2</v>
      </c>
      <c r="AQ224" s="7">
        <v>2.1774742847366056E-5</v>
      </c>
      <c r="AR224" s="7">
        <v>9.9276964964338646E-2</v>
      </c>
      <c r="AS224" s="7">
        <v>7.2031196058822966E-2</v>
      </c>
      <c r="AT224" s="7">
        <v>0.29536978621445603</v>
      </c>
      <c r="AU224" s="7">
        <v>0.4015968049175625</v>
      </c>
      <c r="AV224" s="7" t="e">
        <v>#N/A</v>
      </c>
    </row>
    <row r="225" spans="37:48" x14ac:dyDescent="0.25">
      <c r="AK225" t="str">
        <v>mercury cougar brougham</v>
      </c>
      <c r="AL225" s="7">
        <v>15</v>
      </c>
      <c r="AM225" s="7">
        <v>16.393685809888794</v>
      </c>
      <c r="AN225" s="7">
        <v>-1.3936858098887939</v>
      </c>
      <c r="AO225" s="7">
        <v>1.1204199527405607E-2</v>
      </c>
      <c r="AP225" s="7">
        <v>-0.30578005752312881</v>
      </c>
      <c r="AQ225" s="7">
        <v>3.5315981636692705E-4</v>
      </c>
      <c r="AR225" s="7">
        <v>0.17027239685422862</v>
      </c>
      <c r="AS225" s="7">
        <v>7.2031196058822966E-2</v>
      </c>
      <c r="AT225" s="7">
        <v>0.55297383077604023</v>
      </c>
      <c r="AU225" s="7">
        <v>-1.4094778813003479</v>
      </c>
      <c r="AV225" s="7" t="e">
        <v>#N/A</v>
      </c>
    </row>
    <row r="226" spans="37:48" x14ac:dyDescent="0.25">
      <c r="AK226" t="str">
        <v>chevrolet concours</v>
      </c>
      <c r="AL226" s="7">
        <v>17.5</v>
      </c>
      <c r="AM226" s="7">
        <v>21.955814924109514</v>
      </c>
      <c r="AN226" s="7">
        <v>-4.4558149241095144</v>
      </c>
      <c r="AO226" s="7">
        <v>2.917680538563657E-3</v>
      </c>
      <c r="AP226" s="7">
        <v>-0.97355215527360073</v>
      </c>
      <c r="AQ226" s="7">
        <v>9.2449360995696512E-4</v>
      </c>
      <c r="AR226" s="7">
        <v>0.17676385996282321</v>
      </c>
      <c r="AS226" s="7">
        <v>7.2031196058822966E-2</v>
      </c>
      <c r="AT226" s="7">
        <v>0.9866874658541076</v>
      </c>
      <c r="AU226" s="7">
        <v>-4.4688536113209558</v>
      </c>
      <c r="AV226" s="7" t="e">
        <v>#N/A</v>
      </c>
    </row>
    <row r="227" spans="37:48" x14ac:dyDescent="0.25">
      <c r="AK227" t="str">
        <v>buick skylark</v>
      </c>
      <c r="AL227" s="7">
        <v>20.5</v>
      </c>
      <c r="AM227" s="7">
        <v>22.386436680600745</v>
      </c>
      <c r="AN227" s="7">
        <v>-1.8864366806007453</v>
      </c>
      <c r="AO227" s="7">
        <v>3.3360984785658094E-3</v>
      </c>
      <c r="AP227" s="7">
        <v>-0.41225454707923942</v>
      </c>
      <c r="AQ227" s="7">
        <v>1.8962683120425861E-4</v>
      </c>
      <c r="AR227" s="7">
        <v>0.18326278037660315</v>
      </c>
      <c r="AS227" s="7">
        <v>7.2031196058822966E-2</v>
      </c>
      <c r="AT227" s="7">
        <v>0.64207051565948692</v>
      </c>
      <c r="AU227" s="7">
        <v>-1.8927510846144313</v>
      </c>
      <c r="AV227" s="7" t="e">
        <v>#N/A</v>
      </c>
    </row>
    <row r="228" spans="37:48" x14ac:dyDescent="0.25">
      <c r="AK228" t="str">
        <v>plymouth volare custom</v>
      </c>
      <c r="AL228" s="7">
        <v>19</v>
      </c>
      <c r="AM228" s="7">
        <v>22.817058437091976</v>
      </c>
      <c r="AN228" s="7">
        <v>-3.8170584370919762</v>
      </c>
      <c r="AO228" s="7">
        <v>4.052782691826292E-3</v>
      </c>
      <c r="AP228" s="7">
        <v>-0.83446520795977142</v>
      </c>
      <c r="AQ228" s="7">
        <v>9.4452228363682946E-4</v>
      </c>
      <c r="AR228" s="7">
        <v>0.18326278037660315</v>
      </c>
      <c r="AS228" s="7">
        <v>7.2031196058822966E-2</v>
      </c>
      <c r="AT228" s="7">
        <v>0.91349067207047685</v>
      </c>
      <c r="AU228" s="7">
        <v>-3.8325910959504919</v>
      </c>
      <c r="AV228" s="7" t="e">
        <v>#N/A</v>
      </c>
    </row>
    <row r="229" spans="37:48" x14ac:dyDescent="0.25">
      <c r="AK229" t="str">
        <v>ford granada</v>
      </c>
      <c r="AL229" s="7">
        <v>18.5</v>
      </c>
      <c r="AM229" s="7">
        <v>22.989307139688467</v>
      </c>
      <c r="AN229" s="7">
        <v>-4.4893071396884672</v>
      </c>
      <c r="AO229" s="7">
        <v>4.4229709336428263E-3</v>
      </c>
      <c r="AP229" s="7">
        <v>-0.98161112479142443</v>
      </c>
      <c r="AQ229" s="7">
        <v>1.4269110673087099E-3</v>
      </c>
      <c r="AR229" s="7">
        <v>0.19628416463254303</v>
      </c>
      <c r="AS229" s="7">
        <v>7.5595703157523106E-2</v>
      </c>
      <c r="AT229" s="7">
        <v>0.99076290039112003</v>
      </c>
      <c r="AU229" s="7">
        <v>-4.5092514276856086</v>
      </c>
      <c r="AV229" s="7" t="e">
        <v>#N/A</v>
      </c>
    </row>
    <row r="230" spans="37:48" x14ac:dyDescent="0.25">
      <c r="AK230" t="str">
        <v>pontiac grand prix lj</v>
      </c>
      <c r="AL230" s="7">
        <v>16</v>
      </c>
      <c r="AM230" s="7">
        <v>12.087468244976494</v>
      </c>
      <c r="AN230" s="7">
        <v>3.9125317550235064</v>
      </c>
      <c r="AO230" s="7">
        <v>1.2660833091078551E-2</v>
      </c>
      <c r="AP230" s="7">
        <v>0.85905758966938084</v>
      </c>
      <c r="AQ230" s="7">
        <v>3.1544178495230592E-3</v>
      </c>
      <c r="AR230" s="7">
        <v>0.19628416463254303</v>
      </c>
      <c r="AS230" s="7">
        <v>8.7243310608373453E-2</v>
      </c>
      <c r="AT230" s="7">
        <v>0.92685359667499856</v>
      </c>
      <c r="AU230" s="7">
        <v>3.9627028747097435</v>
      </c>
      <c r="AV230" s="7" t="e">
        <v>#N/A</v>
      </c>
    </row>
    <row r="231" spans="37:48" x14ac:dyDescent="0.25">
      <c r="AK231" t="str">
        <v>chevrolet monte carlo landau</v>
      </c>
      <c r="AL231" s="7">
        <v>15.5</v>
      </c>
      <c r="AM231" s="7">
        <v>12.948711757958954</v>
      </c>
      <c r="AN231" s="7">
        <v>2.5512882420410463</v>
      </c>
      <c r="AO231" s="7">
        <v>9.9833761922772327E-3</v>
      </c>
      <c r="AP231" s="7">
        <v>0.55941727118638618</v>
      </c>
      <c r="AQ231" s="7">
        <v>1.0519265959007843E-3</v>
      </c>
      <c r="AR231" s="7">
        <v>0.19628416463254303</v>
      </c>
      <c r="AS231" s="7">
        <v>9.0328638514539469E-2</v>
      </c>
      <c r="AT231" s="7">
        <v>0.7479420239473018</v>
      </c>
      <c r="AU231" s="7">
        <v>2.5770155578079947</v>
      </c>
      <c r="AV231" s="7" t="e">
        <v>#N/A</v>
      </c>
    </row>
    <row r="232" spans="37:48" x14ac:dyDescent="0.25">
      <c r="AK232" t="str">
        <v>chrysler cordoba</v>
      </c>
      <c r="AL232" s="7">
        <v>15.5</v>
      </c>
      <c r="AM232" s="7">
        <v>11.226224731994034</v>
      </c>
      <c r="AN232" s="7">
        <v>4.2737752680059664</v>
      </c>
      <c r="AO232" s="7">
        <v>1.6531355082913195E-2</v>
      </c>
      <c r="AP232" s="7">
        <v>0.94021896892245982</v>
      </c>
      <c r="AQ232" s="7">
        <v>4.9531867108269494E-3</v>
      </c>
      <c r="AR232" s="7">
        <v>0.19628416463254303</v>
      </c>
      <c r="AS232" s="7">
        <v>9.7050112120617413E-2</v>
      </c>
      <c r="AT232" s="7">
        <v>0.96964888950715544</v>
      </c>
      <c r="AU232" s="7">
        <v>4.3456141587170531</v>
      </c>
      <c r="AV232" s="7" t="e">
        <v>#N/A</v>
      </c>
    </row>
    <row r="233" spans="37:48" x14ac:dyDescent="0.25">
      <c r="AK233" t="str">
        <v>ford thunderbird</v>
      </c>
      <c r="AL233" s="7">
        <v>16</v>
      </c>
      <c r="AM233" s="7">
        <v>14.757323135222121</v>
      </c>
      <c r="AN233" s="7">
        <v>1.242676864777879</v>
      </c>
      <c r="AO233" s="7">
        <v>8.2441435826180916E-3</v>
      </c>
      <c r="AP233" s="7">
        <v>0.27224092558452889</v>
      </c>
      <c r="AQ233" s="7">
        <v>2.0536495948266821E-4</v>
      </c>
      <c r="AR233" s="7">
        <v>0.19628416463254303</v>
      </c>
      <c r="AS233" s="7">
        <v>9.8083158493087505E-2</v>
      </c>
      <c r="AT233" s="7">
        <v>0.52176711815189059</v>
      </c>
      <c r="AU233" s="7">
        <v>1.2530068330192916</v>
      </c>
      <c r="AV233" s="7" t="e">
        <v>#N/A</v>
      </c>
    </row>
    <row r="234" spans="37:48" x14ac:dyDescent="0.25">
      <c r="AK234" t="str">
        <v>volkswagen rabbit custom</v>
      </c>
      <c r="AL234" s="7">
        <v>29</v>
      </c>
      <c r="AM234" s="7">
        <v>28.551436253909188</v>
      </c>
      <c r="AN234" s="7">
        <v>0.44856374609081229</v>
      </c>
      <c r="AO234" s="7">
        <v>4.4693678232826531E-3</v>
      </c>
      <c r="AP234" s="7">
        <v>9.8083158493087505E-2</v>
      </c>
      <c r="AQ234" s="7">
        <v>1.4396572242431506E-5</v>
      </c>
      <c r="AR234" s="7">
        <v>0.19628416463254303</v>
      </c>
      <c r="AS234" s="7">
        <v>0.10162784818039022</v>
      </c>
      <c r="AT234" s="7">
        <v>0.31318230871664432</v>
      </c>
      <c r="AU234" s="7">
        <v>0.45057754286277696</v>
      </c>
      <c r="AV234" s="7" t="e">
        <v>#N/A</v>
      </c>
    </row>
    <row r="235" spans="37:48" x14ac:dyDescent="0.25">
      <c r="AK235" t="str">
        <v>pontiac sunbird coupe</v>
      </c>
      <c r="AL235" s="7">
        <v>24.5</v>
      </c>
      <c r="AM235" s="7">
        <v>27.690192740926726</v>
      </c>
      <c r="AN235" s="7">
        <v>-3.1901927409267259</v>
      </c>
      <c r="AO235" s="7">
        <v>5.2484190645161813E-3</v>
      </c>
      <c r="AP235" s="7">
        <v>-0.69784213782096893</v>
      </c>
      <c r="AQ235" s="7">
        <v>8.5645981642554962E-4</v>
      </c>
      <c r="AR235" s="7">
        <v>0.19628416463254303</v>
      </c>
      <c r="AS235" s="7">
        <v>0.10247547682236685</v>
      </c>
      <c r="AT235" s="7">
        <v>0.83536946186760319</v>
      </c>
      <c r="AU235" s="7">
        <v>-3.2070245497138155</v>
      </c>
      <c r="AV235" s="7" t="e">
        <v>#N/A</v>
      </c>
    </row>
    <row r="236" spans="37:48" x14ac:dyDescent="0.25">
      <c r="AK236" t="str">
        <v>toyota corolla liftback</v>
      </c>
      <c r="AL236" s="7">
        <v>26</v>
      </c>
      <c r="AM236" s="7">
        <v>28.809809307803924</v>
      </c>
      <c r="AN236" s="7">
        <v>-2.8098093078039241</v>
      </c>
      <c r="AO236" s="7">
        <v>4.4683001440540973E-3</v>
      </c>
      <c r="AP236" s="7">
        <v>-0.61439388780428683</v>
      </c>
      <c r="AQ236" s="7">
        <v>5.647545814185575E-4</v>
      </c>
      <c r="AR236" s="7">
        <v>0.19628416463254303</v>
      </c>
      <c r="AS236" s="7">
        <v>0.10546369916852878</v>
      </c>
      <c r="AT236" s="7">
        <v>0.78383281878490318</v>
      </c>
      <c r="AU236" s="7">
        <v>-2.8224207307617681</v>
      </c>
      <c r="AV236" s="7" t="e">
        <v>#N/A</v>
      </c>
    </row>
    <row r="237" spans="37:48" x14ac:dyDescent="0.25">
      <c r="AK237" t="str">
        <v>ford mustang ii 2+2</v>
      </c>
      <c r="AL237" s="7">
        <v>25.5</v>
      </c>
      <c r="AM237" s="7">
        <v>27.60406838962848</v>
      </c>
      <c r="AN237" s="7">
        <v>-2.1040683896284804</v>
      </c>
      <c r="AO237" s="7">
        <v>5.3919427687563713E-3</v>
      </c>
      <c r="AP237" s="7">
        <v>-0.46028990667948183</v>
      </c>
      <c r="AQ237" s="7">
        <v>3.8285555204048985E-4</v>
      </c>
      <c r="AR237" s="7">
        <v>0.19628416463254303</v>
      </c>
      <c r="AS237" s="7">
        <v>0.10546369916852878</v>
      </c>
      <c r="AT237" s="7">
        <v>0.6784466866891472</v>
      </c>
      <c r="AU237" s="7">
        <v>-2.1154749092679932</v>
      </c>
      <c r="AV237" s="7" t="e">
        <v>#N/A</v>
      </c>
    </row>
    <row r="238" spans="37:48" x14ac:dyDescent="0.25">
      <c r="AK238" t="str">
        <v>chevrolet chevette</v>
      </c>
      <c r="AL238" s="7">
        <v>30.5</v>
      </c>
      <c r="AM238" s="7">
        <v>29.843301523382877</v>
      </c>
      <c r="AN238" s="7">
        <v>0.65669847661712311</v>
      </c>
      <c r="AO238" s="7">
        <v>5.5377880108698979E-3</v>
      </c>
      <c r="AP238" s="7">
        <v>0.14367111182576714</v>
      </c>
      <c r="AQ238" s="7">
        <v>3.8314723168302794E-5</v>
      </c>
      <c r="AR238" s="7">
        <v>0.19628416463254303</v>
      </c>
      <c r="AS238" s="7">
        <v>0.10546369916852878</v>
      </c>
      <c r="AT238" s="7">
        <v>0.37903972328209501</v>
      </c>
      <c r="AU238" s="7">
        <v>0.66035538474970334</v>
      </c>
      <c r="AV238" s="7" t="e">
        <v>#N/A</v>
      </c>
    </row>
    <row r="239" spans="37:48" x14ac:dyDescent="0.25">
      <c r="AK239" t="str">
        <v>dodge colt m/m</v>
      </c>
      <c r="AL239" s="7">
        <v>33.5</v>
      </c>
      <c r="AM239" s="7">
        <v>28.120814497417957</v>
      </c>
      <c r="AN239" s="7">
        <v>5.3791855025820432</v>
      </c>
      <c r="AO239" s="7">
        <v>4.7097603072702486E-3</v>
      </c>
      <c r="AP239" s="7">
        <v>1.1763572546689465</v>
      </c>
      <c r="AQ239" s="7">
        <v>2.1827614529364822E-3</v>
      </c>
      <c r="AR239" s="7">
        <v>0.26194045846440461</v>
      </c>
      <c r="AS239" s="7">
        <v>0.10573124814331297</v>
      </c>
      <c r="AT239" s="7">
        <v>1.0846000436423311</v>
      </c>
      <c r="AU239" s="7">
        <v>5.4046400618202872</v>
      </c>
      <c r="AV239" s="7" t="e">
        <v>#N/A</v>
      </c>
    </row>
    <row r="240" spans="37:48" x14ac:dyDescent="0.25">
      <c r="AK240" t="str">
        <v>subaru dl</v>
      </c>
      <c r="AL240" s="7">
        <v>30</v>
      </c>
      <c r="AM240" s="7">
        <v>29.498804118189895</v>
      </c>
      <c r="AN240" s="7">
        <v>0.50119588181010499</v>
      </c>
      <c r="AO240" s="7">
        <v>4.9904016403792923E-3</v>
      </c>
      <c r="AP240" s="7">
        <v>0.10962041583844254</v>
      </c>
      <c r="AQ240" s="7">
        <v>2.0089534128518403E-5</v>
      </c>
      <c r="AR240" s="7">
        <v>0.26856388625555183</v>
      </c>
      <c r="AS240" s="7">
        <v>0.10573124814331297</v>
      </c>
      <c r="AT240" s="7">
        <v>0.33108973985679857</v>
      </c>
      <c r="AU240" s="7">
        <v>0.50370959499926415</v>
      </c>
      <c r="AV240" s="7" t="e">
        <v>#N/A</v>
      </c>
    </row>
    <row r="241" spans="37:48" x14ac:dyDescent="0.25">
      <c r="AK241" t="str">
        <v>volkswagen dasher</v>
      </c>
      <c r="AL241" s="7">
        <v>30.5</v>
      </c>
      <c r="AM241" s="7">
        <v>28.551436253909188</v>
      </c>
      <c r="AN241" s="7">
        <v>1.9485637460908123</v>
      </c>
      <c r="AO241" s="7">
        <v>4.4693678232826531E-3</v>
      </c>
      <c r="AP241" s="7">
        <v>0.42607385997489128</v>
      </c>
      <c r="AQ241" s="7">
        <v>2.7166894543681497E-4</v>
      </c>
      <c r="AR241" s="7">
        <v>0.26856388625555183</v>
      </c>
      <c r="AS241" s="7">
        <v>0.10573124814331297</v>
      </c>
      <c r="AT241" s="7">
        <v>0.65274333391838735</v>
      </c>
      <c r="AU241" s="7">
        <v>1.9573116919871145</v>
      </c>
      <c r="AV241" s="7" t="e">
        <v>#N/A</v>
      </c>
    </row>
    <row r="242" spans="37:48" x14ac:dyDescent="0.25">
      <c r="AK242" t="str">
        <v>datsun 810</v>
      </c>
      <c r="AL242" s="7">
        <v>22</v>
      </c>
      <c r="AM242" s="7">
        <v>23.075431490986713</v>
      </c>
      <c r="AN242" s="7">
        <v>-1.0754314909867126</v>
      </c>
      <c r="AO242" s="7">
        <v>4.6259610309465887E-3</v>
      </c>
      <c r="AP242" s="7">
        <v>-0.23517284937736221</v>
      </c>
      <c r="AQ242" s="7">
        <v>8.5677891102409269E-5</v>
      </c>
      <c r="AR242" s="7">
        <v>0.2818464860769076</v>
      </c>
      <c r="AS242" s="7">
        <v>0.10590320217733296</v>
      </c>
      <c r="AT242" s="7">
        <v>0.48494623349126265</v>
      </c>
      <c r="AU242" s="7">
        <v>-1.080429515823597</v>
      </c>
      <c r="AV242" s="7" t="e">
        <v>#N/A</v>
      </c>
    </row>
    <row r="243" spans="37:48" x14ac:dyDescent="0.25">
      <c r="AK243" t="str">
        <v>bmw 320i</v>
      </c>
      <c r="AL243" s="7">
        <v>21.5</v>
      </c>
      <c r="AM243" s="7">
        <v>25.795457012365315</v>
      </c>
      <c r="AN243" s="7">
        <v>-4.2954570123653149</v>
      </c>
      <c r="AO243" s="7">
        <v>1.1161920922707359E-2</v>
      </c>
      <c r="AP243" s="7">
        <v>-0.94241973589503336</v>
      </c>
      <c r="AQ243" s="7">
        <v>3.3418061139339037E-3</v>
      </c>
      <c r="AR243" s="7">
        <v>0.2818464860769076</v>
      </c>
      <c r="AS243" s="7">
        <v>0.10962041583844254</v>
      </c>
      <c r="AT243" s="7">
        <v>0.97078305295005707</v>
      </c>
      <c r="AU243" s="7">
        <v>-4.3439437692099236</v>
      </c>
      <c r="AV243" s="7" t="e">
        <v>#N/A</v>
      </c>
    </row>
    <row r="244" spans="37:48" x14ac:dyDescent="0.25">
      <c r="AK244" t="str">
        <v>mazda rx-4</v>
      </c>
      <c r="AL244" s="7">
        <v>21.5</v>
      </c>
      <c r="AM244" s="7">
        <v>27.715278056493215</v>
      </c>
      <c r="AN244" s="7">
        <v>-6.2152780564932151</v>
      </c>
      <c r="AO244" s="7">
        <v>2.4396376714310455E-2</v>
      </c>
      <c r="AP244" s="7">
        <v>-1.3728448120257164</v>
      </c>
      <c r="AQ244" s="7">
        <v>1.570990523421947E-2</v>
      </c>
      <c r="AR244" s="7">
        <v>0.29517900048864598</v>
      </c>
      <c r="AS244" s="7">
        <v>0.10962041583844254</v>
      </c>
      <c r="AT244" s="7">
        <v>1.1716846043307543</v>
      </c>
      <c r="AU244" s="7">
        <v>-6.3707000549680952</v>
      </c>
      <c r="AV244" s="7">
        <v>1.570990523421947E-2</v>
      </c>
    </row>
    <row r="245" spans="37:48" x14ac:dyDescent="0.25">
      <c r="AK245" t="str">
        <v>volkswagen rabbit custom diesel</v>
      </c>
      <c r="AL245" s="7">
        <v>43.1</v>
      </c>
      <c r="AM245" s="7">
        <v>31.13516679285657</v>
      </c>
      <c r="AN245" s="7">
        <v>11.964833207143432</v>
      </c>
      <c r="AO245" s="7">
        <v>9.2906046577821942E-3</v>
      </c>
      <c r="AP245" s="7">
        <v>2.6225941881597925</v>
      </c>
      <c r="AQ245" s="7">
        <v>2.1500008545633598E-2</v>
      </c>
      <c r="AR245" s="7">
        <v>0.30186483701074074</v>
      </c>
      <c r="AS245" s="7">
        <v>0.12845042911501287</v>
      </c>
      <c r="AT245" s="7">
        <v>1.6194425547575908</v>
      </c>
      <c r="AU245" s="7">
        <v>12.077036175689496</v>
      </c>
      <c r="AV245" s="7">
        <v>2.1500008545633598E-2</v>
      </c>
    </row>
    <row r="246" spans="37:48" x14ac:dyDescent="0.25">
      <c r="AK246" t="str">
        <v>ford fiesta</v>
      </c>
      <c r="AL246" s="7">
        <v>36.1</v>
      </c>
      <c r="AM246" s="7">
        <v>29.58492846948814</v>
      </c>
      <c r="AN246" s="7">
        <v>6.5150715305118609</v>
      </c>
      <c r="AO246" s="7">
        <v>5.1093522566064437E-3</v>
      </c>
      <c r="AP246" s="7">
        <v>1.4250467123585293</v>
      </c>
      <c r="AQ246" s="7">
        <v>3.4763816070151323E-3</v>
      </c>
      <c r="AR246" s="7">
        <v>0.30186483701074074</v>
      </c>
      <c r="AS246" s="7">
        <v>0.13302767855840289</v>
      </c>
      <c r="AT246" s="7">
        <v>1.1937532041249268</v>
      </c>
      <c r="AU246" s="7">
        <v>6.5485302784676049</v>
      </c>
      <c r="AV246" s="7" t="e">
        <v>#N/A</v>
      </c>
    </row>
    <row r="247" spans="37:48" x14ac:dyDescent="0.25">
      <c r="AK247" t="str">
        <v>mazda glc deluxe</v>
      </c>
      <c r="AL247" s="7">
        <v>32.799999999999997</v>
      </c>
      <c r="AM247" s="7">
        <v>30.790669387663584</v>
      </c>
      <c r="AN247" s="7">
        <v>2.009330612336413</v>
      </c>
      <c r="AO247" s="7">
        <v>8.0273792314715757E-3</v>
      </c>
      <c r="AP247" s="7">
        <v>0.44014841728693421</v>
      </c>
      <c r="AQ247" s="7">
        <v>5.2257800840571536E-4</v>
      </c>
      <c r="AR247" s="7">
        <v>0.30186483701074074</v>
      </c>
      <c r="AS247" s="7">
        <v>0.13603141782692912</v>
      </c>
      <c r="AT247" s="7">
        <v>0.66343682237793689</v>
      </c>
      <c r="AU247" s="7">
        <v>2.0255907978384413</v>
      </c>
      <c r="AV247" s="7" t="e">
        <v>#N/A</v>
      </c>
    </row>
    <row r="248" spans="37:48" x14ac:dyDescent="0.25">
      <c r="AK248" t="str">
        <v>datsun b210 gx</v>
      </c>
      <c r="AL248" s="7">
        <v>39.4</v>
      </c>
      <c r="AM248" s="7">
        <v>29.240431064295155</v>
      </c>
      <c r="AN248" s="7">
        <v>10.159568935704844</v>
      </c>
      <c r="AO248" s="7">
        <v>4.7051336972798391E-3</v>
      </c>
      <c r="AP248" s="7">
        <v>2.2217591935428351</v>
      </c>
      <c r="AQ248" s="7">
        <v>7.77844744323649E-3</v>
      </c>
      <c r="AR248" s="7">
        <v>0.30186483701074074</v>
      </c>
      <c r="AS248" s="7">
        <v>0.14317304990868077</v>
      </c>
      <c r="AT248" s="7">
        <v>1.4905566723686943</v>
      </c>
      <c r="AU248" s="7">
        <v>10.207597044527303</v>
      </c>
      <c r="AV248" s="7" t="e">
        <v>#N/A</v>
      </c>
    </row>
    <row r="249" spans="37:48" x14ac:dyDescent="0.25">
      <c r="AK249" t="str">
        <v>honda civic cvcc</v>
      </c>
      <c r="AL249" s="7">
        <v>36.1</v>
      </c>
      <c r="AM249" s="7">
        <v>30.101674577277617</v>
      </c>
      <c r="AN249" s="7">
        <v>5.9983254227223846</v>
      </c>
      <c r="AO249" s="7">
        <v>6.0735996235063523E-3</v>
      </c>
      <c r="AP249" s="7">
        <v>1.3126546966273303</v>
      </c>
      <c r="AQ249" s="7">
        <v>3.5097135468415207E-3</v>
      </c>
      <c r="AR249" s="7">
        <v>0.30186483701074074</v>
      </c>
      <c r="AS249" s="7">
        <v>0.14367111182576714</v>
      </c>
      <c r="AT249" s="7">
        <v>1.1457114368929597</v>
      </c>
      <c r="AU249" s="7">
        <v>6.0349794717699954</v>
      </c>
      <c r="AV249" s="7" t="e">
        <v>#N/A</v>
      </c>
    </row>
    <row r="250" spans="37:48" x14ac:dyDescent="0.25">
      <c r="AK250" t="str">
        <v>oldsmobile cutlass salon brougham</v>
      </c>
      <c r="AL250" s="7">
        <v>19.899999999999999</v>
      </c>
      <c r="AM250" s="7">
        <v>18.116172835853714</v>
      </c>
      <c r="AN250" s="7">
        <v>1.7838271641462846</v>
      </c>
      <c r="AO250" s="7">
        <v>1.8973001753169925E-2</v>
      </c>
      <c r="AP250" s="7">
        <v>0.39292519717829899</v>
      </c>
      <c r="AQ250" s="7">
        <v>9.9529905605586855E-4</v>
      </c>
      <c r="AR250" s="7">
        <v>0.30186483701074074</v>
      </c>
      <c r="AS250" s="7">
        <v>0.16610736899485454</v>
      </c>
      <c r="AT250" s="7">
        <v>0.62683745674480795</v>
      </c>
      <c r="AU250" s="7">
        <v>1.8183262716868338</v>
      </c>
      <c r="AV250" s="7" t="e">
        <v>#N/A</v>
      </c>
    </row>
    <row r="251" spans="37:48" x14ac:dyDescent="0.25">
      <c r="AK251" t="str">
        <v>dodge diplomat</v>
      </c>
      <c r="AL251" s="7">
        <v>19.399999999999999</v>
      </c>
      <c r="AM251" s="7">
        <v>15.532442296906334</v>
      </c>
      <c r="AN251" s="7">
        <v>3.8675577030936648</v>
      </c>
      <c r="AO251" s="7">
        <v>9.1093960540734702E-3</v>
      </c>
      <c r="AP251" s="7">
        <v>0.8476596944936744</v>
      </c>
      <c r="AQ251" s="7">
        <v>2.2018396403099419E-3</v>
      </c>
      <c r="AR251" s="7">
        <v>0.30186483701074074</v>
      </c>
      <c r="AS251" s="7">
        <v>0.17433779010380832</v>
      </c>
      <c r="AT251" s="7">
        <v>0.9206843620338484</v>
      </c>
      <c r="AU251" s="7">
        <v>3.9031127025448304</v>
      </c>
      <c r="AV251" s="7" t="e">
        <v>#N/A</v>
      </c>
    </row>
    <row r="252" spans="37:48" x14ac:dyDescent="0.25">
      <c r="AK252" t="str">
        <v>mercury monarch ghia</v>
      </c>
      <c r="AL252" s="7">
        <v>20.2</v>
      </c>
      <c r="AM252" s="7">
        <v>15.618566648204581</v>
      </c>
      <c r="AN252" s="7">
        <v>4.5814333517954182</v>
      </c>
      <c r="AO252" s="7">
        <v>9.2651884722202045E-3</v>
      </c>
      <c r="AP252" s="7">
        <v>1.0042000715035722</v>
      </c>
      <c r="AQ252" s="7">
        <v>3.1435189030576986E-3</v>
      </c>
      <c r="AR252" s="7">
        <v>0.30186483701074074</v>
      </c>
      <c r="AS252" s="7">
        <v>0.19226632799068005</v>
      </c>
      <c r="AT252" s="7">
        <v>1.0020978352953229</v>
      </c>
      <c r="AU252" s="7">
        <v>4.6242781605004266</v>
      </c>
      <c r="AV252" s="7" t="e">
        <v>#N/A</v>
      </c>
    </row>
    <row r="253" spans="37:48" x14ac:dyDescent="0.25">
      <c r="AK253" t="str">
        <v>pontiac phoenix lj</v>
      </c>
      <c r="AL253" s="7">
        <v>19.2</v>
      </c>
      <c r="AM253" s="7">
        <v>22.386436680600745</v>
      </c>
      <c r="AN253" s="7">
        <v>-3.186436680600746</v>
      </c>
      <c r="AO253" s="7">
        <v>3.3360984785658094E-3</v>
      </c>
      <c r="AP253" s="7">
        <v>-0.69635149913402117</v>
      </c>
      <c r="AQ253" s="7">
        <v>5.4103568221772398E-4</v>
      </c>
      <c r="AR253" s="7">
        <v>0.30186483701074074</v>
      </c>
      <c r="AS253" s="7">
        <v>0.19297528085561669</v>
      </c>
      <c r="AT253" s="7">
        <v>0.83447678166263028</v>
      </c>
      <c r="AU253" s="7">
        <v>-3.1971025294851807</v>
      </c>
      <c r="AV253" s="7" t="e">
        <v>#N/A</v>
      </c>
    </row>
    <row r="254" spans="37:48" x14ac:dyDescent="0.25">
      <c r="AK254" t="str">
        <v>chevrolet malibu</v>
      </c>
      <c r="AL254" s="7">
        <v>20.5</v>
      </c>
      <c r="AM254" s="7">
        <v>23.247680193583207</v>
      </c>
      <c r="AN254" s="7">
        <v>-2.7476801935832071</v>
      </c>
      <c r="AO254" s="7">
        <v>5.0677331783451334E-3</v>
      </c>
      <c r="AP254" s="7">
        <v>-0.60098967616767907</v>
      </c>
      <c r="AQ254" s="7">
        <v>6.1324355656521706E-4</v>
      </c>
      <c r="AR254" s="7">
        <v>0.30186483701074074</v>
      </c>
      <c r="AS254" s="7">
        <v>0.20547400588399048</v>
      </c>
      <c r="AT254" s="7">
        <v>0.77523523924527515</v>
      </c>
      <c r="AU254" s="7">
        <v>-2.761675628795079</v>
      </c>
      <c r="AV254" s="7" t="e">
        <v>#N/A</v>
      </c>
    </row>
    <row r="255" spans="37:48" x14ac:dyDescent="0.25">
      <c r="AK255" t="str">
        <v>ford fairmont (auto)</v>
      </c>
      <c r="AL255" s="7">
        <v>20.2</v>
      </c>
      <c r="AM255" s="7">
        <v>24.108923706565665</v>
      </c>
      <c r="AN255" s="7">
        <v>-3.9089237065656661</v>
      </c>
      <c r="AO255" s="7">
        <v>7.9924329711578042E-3</v>
      </c>
      <c r="AP255" s="7">
        <v>-0.85624350072879274</v>
      </c>
      <c r="AQ255" s="7">
        <v>1.9689620206179148E-3</v>
      </c>
      <c r="AR255" s="7">
        <v>0.30186483701074074</v>
      </c>
      <c r="AS255" s="7">
        <v>0.21110948803406429</v>
      </c>
      <c r="AT255" s="7">
        <v>0.9253342643222463</v>
      </c>
      <c r="AU255" s="7">
        <v>-3.9404172271319133</v>
      </c>
      <c r="AV255" s="7" t="e">
        <v>#N/A</v>
      </c>
    </row>
    <row r="256" spans="37:48" x14ac:dyDescent="0.25">
      <c r="AK256" t="str">
        <v>ford fairmont (man)</v>
      </c>
      <c r="AL256" s="7">
        <v>25.1</v>
      </c>
      <c r="AM256" s="7">
        <v>27.690192740926726</v>
      </c>
      <c r="AN256" s="7">
        <v>-2.5901927409267245</v>
      </c>
      <c r="AO256" s="7">
        <v>5.2484190645161813E-3</v>
      </c>
      <c r="AP256" s="7">
        <v>-0.56659449333822465</v>
      </c>
      <c r="AQ256" s="7">
        <v>5.6459536733403709E-4</v>
      </c>
      <c r="AR256" s="7">
        <v>0.30186483701074074</v>
      </c>
      <c r="AS256" s="7">
        <v>0.24580817985276052</v>
      </c>
      <c r="AT256" s="7">
        <v>0.75272471285206566</v>
      </c>
      <c r="AU256" s="7">
        <v>-2.6038588835323657</v>
      </c>
      <c r="AV256" s="7" t="e">
        <v>#N/A</v>
      </c>
    </row>
    <row r="257" spans="37:48" x14ac:dyDescent="0.25">
      <c r="AK257" t="str">
        <v>plymouth volare</v>
      </c>
      <c r="AL257" s="7">
        <v>20.5</v>
      </c>
      <c r="AM257" s="7">
        <v>22.817058437091976</v>
      </c>
      <c r="AN257" s="7">
        <v>-2.3170584370919762</v>
      </c>
      <c r="AO257" s="7">
        <v>4.052782691826292E-3</v>
      </c>
      <c r="AP257" s="7">
        <v>-0.50654310968210858</v>
      </c>
      <c r="AQ257" s="7">
        <v>3.4803952305905898E-4</v>
      </c>
      <c r="AR257" s="7">
        <v>0.30186483701074074</v>
      </c>
      <c r="AS257" s="7">
        <v>0.27224092558452889</v>
      </c>
      <c r="AT257" s="7">
        <v>0.71171842022116338</v>
      </c>
      <c r="AU257" s="7">
        <v>-2.3264871840843893</v>
      </c>
      <c r="AV257" s="7" t="e">
        <v>#N/A</v>
      </c>
    </row>
    <row r="258" spans="37:48" x14ac:dyDescent="0.25">
      <c r="AK258" t="str">
        <v>amc concord</v>
      </c>
      <c r="AL258" s="7">
        <v>19.399999999999999</v>
      </c>
      <c r="AM258" s="7">
        <v>23.678301950074435</v>
      </c>
      <c r="AN258" s="7">
        <v>-4.2783019500744359</v>
      </c>
      <c r="AO258" s="7">
        <v>6.3809499381223024E-3</v>
      </c>
      <c r="AP258" s="7">
        <v>-0.93639495310532472</v>
      </c>
      <c r="AQ258" s="7">
        <v>1.8769914826179993E-3</v>
      </c>
      <c r="AR258" s="7">
        <v>0.30186483701074074</v>
      </c>
      <c r="AS258" s="7">
        <v>0.27907787225852959</v>
      </c>
      <c r="AT258" s="7">
        <v>0.96767502453319765</v>
      </c>
      <c r="AU258" s="7">
        <v>-4.3057768968982675</v>
      </c>
      <c r="AV258" s="7" t="e">
        <v>#N/A</v>
      </c>
    </row>
    <row r="259" spans="37:48" x14ac:dyDescent="0.25">
      <c r="AK259" t="str">
        <v>buick century special</v>
      </c>
      <c r="AL259" s="7">
        <v>20.6</v>
      </c>
      <c r="AM259" s="7">
        <v>22.386436680600745</v>
      </c>
      <c r="AN259" s="7">
        <v>-1.7864366806007439</v>
      </c>
      <c r="AO259" s="7">
        <v>3.3360984785658094E-3</v>
      </c>
      <c r="AP259" s="7">
        <v>-0.39040093538271747</v>
      </c>
      <c r="AQ259" s="7">
        <v>1.7005545895883173E-4</v>
      </c>
      <c r="AR259" s="7">
        <v>0.39705550482904034</v>
      </c>
      <c r="AS259" s="7">
        <v>0.29070078214316813</v>
      </c>
      <c r="AT259" s="7">
        <v>0.62482072259386334</v>
      </c>
      <c r="AU259" s="7">
        <v>-1.7924163580859109</v>
      </c>
      <c r="AV259" s="7" t="e">
        <v>#N/A</v>
      </c>
    </row>
    <row r="260" spans="37:48" x14ac:dyDescent="0.25">
      <c r="AK260" t="str">
        <v>mercury zephyr</v>
      </c>
      <c r="AL260" s="7">
        <v>20.8</v>
      </c>
      <c r="AM260" s="7">
        <v>24.108923706565665</v>
      </c>
      <c r="AN260" s="7">
        <v>-3.3089237065656647</v>
      </c>
      <c r="AO260" s="7">
        <v>7.9924329711578042E-3</v>
      </c>
      <c r="AP260" s="7">
        <v>-0.72481445810655942</v>
      </c>
      <c r="AQ260" s="7">
        <v>1.410900731340197E-3</v>
      </c>
      <c r="AR260" s="7">
        <v>0.40398399337523622</v>
      </c>
      <c r="AS260" s="7">
        <v>0.29110336652836843</v>
      </c>
      <c r="AT260" s="7">
        <v>0.85136035737316273</v>
      </c>
      <c r="AU260" s="7">
        <v>-3.3355831311611954</v>
      </c>
      <c r="AV260" s="7" t="e">
        <v>#N/A</v>
      </c>
    </row>
    <row r="261" spans="37:48" x14ac:dyDescent="0.25">
      <c r="AK261" t="str">
        <v>dodge aspen</v>
      </c>
      <c r="AL261" s="7">
        <v>18.600000000000001</v>
      </c>
      <c r="AM261" s="7">
        <v>21.955814924109514</v>
      </c>
      <c r="AN261" s="7">
        <v>-3.355814924109513</v>
      </c>
      <c r="AO261" s="7">
        <v>2.917680538563657E-3</v>
      </c>
      <c r="AP261" s="7">
        <v>-0.73321287075653097</v>
      </c>
      <c r="AQ261" s="7">
        <v>5.2437940738172899E-4</v>
      </c>
      <c r="AR261" s="7">
        <v>0.41093192943060336</v>
      </c>
      <c r="AS261" s="7">
        <v>0.29110336652836843</v>
      </c>
      <c r="AT261" s="7">
        <v>0.85627850069736711</v>
      </c>
      <c r="AU261" s="7">
        <v>-3.3656347711813019</v>
      </c>
      <c r="AV261" s="7" t="e">
        <v>#N/A</v>
      </c>
    </row>
    <row r="262" spans="37:48" x14ac:dyDescent="0.25">
      <c r="AK262" t="str">
        <v>amc concord d/l</v>
      </c>
      <c r="AL262" s="7">
        <v>18.100000000000001</v>
      </c>
      <c r="AM262" s="7">
        <v>21.094571411127056</v>
      </c>
      <c r="AN262" s="7">
        <v>-2.9945714111270547</v>
      </c>
      <c r="AO262" s="7">
        <v>2.9756434783343778E-3</v>
      </c>
      <c r="AP262" s="7">
        <v>-0.6543037006170267</v>
      </c>
      <c r="AQ262" s="7">
        <v>4.2590488986177179E-4</v>
      </c>
      <c r="AR262" s="7">
        <v>0.41093192943060336</v>
      </c>
      <c r="AS262" s="7">
        <v>0.29110336652836843</v>
      </c>
      <c r="AT262" s="7">
        <v>0.80889041323100541</v>
      </c>
      <c r="AU262" s="7">
        <v>-3.0035087824476649</v>
      </c>
      <c r="AV262" s="7" t="e">
        <v>#N/A</v>
      </c>
    </row>
    <row r="263" spans="37:48" x14ac:dyDescent="0.25">
      <c r="AK263" t="str">
        <v>chevrolet monte carlo landau</v>
      </c>
      <c r="AL263" s="7">
        <v>19.2</v>
      </c>
      <c r="AM263" s="7">
        <v>15.101820540415105</v>
      </c>
      <c r="AN263" s="7">
        <v>4.0981794595848946</v>
      </c>
      <c r="AO263" s="7">
        <v>8.5093937272949383E-3</v>
      </c>
      <c r="AP263" s="7">
        <v>0.89793367014500824</v>
      </c>
      <c r="AQ263" s="7">
        <v>2.3066264816063633E-3</v>
      </c>
      <c r="AR263" s="7">
        <v>0.42488793897993393</v>
      </c>
      <c r="AS263" s="7">
        <v>0.29276767691947903</v>
      </c>
      <c r="AT263" s="7">
        <v>0.94759362078108578</v>
      </c>
      <c r="AU263" s="7">
        <v>4.133351777271109</v>
      </c>
      <c r="AV263" s="7" t="e">
        <v>#N/A</v>
      </c>
    </row>
    <row r="264" spans="37:48" x14ac:dyDescent="0.25">
      <c r="AK264" t="str">
        <v>buick regal sport coupe (turbo)</v>
      </c>
      <c r="AL264" s="7">
        <v>17.7</v>
      </c>
      <c r="AM264" s="7">
        <v>17.218975602705985</v>
      </c>
      <c r="AN264" s="7">
        <v>0.48102439729401425</v>
      </c>
      <c r="AO264" s="7">
        <v>1.8000657233590359E-2</v>
      </c>
      <c r="AP264" s="7">
        <v>0.10590320217733296</v>
      </c>
      <c r="AQ264" s="7">
        <v>6.852895264074059E-5</v>
      </c>
      <c r="AR264" s="7">
        <v>0.43189692948271047</v>
      </c>
      <c r="AS264" s="7">
        <v>0.32164730554922211</v>
      </c>
      <c r="AT264" s="7">
        <v>0.32542772189432934</v>
      </c>
      <c r="AU264" s="7">
        <v>0.48984187294760401</v>
      </c>
      <c r="AV264" s="7" t="e">
        <v>#N/A</v>
      </c>
    </row>
    <row r="265" spans="37:48" x14ac:dyDescent="0.25">
      <c r="AK265" t="str">
        <v>ford futura</v>
      </c>
      <c r="AL265" s="7">
        <v>18.100000000000001</v>
      </c>
      <c r="AM265" s="7">
        <v>15.618566648204581</v>
      </c>
      <c r="AN265" s="7">
        <v>2.4814333517954204</v>
      </c>
      <c r="AO265" s="7">
        <v>9.2651884722202045E-3</v>
      </c>
      <c r="AP265" s="7">
        <v>0.54390304473768591</v>
      </c>
      <c r="AQ265" s="7">
        <v>9.2218607541500429E-4</v>
      </c>
      <c r="AR265" s="7">
        <v>0.43189692948271047</v>
      </c>
      <c r="AS265" s="7">
        <v>0.3224545455949826</v>
      </c>
      <c r="AT265" s="7">
        <v>0.73749782693760246</v>
      </c>
      <c r="AU265" s="7">
        <v>2.5046393070299842</v>
      </c>
      <c r="AV265" s="7" t="e">
        <v>#N/A</v>
      </c>
    </row>
    <row r="266" spans="37:48" x14ac:dyDescent="0.25">
      <c r="AK266" t="str">
        <v>dodge magnum xe</v>
      </c>
      <c r="AL266" s="7">
        <v>17.5</v>
      </c>
      <c r="AM266" s="7">
        <v>15.532442296906334</v>
      </c>
      <c r="AN266" s="7">
        <v>1.9675577030936662</v>
      </c>
      <c r="AO266" s="7">
        <v>9.1093960540734702E-3</v>
      </c>
      <c r="AP266" s="7">
        <v>0.43123321991264973</v>
      </c>
      <c r="AQ266" s="7">
        <v>5.6985850967762185E-4</v>
      </c>
      <c r="AR266" s="7">
        <v>0.43189692948271047</v>
      </c>
      <c r="AS266" s="7">
        <v>0.32513165167370728</v>
      </c>
      <c r="AT266" s="7">
        <v>0.6566835005637417</v>
      </c>
      <c r="AU266" s="7">
        <v>1.9856457365308078</v>
      </c>
      <c r="AV266" s="7" t="e">
        <v>#N/A</v>
      </c>
    </row>
    <row r="267" spans="37:48" x14ac:dyDescent="0.25">
      <c r="AK267" t="str">
        <v>chevrolet chevette</v>
      </c>
      <c r="AL267" s="7">
        <v>30</v>
      </c>
      <c r="AM267" s="7">
        <v>29.41267976689165</v>
      </c>
      <c r="AN267" s="7">
        <v>0.58732023310835046</v>
      </c>
      <c r="AO267" s="7">
        <v>4.8833816750824743E-3</v>
      </c>
      <c r="AP267" s="7">
        <v>0.12845042911501287</v>
      </c>
      <c r="AQ267" s="7">
        <v>2.6989606604135072E-5</v>
      </c>
      <c r="AR267" s="7">
        <v>0.43189692948271047</v>
      </c>
      <c r="AS267" s="7">
        <v>0.32513165167370728</v>
      </c>
      <c r="AT267" s="7">
        <v>0.3583998174037103</v>
      </c>
      <c r="AU267" s="7">
        <v>0.59020241677501906</v>
      </c>
      <c r="AV267" s="7" t="e">
        <v>#N/A</v>
      </c>
    </row>
    <row r="268" spans="37:48" x14ac:dyDescent="0.25">
      <c r="AK268" t="str">
        <v>toyota corona</v>
      </c>
      <c r="AL268" s="7">
        <v>27.5</v>
      </c>
      <c r="AM268" s="7">
        <v>27.087322281839008</v>
      </c>
      <c r="AN268" s="7">
        <v>0.41267771816099241</v>
      </c>
      <c r="AO268" s="7">
        <v>6.5036286637345023E-3</v>
      </c>
      <c r="AP268" s="7">
        <v>9.0328638514539469E-2</v>
      </c>
      <c r="AQ268" s="7">
        <v>1.7804063116818468E-5</v>
      </c>
      <c r="AR268" s="7">
        <v>0.43189692948271047</v>
      </c>
      <c r="AS268" s="7">
        <v>0.32833812645198651</v>
      </c>
      <c r="AT268" s="7">
        <v>0.30054723175324616</v>
      </c>
      <c r="AU268" s="7">
        <v>0.41537919016849106</v>
      </c>
      <c r="AV268" s="7" t="e">
        <v>#N/A</v>
      </c>
    </row>
    <row r="269" spans="37:48" x14ac:dyDescent="0.25">
      <c r="AK269" t="str">
        <v>datsun 510</v>
      </c>
      <c r="AL269" s="7">
        <v>27.2</v>
      </c>
      <c r="AM269" s="7">
        <v>26.915073579242513</v>
      </c>
      <c r="AN269" s="7">
        <v>0.2849264207574862</v>
      </c>
      <c r="AO269" s="7">
        <v>6.9696358361698695E-3</v>
      </c>
      <c r="AP269" s="7">
        <v>6.2380527778846714E-2</v>
      </c>
      <c r="AQ269" s="7">
        <v>9.1038353278363331E-6</v>
      </c>
      <c r="AR269" s="7">
        <v>0.43189692948271047</v>
      </c>
      <c r="AS269" s="7">
        <v>0.32833812645198651</v>
      </c>
      <c r="AT269" s="7">
        <v>0.24976094125953063</v>
      </c>
      <c r="AU269" s="7">
        <v>0.28692619182637502</v>
      </c>
      <c r="AV269" s="7" t="e">
        <v>#N/A</v>
      </c>
    </row>
    <row r="270" spans="37:48" x14ac:dyDescent="0.25">
      <c r="AK270" t="str">
        <v>dodge omni</v>
      </c>
      <c r="AL270" s="7">
        <v>30.9</v>
      </c>
      <c r="AM270" s="7">
        <v>28.809809307803924</v>
      </c>
      <c r="AN270" s="7">
        <v>2.0901906921960745</v>
      </c>
      <c r="AO270" s="7">
        <v>4.4683001440540973E-3</v>
      </c>
      <c r="AP270" s="7">
        <v>0.45704182916042019</v>
      </c>
      <c r="AQ270" s="7">
        <v>3.125200520590456E-4</v>
      </c>
      <c r="AR270" s="7">
        <v>0.43189692948271047</v>
      </c>
      <c r="AS270" s="7">
        <v>0.3310846408377961</v>
      </c>
      <c r="AT270" s="7">
        <v>0.67604868845403454</v>
      </c>
      <c r="AU270" s="7">
        <v>2.0995722110089776</v>
      </c>
      <c r="AV270" s="7" t="e">
        <v>#N/A</v>
      </c>
    </row>
    <row r="271" spans="37:48" x14ac:dyDescent="0.25">
      <c r="AK271" t="str">
        <v>toyota celica gt liftback</v>
      </c>
      <c r="AL271" s="7">
        <v>21.1</v>
      </c>
      <c r="AM271" s="7">
        <v>27.087322281839008</v>
      </c>
      <c r="AN271" s="7">
        <v>-5.9873222818390062</v>
      </c>
      <c r="AO271" s="7">
        <v>6.5036286637345023E-3</v>
      </c>
      <c r="AP271" s="7">
        <v>-1.3105303394531658</v>
      </c>
      <c r="AQ271" s="7">
        <v>3.7476787448816966E-3</v>
      </c>
      <c r="AR271" s="7">
        <v>0.43189692948271047</v>
      </c>
      <c r="AS271" s="7">
        <v>0.33738939663768719</v>
      </c>
      <c r="AT271" s="7">
        <v>1.1447839706482468</v>
      </c>
      <c r="AU271" s="7">
        <v>-6.0265165073386031</v>
      </c>
      <c r="AV271" s="7" t="e">
        <v>#N/A</v>
      </c>
    </row>
    <row r="272" spans="37:48" x14ac:dyDescent="0.25">
      <c r="AK272" t="str">
        <v>plymouth sapporo</v>
      </c>
      <c r="AL272" s="7">
        <v>23.2</v>
      </c>
      <c r="AM272" s="7">
        <v>26.226078768856546</v>
      </c>
      <c r="AN272" s="7">
        <v>-3.0260787688565465</v>
      </c>
      <c r="AO272" s="7">
        <v>9.3108905631247314E-3</v>
      </c>
      <c r="AP272" s="7">
        <v>-0.66329866092594092</v>
      </c>
      <c r="AQ272" s="7">
        <v>1.3783224172521865E-3</v>
      </c>
      <c r="AR272" s="7">
        <v>0.43189692948271047</v>
      </c>
      <c r="AS272" s="7">
        <v>0.34715637839790769</v>
      </c>
      <c r="AT272" s="7">
        <v>0.81443149553902994</v>
      </c>
      <c r="AU272" s="7">
        <v>-3.0545190615617264</v>
      </c>
      <c r="AV272" s="7" t="e">
        <v>#N/A</v>
      </c>
    </row>
    <row r="273" spans="37:48" x14ac:dyDescent="0.25">
      <c r="AK273" t="str">
        <v>oldsmobile starfire sx</v>
      </c>
      <c r="AL273" s="7">
        <v>23.8</v>
      </c>
      <c r="AM273" s="7">
        <v>27.948565794821466</v>
      </c>
      <c r="AN273" s="7">
        <v>-4.1485657948214651</v>
      </c>
      <c r="AO273" s="7">
        <v>4.8894318573776182E-3</v>
      </c>
      <c r="AP273" s="7">
        <v>-0.90731877851447384</v>
      </c>
      <c r="AQ273" s="7">
        <v>1.3482971096503301E-3</v>
      </c>
      <c r="AR273" s="7">
        <v>0.49599497085825733</v>
      </c>
      <c r="AS273" s="7">
        <v>0.35243154659916875</v>
      </c>
      <c r="AT273" s="7">
        <v>0.95253282280164697</v>
      </c>
      <c r="AU273" s="7">
        <v>-4.1689495897574265</v>
      </c>
      <c r="AV273" s="7" t="e">
        <v>#N/A</v>
      </c>
    </row>
    <row r="274" spans="37:48" x14ac:dyDescent="0.25">
      <c r="AK274" t="str">
        <v>datsun 200-sx</v>
      </c>
      <c r="AL274" s="7">
        <v>23.9</v>
      </c>
      <c r="AM274" s="7">
        <v>26.915073579242513</v>
      </c>
      <c r="AN274" s="7">
        <v>-3.0150735792425145</v>
      </c>
      <c r="AO274" s="7">
        <v>6.9696358361698695E-3</v>
      </c>
      <c r="AP274" s="7">
        <v>-0.66010684676128883</v>
      </c>
      <c r="AQ274" s="7">
        <v>1.0194238232723533E-3</v>
      </c>
      <c r="AR274" s="7">
        <v>0.49599497085825733</v>
      </c>
      <c r="AS274" s="7">
        <v>0.354418353436871</v>
      </c>
      <c r="AT274" s="7">
        <v>0.81246959743813729</v>
      </c>
      <c r="AU274" s="7">
        <v>-3.0362350317266711</v>
      </c>
      <c r="AV274" s="7" t="e">
        <v>#N/A</v>
      </c>
    </row>
    <row r="275" spans="37:48" x14ac:dyDescent="0.25">
      <c r="AK275" t="str">
        <v>audi 5000</v>
      </c>
      <c r="AL275" s="7">
        <v>20.3</v>
      </c>
      <c r="AM275" s="7">
        <v>24.478506427325136</v>
      </c>
      <c r="AN275" s="7">
        <v>-4.1785064273251358</v>
      </c>
      <c r="AO275" s="7">
        <v>3.0830413935977611E-3</v>
      </c>
      <c r="AP275" s="7">
        <v>-0.91303866455275395</v>
      </c>
      <c r="AQ275" s="7">
        <v>8.5936459103756063E-4</v>
      </c>
      <c r="AR275" s="7">
        <v>0.49599497085825733</v>
      </c>
      <c r="AS275" s="7">
        <v>0.35520132790581171</v>
      </c>
      <c r="AT275" s="7">
        <v>0.95553056704260064</v>
      </c>
      <c r="AU275" s="7">
        <v>-4.1914287757390563</v>
      </c>
      <c r="AV275" s="7" t="e">
        <v>#N/A</v>
      </c>
    </row>
    <row r="276" spans="37:48" x14ac:dyDescent="0.25">
      <c r="AK276" t="str">
        <v>volvo 264gl</v>
      </c>
      <c r="AL276" s="7">
        <v>17</v>
      </c>
      <c r="AM276" s="7">
        <v>20.663949654635825</v>
      </c>
      <c r="AN276" s="7">
        <v>-3.6639496546358252</v>
      </c>
      <c r="AO276" s="7">
        <v>3.4520243581072415E-3</v>
      </c>
      <c r="AP276" s="7">
        <v>-0.80075190092835813</v>
      </c>
      <c r="AQ276" s="7">
        <v>7.4037260738115751E-4</v>
      </c>
      <c r="AR276" s="7">
        <v>0.51780857233137045</v>
      </c>
      <c r="AS276" s="7">
        <v>0.36691368464691465</v>
      </c>
      <c r="AT276" s="7">
        <v>0.89484741767988474</v>
      </c>
      <c r="AU276" s="7">
        <v>-3.6766415106867441</v>
      </c>
      <c r="AV276" s="7" t="e">
        <v>#N/A</v>
      </c>
    </row>
    <row r="277" spans="37:48" x14ac:dyDescent="0.25">
      <c r="AK277" t="str">
        <v>saab 99gle</v>
      </c>
      <c r="AL277" s="7">
        <v>21.6</v>
      </c>
      <c r="AM277" s="7">
        <v>25.364835255874084</v>
      </c>
      <c r="AN277" s="7">
        <v>-3.7648352558740825</v>
      </c>
      <c r="AO277" s="7">
        <v>1.3311217555548323E-2</v>
      </c>
      <c r="AP277" s="7">
        <v>-0.82690090618220891</v>
      </c>
      <c r="AQ277" s="7">
        <v>3.0748453075268717E-3</v>
      </c>
      <c r="AR277" s="7">
        <v>0.5251343538696831</v>
      </c>
      <c r="AS277" s="7">
        <v>0.39022574866526683</v>
      </c>
      <c r="AT277" s="7">
        <v>0.90934091856806321</v>
      </c>
      <c r="AU277" s="7">
        <v>-3.815625882101314</v>
      </c>
      <c r="AV277" s="7" t="e">
        <v>#N/A</v>
      </c>
    </row>
    <row r="278" spans="37:48" x14ac:dyDescent="0.25">
      <c r="AK278" t="str">
        <v>peugeot 604sl</v>
      </c>
      <c r="AL278" s="7">
        <v>16.2</v>
      </c>
      <c r="AM278" s="7">
        <v>19.974954844249858</v>
      </c>
      <c r="AN278" s="7">
        <v>-3.7749548442498586</v>
      </c>
      <c r="AO278" s="7">
        <v>4.8346276141211699E-3</v>
      </c>
      <c r="AP278" s="7">
        <v>-0.82558485889031452</v>
      </c>
      <c r="AQ278" s="7">
        <v>1.1037480683057316E-3</v>
      </c>
      <c r="AR278" s="7">
        <v>0.53248842708754573</v>
      </c>
      <c r="AS278" s="7">
        <v>0.39292519717829899</v>
      </c>
      <c r="AT278" s="7">
        <v>0.90861700341250196</v>
      </c>
      <c r="AU278" s="7">
        <v>-3.7932940082104332</v>
      </c>
      <c r="AV278" s="7" t="e">
        <v>#N/A</v>
      </c>
    </row>
    <row r="279" spans="37:48" x14ac:dyDescent="0.25">
      <c r="AK279" t="str">
        <v>volkswagen scirocco</v>
      </c>
      <c r="AL279" s="7">
        <v>31.5</v>
      </c>
      <c r="AM279" s="7">
        <v>29.15430671299691</v>
      </c>
      <c r="AN279" s="7">
        <v>2.3456932870030904</v>
      </c>
      <c r="AO279" s="7">
        <v>4.6339056847740255E-3</v>
      </c>
      <c r="AP279" s="7">
        <v>0.51295278239318265</v>
      </c>
      <c r="AQ279" s="7">
        <v>4.083173858222183E-4</v>
      </c>
      <c r="AR279" s="7">
        <v>0.5398714122010615</v>
      </c>
      <c r="AS279" s="7">
        <v>0.41495228618534152</v>
      </c>
      <c r="AT279" s="7">
        <v>0.71620722028836226</v>
      </c>
      <c r="AU279" s="7">
        <v>2.3566136122175614</v>
      </c>
      <c r="AV279" s="7" t="e">
        <v>#N/A</v>
      </c>
    </row>
    <row r="280" spans="37:48" x14ac:dyDescent="0.25">
      <c r="AK280" t="str">
        <v>honda accord lx</v>
      </c>
      <c r="AL280" s="7">
        <v>29.5</v>
      </c>
      <c r="AM280" s="7">
        <v>29.41267976689165</v>
      </c>
      <c r="AN280" s="7">
        <v>8.7320233108350465E-2</v>
      </c>
      <c r="AO280" s="7">
        <v>4.8833816750824743E-3</v>
      </c>
      <c r="AP280" s="7">
        <v>1.9097454473565451E-2</v>
      </c>
      <c r="AQ280" s="7">
        <v>5.9659059452443103E-7</v>
      </c>
      <c r="AR280" s="7">
        <v>0.5398714122010615</v>
      </c>
      <c r="AS280" s="7">
        <v>0.42607385997489128</v>
      </c>
      <c r="AT280" s="7">
        <v>0.13819353991256411</v>
      </c>
      <c r="AU280" s="7">
        <v>8.7748743715421865E-2</v>
      </c>
      <c r="AV280" s="7" t="e">
        <v>#N/A</v>
      </c>
    </row>
    <row r="281" spans="37:48" x14ac:dyDescent="0.25">
      <c r="AK281" t="str">
        <v>pontiac lemans v6</v>
      </c>
      <c r="AL281" s="7">
        <v>21.5</v>
      </c>
      <c r="AM281" s="7">
        <v>21.525193167618283</v>
      </c>
      <c r="AN281" s="7">
        <v>-2.5193167618283496E-2</v>
      </c>
      <c r="AO281" s="7">
        <v>2.7975288718198425E-3</v>
      </c>
      <c r="AP281" s="7">
        <v>-5.5041300863685741E-3</v>
      </c>
      <c r="AQ281" s="7">
        <v>2.8330050964235042E-8</v>
      </c>
      <c r="AR281" s="7">
        <v>0.5398714122010615</v>
      </c>
      <c r="AS281" s="7">
        <v>0.42980557529087654</v>
      </c>
      <c r="AT281" s="7">
        <v>7.4189824682152836E-2</v>
      </c>
      <c r="AU281" s="7">
        <v>-2.526384395114999E-2</v>
      </c>
      <c r="AV281" s="7" t="e">
        <v>#N/A</v>
      </c>
    </row>
    <row r="282" spans="37:48" x14ac:dyDescent="0.25">
      <c r="AK282" t="str">
        <v>mercury zephyr 6</v>
      </c>
      <c r="AL282" s="7">
        <v>19.8</v>
      </c>
      <c r="AM282" s="7">
        <v>24.108923706565665</v>
      </c>
      <c r="AN282" s="7">
        <v>-4.3089237065656647</v>
      </c>
      <c r="AO282" s="7">
        <v>7.9924329711578042E-3</v>
      </c>
      <c r="AP282" s="7">
        <v>-0.94386286247694762</v>
      </c>
      <c r="AQ282" s="7">
        <v>2.3925474526694185E-3</v>
      </c>
      <c r="AR282" s="7">
        <v>0.5398714122010615</v>
      </c>
      <c r="AS282" s="7">
        <v>0.43123321991264973</v>
      </c>
      <c r="AT282" s="7">
        <v>0.97152604827505662</v>
      </c>
      <c r="AU282" s="7">
        <v>-4.3436399577790565</v>
      </c>
      <c r="AV282" s="7" t="e">
        <v>#N/A</v>
      </c>
    </row>
    <row r="283" spans="37:48" x14ac:dyDescent="0.25">
      <c r="AK283" t="str">
        <v>ford fairmont 4</v>
      </c>
      <c r="AL283" s="7">
        <v>22.3</v>
      </c>
      <c r="AM283" s="7">
        <v>27.690192740926726</v>
      </c>
      <c r="AN283" s="7">
        <v>-5.3901927409267252</v>
      </c>
      <c r="AO283" s="7">
        <v>5.2484190645161813E-3</v>
      </c>
      <c r="AP283" s="7">
        <v>-1.1790835009243632</v>
      </c>
      <c r="AQ283" s="7">
        <v>2.4450161727835595E-3</v>
      </c>
      <c r="AR283" s="7">
        <v>0.5398714122010615</v>
      </c>
      <c r="AS283" s="7">
        <v>0.43123321991264973</v>
      </c>
      <c r="AT283" s="7">
        <v>1.0858561142823497</v>
      </c>
      <c r="AU283" s="7">
        <v>-5.4186319923791251</v>
      </c>
      <c r="AV283" s="7" t="e">
        <v>#N/A</v>
      </c>
    </row>
    <row r="284" spans="37:48" x14ac:dyDescent="0.25">
      <c r="AK284" t="str">
        <v>amc concord dl 6</v>
      </c>
      <c r="AL284" s="7">
        <v>20.2</v>
      </c>
      <c r="AM284" s="7">
        <v>23.678301950074435</v>
      </c>
      <c r="AN284" s="7">
        <v>-3.4783019500744352</v>
      </c>
      <c r="AO284" s="7">
        <v>6.3809499381223024E-3</v>
      </c>
      <c r="AP284" s="7">
        <v>-0.76129839114545028</v>
      </c>
      <c r="AQ284" s="7">
        <v>1.2406634762374327E-3</v>
      </c>
      <c r="AR284" s="7">
        <v>0.5398714122010615</v>
      </c>
      <c r="AS284" s="7">
        <v>0.43422913739196117</v>
      </c>
      <c r="AT284" s="7">
        <v>0.87252414931934708</v>
      </c>
      <c r="AU284" s="7">
        <v>-3.5006393545472219</v>
      </c>
      <c r="AV284" s="7" t="e">
        <v>#N/A</v>
      </c>
    </row>
    <row r="285" spans="37:48" x14ac:dyDescent="0.25">
      <c r="AK285" t="str">
        <v>dodge aspen 6</v>
      </c>
      <c r="AL285" s="7">
        <v>20.6</v>
      </c>
      <c r="AM285" s="7">
        <v>21.955814924109514</v>
      </c>
      <c r="AN285" s="7">
        <v>-1.355814924109513</v>
      </c>
      <c r="AO285" s="7">
        <v>2.917680538563657E-3</v>
      </c>
      <c r="AP285" s="7">
        <v>-0.29623235345276833</v>
      </c>
      <c r="AQ285" s="7">
        <v>8.5595404047930906E-5</v>
      </c>
      <c r="AR285" s="7">
        <v>0.5398714122010615</v>
      </c>
      <c r="AS285" s="7">
        <v>0.44014841728693421</v>
      </c>
      <c r="AT285" s="7">
        <v>0.54427231553034949</v>
      </c>
      <c r="AU285" s="7">
        <v>-1.3597823345637523</v>
      </c>
      <c r="AV285" s="7" t="e">
        <v>#N/A</v>
      </c>
    </row>
    <row r="286" spans="37:48" x14ac:dyDescent="0.25">
      <c r="AK286" t="str">
        <v>chevrolet caprice classic</v>
      </c>
      <c r="AL286" s="7">
        <v>17</v>
      </c>
      <c r="AM286" s="7">
        <v>16.393685809888794</v>
      </c>
      <c r="AN286" s="7">
        <v>0.60631419011120613</v>
      </c>
      <c r="AO286" s="7">
        <v>1.1204199527405607E-2</v>
      </c>
      <c r="AP286" s="7">
        <v>0.13302767855840289</v>
      </c>
      <c r="AQ286" s="7">
        <v>6.6840084612441121E-5</v>
      </c>
      <c r="AR286" s="7">
        <v>0.5398714122010615</v>
      </c>
      <c r="AS286" s="7">
        <v>0.44978299663282789</v>
      </c>
      <c r="AT286" s="7">
        <v>0.36472959649362552</v>
      </c>
      <c r="AU286" s="7">
        <v>0.61318443082122576</v>
      </c>
      <c r="AV286" s="7" t="e">
        <v>#N/A</v>
      </c>
    </row>
    <row r="287" spans="37:48" x14ac:dyDescent="0.25">
      <c r="AK287" t="str">
        <v>ford ltd landau</v>
      </c>
      <c r="AL287" s="7">
        <v>17.600000000000001</v>
      </c>
      <c r="AM287" s="7">
        <v>16.479810161187039</v>
      </c>
      <c r="AN287" s="7">
        <v>1.1201898388129621</v>
      </c>
      <c r="AO287" s="7">
        <v>1.1479298454855659E-2</v>
      </c>
      <c r="AP287" s="7">
        <v>0.24580817985276052</v>
      </c>
      <c r="AQ287" s="7">
        <v>2.3388425483188166E-4</v>
      </c>
      <c r="AR287" s="7">
        <v>0.5398714122010615</v>
      </c>
      <c r="AS287" s="7">
        <v>0.45650935303935508</v>
      </c>
      <c r="AT287" s="7">
        <v>0.49579045962257129</v>
      </c>
      <c r="AU287" s="7">
        <v>1.133198158685</v>
      </c>
      <c r="AV287" s="7" t="e">
        <v>#N/A</v>
      </c>
    </row>
    <row r="288" spans="37:48" x14ac:dyDescent="0.25">
      <c r="AK288" t="str">
        <v>mercury grand marquis</v>
      </c>
      <c r="AL288" s="7">
        <v>16.5</v>
      </c>
      <c r="AM288" s="7">
        <v>15.704690999502827</v>
      </c>
      <c r="AN288" s="7">
        <v>0.79530900049717346</v>
      </c>
      <c r="AO288" s="7">
        <v>9.4329115412972453E-3</v>
      </c>
      <c r="AP288" s="7">
        <v>0.17433779010380832</v>
      </c>
      <c r="AQ288" s="7">
        <v>9.6476976757716581E-5</v>
      </c>
      <c r="AR288" s="7">
        <v>0.5398714122010615</v>
      </c>
      <c r="AS288" s="7">
        <v>0.45704182916042019</v>
      </c>
      <c r="AT288" s="7">
        <v>0.41753777087086186</v>
      </c>
      <c r="AU288" s="7">
        <v>0.80288252028911444</v>
      </c>
      <c r="AV288" s="7" t="e">
        <v>#N/A</v>
      </c>
    </row>
    <row r="289" spans="37:48" x14ac:dyDescent="0.25">
      <c r="AK289" t="str">
        <v>dodge st. regis</v>
      </c>
      <c r="AL289" s="7">
        <v>18.2</v>
      </c>
      <c r="AM289" s="7">
        <v>15.963064053397565</v>
      </c>
      <c r="AN289" s="7">
        <v>2.2369359466024346</v>
      </c>
      <c r="AO289" s="7">
        <v>1.0007664654110382E-2</v>
      </c>
      <c r="AP289" s="7">
        <v>0.49049571625480209</v>
      </c>
      <c r="AQ289" s="7">
        <v>8.1068118729122132E-4</v>
      </c>
      <c r="AR289" s="7">
        <v>0.61543829749621981</v>
      </c>
      <c r="AS289" s="7">
        <v>0.46569692145710928</v>
      </c>
      <c r="AT289" s="7">
        <v>0.70035399353098726</v>
      </c>
      <c r="AU289" s="7">
        <v>2.25954875278997</v>
      </c>
      <c r="AV289" s="7" t="e">
        <v>#N/A</v>
      </c>
    </row>
    <row r="290" spans="37:48" x14ac:dyDescent="0.25">
      <c r="AK290" t="str">
        <v>buick estate wagon (sw)</v>
      </c>
      <c r="AL290" s="7">
        <v>16.899999999999999</v>
      </c>
      <c r="AM290" s="7">
        <v>14.240577027432645</v>
      </c>
      <c r="AN290" s="7">
        <v>2.6594229725673539</v>
      </c>
      <c r="AO290" s="7">
        <v>8.2041878935128383E-3</v>
      </c>
      <c r="AP290" s="7">
        <v>0.58260454367833525</v>
      </c>
      <c r="AQ290" s="7">
        <v>9.3592232726891385E-4</v>
      </c>
      <c r="AR290" s="7">
        <v>0.62318453179067923</v>
      </c>
      <c r="AS290" s="7">
        <v>0.49049571625480209</v>
      </c>
      <c r="AT290" s="7">
        <v>0.76328536189182561</v>
      </c>
      <c r="AU290" s="7">
        <v>2.6814218613395564</v>
      </c>
      <c r="AV290" s="7" t="e">
        <v>#N/A</v>
      </c>
    </row>
    <row r="291" spans="37:48" x14ac:dyDescent="0.25">
      <c r="AK291" t="str">
        <v>ford country squire (sw)</v>
      </c>
      <c r="AL291" s="7">
        <v>15.5</v>
      </c>
      <c r="AM291" s="7">
        <v>15.360193594309843</v>
      </c>
      <c r="AN291" s="7">
        <v>0.13980640569015712</v>
      </c>
      <c r="AO291" s="7">
        <v>8.8336031705710579E-3</v>
      </c>
      <c r="AP291" s="7">
        <v>3.0637362277204226E-2</v>
      </c>
      <c r="AQ291" s="7">
        <v>2.7885138447510043E-6</v>
      </c>
      <c r="AR291" s="7">
        <v>0.63096834177070094</v>
      </c>
      <c r="AS291" s="7">
        <v>0.49926581676042597</v>
      </c>
      <c r="AT291" s="7">
        <v>0.17503531722827889</v>
      </c>
      <c r="AU291" s="7">
        <v>0.1410524066769957</v>
      </c>
      <c r="AV291" s="7" t="e">
        <v>#N/A</v>
      </c>
    </row>
    <row r="292" spans="37:48" x14ac:dyDescent="0.25">
      <c r="AK292" t="str">
        <v>chevrolet malibu classic (sw)</v>
      </c>
      <c r="AL292" s="7">
        <v>19.2</v>
      </c>
      <c r="AM292" s="7">
        <v>16.824307566380025</v>
      </c>
      <c r="AN292" s="7">
        <v>2.3756924336199745</v>
      </c>
      <c r="AO292" s="7">
        <v>1.2699000673959179E-2</v>
      </c>
      <c r="AP292" s="7">
        <v>0.5216305429482796</v>
      </c>
      <c r="AQ292" s="7">
        <v>1.1666074357237208E-3</v>
      </c>
      <c r="AR292" s="7">
        <v>0.63879057001741368</v>
      </c>
      <c r="AS292" s="7">
        <v>0.50275213888896431</v>
      </c>
      <c r="AT292" s="7">
        <v>0.72223994831931004</v>
      </c>
      <c r="AU292" s="7">
        <v>2.4062493963256273</v>
      </c>
      <c r="AV292" s="7" t="e">
        <v>#N/A</v>
      </c>
    </row>
    <row r="293" spans="37:48" x14ac:dyDescent="0.25">
      <c r="AK293" t="str">
        <v>chrysler lebaron town @ country (sw)</v>
      </c>
      <c r="AL293" s="7">
        <v>18.5</v>
      </c>
      <c r="AM293" s="7">
        <v>14.671198783923874</v>
      </c>
      <c r="AN293" s="7">
        <v>3.8288012160761262</v>
      </c>
      <c r="AO293" s="7">
        <v>8.2076576737747202E-3</v>
      </c>
      <c r="AP293" s="7">
        <v>0.83878379270223202</v>
      </c>
      <c r="AQ293" s="7">
        <v>1.9407843861758117E-3</v>
      </c>
      <c r="AR293" s="7">
        <v>0.63879057001741368</v>
      </c>
      <c r="AS293" s="7">
        <v>0.50275213888896431</v>
      </c>
      <c r="AT293" s="7">
        <v>0.9158514031775199</v>
      </c>
      <c r="AU293" s="7">
        <v>3.8604867699379128</v>
      </c>
      <c r="AV293" s="7" t="e">
        <v>#N/A</v>
      </c>
    </row>
    <row r="294" spans="37:48" x14ac:dyDescent="0.25">
      <c r="AK294" t="str">
        <v>vw rabbit custom</v>
      </c>
      <c r="AL294" s="7">
        <v>31.9</v>
      </c>
      <c r="AM294" s="7">
        <v>29.15430671299691</v>
      </c>
      <c r="AN294" s="7">
        <v>2.745693287003089</v>
      </c>
      <c r="AO294" s="7">
        <v>4.6339056847740255E-3</v>
      </c>
      <c r="AP294" s="7">
        <v>0.60042419824031423</v>
      </c>
      <c r="AQ294" s="7">
        <v>5.5944766569425127E-4</v>
      </c>
      <c r="AR294" s="7">
        <v>0.63879057001741368</v>
      </c>
      <c r="AS294" s="7">
        <v>0.5094459562855943</v>
      </c>
      <c r="AT294" s="7">
        <v>0.77487043964801894</v>
      </c>
      <c r="AU294" s="7">
        <v>2.7584758037112183</v>
      </c>
      <c r="AV294" s="7" t="e">
        <v>#N/A</v>
      </c>
    </row>
    <row r="295" spans="37:48" x14ac:dyDescent="0.25">
      <c r="AK295" t="str">
        <v>maxda glc deluxe</v>
      </c>
      <c r="AL295" s="7">
        <v>34.1</v>
      </c>
      <c r="AM295" s="7">
        <v>29.671052820786386</v>
      </c>
      <c r="AN295" s="7">
        <v>4.4289471792136155</v>
      </c>
      <c r="AO295" s="7">
        <v>5.240233523763925E-3</v>
      </c>
      <c r="AP295" s="7">
        <v>0.96881082198468971</v>
      </c>
      <c r="AQ295" s="7">
        <v>1.6481211685262385E-3</v>
      </c>
      <c r="AR295" s="7">
        <v>0.63879057001741368</v>
      </c>
      <c r="AS295" s="7">
        <v>0.51017553699791385</v>
      </c>
      <c r="AT295" s="7">
        <v>0.98428188136564299</v>
      </c>
      <c r="AU295" s="7">
        <v>4.4522781564662512</v>
      </c>
      <c r="AV295" s="7" t="e">
        <v>#N/A</v>
      </c>
    </row>
    <row r="296" spans="37:48" x14ac:dyDescent="0.25">
      <c r="AK296" t="str">
        <v>dodge colt hatchback custom</v>
      </c>
      <c r="AL296" s="7">
        <v>35.700000000000003</v>
      </c>
      <c r="AM296" s="7">
        <v>28.379187551312697</v>
      </c>
      <c r="AN296" s="7">
        <v>7.3208124486873061</v>
      </c>
      <c r="AO296" s="7">
        <v>4.5297328640866892E-3</v>
      </c>
      <c r="AP296" s="7">
        <v>1.6008208080986144</v>
      </c>
      <c r="AQ296" s="7">
        <v>3.8869457982574633E-3</v>
      </c>
      <c r="AR296" s="7">
        <v>0.63879057001741368</v>
      </c>
      <c r="AS296" s="7">
        <v>0.51295278239318265</v>
      </c>
      <c r="AT296" s="7">
        <v>1.2652354753557198</v>
      </c>
      <c r="AU296" s="7">
        <v>7.354124668886552</v>
      </c>
      <c r="AV296" s="7" t="e">
        <v>#N/A</v>
      </c>
    </row>
    <row r="297" spans="37:48" x14ac:dyDescent="0.25">
      <c r="AK297" t="str">
        <v>amc spirit dl</v>
      </c>
      <c r="AL297" s="7">
        <v>27.4</v>
      </c>
      <c r="AM297" s="7">
        <v>28.379187551312697</v>
      </c>
      <c r="AN297" s="7">
        <v>-0.97918755131269819</v>
      </c>
      <c r="AO297" s="7">
        <v>4.5297328640866892E-3</v>
      </c>
      <c r="AP297" s="7">
        <v>-0.21411609956673125</v>
      </c>
      <c r="AQ297" s="7">
        <v>6.9537919033912227E-5</v>
      </c>
      <c r="AR297" s="7">
        <v>0.63879057001741368</v>
      </c>
      <c r="AS297" s="7">
        <v>0.5216305429482796</v>
      </c>
      <c r="AT297" s="7">
        <v>0.4627268087832509</v>
      </c>
      <c r="AU297" s="7">
        <v>-0.98364319220697316</v>
      </c>
      <c r="AV297" s="7" t="e">
        <v>#N/A</v>
      </c>
    </row>
    <row r="298" spans="37:48" x14ac:dyDescent="0.25">
      <c r="AK298" t="str">
        <v>mercedes benz 300d</v>
      </c>
      <c r="AL298" s="7">
        <v>25.4</v>
      </c>
      <c r="AM298" s="7">
        <v>26.717739561079533</v>
      </c>
      <c r="AN298" s="7">
        <v>-1.3177395610795344</v>
      </c>
      <c r="AO298" s="7">
        <v>4.7866952759903023E-3</v>
      </c>
      <c r="AP298" s="7">
        <v>-0.28818348187427234</v>
      </c>
      <c r="AQ298" s="7">
        <v>1.3314857454862526E-4</v>
      </c>
      <c r="AR298" s="7">
        <v>0.63879057001741368</v>
      </c>
      <c r="AS298" s="7">
        <v>0.52545431576331125</v>
      </c>
      <c r="AT298" s="7">
        <v>0.53682723652425868</v>
      </c>
      <c r="AU298" s="7">
        <v>-1.3240775166736412</v>
      </c>
      <c r="AV298" s="7" t="e">
        <v>#N/A</v>
      </c>
    </row>
    <row r="299" spans="37:48" x14ac:dyDescent="0.25">
      <c r="AK299" t="str">
        <v>cadillac eldorado</v>
      </c>
      <c r="AL299" s="7">
        <v>23</v>
      </c>
      <c r="AM299" s="7">
        <v>16.824307566380025</v>
      </c>
      <c r="AN299" s="7">
        <v>6.1756924336199752</v>
      </c>
      <c r="AO299" s="7">
        <v>1.2699000673959179E-2</v>
      </c>
      <c r="AP299" s="7">
        <v>1.3559961515397421</v>
      </c>
      <c r="AQ299" s="7">
        <v>7.883437499331623E-3</v>
      </c>
      <c r="AR299" s="7">
        <v>0.63879057001741368</v>
      </c>
      <c r="AS299" s="7">
        <v>0.54390304473768591</v>
      </c>
      <c r="AT299" s="7">
        <v>1.164472477794019</v>
      </c>
      <c r="AU299" s="7">
        <v>6.2551262865485544</v>
      </c>
      <c r="AV299" s="7" t="e">
        <v>#N/A</v>
      </c>
    </row>
    <row r="300" spans="37:48" x14ac:dyDescent="0.25">
      <c r="AK300" t="str">
        <v>peugeot 504</v>
      </c>
      <c r="AL300" s="7">
        <v>27.2</v>
      </c>
      <c r="AM300" s="7">
        <v>29.15430671299691</v>
      </c>
      <c r="AN300" s="7">
        <v>-1.9543067129969103</v>
      </c>
      <c r="AO300" s="7">
        <v>4.6339056847740255E-3</v>
      </c>
      <c r="AP300" s="7">
        <v>-0.42736493796348551</v>
      </c>
      <c r="AQ300" s="7">
        <v>2.8342677158870664E-4</v>
      </c>
      <c r="AR300" s="7">
        <v>0.70286023091909866</v>
      </c>
      <c r="AS300" s="7">
        <v>0.54450596932080497</v>
      </c>
      <c r="AT300" s="7">
        <v>0.65373154885127394</v>
      </c>
      <c r="AU300" s="7">
        <v>-1.9634049463392653</v>
      </c>
      <c r="AV300" s="7" t="e">
        <v>#N/A</v>
      </c>
    </row>
    <row r="301" spans="37:48" x14ac:dyDescent="0.25">
      <c r="AK301" t="str">
        <v>oldsmobile cutlass salon brougham</v>
      </c>
      <c r="AL301" s="7">
        <v>23.9</v>
      </c>
      <c r="AM301" s="7">
        <v>19.838659861818634</v>
      </c>
      <c r="AN301" s="7">
        <v>4.0613401381813645</v>
      </c>
      <c r="AO301" s="7">
        <v>3.1514064351067683E-2</v>
      </c>
      <c r="AP301" s="7">
        <v>0.90036849601018865</v>
      </c>
      <c r="AQ301" s="7">
        <v>8.7928654118178424E-3</v>
      </c>
      <c r="AR301" s="7">
        <v>0.70286023091909866</v>
      </c>
      <c r="AS301" s="7">
        <v>0.54705583706553051</v>
      </c>
      <c r="AT301" s="7">
        <v>0.9488774926249377</v>
      </c>
      <c r="AU301" s="7">
        <v>4.1934941837436908</v>
      </c>
      <c r="AV301" s="7" t="e">
        <v>#N/A</v>
      </c>
    </row>
    <row r="302" spans="37:48" x14ac:dyDescent="0.25">
      <c r="AK302" t="str">
        <v>plymouth horizon</v>
      </c>
      <c r="AL302" s="7">
        <v>34.200000000000003</v>
      </c>
      <c r="AM302" s="7">
        <v>29.240431064295155</v>
      </c>
      <c r="AN302" s="7">
        <v>4.9595689357048478</v>
      </c>
      <c r="AO302" s="7">
        <v>4.7051336972798391E-3</v>
      </c>
      <c r="AP302" s="7">
        <v>1.0845900991120383</v>
      </c>
      <c r="AQ302" s="7">
        <v>1.8536606082673501E-3</v>
      </c>
      <c r="AR302" s="7">
        <v>0.71932811724388146</v>
      </c>
      <c r="AS302" s="7">
        <v>0.55941727118638618</v>
      </c>
      <c r="AT302" s="7">
        <v>1.041436555490558</v>
      </c>
      <c r="AU302" s="7">
        <v>4.9830146860180715</v>
      </c>
      <c r="AV302" s="7" t="e">
        <v>#N/A</v>
      </c>
    </row>
    <row r="303" spans="37:48" x14ac:dyDescent="0.25">
      <c r="AK303" t="str">
        <v>plymouth horizon tc3</v>
      </c>
      <c r="AL303" s="7">
        <v>34.5</v>
      </c>
      <c r="AM303" s="7">
        <v>29.240431064295155</v>
      </c>
      <c r="AN303" s="7">
        <v>5.259568935704845</v>
      </c>
      <c r="AO303" s="7">
        <v>4.7051336972798391E-3</v>
      </c>
      <c r="AP303" s="7">
        <v>1.150196008406122</v>
      </c>
      <c r="AQ303" s="7">
        <v>2.0846956586791161E-3</v>
      </c>
      <c r="AR303" s="7">
        <v>0.71932811724388146</v>
      </c>
      <c r="AS303" s="7">
        <v>0.58260454367833525</v>
      </c>
      <c r="AT303" s="7">
        <v>1.072471914973125</v>
      </c>
      <c r="AU303" s="7">
        <v>5.2844328990089862</v>
      </c>
      <c r="AV303" s="7" t="e">
        <v>#N/A</v>
      </c>
    </row>
    <row r="304" spans="37:48" x14ac:dyDescent="0.25">
      <c r="AK304" t="str">
        <v>datsun 210</v>
      </c>
      <c r="AL304" s="7">
        <v>31.8</v>
      </c>
      <c r="AM304" s="7">
        <v>29.671052820786386</v>
      </c>
      <c r="AN304" s="7">
        <v>2.1289471792136148</v>
      </c>
      <c r="AO304" s="7">
        <v>5.240233523763925E-3</v>
      </c>
      <c r="AP304" s="7">
        <v>0.46569692145710928</v>
      </c>
      <c r="AQ304" s="7">
        <v>3.8081838656069247E-4</v>
      </c>
      <c r="AR304" s="7">
        <v>0.73599343368381387</v>
      </c>
      <c r="AS304" s="7">
        <v>0.59127907396769319</v>
      </c>
      <c r="AT304" s="7">
        <v>0.68241990112914297</v>
      </c>
      <c r="AU304" s="7">
        <v>2.1401621285459109</v>
      </c>
      <c r="AV304" s="7" t="e">
        <v>#N/A</v>
      </c>
    </row>
    <row r="305" spans="37:48" x14ac:dyDescent="0.25">
      <c r="AK305" t="str">
        <v>fiat strada custom</v>
      </c>
      <c r="AL305" s="7">
        <v>37.299999999999997</v>
      </c>
      <c r="AM305" s="7">
        <v>29.326555415593404</v>
      </c>
      <c r="AN305" s="7">
        <v>7.9734445844065931</v>
      </c>
      <c r="AO305" s="7">
        <v>4.7882923607159931E-3</v>
      </c>
      <c r="AP305" s="7">
        <v>1.7437564557245502</v>
      </c>
      <c r="AQ305" s="7">
        <v>4.876582605707701E-3</v>
      </c>
      <c r="AR305" s="7">
        <v>0.74440308519999565</v>
      </c>
      <c r="AS305" s="7">
        <v>0.60042419824031423</v>
      </c>
      <c r="AT305" s="7">
        <v>1.3205137090256012</v>
      </c>
      <c r="AU305" s="7">
        <v>8.01180746086699</v>
      </c>
      <c r="AV305" s="7" t="e">
        <v>#N/A</v>
      </c>
    </row>
    <row r="306" spans="37:48" x14ac:dyDescent="0.25">
      <c r="AK306" t="str">
        <v>buick skylark limited</v>
      </c>
      <c r="AL306" s="7">
        <v>28.4</v>
      </c>
      <c r="AM306" s="7">
        <v>27.517944038330235</v>
      </c>
      <c r="AN306" s="7">
        <v>0.88205596166976363</v>
      </c>
      <c r="AO306" s="7">
        <v>5.5473971239268956E-3</v>
      </c>
      <c r="AP306" s="7">
        <v>0.19297528085561669</v>
      </c>
      <c r="AQ306" s="7">
        <v>6.9244817793533375E-5</v>
      </c>
      <c r="AR306" s="7">
        <v>0.74440308519999565</v>
      </c>
      <c r="AS306" s="7">
        <v>0.60348009762208454</v>
      </c>
      <c r="AT306" s="7">
        <v>0.43928951826286122</v>
      </c>
      <c r="AU306" s="7">
        <v>0.88697637184392175</v>
      </c>
      <c r="AV306" s="7" t="e">
        <v>#N/A</v>
      </c>
    </row>
    <row r="307" spans="37:48" x14ac:dyDescent="0.25">
      <c r="AK307" t="str">
        <v>chevrolet citation</v>
      </c>
      <c r="AL307" s="7">
        <v>28.8</v>
      </c>
      <c r="AM307" s="7">
        <v>21.525193167618283</v>
      </c>
      <c r="AN307" s="7">
        <v>7.2748068323817172</v>
      </c>
      <c r="AO307" s="7">
        <v>2.7975288718198425E-3</v>
      </c>
      <c r="AP307" s="7">
        <v>1.5893786666815362</v>
      </c>
      <c r="AQ307" s="7">
        <v>2.3622438960127748E-3</v>
      </c>
      <c r="AR307" s="7">
        <v>0.74440308519999565</v>
      </c>
      <c r="AS307" s="7">
        <v>0.61078373474846026</v>
      </c>
      <c r="AT307" s="7">
        <v>1.2607056225311031</v>
      </c>
      <c r="AU307" s="7">
        <v>7.2952154081120559</v>
      </c>
      <c r="AV307" s="7" t="e">
        <v>#N/A</v>
      </c>
    </row>
    <row r="308" spans="37:48" x14ac:dyDescent="0.25">
      <c r="AK308" t="str">
        <v>oldsmobile omega brougham</v>
      </c>
      <c r="AL308" s="7">
        <v>26.8</v>
      </c>
      <c r="AM308" s="7">
        <v>21.525193167618283</v>
      </c>
      <c r="AN308" s="7">
        <v>5.2748068323817172</v>
      </c>
      <c r="AO308" s="7">
        <v>2.7975288718198425E-3</v>
      </c>
      <c r="AP308" s="7">
        <v>1.1524244757862199</v>
      </c>
      <c r="AQ308" s="7">
        <v>1.2419237246140196E-3</v>
      </c>
      <c r="AR308" s="7">
        <v>0.74440308519999565</v>
      </c>
      <c r="AS308" s="7">
        <v>0.61267115024959307</v>
      </c>
      <c r="AT308" s="7">
        <v>1.0735103519697515</v>
      </c>
      <c r="AU308" s="7">
        <v>5.2896046541221367</v>
      </c>
      <c r="AV308" s="7" t="e">
        <v>#N/A</v>
      </c>
    </row>
    <row r="309" spans="37:48" x14ac:dyDescent="0.25">
      <c r="AK309" t="str">
        <v>pontiac phoenix</v>
      </c>
      <c r="AL309" s="7">
        <v>33.5</v>
      </c>
      <c r="AM309" s="7">
        <v>27.517944038330235</v>
      </c>
      <c r="AN309" s="7">
        <v>5.9820559616697651</v>
      </c>
      <c r="AO309" s="7">
        <v>5.5473971239268956E-3</v>
      </c>
      <c r="AP309" s="7">
        <v>1.308747947365992</v>
      </c>
      <c r="AQ309" s="7">
        <v>3.1849010246961587E-3</v>
      </c>
      <c r="AR309" s="7">
        <v>0.74440308519999565</v>
      </c>
      <c r="AS309" s="7">
        <v>0.62534873405344638</v>
      </c>
      <c r="AT309" s="7">
        <v>1.1440052217389534</v>
      </c>
      <c r="AU309" s="7">
        <v>6.0154259181070682</v>
      </c>
      <c r="AV309" s="7" t="e">
        <v>#N/A</v>
      </c>
    </row>
    <row r="310" spans="37:48" x14ac:dyDescent="0.25">
      <c r="AK310" t="str">
        <v>vw rabbit</v>
      </c>
      <c r="AL310" s="7">
        <v>41.5</v>
      </c>
      <c r="AM310" s="7">
        <v>28.723684956505679</v>
      </c>
      <c r="AN310" s="7">
        <v>12.776315043494321</v>
      </c>
      <c r="AO310" s="7">
        <v>4.4567253861999443E-3</v>
      </c>
      <c r="AP310" s="7">
        <v>2.7936572837699241</v>
      </c>
      <c r="AQ310" s="7">
        <v>1.1646105813169516E-2</v>
      </c>
      <c r="AR310" s="7">
        <v>0.74440308519999565</v>
      </c>
      <c r="AS310" s="7">
        <v>0.66512478461550917</v>
      </c>
      <c r="AT310" s="7">
        <v>1.6714237295700705</v>
      </c>
      <c r="AU310" s="7">
        <v>12.833510475424207</v>
      </c>
      <c r="AV310" s="7">
        <v>1.1646105813169516E-2</v>
      </c>
    </row>
    <row r="311" spans="37:48" x14ac:dyDescent="0.25">
      <c r="AK311" t="str">
        <v>toyota corolla tercel</v>
      </c>
      <c r="AL311" s="7">
        <v>38.1</v>
      </c>
      <c r="AM311" s="7">
        <v>30.101674577277617</v>
      </c>
      <c r="AN311" s="7">
        <v>7.9983254227223846</v>
      </c>
      <c r="AO311" s="7">
        <v>6.0735996235063523E-3</v>
      </c>
      <c r="AP311" s="7">
        <v>1.7503284152471421</v>
      </c>
      <c r="AQ311" s="7">
        <v>6.2403617325328354E-3</v>
      </c>
      <c r="AR311" s="7">
        <v>0.74440308519999565</v>
      </c>
      <c r="AS311" s="7">
        <v>0.66736884327973411</v>
      </c>
      <c r="AT311" s="7">
        <v>1.3229997790049484</v>
      </c>
      <c r="AU311" s="7">
        <v>8.0472008990732764</v>
      </c>
      <c r="AV311" s="7" t="e">
        <v>#N/A</v>
      </c>
    </row>
    <row r="312" spans="37:48" x14ac:dyDescent="0.25">
      <c r="AK312" t="str">
        <v>chevrolet chevette</v>
      </c>
      <c r="AL312" s="7">
        <v>32.1</v>
      </c>
      <c r="AM312" s="7">
        <v>29.240431064295155</v>
      </c>
      <c r="AN312" s="7">
        <v>2.8595689357048464</v>
      </c>
      <c r="AO312" s="7">
        <v>4.7051336972798391E-3</v>
      </c>
      <c r="AP312" s="7">
        <v>0.62534873405344638</v>
      </c>
      <c r="AQ312" s="7">
        <v>6.1623094001104128E-4</v>
      </c>
      <c r="AR312" s="7">
        <v>0.80482899480686976</v>
      </c>
      <c r="AS312" s="7">
        <v>0.66905154573994441</v>
      </c>
      <c r="AT312" s="7">
        <v>0.79078994306544292</v>
      </c>
      <c r="AU312" s="7">
        <v>2.8730871950816486</v>
      </c>
      <c r="AV312" s="7" t="e">
        <v>#N/A</v>
      </c>
    </row>
    <row r="313" spans="37:48" x14ac:dyDescent="0.25">
      <c r="AK313" t="str">
        <v>datsun 310</v>
      </c>
      <c r="AL313" s="7">
        <v>37.200000000000003</v>
      </c>
      <c r="AM313" s="7">
        <v>29.671052820786386</v>
      </c>
      <c r="AN313" s="7">
        <v>7.5289471792136169</v>
      </c>
      <c r="AO313" s="7">
        <v>5.240233523763925E-3</v>
      </c>
      <c r="AP313" s="7">
        <v>1.6469208618262112</v>
      </c>
      <c r="AQ313" s="7">
        <v>4.762737396640869E-3</v>
      </c>
      <c r="AR313" s="7">
        <v>0.80482899480686976</v>
      </c>
      <c r="AS313" s="7">
        <v>0.67852561810731449</v>
      </c>
      <c r="AT313" s="7">
        <v>1.2833241452673643</v>
      </c>
      <c r="AU313" s="7">
        <v>7.5686084549675812</v>
      </c>
      <c r="AV313" s="7" t="e">
        <v>#N/A</v>
      </c>
    </row>
    <row r="314" spans="37:48" x14ac:dyDescent="0.25">
      <c r="AK314" t="str">
        <v>chevrolet citation</v>
      </c>
      <c r="AL314" s="7">
        <v>28</v>
      </c>
      <c r="AM314" s="7">
        <v>27.517944038330235</v>
      </c>
      <c r="AN314" s="7">
        <v>0.48205596166976505</v>
      </c>
      <c r="AO314" s="7">
        <v>5.5473971239268956E-3</v>
      </c>
      <c r="AP314" s="7">
        <v>0.10546369916852878</v>
      </c>
      <c r="AQ314" s="7">
        <v>2.0681875240775726E-5</v>
      </c>
      <c r="AR314" s="7">
        <v>0.82263729107406613</v>
      </c>
      <c r="AS314" s="7">
        <v>0.72857531387857688</v>
      </c>
      <c r="AT314" s="7">
        <v>0.32475175006230339</v>
      </c>
      <c r="AU314" s="7">
        <v>0.48474503488210791</v>
      </c>
      <c r="AV314" s="7" t="e">
        <v>#N/A</v>
      </c>
    </row>
    <row r="315" spans="37:48" x14ac:dyDescent="0.25">
      <c r="AK315" t="str">
        <v>ford fairmont</v>
      </c>
      <c r="AL315" s="7">
        <v>26.4</v>
      </c>
      <c r="AM315" s="7">
        <v>27.690192740926726</v>
      </c>
      <c r="AN315" s="7">
        <v>-1.2901927409267273</v>
      </c>
      <c r="AO315" s="7">
        <v>5.2484190645161813E-3</v>
      </c>
      <c r="AP315" s="7">
        <v>-0.28222459695894675</v>
      </c>
      <c r="AQ315" s="7">
        <v>1.4008200029791038E-4</v>
      </c>
      <c r="AR315" s="7">
        <v>0.83163987967842667</v>
      </c>
      <c r="AS315" s="7">
        <v>0.72924770746745926</v>
      </c>
      <c r="AT315" s="7">
        <v>0.53124815007578774</v>
      </c>
      <c r="AU315" s="7">
        <v>-1.2969999401392305</v>
      </c>
      <c r="AV315" s="7" t="e">
        <v>#N/A</v>
      </c>
    </row>
    <row r="316" spans="37:48" x14ac:dyDescent="0.25">
      <c r="AK316" t="str">
        <v>amc concord</v>
      </c>
      <c r="AL316" s="7">
        <v>24.3</v>
      </c>
      <c r="AM316" s="7">
        <v>27.517944038330235</v>
      </c>
      <c r="AN316" s="7">
        <v>-3.2179440383302342</v>
      </c>
      <c r="AO316" s="7">
        <v>5.5473971239268956E-3</v>
      </c>
      <c r="AP316" s="7">
        <v>-0.70401843143703713</v>
      </c>
      <c r="AQ316" s="7">
        <v>9.2162017240369262E-4</v>
      </c>
      <c r="AR316" s="7">
        <v>0.84071038002398013</v>
      </c>
      <c r="AS316" s="7">
        <v>0.74130028468166997</v>
      </c>
      <c r="AT316" s="7">
        <v>0.83905806201778266</v>
      </c>
      <c r="AU316" s="7">
        <v>-3.2358948320146825</v>
      </c>
      <c r="AV316" s="7" t="e">
        <v>#N/A</v>
      </c>
    </row>
    <row r="317" spans="37:48" x14ac:dyDescent="0.25">
      <c r="AK317" t="str">
        <v>dodge aspen</v>
      </c>
      <c r="AL317" s="7">
        <v>19.100000000000001</v>
      </c>
      <c r="AM317" s="7">
        <v>23.678301950074435</v>
      </c>
      <c r="AN317" s="7">
        <v>-4.5783019500744331</v>
      </c>
      <c r="AO317" s="7">
        <v>6.3809499381223024E-3</v>
      </c>
      <c r="AP317" s="7">
        <v>-1.002056163840277</v>
      </c>
      <c r="AQ317" s="7">
        <v>2.1494547205069348E-3</v>
      </c>
      <c r="AR317" s="7">
        <v>0.84071038002398013</v>
      </c>
      <c r="AS317" s="7">
        <v>0.78503235476186117</v>
      </c>
      <c r="AT317" s="7">
        <v>1.0010275539865408</v>
      </c>
      <c r="AU317" s="7">
        <v>-4.6077034752799069</v>
      </c>
      <c r="AV317" s="7" t="e">
        <v>#N/A</v>
      </c>
    </row>
    <row r="318" spans="37:48" x14ac:dyDescent="0.25">
      <c r="AK318" t="str">
        <v>audi 4000</v>
      </c>
      <c r="AL318" s="7">
        <v>34.299999999999997</v>
      </c>
      <c r="AM318" s="7">
        <v>28.551436253909188</v>
      </c>
      <c r="AN318" s="7">
        <v>5.7485637460908094</v>
      </c>
      <c r="AO318" s="7">
        <v>4.4693678232826531E-3</v>
      </c>
      <c r="AP318" s="7">
        <v>1.256983637062127</v>
      </c>
      <c r="AQ318" s="7">
        <v>2.3644463494972194E-3</v>
      </c>
      <c r="AR318" s="7">
        <v>0.84071038002398013</v>
      </c>
      <c r="AS318" s="7">
        <v>0.83022032487102126</v>
      </c>
      <c r="AT318" s="7">
        <v>1.1211528161058719</v>
      </c>
      <c r="AU318" s="7">
        <v>5.7743715364354333</v>
      </c>
      <c r="AV318" s="7" t="e">
        <v>#N/A</v>
      </c>
    </row>
    <row r="319" spans="37:48" x14ac:dyDescent="0.25">
      <c r="AK319" t="str">
        <v>toyota corona liftback</v>
      </c>
      <c r="AL319" s="7">
        <v>29.8</v>
      </c>
      <c r="AM319" s="7">
        <v>27.517944038330235</v>
      </c>
      <c r="AN319" s="7">
        <v>2.2820559616697658</v>
      </c>
      <c r="AO319" s="7">
        <v>5.5473971239268956E-3</v>
      </c>
      <c r="AP319" s="7">
        <v>0.49926581676042597</v>
      </c>
      <c r="AQ319" s="7">
        <v>4.6349769416756284E-4</v>
      </c>
      <c r="AR319" s="7">
        <v>0.84071038002398013</v>
      </c>
      <c r="AS319" s="7">
        <v>0.83878379270223202</v>
      </c>
      <c r="AT319" s="7">
        <v>0.70658744452503963</v>
      </c>
      <c r="AU319" s="7">
        <v>2.2947860512102771</v>
      </c>
      <c r="AV319" s="7" t="e">
        <v>#N/A</v>
      </c>
    </row>
    <row r="320" spans="37:48" x14ac:dyDescent="0.25">
      <c r="AK320" t="str">
        <v>mazda 626</v>
      </c>
      <c r="AL320" s="7">
        <v>31.3</v>
      </c>
      <c r="AM320" s="7">
        <v>28.809809307803924</v>
      </c>
      <c r="AN320" s="7">
        <v>2.4901906921960766</v>
      </c>
      <c r="AO320" s="7">
        <v>4.4683001440540973E-3</v>
      </c>
      <c r="AP320" s="7">
        <v>0.54450596932080497</v>
      </c>
      <c r="AQ320" s="7">
        <v>4.4357930900105531E-4</v>
      </c>
      <c r="AR320" s="7">
        <v>0.84071038002398013</v>
      </c>
      <c r="AS320" s="7">
        <v>0.8432716924701481</v>
      </c>
      <c r="AT320" s="7">
        <v>0.73790647735387505</v>
      </c>
      <c r="AU320" s="7">
        <v>2.5013675531943469</v>
      </c>
      <c r="AV320" s="7" t="e">
        <v>#N/A</v>
      </c>
    </row>
    <row r="321" spans="37:48" x14ac:dyDescent="0.25">
      <c r="AK321" t="str">
        <v>datsun 510 hatchback</v>
      </c>
      <c r="AL321" s="7">
        <v>37</v>
      </c>
      <c r="AM321" s="7">
        <v>27.345695335733744</v>
      </c>
      <c r="AN321" s="7">
        <v>9.654304664266256</v>
      </c>
      <c r="AO321" s="7">
        <v>5.894097787058938E-3</v>
      </c>
      <c r="AP321" s="7">
        <v>2.1125269603276573</v>
      </c>
      <c r="AQ321" s="7">
        <v>8.8199871041645291E-3</v>
      </c>
      <c r="AR321" s="7">
        <v>0.84071038002398013</v>
      </c>
      <c r="AS321" s="7">
        <v>0.8476596944936744</v>
      </c>
      <c r="AT321" s="7">
        <v>1.4534534599799394</v>
      </c>
      <c r="AU321" s="7">
        <v>9.7115454628879867</v>
      </c>
      <c r="AV321" s="7" t="e">
        <v>#N/A</v>
      </c>
    </row>
    <row r="322" spans="37:48" x14ac:dyDescent="0.25">
      <c r="AK322" t="str">
        <v>toyota corolla</v>
      </c>
      <c r="AL322" s="7">
        <v>32.200000000000003</v>
      </c>
      <c r="AM322" s="7">
        <v>28.809809307803924</v>
      </c>
      <c r="AN322" s="7">
        <v>3.3901906921960787</v>
      </c>
      <c r="AO322" s="7">
        <v>4.4683001440540973E-3</v>
      </c>
      <c r="AP322" s="7">
        <v>0.74130028468166997</v>
      </c>
      <c r="AQ322" s="7">
        <v>8.2215617579874274E-4</v>
      </c>
      <c r="AR322" s="7">
        <v>0.84071038002398013</v>
      </c>
      <c r="AS322" s="7">
        <v>0.85905758966938084</v>
      </c>
      <c r="AT322" s="7">
        <v>0.86098797011437389</v>
      </c>
      <c r="AU322" s="7">
        <v>3.4054070731114252</v>
      </c>
      <c r="AV322" s="7" t="e">
        <v>#N/A</v>
      </c>
    </row>
    <row r="323" spans="37:48" x14ac:dyDescent="0.25">
      <c r="AK323" t="str">
        <v>mazda glc</v>
      </c>
      <c r="AL323" s="7">
        <v>46.6</v>
      </c>
      <c r="AM323" s="7">
        <v>29.671052820786386</v>
      </c>
      <c r="AN323" s="7">
        <v>16.928947179213615</v>
      </c>
      <c r="AO323" s="7">
        <v>5.240233523763925E-3</v>
      </c>
      <c r="AP323" s="7">
        <v>3.7031254987650177</v>
      </c>
      <c r="AQ323" s="7">
        <v>2.4079531659716949E-2</v>
      </c>
      <c r="AR323" s="7">
        <v>0.90626440989817525</v>
      </c>
      <c r="AS323" s="7">
        <v>0.86537784369284332</v>
      </c>
      <c r="AT323" s="7">
        <v>1.9243506693856549</v>
      </c>
      <c r="AU323" s="7">
        <v>17.018126134294185</v>
      </c>
      <c r="AV323" s="7">
        <v>2.4079531659716949E-2</v>
      </c>
    </row>
    <row r="324" spans="37:48" x14ac:dyDescent="0.25">
      <c r="AK324" t="str">
        <v>dodge colt</v>
      </c>
      <c r="AL324" s="7">
        <v>27.9</v>
      </c>
      <c r="AM324" s="7">
        <v>26.226078768856546</v>
      </c>
      <c r="AN324" s="7">
        <v>1.6739212311434528</v>
      </c>
      <c r="AO324" s="7">
        <v>9.3108905631247314E-3</v>
      </c>
      <c r="AP324" s="7">
        <v>0.36691368464691465</v>
      </c>
      <c r="AQ324" s="7">
        <v>4.2175515360836187E-4</v>
      </c>
      <c r="AR324" s="7">
        <v>0.91594855621391613</v>
      </c>
      <c r="AS324" s="7">
        <v>0.86719774980450104</v>
      </c>
      <c r="AT324" s="7">
        <v>0.60573400486262508</v>
      </c>
      <c r="AU324" s="7">
        <v>1.6896534091254303</v>
      </c>
      <c r="AV324" s="7" t="e">
        <v>#N/A</v>
      </c>
    </row>
    <row r="325" spans="37:48" x14ac:dyDescent="0.25">
      <c r="AK325" t="str">
        <v>datsun 210</v>
      </c>
      <c r="AL325" s="7">
        <v>40.799999999999997</v>
      </c>
      <c r="AM325" s="7">
        <v>29.671052820786386</v>
      </c>
      <c r="AN325" s="7">
        <v>11.128947179213611</v>
      </c>
      <c r="AO325" s="7">
        <v>5.240233523763925E-3</v>
      </c>
      <c r="AP325" s="7">
        <v>2.4344034887389445</v>
      </c>
      <c r="AQ325" s="7">
        <v>1.0406298953163137E-2</v>
      </c>
      <c r="AR325" s="7">
        <v>0.91594855621391613</v>
      </c>
      <c r="AS325" s="7">
        <v>0.87052161064603317</v>
      </c>
      <c r="AT325" s="7">
        <v>1.5602575071887796</v>
      </c>
      <c r="AU325" s="7">
        <v>11.18757267258202</v>
      </c>
      <c r="AV325" s="7">
        <v>1.0406298953163137E-2</v>
      </c>
    </row>
    <row r="326" spans="37:48" x14ac:dyDescent="0.25">
      <c r="AK326" t="str">
        <v>vw rabbit c (diesel)</v>
      </c>
      <c r="AL326" s="7">
        <v>44.3</v>
      </c>
      <c r="AM326" s="7">
        <v>31.13516679285657</v>
      </c>
      <c r="AN326" s="7">
        <v>13.164833207143428</v>
      </c>
      <c r="AO326" s="7">
        <v>9.2906046577821942E-3</v>
      </c>
      <c r="AP326" s="7">
        <v>2.8856244344914175</v>
      </c>
      <c r="AQ326" s="7">
        <v>2.6028914522262598E-2</v>
      </c>
      <c r="AR326" s="7">
        <v>0.93557937876868658</v>
      </c>
      <c r="AS326" s="7">
        <v>0.89740717853184337</v>
      </c>
      <c r="AT326" s="7">
        <v>1.6987125814838182</v>
      </c>
      <c r="AU326" s="7">
        <v>13.288289451010948</v>
      </c>
      <c r="AV326" s="7">
        <v>2.6028914522262598E-2</v>
      </c>
    </row>
    <row r="327" spans="37:48" x14ac:dyDescent="0.25">
      <c r="AK327" t="str">
        <v>vw dasher (diesel)</v>
      </c>
      <c r="AL327" s="7">
        <v>43.4</v>
      </c>
      <c r="AM327" s="7">
        <v>31.13516679285657</v>
      </c>
      <c r="AN327" s="7">
        <v>12.264833207143429</v>
      </c>
      <c r="AO327" s="7">
        <v>9.2906046577821942E-3</v>
      </c>
      <c r="AP327" s="7">
        <v>2.6883517497426985</v>
      </c>
      <c r="AQ327" s="7">
        <v>2.2591685204073085E-2</v>
      </c>
      <c r="AR327" s="7">
        <v>0.94553119002021024</v>
      </c>
      <c r="AS327" s="7">
        <v>0.89793367014500824</v>
      </c>
      <c r="AT327" s="7">
        <v>1.639619391731721</v>
      </c>
      <c r="AU327" s="7">
        <v>12.379849494519858</v>
      </c>
      <c r="AV327" s="7">
        <v>2.2591685204073085E-2</v>
      </c>
    </row>
    <row r="328" spans="37:48" x14ac:dyDescent="0.25">
      <c r="AK328" t="str">
        <v>audi 5000s (diesel)</v>
      </c>
      <c r="AL328" s="7">
        <v>36.4</v>
      </c>
      <c r="AM328" s="7">
        <v>27.578983074061995</v>
      </c>
      <c r="AN328" s="7">
        <v>8.8210169259380038</v>
      </c>
      <c r="AO328" s="7">
        <v>7.5894639366782431E-3</v>
      </c>
      <c r="AP328" s="7">
        <v>1.9318373510721396</v>
      </c>
      <c r="AQ328" s="7">
        <v>9.5134841267382336E-3</v>
      </c>
      <c r="AR328" s="7">
        <v>0.95557753794043188</v>
      </c>
      <c r="AS328" s="7">
        <v>0.90036849601018865</v>
      </c>
      <c r="AT328" s="7">
        <v>1.3899055187573506</v>
      </c>
      <c r="AU328" s="7">
        <v>8.8884756916518359</v>
      </c>
      <c r="AV328" s="7" t="e">
        <v>#N/A</v>
      </c>
    </row>
    <row r="329" spans="37:48" x14ac:dyDescent="0.25">
      <c r="AK329" t="str">
        <v>mercedes-benz 240d</v>
      </c>
      <c r="AL329" s="7">
        <v>30</v>
      </c>
      <c r="AM329" s="7">
        <v>29.498804118189895</v>
      </c>
      <c r="AN329" s="7">
        <v>0.50119588181010499</v>
      </c>
      <c r="AO329" s="7">
        <v>4.9904016403792923E-3</v>
      </c>
      <c r="AP329" s="7">
        <v>0.10962041583844254</v>
      </c>
      <c r="AQ329" s="7">
        <v>2.0089534128518403E-5</v>
      </c>
      <c r="AR329" s="7">
        <v>0.96572126957388438</v>
      </c>
      <c r="AS329" s="7">
        <v>0.93150964409250714</v>
      </c>
      <c r="AT329" s="7">
        <v>0.33108973985679857</v>
      </c>
      <c r="AU329" s="7">
        <v>0.50370959499926415</v>
      </c>
      <c r="AV329" s="7" t="e">
        <v>#N/A</v>
      </c>
    </row>
    <row r="330" spans="37:48" x14ac:dyDescent="0.25">
      <c r="AK330" t="str">
        <v>honda civic 1500 gl</v>
      </c>
      <c r="AL330" s="7">
        <v>44.6</v>
      </c>
      <c r="AM330" s="7">
        <v>29.498804118189895</v>
      </c>
      <c r="AN330" s="7">
        <v>15.101195881810106</v>
      </c>
      <c r="AO330" s="7">
        <v>4.9904016403792923E-3</v>
      </c>
      <c r="AP330" s="7">
        <v>3.302898990796185</v>
      </c>
      <c r="AQ330" s="7">
        <v>1.8238014635288485E-2</v>
      </c>
      <c r="AR330" s="7">
        <v>0.96572126957388438</v>
      </c>
      <c r="AS330" s="7">
        <v>0.94021896892245982</v>
      </c>
      <c r="AT330" s="7">
        <v>1.8173879582511228</v>
      </c>
      <c r="AU330" s="7">
        <v>15.176934882543884</v>
      </c>
      <c r="AV330" s="7">
        <v>1.8238014635288485E-2</v>
      </c>
    </row>
    <row r="331" spans="37:48" x14ac:dyDescent="0.25">
      <c r="AK331" t="str">
        <v>subaru dl</v>
      </c>
      <c r="AL331" s="7">
        <v>33.799999999999997</v>
      </c>
      <c r="AM331" s="7">
        <v>29.498804118189895</v>
      </c>
      <c r="AN331" s="7">
        <v>4.3011958818101022</v>
      </c>
      <c r="AO331" s="7">
        <v>4.9904016403792923E-3</v>
      </c>
      <c r="AP331" s="7">
        <v>0.94074771616990915</v>
      </c>
      <c r="AQ331" s="7">
        <v>1.4795625175452192E-3</v>
      </c>
      <c r="AR331" s="7">
        <v>0.96572126957388438</v>
      </c>
      <c r="AS331" s="7">
        <v>0.94074771616990915</v>
      </c>
      <c r="AT331" s="7">
        <v>0.96992150000394839</v>
      </c>
      <c r="AU331" s="7">
        <v>4.3227682314834768</v>
      </c>
      <c r="AV331" s="7" t="e">
        <v>#N/A</v>
      </c>
    </row>
    <row r="332" spans="37:48" x14ac:dyDescent="0.25">
      <c r="AK332" t="str">
        <v>vokswagen rabbit</v>
      </c>
      <c r="AL332" s="7">
        <v>29.8</v>
      </c>
      <c r="AM332" s="7">
        <v>29.929425874681122</v>
      </c>
      <c r="AN332" s="7">
        <v>-0.12942587468112166</v>
      </c>
      <c r="AO332" s="7">
        <v>5.7044612308183801E-3</v>
      </c>
      <c r="AP332" s="7">
        <v>-2.8317893867576063E-2</v>
      </c>
      <c r="AQ332" s="7">
        <v>1.5335565202231204E-6</v>
      </c>
      <c r="AR332" s="7">
        <v>0.96572126957388438</v>
      </c>
      <c r="AS332" s="7">
        <v>0.96881082198468971</v>
      </c>
      <c r="AT332" s="7">
        <v>0.16827921400926515</v>
      </c>
      <c r="AU332" s="7">
        <v>-0.13016841536001994</v>
      </c>
      <c r="AV332" s="7" t="e">
        <v>#N/A</v>
      </c>
    </row>
    <row r="333" spans="37:48" x14ac:dyDescent="0.25">
      <c r="AK333" t="str">
        <v>datsun 280-zx</v>
      </c>
      <c r="AL333" s="7">
        <v>32.700000000000003</v>
      </c>
      <c r="AM333" s="7">
        <v>20.061079195548103</v>
      </c>
      <c r="AN333" s="7">
        <v>12.638920804451899</v>
      </c>
      <c r="AO333" s="7">
        <v>4.6200449288632695E-3</v>
      </c>
      <c r="AP333" s="7">
        <v>2.7638415002905243</v>
      </c>
      <c r="AQ333" s="7">
        <v>1.1818498948941247E-2</v>
      </c>
      <c r="AR333" s="7">
        <v>0.96572126957388438</v>
      </c>
      <c r="AS333" s="7">
        <v>0.96884041616866634</v>
      </c>
      <c r="AT333" s="7">
        <v>1.6624805262891125</v>
      </c>
      <c r="AU333" s="7">
        <v>12.697584214008645</v>
      </c>
      <c r="AV333" s="7">
        <v>1.1818498948941247E-2</v>
      </c>
    </row>
    <row r="334" spans="37:48" x14ac:dyDescent="0.25">
      <c r="AK334" t="str">
        <v>mazda rx-7 gs</v>
      </c>
      <c r="AL334" s="7">
        <v>23.7</v>
      </c>
      <c r="AM334" s="7">
        <v>28.576521569475677</v>
      </c>
      <c r="AN334" s="7">
        <v>-4.8765215694756776</v>
      </c>
      <c r="AO334" s="7">
        <v>1.8723133968818761E-2</v>
      </c>
      <c r="AP334" s="7">
        <v>-1.0740189788333998</v>
      </c>
      <c r="AQ334" s="7">
        <v>7.3365121538678645E-3</v>
      </c>
      <c r="AR334" s="7">
        <v>0.96572126957388438</v>
      </c>
      <c r="AS334" s="7">
        <v>0.98377764146278912</v>
      </c>
      <c r="AT334" s="7">
        <v>1.0363488692681628</v>
      </c>
      <c r="AU334" s="7">
        <v>-4.9695674465444091</v>
      </c>
      <c r="AV334" s="7" t="e">
        <v>#N/A</v>
      </c>
    </row>
    <row r="335" spans="37:48" x14ac:dyDescent="0.25">
      <c r="AK335" t="str">
        <v>triumph tr7 coupe</v>
      </c>
      <c r="AL335" s="7">
        <v>35</v>
      </c>
      <c r="AM335" s="7">
        <v>27.690192740926726</v>
      </c>
      <c r="AN335" s="7">
        <v>7.3098072590732741</v>
      </c>
      <c r="AO335" s="7">
        <v>5.2484190645161813E-3</v>
      </c>
      <c r="AP335" s="7">
        <v>1.5989916406270499</v>
      </c>
      <c r="AQ335" s="7">
        <v>4.4966076833282392E-3</v>
      </c>
      <c r="AR335" s="7">
        <v>1.0288047620058449</v>
      </c>
      <c r="AS335" s="7">
        <v>1.0042000715035722</v>
      </c>
      <c r="AT335" s="7">
        <v>1.2645124122075868</v>
      </c>
      <c r="AU335" s="7">
        <v>7.3483746084615307</v>
      </c>
      <c r="AV335" s="7" t="e">
        <v>#N/A</v>
      </c>
    </row>
    <row r="336" spans="37:48" x14ac:dyDescent="0.25">
      <c r="AK336" t="str">
        <v>honda accord</v>
      </c>
      <c r="AL336" s="7">
        <v>32.4</v>
      </c>
      <c r="AM336" s="7">
        <v>29.068182361698664</v>
      </c>
      <c r="AN336" s="7">
        <v>3.3318176383013345</v>
      </c>
      <c r="AO336" s="7">
        <v>4.5746083231985452E-3</v>
      </c>
      <c r="AP336" s="7">
        <v>0.72857531387857688</v>
      </c>
      <c r="AQ336" s="7">
        <v>8.131540896032743E-4</v>
      </c>
      <c r="AR336" s="7">
        <v>1.0397213301736039</v>
      </c>
      <c r="AS336" s="7">
        <v>1.0251448211748819</v>
      </c>
      <c r="AT336" s="7">
        <v>0.85356623285986244</v>
      </c>
      <c r="AU336" s="7">
        <v>3.3471294445170452</v>
      </c>
      <c r="AV336" s="7" t="e">
        <v>#N/A</v>
      </c>
    </row>
    <row r="337" spans="37:48" x14ac:dyDescent="0.25">
      <c r="AK337" t="str">
        <v>plymouth reliant</v>
      </c>
      <c r="AL337" s="7">
        <v>27.2</v>
      </c>
      <c r="AM337" s="7">
        <v>28.034690146119711</v>
      </c>
      <c r="AN337" s="7">
        <v>-0.83469014611971204</v>
      </c>
      <c r="AO337" s="7">
        <v>4.7936307568587693E-3</v>
      </c>
      <c r="AP337" s="7">
        <v>-0.1825434690281979</v>
      </c>
      <c r="AQ337" s="7">
        <v>5.3501107934926318E-5</v>
      </c>
      <c r="AR337" s="7">
        <v>1.050763231139634</v>
      </c>
      <c r="AS337" s="7">
        <v>1.0344343742274169</v>
      </c>
      <c r="AT337" s="7">
        <v>0.42725106088598291</v>
      </c>
      <c r="AU337" s="7">
        <v>-0.83871061512045741</v>
      </c>
      <c r="AV337" s="7" t="e">
        <v>#N/A</v>
      </c>
    </row>
    <row r="338" spans="37:48" x14ac:dyDescent="0.25">
      <c r="AK338" t="str">
        <v>buick skylark</v>
      </c>
      <c r="AL338" s="7">
        <v>26.6</v>
      </c>
      <c r="AM338" s="7">
        <v>28.034690146119711</v>
      </c>
      <c r="AN338" s="7">
        <v>-1.4346901461197099</v>
      </c>
      <c r="AO338" s="7">
        <v>4.7936307568587693E-3</v>
      </c>
      <c r="AP338" s="7">
        <v>-0.31376112138228479</v>
      </c>
      <c r="AQ338" s="7">
        <v>1.5806234968222344E-4</v>
      </c>
      <c r="AR338" s="7">
        <v>1.0619347543176552</v>
      </c>
      <c r="AS338" s="7">
        <v>1.0408528262493146</v>
      </c>
      <c r="AT338" s="7">
        <v>0.56014383990389893</v>
      </c>
      <c r="AU338" s="7">
        <v>-1.4416006473218193</v>
      </c>
      <c r="AV338" s="7" t="e">
        <v>#N/A</v>
      </c>
    </row>
    <row r="339" spans="37:48" x14ac:dyDescent="0.25">
      <c r="AK339" t="str">
        <v>dodge aries wagon (sw)</v>
      </c>
      <c r="AL339" s="7">
        <v>25.8</v>
      </c>
      <c r="AM339" s="7">
        <v>27.345695335733744</v>
      </c>
      <c r="AN339" s="7">
        <v>-1.5456953357337433</v>
      </c>
      <c r="AO339" s="7">
        <v>5.894097787058938E-3</v>
      </c>
      <c r="AP339" s="7">
        <v>-0.33822457263818001</v>
      </c>
      <c r="AQ339" s="7">
        <v>2.2608603799278008E-4</v>
      </c>
      <c r="AR339" s="7">
        <v>1.0619347543176552</v>
      </c>
      <c r="AS339" s="7">
        <v>1.0625382801746825</v>
      </c>
      <c r="AT339" s="7">
        <v>0.58157078041987287</v>
      </c>
      <c r="AU339" s="7">
        <v>-1.5548598316265201</v>
      </c>
      <c r="AV339" s="7" t="e">
        <v>#N/A</v>
      </c>
    </row>
    <row r="340" spans="37:48" x14ac:dyDescent="0.25">
      <c r="AK340" t="str">
        <v>chevrolet citation</v>
      </c>
      <c r="AL340" s="7">
        <v>23.5</v>
      </c>
      <c r="AM340" s="7">
        <v>21.955814924109514</v>
      </c>
      <c r="AN340" s="7">
        <v>1.5441850758904856</v>
      </c>
      <c r="AO340" s="7">
        <v>2.917680538563657E-3</v>
      </c>
      <c r="AP340" s="7">
        <v>0.33738939663768719</v>
      </c>
      <c r="AQ340" s="7">
        <v>1.1103204218717799E-4</v>
      </c>
      <c r="AR340" s="7">
        <v>1.0846849303794233</v>
      </c>
      <c r="AS340" s="7">
        <v>1.0692908102831109</v>
      </c>
      <c r="AT340" s="7">
        <v>0.58085230191304849</v>
      </c>
      <c r="AU340" s="7">
        <v>1.5487036985316931</v>
      </c>
      <c r="AV340" s="7" t="e">
        <v>#N/A</v>
      </c>
    </row>
    <row r="341" spans="37:48" x14ac:dyDescent="0.25">
      <c r="AK341" t="str">
        <v>plymouth reliant</v>
      </c>
      <c r="AL341" s="7">
        <v>30</v>
      </c>
      <c r="AM341" s="7">
        <v>28.034690146119711</v>
      </c>
      <c r="AN341" s="7">
        <v>1.9653098538802887</v>
      </c>
      <c r="AO341" s="7">
        <v>4.7936307568587693E-3</v>
      </c>
      <c r="AP341" s="7">
        <v>0.42980557529087654</v>
      </c>
      <c r="AQ341" s="7">
        <v>2.9660213040107246E-4</v>
      </c>
      <c r="AR341" s="7">
        <v>1.0962733150227</v>
      </c>
      <c r="AS341" s="7">
        <v>1.0845900991120383</v>
      </c>
      <c r="AT341" s="7">
        <v>0.65559558821797792</v>
      </c>
      <c r="AU341" s="7">
        <v>1.9747762018192421</v>
      </c>
      <c r="AV341" s="7" t="e">
        <v>#N/A</v>
      </c>
    </row>
    <row r="342" spans="37:48" x14ac:dyDescent="0.25">
      <c r="AK342" t="str">
        <v>toyota starlet</v>
      </c>
      <c r="AL342" s="7">
        <v>39.1</v>
      </c>
      <c r="AM342" s="7">
        <v>30.273923279874108</v>
      </c>
      <c r="AN342" s="7">
        <v>8.8260767201258936</v>
      </c>
      <c r="AO342" s="7">
        <v>6.4904606199156552E-3</v>
      </c>
      <c r="AP342" s="7">
        <v>1.9318760743916459</v>
      </c>
      <c r="AQ342" s="7">
        <v>8.1271963253562382E-3</v>
      </c>
      <c r="AR342" s="7">
        <v>1.1080108204698569</v>
      </c>
      <c r="AS342" s="7">
        <v>1.092204145566714</v>
      </c>
      <c r="AT342" s="7">
        <v>1.3899194488860303</v>
      </c>
      <c r="AU342" s="7">
        <v>8.8837362604822712</v>
      </c>
      <c r="AV342" s="7" t="e">
        <v>#N/A</v>
      </c>
    </row>
    <row r="343" spans="37:48" x14ac:dyDescent="0.25">
      <c r="AK343" t="str">
        <v>plymouth champ</v>
      </c>
      <c r="AL343" s="7">
        <v>39</v>
      </c>
      <c r="AM343" s="7">
        <v>29.757177172084631</v>
      </c>
      <c r="AN343" s="7">
        <v>9.2428228279153686</v>
      </c>
      <c r="AO343" s="7">
        <v>5.3830454418517439E-3</v>
      </c>
      <c r="AP343" s="7">
        <v>2.0219680354097753</v>
      </c>
      <c r="AQ343" s="7">
        <v>7.3756364955769229E-3</v>
      </c>
      <c r="AR343" s="7">
        <v>1.1199029946137795</v>
      </c>
      <c r="AS343" s="7">
        <v>1.0938178373174243</v>
      </c>
      <c r="AT343" s="7">
        <v>1.4219592242430075</v>
      </c>
      <c r="AU343" s="7">
        <v>9.2928466436824717</v>
      </c>
      <c r="AV343" s="7" t="e">
        <v>#N/A</v>
      </c>
    </row>
    <row r="344" spans="37:48" x14ac:dyDescent="0.25">
      <c r="AK344" t="str">
        <v>honda civic 1300</v>
      </c>
      <c r="AL344" s="7">
        <v>35.1</v>
      </c>
      <c r="AM344" s="7">
        <v>30.101674577277617</v>
      </c>
      <c r="AN344" s="7">
        <v>4.9983254227223846</v>
      </c>
      <c r="AO344" s="7">
        <v>6.0735996235063523E-3</v>
      </c>
      <c r="AP344" s="7">
        <v>1.0938178373174243</v>
      </c>
      <c r="AQ344" s="7">
        <v>2.437028909231686E-3</v>
      </c>
      <c r="AR344" s="7">
        <v>1.1199029946137795</v>
      </c>
      <c r="AS344" s="7">
        <v>1.0942839109364728</v>
      </c>
      <c r="AT344" s="7">
        <v>1.0458574651057497</v>
      </c>
      <c r="AU344" s="7">
        <v>5.0288687581183549</v>
      </c>
      <c r="AV344" s="7" t="e">
        <v>#N/A</v>
      </c>
    </row>
    <row r="345" spans="37:48" x14ac:dyDescent="0.25">
      <c r="AK345" t="str">
        <v>subaru</v>
      </c>
      <c r="AL345" s="7">
        <v>32.299999999999997</v>
      </c>
      <c r="AM345" s="7">
        <v>29.498804118189895</v>
      </c>
      <c r="AN345" s="7">
        <v>2.8011958818101022</v>
      </c>
      <c r="AO345" s="7">
        <v>4.9904016403792923E-3</v>
      </c>
      <c r="AP345" s="7">
        <v>0.61267115024959307</v>
      </c>
      <c r="AQ345" s="7">
        <v>6.2754061118719558E-4</v>
      </c>
      <c r="AR345" s="7">
        <v>1.1199029946137795</v>
      </c>
      <c r="AS345" s="7">
        <v>1.150196008406122</v>
      </c>
      <c r="AT345" s="7">
        <v>0.78273312837108988</v>
      </c>
      <c r="AU345" s="7">
        <v>2.8152450855028657</v>
      </c>
      <c r="AV345" s="7" t="e">
        <v>#N/A</v>
      </c>
    </row>
    <row r="346" spans="37:48" x14ac:dyDescent="0.25">
      <c r="AK346" t="str">
        <v>datsun 210 mpg</v>
      </c>
      <c r="AL346" s="7">
        <v>37</v>
      </c>
      <c r="AM346" s="7">
        <v>29.671052820786386</v>
      </c>
      <c r="AN346" s="7">
        <v>7.328947179213614</v>
      </c>
      <c r="AO346" s="7">
        <v>5.240233523763925E-3</v>
      </c>
      <c r="AP346" s="7">
        <v>1.6031718269977255</v>
      </c>
      <c r="AQ346" s="7">
        <v>4.5130622016648237E-3</v>
      </c>
      <c r="AR346" s="7">
        <v>1.156567811385141</v>
      </c>
      <c r="AS346" s="7">
        <v>1.1524244757862199</v>
      </c>
      <c r="AT346" s="7">
        <v>1.266164218021393</v>
      </c>
      <c r="AU346" s="7">
        <v>7.3675548873223313</v>
      </c>
      <c r="AV346" s="7" t="e">
        <v>#N/A</v>
      </c>
    </row>
    <row r="347" spans="37:48" x14ac:dyDescent="0.25">
      <c r="AK347" t="str">
        <v>toyota tercel</v>
      </c>
      <c r="AL347" s="7">
        <v>37.700000000000003</v>
      </c>
      <c r="AM347" s="7">
        <v>29.929425874681122</v>
      </c>
      <c r="AN347" s="7">
        <v>7.7705741253188805</v>
      </c>
      <c r="AO347" s="7">
        <v>5.7044612308183801E-3</v>
      </c>
      <c r="AP347" s="7">
        <v>1.7001723489453782</v>
      </c>
      <c r="AQ347" s="7">
        <v>5.5279459075468019E-3</v>
      </c>
      <c r="AR347" s="7">
        <v>1.156567811385141</v>
      </c>
      <c r="AS347" s="7">
        <v>1.1763572546689465</v>
      </c>
      <c r="AT347" s="7">
        <v>1.3039065721689489</v>
      </c>
      <c r="AU347" s="7">
        <v>7.8151553761750927</v>
      </c>
      <c r="AV347" s="7" t="e">
        <v>#N/A</v>
      </c>
    </row>
    <row r="348" spans="37:48" x14ac:dyDescent="0.25">
      <c r="AK348" t="str">
        <v>mazda glc 4</v>
      </c>
      <c r="AL348" s="7">
        <v>34.1</v>
      </c>
      <c r="AM348" s="7">
        <v>29.41267976689165</v>
      </c>
      <c r="AN348" s="7">
        <v>4.6873202331083519</v>
      </c>
      <c r="AO348" s="7">
        <v>4.8833816750824743E-3</v>
      </c>
      <c r="AP348" s="7">
        <v>1.0251448211748819</v>
      </c>
      <c r="AQ348" s="7">
        <v>1.719079176347885E-3</v>
      </c>
      <c r="AR348" s="7">
        <v>1.156567811385141</v>
      </c>
      <c r="AS348" s="7">
        <v>1.1900477645127265</v>
      </c>
      <c r="AT348" s="7">
        <v>1.0124943561200141</v>
      </c>
      <c r="AU348" s="7">
        <v>4.7103225358637166</v>
      </c>
      <c r="AV348" s="7" t="e">
        <v>#N/A</v>
      </c>
    </row>
    <row r="349" spans="37:48" x14ac:dyDescent="0.25">
      <c r="AK349" t="str">
        <v>plymouth horizon 4</v>
      </c>
      <c r="AL349" s="7">
        <v>34.700000000000003</v>
      </c>
      <c r="AM349" s="7">
        <v>29.843301523382877</v>
      </c>
      <c r="AN349" s="7">
        <v>4.8566984766171259</v>
      </c>
      <c r="AO349" s="7">
        <v>5.5377880108698979E-3</v>
      </c>
      <c r="AP349" s="7">
        <v>1.0625382801746825</v>
      </c>
      <c r="AQ349" s="7">
        <v>2.0956365168388873E-3</v>
      </c>
      <c r="AR349" s="7">
        <v>1.1948571240757904</v>
      </c>
      <c r="AS349" s="7">
        <v>1.2407568041047297</v>
      </c>
      <c r="AT349" s="7">
        <v>1.030794974849355</v>
      </c>
      <c r="AU349" s="7">
        <v>4.88374361344784</v>
      </c>
      <c r="AV349" s="7" t="e">
        <v>#N/A</v>
      </c>
    </row>
    <row r="350" spans="37:48" x14ac:dyDescent="0.25">
      <c r="AK350" t="str">
        <v>ford escort 4w</v>
      </c>
      <c r="AL350" s="7">
        <v>34.4</v>
      </c>
      <c r="AM350" s="7">
        <v>29.671052820786386</v>
      </c>
      <c r="AN350" s="7">
        <v>4.7289471792136126</v>
      </c>
      <c r="AO350" s="7">
        <v>5.240233523763925E-3</v>
      </c>
      <c r="AP350" s="7">
        <v>1.0344343742274169</v>
      </c>
      <c r="AQ350" s="7">
        <v>1.8789579551211125E-3</v>
      </c>
      <c r="AR350" s="7">
        <v>1.2080167583463306</v>
      </c>
      <c r="AS350" s="7">
        <v>1.2533395036684445</v>
      </c>
      <c r="AT350" s="7">
        <v>1.01707146957695</v>
      </c>
      <c r="AU350" s="7">
        <v>4.7538585079341189</v>
      </c>
      <c r="AV350" s="7" t="e">
        <v>#N/A</v>
      </c>
    </row>
    <row r="351" spans="37:48" x14ac:dyDescent="0.25">
      <c r="AK351" t="str">
        <v>ford escort 2h</v>
      </c>
      <c r="AL351" s="7">
        <v>29.9</v>
      </c>
      <c r="AM351" s="7">
        <v>29.671052820786386</v>
      </c>
      <c r="AN351" s="7">
        <v>0.22894717921361263</v>
      </c>
      <c r="AO351" s="7">
        <v>5.240233523763925E-3</v>
      </c>
      <c r="AP351" s="7">
        <v>5.0081090586498962E-2</v>
      </c>
      <c r="AQ351" s="7">
        <v>4.4041158047857137E-6</v>
      </c>
      <c r="AR351" s="7">
        <v>1.221388985601022</v>
      </c>
      <c r="AS351" s="7">
        <v>1.256983637062127</v>
      </c>
      <c r="AT351" s="7">
        <v>0.22378804835490873</v>
      </c>
      <c r="AU351" s="7">
        <v>0.23015323591606271</v>
      </c>
      <c r="AV351" s="7" t="e">
        <v>#N/A</v>
      </c>
    </row>
    <row r="352" spans="37:48" x14ac:dyDescent="0.25">
      <c r="AK352" t="str">
        <v>volkswagen jetta</v>
      </c>
      <c r="AL352" s="7">
        <v>33</v>
      </c>
      <c r="AM352" s="7">
        <v>28.895933659102173</v>
      </c>
      <c r="AN352" s="7">
        <v>4.1040663408978268</v>
      </c>
      <c r="AO352" s="7">
        <v>4.4918055528385768E-3</v>
      </c>
      <c r="AP352" s="7">
        <v>0.89740717853184337</v>
      </c>
      <c r="AQ352" s="7">
        <v>1.2112503963233366E-3</v>
      </c>
      <c r="AR352" s="7">
        <v>1.221388985601022</v>
      </c>
      <c r="AS352" s="7">
        <v>1.2763278411485941</v>
      </c>
      <c r="AT352" s="7">
        <v>0.9473157755109135</v>
      </c>
      <c r="AU352" s="7">
        <v>4.122584187443028</v>
      </c>
      <c r="AV352" s="7" t="e">
        <v>#N/A</v>
      </c>
    </row>
    <row r="353" spans="37:48" x14ac:dyDescent="0.25">
      <c r="AK353" t="str">
        <v>honda prelude</v>
      </c>
      <c r="AL353" s="7">
        <v>33.700000000000003</v>
      </c>
      <c r="AM353" s="7">
        <v>28.809809307803924</v>
      </c>
      <c r="AN353" s="7">
        <v>4.8901906921960787</v>
      </c>
      <c r="AO353" s="7">
        <v>4.4683001440540973E-3</v>
      </c>
      <c r="AP353" s="7">
        <v>1.0692908102831109</v>
      </c>
      <c r="AQ353" s="7">
        <v>1.7106362010097572E-3</v>
      </c>
      <c r="AR353" s="7">
        <v>1.2488096764960821</v>
      </c>
      <c r="AS353" s="7">
        <v>1.2884899056093879</v>
      </c>
      <c r="AT353" s="7">
        <v>1.0340651866701205</v>
      </c>
      <c r="AU353" s="7">
        <v>4.9121396063065523</v>
      </c>
      <c r="AV353" s="7" t="e">
        <v>#N/A</v>
      </c>
    </row>
    <row r="354" spans="37:48" x14ac:dyDescent="0.25">
      <c r="AK354" t="str">
        <v>toyota corolla</v>
      </c>
      <c r="AL354" s="7">
        <v>32.4</v>
      </c>
      <c r="AM354" s="7">
        <v>28.809809307803924</v>
      </c>
      <c r="AN354" s="7">
        <v>3.5901906921960745</v>
      </c>
      <c r="AO354" s="7">
        <v>4.4683001440540973E-3</v>
      </c>
      <c r="AP354" s="7">
        <v>0.78503235476186117</v>
      </c>
      <c r="AQ354" s="7">
        <v>9.2202161500950554E-4</v>
      </c>
      <c r="AR354" s="7">
        <v>1.2488096764960821</v>
      </c>
      <c r="AS354" s="7">
        <v>1.2884899056093879</v>
      </c>
      <c r="AT354" s="7">
        <v>0.88602051599376708</v>
      </c>
      <c r="AU354" s="7">
        <v>3.6063047442041047</v>
      </c>
      <c r="AV354" s="7" t="e">
        <v>#N/A</v>
      </c>
    </row>
    <row r="355" spans="37:48" x14ac:dyDescent="0.25">
      <c r="AK355" t="str">
        <v>datsun 200sx</v>
      </c>
      <c r="AL355" s="7">
        <v>32.9</v>
      </c>
      <c r="AM355" s="7">
        <v>26.656700525347777</v>
      </c>
      <c r="AN355" s="7">
        <v>6.2432994746522219</v>
      </c>
      <c r="AO355" s="7">
        <v>7.75812647680044E-3</v>
      </c>
      <c r="AP355" s="7">
        <v>1.3674233086945626</v>
      </c>
      <c r="AQ355" s="7">
        <v>4.8733096456729961E-3</v>
      </c>
      <c r="AR355" s="7">
        <v>1.2772029316939737</v>
      </c>
      <c r="AS355" s="7">
        <v>1.308747947365992</v>
      </c>
      <c r="AT355" s="7">
        <v>1.1693687650585518</v>
      </c>
      <c r="AU355" s="7">
        <v>6.2921144947086809</v>
      </c>
      <c r="AV355" s="7" t="e">
        <v>#N/A</v>
      </c>
    </row>
    <row r="356" spans="37:48" x14ac:dyDescent="0.25">
      <c r="AK356" t="str">
        <v>mazda 626</v>
      </c>
      <c r="AL356" s="7">
        <v>31.6</v>
      </c>
      <c r="AM356" s="7">
        <v>28.895933659102173</v>
      </c>
      <c r="AN356" s="7">
        <v>2.7040663408978283</v>
      </c>
      <c r="AO356" s="7">
        <v>4.4918055528385768E-3</v>
      </c>
      <c r="AP356" s="7">
        <v>0.59127907396769319</v>
      </c>
      <c r="AQ356" s="7">
        <v>5.2582335510038261E-4</v>
      </c>
      <c r="AR356" s="7">
        <v>1.2917937758243685</v>
      </c>
      <c r="AS356" s="7">
        <v>1.3126546966273303</v>
      </c>
      <c r="AT356" s="7">
        <v>0.76894673025359384</v>
      </c>
      <c r="AU356" s="7">
        <v>2.7162672853732617</v>
      </c>
      <c r="AV356" s="7" t="e">
        <v>#N/A</v>
      </c>
    </row>
    <row r="357" spans="37:48" x14ac:dyDescent="0.25">
      <c r="AK357" t="str">
        <v>peugeot 505s turbo diesel</v>
      </c>
      <c r="AL357" s="7">
        <v>28.1</v>
      </c>
      <c r="AM357" s="7">
        <v>28.379187551312697</v>
      </c>
      <c r="AN357" s="7">
        <v>-0.27918755131269535</v>
      </c>
      <c r="AO357" s="7">
        <v>4.5297328640866892E-3</v>
      </c>
      <c r="AP357" s="7">
        <v>-6.1049131450376271E-2</v>
      </c>
      <c r="AQ357" s="7">
        <v>5.6530395281755918E-6</v>
      </c>
      <c r="AR357" s="7">
        <v>1.306664940712895</v>
      </c>
      <c r="AS357" s="7">
        <v>1.3559961515397421</v>
      </c>
      <c r="AT357" s="7">
        <v>0.24708122439873142</v>
      </c>
      <c r="AU357" s="7">
        <v>-0.28045795090992642</v>
      </c>
      <c r="AV357" s="7" t="e">
        <v>#N/A</v>
      </c>
    </row>
    <row r="358" spans="37:48" x14ac:dyDescent="0.25">
      <c r="AK358" t="str">
        <v>volvo diesel</v>
      </c>
      <c r="AL358" s="7">
        <v>30.7</v>
      </c>
      <c r="AM358" s="7">
        <v>24.884042868249878</v>
      </c>
      <c r="AN358" s="7">
        <v>5.8159571317501211</v>
      </c>
      <c r="AO358" s="7">
        <v>1.1644733439232727E-2</v>
      </c>
      <c r="AP358" s="7">
        <v>1.2763278411485941</v>
      </c>
      <c r="AQ358" s="7">
        <v>6.3976385748713829E-3</v>
      </c>
      <c r="AR358" s="7">
        <v>1.3218308296149113</v>
      </c>
      <c r="AS358" s="7">
        <v>1.3674233086945626</v>
      </c>
      <c r="AT358" s="7">
        <v>1.1297468040001681</v>
      </c>
      <c r="AU358" s="7">
        <v>5.8844803366993919</v>
      </c>
      <c r="AV358" s="7" t="e">
        <v>#N/A</v>
      </c>
    </row>
    <row r="359" spans="37:48" x14ac:dyDescent="0.25">
      <c r="AK359" t="str">
        <v>toyota cressida</v>
      </c>
      <c r="AL359" s="7">
        <v>25.4</v>
      </c>
      <c r="AM359" s="7">
        <v>21.439068816320038</v>
      </c>
      <c r="AN359" s="7">
        <v>3.9609311836799606</v>
      </c>
      <c r="AO359" s="7">
        <v>2.8092904912620847E-3</v>
      </c>
      <c r="AP359" s="7">
        <v>0.86537784369284332</v>
      </c>
      <c r="AQ359" s="7">
        <v>7.0324833775326943E-4</v>
      </c>
      <c r="AR359" s="7">
        <v>1.3373069939616973</v>
      </c>
      <c r="AS359" s="7">
        <v>1.3802455664891433</v>
      </c>
      <c r="AT359" s="7">
        <v>0.9302568697369793</v>
      </c>
      <c r="AU359" s="7">
        <v>3.9720899381737098</v>
      </c>
      <c r="AV359" s="7" t="e">
        <v>#N/A</v>
      </c>
    </row>
    <row r="360" spans="37:48" x14ac:dyDescent="0.25">
      <c r="AK360" t="str">
        <v>datsun 810 maxima</v>
      </c>
      <c r="AL360" s="7">
        <v>24.2</v>
      </c>
      <c r="AM360" s="7">
        <v>21.094571411127056</v>
      </c>
      <c r="AN360" s="7">
        <v>3.1054285888729432</v>
      </c>
      <c r="AO360" s="7">
        <v>2.9756434783343778E-3</v>
      </c>
      <c r="AP360" s="7">
        <v>0.67852561810731449</v>
      </c>
      <c r="AQ360" s="7">
        <v>4.5802203475633555E-4</v>
      </c>
      <c r="AR360" s="7">
        <v>1.3531102606891987</v>
      </c>
      <c r="AS360" s="7">
        <v>1.4250467123585293</v>
      </c>
      <c r="AT360" s="7">
        <v>0.82372666468150368</v>
      </c>
      <c r="AU360" s="7">
        <v>3.1146968161408815</v>
      </c>
      <c r="AV360" s="7" t="e">
        <v>#N/A</v>
      </c>
    </row>
    <row r="361" spans="37:48" x14ac:dyDescent="0.25">
      <c r="AK361" t="str">
        <v>buick century</v>
      </c>
      <c r="AL361" s="7">
        <v>22.4</v>
      </c>
      <c r="AM361" s="7">
        <v>21.955814924109514</v>
      </c>
      <c r="AN361" s="7">
        <v>0.44418507589048417</v>
      </c>
      <c r="AO361" s="7">
        <v>2.917680538563657E-3</v>
      </c>
      <c r="AP361" s="7">
        <v>9.7050112120617413E-2</v>
      </c>
      <c r="AQ361" s="7">
        <v>9.1870811275308613E-6</v>
      </c>
      <c r="AR361" s="7">
        <v>1.3531102606891987</v>
      </c>
      <c r="AS361" s="7">
        <v>1.4782255548765446</v>
      </c>
      <c r="AT361" s="7">
        <v>0.31152866982128213</v>
      </c>
      <c r="AU361" s="7">
        <v>0.44548485839203944</v>
      </c>
      <c r="AV361" s="7" t="e">
        <v>#N/A</v>
      </c>
    </row>
    <row r="362" spans="37:48" x14ac:dyDescent="0.25">
      <c r="AK362" t="str">
        <v>oldsmobile cutlass ls</v>
      </c>
      <c r="AL362" s="7">
        <v>26.6</v>
      </c>
      <c r="AM362" s="7">
        <v>18.546794592344945</v>
      </c>
      <c r="AN362" s="7">
        <v>8.0532054076550565</v>
      </c>
      <c r="AO362" s="7">
        <v>2.1660867992756863E-2</v>
      </c>
      <c r="AP362" s="7">
        <v>1.776321819299205</v>
      </c>
      <c r="AQ362" s="7">
        <v>2.3286728345364636E-2</v>
      </c>
      <c r="AR362" s="7">
        <v>1.3857726818373162</v>
      </c>
      <c r="AS362" s="7">
        <v>1.5533959740264518</v>
      </c>
      <c r="AT362" s="7">
        <v>1.3327872370709457</v>
      </c>
      <c r="AU362" s="7">
        <v>8.2315069940342891</v>
      </c>
      <c r="AV362" s="7">
        <v>2.3286728345364636E-2</v>
      </c>
    </row>
    <row r="363" spans="37:48" x14ac:dyDescent="0.25">
      <c r="AK363" t="str">
        <v>ford granada gl</v>
      </c>
      <c r="AL363" s="7">
        <v>20.2</v>
      </c>
      <c r="AM363" s="7">
        <v>23.850550652670925</v>
      </c>
      <c r="AN363" s="7">
        <v>-3.6505506526709262</v>
      </c>
      <c r="AO363" s="7">
        <v>6.9897511985455001E-3</v>
      </c>
      <c r="AP363" s="7">
        <v>-0.79924347580625543</v>
      </c>
      <c r="AQ363" s="7">
        <v>1.4988043032018563E-3</v>
      </c>
      <c r="AR363" s="7">
        <v>1.402673289992322</v>
      </c>
      <c r="AS363" s="7">
        <v>1.5722096162053198</v>
      </c>
      <c r="AT363" s="7">
        <v>0.8940041810899183</v>
      </c>
      <c r="AU363" s="7">
        <v>-3.6762467024656345</v>
      </c>
      <c r="AV363" s="7" t="e">
        <v>#N/A</v>
      </c>
    </row>
    <row r="364" spans="37:48" x14ac:dyDescent="0.25">
      <c r="AK364" t="str">
        <v>chrysler lebaron salon</v>
      </c>
      <c r="AL364" s="7">
        <v>17.600000000000001</v>
      </c>
      <c r="AM364" s="7">
        <v>24.108923706565665</v>
      </c>
      <c r="AN364" s="7">
        <v>-6.508923706565664</v>
      </c>
      <c r="AO364" s="7">
        <v>7.9924329711578042E-3</v>
      </c>
      <c r="AP364" s="7">
        <v>-1.4257693520918016</v>
      </c>
      <c r="AQ364" s="7">
        <v>5.4593547161750008E-3</v>
      </c>
      <c r="AR364" s="7">
        <v>1.4199843237682621</v>
      </c>
      <c r="AS364" s="7">
        <v>1.5893786666815362</v>
      </c>
      <c r="AT364" s="7">
        <v>1.1940558412787075</v>
      </c>
      <c r="AU364" s="7">
        <v>-6.5613649763383508</v>
      </c>
      <c r="AV364" s="7" t="e">
        <v>#N/A</v>
      </c>
    </row>
    <row r="365" spans="37:48" x14ac:dyDescent="0.25">
      <c r="AK365" t="str">
        <v>chevrolet cavalier</v>
      </c>
      <c r="AL365" s="7">
        <v>28</v>
      </c>
      <c r="AM365" s="7">
        <v>27.690192740926726</v>
      </c>
      <c r="AN365" s="7">
        <v>0.30980725907327411</v>
      </c>
      <c r="AO365" s="7">
        <v>5.2484190645161813E-3</v>
      </c>
      <c r="AP365" s="7">
        <v>6.776912166170404E-2</v>
      </c>
      <c r="AQ365" s="7">
        <v>8.0771160992068228E-6</v>
      </c>
      <c r="AR365" s="7">
        <v>1.4199843237682621</v>
      </c>
      <c r="AS365" s="7">
        <v>1.5989916406270499</v>
      </c>
      <c r="AT365" s="7">
        <v>0.26032503080131197</v>
      </c>
      <c r="AU365" s="7">
        <v>0.31144183634463324</v>
      </c>
      <c r="AV365" s="7" t="e">
        <v>#N/A</v>
      </c>
    </row>
    <row r="366" spans="37:48" x14ac:dyDescent="0.25">
      <c r="AK366" t="str">
        <v>chevrolet cavalier wagon</v>
      </c>
      <c r="AL366" s="7">
        <v>27</v>
      </c>
      <c r="AM366" s="7">
        <v>27.690192740926726</v>
      </c>
      <c r="AN366" s="7">
        <v>-0.69019274092672589</v>
      </c>
      <c r="AO366" s="7">
        <v>5.2484190645161813E-3</v>
      </c>
      <c r="AP366" s="7">
        <v>-0.15097695247620252</v>
      </c>
      <c r="AQ366" s="7">
        <v>4.0087956740688448E-5</v>
      </c>
      <c r="AR366" s="7">
        <v>1.4199843237682621</v>
      </c>
      <c r="AS366" s="7">
        <v>1.6008208080986144</v>
      </c>
      <c r="AT366" s="7">
        <v>0.38855752788512865</v>
      </c>
      <c r="AU366" s="7">
        <v>-0.69383427395778063</v>
      </c>
      <c r="AV366" s="7" t="e">
        <v>#N/A</v>
      </c>
    </row>
    <row r="367" spans="37:48" x14ac:dyDescent="0.25">
      <c r="AK367" t="str">
        <v>chevrolet cavalier 2-door</v>
      </c>
      <c r="AL367" s="7">
        <v>34</v>
      </c>
      <c r="AM367" s="7">
        <v>27.690192740926726</v>
      </c>
      <c r="AN367" s="7">
        <v>6.3098072590732741</v>
      </c>
      <c r="AO367" s="7">
        <v>5.2484190645161813E-3</v>
      </c>
      <c r="AP367" s="7">
        <v>1.3802455664891433</v>
      </c>
      <c r="AQ367" s="7">
        <v>3.3504669110398701E-3</v>
      </c>
      <c r="AR367" s="7">
        <v>1.4199843237682621</v>
      </c>
      <c r="AS367" s="7">
        <v>1.6031718269977255</v>
      </c>
      <c r="AT367" s="7">
        <v>1.1748385278365463</v>
      </c>
      <c r="AU367" s="7">
        <v>6.343098498159117</v>
      </c>
      <c r="AV367" s="7" t="e">
        <v>#N/A</v>
      </c>
    </row>
    <row r="368" spans="37:48" x14ac:dyDescent="0.25">
      <c r="AK368" t="str">
        <v>pontiac j2000 se hatchback</v>
      </c>
      <c r="AL368" s="7">
        <v>31</v>
      </c>
      <c r="AM368" s="7">
        <v>27.948565794821466</v>
      </c>
      <c r="AN368" s="7">
        <v>3.0514342051785341</v>
      </c>
      <c r="AO368" s="7">
        <v>4.8894318573776182E-3</v>
      </c>
      <c r="AP368" s="7">
        <v>0.66736884327973411</v>
      </c>
      <c r="AQ368" s="7">
        <v>7.2945357884930944E-4</v>
      </c>
      <c r="AR368" s="7">
        <v>1.4199843237682621</v>
      </c>
      <c r="AS368" s="7">
        <v>1.6469208618262112</v>
      </c>
      <c r="AT368" s="7">
        <v>0.81692646136585279</v>
      </c>
      <c r="AU368" s="7">
        <v>3.0664272924706726</v>
      </c>
      <c r="AV368" s="7" t="e">
        <v>#N/A</v>
      </c>
    </row>
    <row r="369" spans="37:48" x14ac:dyDescent="0.25">
      <c r="AK369" t="str">
        <v>dodge aries se</v>
      </c>
      <c r="AL369" s="7">
        <v>29</v>
      </c>
      <c r="AM369" s="7">
        <v>28.034690146119711</v>
      </c>
      <c r="AN369" s="7">
        <v>0.96530985388028867</v>
      </c>
      <c r="AO369" s="7">
        <v>4.7936307568587693E-3</v>
      </c>
      <c r="AP369" s="7">
        <v>0.21110948803406429</v>
      </c>
      <c r="AQ369" s="7">
        <v>7.1555938436654464E-5</v>
      </c>
      <c r="AR369" s="7">
        <v>1.4199843237682621</v>
      </c>
      <c r="AS369" s="7">
        <v>1.6593920740952766</v>
      </c>
      <c r="AT369" s="7">
        <v>0.45946652547717148</v>
      </c>
      <c r="AU369" s="7">
        <v>0.96995948148363542</v>
      </c>
      <c r="AV369" s="7" t="e">
        <v>#N/A</v>
      </c>
    </row>
    <row r="370" spans="37:48" x14ac:dyDescent="0.25">
      <c r="AK370" t="str">
        <v>pontiac phoenix</v>
      </c>
      <c r="AL370" s="7">
        <v>27</v>
      </c>
      <c r="AM370" s="7">
        <v>27.517944038330235</v>
      </c>
      <c r="AN370" s="7">
        <v>-0.51794403833023495</v>
      </c>
      <c r="AO370" s="7">
        <v>5.5473971239268956E-3</v>
      </c>
      <c r="AP370" s="7">
        <v>-0.11331525504919178</v>
      </c>
      <c r="AQ370" s="7">
        <v>2.3875950769645618E-5</v>
      </c>
      <c r="AR370" s="7">
        <v>1.5341205443525465</v>
      </c>
      <c r="AS370" s="7">
        <v>1.7001723489453782</v>
      </c>
      <c r="AT370" s="7">
        <v>0.33662331328829825</v>
      </c>
      <c r="AU370" s="7">
        <v>-0.52083330752243018</v>
      </c>
      <c r="AV370" s="7" t="e">
        <v>#N/A</v>
      </c>
    </row>
    <row r="371" spans="37:48" x14ac:dyDescent="0.25">
      <c r="AK371" t="str">
        <v>ford fairmont futura</v>
      </c>
      <c r="AL371" s="7">
        <v>24</v>
      </c>
      <c r="AM371" s="7">
        <v>27.345695335733744</v>
      </c>
      <c r="AN371" s="7">
        <v>-3.345695335733744</v>
      </c>
      <c r="AO371" s="7">
        <v>5.894097787058938E-3</v>
      </c>
      <c r="AP371" s="7">
        <v>-0.73209535472197551</v>
      </c>
      <c r="AQ371" s="7">
        <v>1.0592506328935963E-3</v>
      </c>
      <c r="AR371" s="7">
        <v>1.5341205443525465</v>
      </c>
      <c r="AS371" s="7">
        <v>1.74198209883175</v>
      </c>
      <c r="AT371" s="7">
        <v>0.85562570947931171</v>
      </c>
      <c r="AU371" s="7">
        <v>-3.3655321111020666</v>
      </c>
      <c r="AV371" s="7" t="e">
        <v>#N/A</v>
      </c>
    </row>
    <row r="372" spans="37:48" x14ac:dyDescent="0.25">
      <c r="AK372" t="str">
        <v>volkswagen rabbit l</v>
      </c>
      <c r="AL372" s="7">
        <v>36</v>
      </c>
      <c r="AM372" s="7">
        <v>28.895933659102173</v>
      </c>
      <c r="AN372" s="7">
        <v>7.1040663408978268</v>
      </c>
      <c r="AO372" s="7">
        <v>4.4918055528385768E-3</v>
      </c>
      <c r="AP372" s="7">
        <v>1.5533959740264518</v>
      </c>
      <c r="AQ372" s="7">
        <v>3.6292693768517192E-3</v>
      </c>
      <c r="AR372" s="7">
        <v>1.5769982907616837</v>
      </c>
      <c r="AS372" s="7">
        <v>1.7437564557245502</v>
      </c>
      <c r="AT372" s="7">
        <v>1.2463530695699561</v>
      </c>
      <c r="AU372" s="7">
        <v>7.1361204061639585</v>
      </c>
      <c r="AV372" s="7" t="e">
        <v>#N/A</v>
      </c>
    </row>
    <row r="373" spans="37:48" x14ac:dyDescent="0.25">
      <c r="AK373" t="str">
        <v>mazda glc custom l</v>
      </c>
      <c r="AL373" s="7">
        <v>37</v>
      </c>
      <c r="AM373" s="7">
        <v>29.41267976689165</v>
      </c>
      <c r="AN373" s="7">
        <v>7.5873202331083505</v>
      </c>
      <c r="AO373" s="7">
        <v>4.8833816750824743E-3</v>
      </c>
      <c r="AP373" s="7">
        <v>1.6593920740952766</v>
      </c>
      <c r="AQ373" s="7">
        <v>4.5042600714284729E-3</v>
      </c>
      <c r="AR373" s="7">
        <v>1.5995705882374911</v>
      </c>
      <c r="AS373" s="7">
        <v>1.7503284152471421</v>
      </c>
      <c r="AT373" s="7">
        <v>1.2881739300635131</v>
      </c>
      <c r="AU373" s="7">
        <v>7.624553839609379</v>
      </c>
      <c r="AV373" s="7" t="e">
        <v>#N/A</v>
      </c>
    </row>
    <row r="374" spans="37:48" x14ac:dyDescent="0.25">
      <c r="AK374" t="str">
        <v>mazda glc custom</v>
      </c>
      <c r="AL374" s="7">
        <v>31</v>
      </c>
      <c r="AM374" s="7">
        <v>29.41267976689165</v>
      </c>
      <c r="AN374" s="7">
        <v>1.5873202331083505</v>
      </c>
      <c r="AO374" s="7">
        <v>4.8833816750824743E-3</v>
      </c>
      <c r="AP374" s="7">
        <v>0.34715637839790769</v>
      </c>
      <c r="AQ374" s="7">
        <v>1.971404455002075E-4</v>
      </c>
      <c r="AR374" s="7">
        <v>1.5995705882374911</v>
      </c>
      <c r="AS374" s="7">
        <v>1.776321819299205</v>
      </c>
      <c r="AT374" s="7">
        <v>0.58919977800225598</v>
      </c>
      <c r="AU374" s="7">
        <v>1.5951097628942132</v>
      </c>
      <c r="AV374" s="7" t="e">
        <v>#N/A</v>
      </c>
    </row>
    <row r="375" spans="37:48" x14ac:dyDescent="0.25">
      <c r="AK375" t="str">
        <v>plymouth horizon miser</v>
      </c>
      <c r="AL375" s="7">
        <v>38</v>
      </c>
      <c r="AM375" s="7">
        <v>29.843301523382877</v>
      </c>
      <c r="AN375" s="7">
        <v>8.1566984766171231</v>
      </c>
      <c r="AO375" s="7">
        <v>5.5377880108698979E-3</v>
      </c>
      <c r="AP375" s="7">
        <v>1.784505341020258</v>
      </c>
      <c r="AQ375" s="7">
        <v>5.9110208469836147E-3</v>
      </c>
      <c r="AR375" s="7">
        <v>1.5995705882374911</v>
      </c>
      <c r="AS375" s="7">
        <v>1.784505341020258</v>
      </c>
      <c r="AT375" s="7">
        <v>1.3358537872912057</v>
      </c>
      <c r="AU375" s="7">
        <v>8.2021200788535129</v>
      </c>
      <c r="AV375" s="7" t="e">
        <v>#N/A</v>
      </c>
    </row>
    <row r="376" spans="37:48" x14ac:dyDescent="0.25">
      <c r="AK376" t="str">
        <v>mercury lynx l</v>
      </c>
      <c r="AL376" s="7">
        <v>36</v>
      </c>
      <c r="AM376" s="7">
        <v>29.240431064295155</v>
      </c>
      <c r="AN376" s="7">
        <v>6.759568935704845</v>
      </c>
      <c r="AO376" s="7">
        <v>4.7051336972798391E-3</v>
      </c>
      <c r="AP376" s="7">
        <v>1.4782255548765446</v>
      </c>
      <c r="AQ376" s="7">
        <v>3.4433435989305E-3</v>
      </c>
      <c r="AR376" s="7">
        <v>1.6726929638404258</v>
      </c>
      <c r="AS376" s="7">
        <v>1.8177377147649565</v>
      </c>
      <c r="AT376" s="7">
        <v>1.2158229948790016</v>
      </c>
      <c r="AU376" s="7">
        <v>6.7915239639635736</v>
      </c>
      <c r="AV376" s="7" t="e">
        <v>#N/A</v>
      </c>
    </row>
    <row r="377" spans="37:48" x14ac:dyDescent="0.25">
      <c r="AK377" t="str">
        <v>nissan stanza xe</v>
      </c>
      <c r="AL377" s="7">
        <v>36</v>
      </c>
      <c r="AM377" s="7">
        <v>27.690192740926726</v>
      </c>
      <c r="AN377" s="7">
        <v>8.3098072590732741</v>
      </c>
      <c r="AO377" s="7">
        <v>5.2484190645161813E-3</v>
      </c>
      <c r="AP377" s="7">
        <v>1.8177377147649565</v>
      </c>
      <c r="AQ377" s="7">
        <v>5.8110558288923019E-3</v>
      </c>
      <c r="AR377" s="7">
        <v>1.6991776601112989</v>
      </c>
      <c r="AS377" s="7">
        <v>1.8338409920627767</v>
      </c>
      <c r="AT377" s="7">
        <v>1.348235036914913</v>
      </c>
      <c r="AU377" s="7">
        <v>8.3536507187639444</v>
      </c>
      <c r="AV377" s="7" t="e">
        <v>#N/A</v>
      </c>
    </row>
    <row r="378" spans="37:48" x14ac:dyDescent="0.25">
      <c r="AK378" t="str">
        <v>honda accord</v>
      </c>
      <c r="AL378" s="7">
        <v>36</v>
      </c>
      <c r="AM378" s="7">
        <v>28.809809307803924</v>
      </c>
      <c r="AN378" s="7">
        <v>7.1901906921960759</v>
      </c>
      <c r="AO378" s="7">
        <v>4.4683001440540973E-3</v>
      </c>
      <c r="AP378" s="7">
        <v>1.5722096162053198</v>
      </c>
      <c r="AQ378" s="7">
        <v>3.6981701268864477E-3</v>
      </c>
      <c r="AR378" s="7">
        <v>1.7269108614600868</v>
      </c>
      <c r="AS378" s="7">
        <v>1.8593621007467944</v>
      </c>
      <c r="AT378" s="7">
        <v>1.2538778314514216</v>
      </c>
      <c r="AU378" s="7">
        <v>7.2224628238724105</v>
      </c>
      <c r="AV378" s="7" t="e">
        <v>#N/A</v>
      </c>
    </row>
    <row r="379" spans="37:48" x14ac:dyDescent="0.25">
      <c r="AK379" t="str">
        <v>toyota corolla</v>
      </c>
      <c r="AL379" s="7">
        <v>34</v>
      </c>
      <c r="AM379" s="7">
        <v>29.240431064295155</v>
      </c>
      <c r="AN379" s="7">
        <v>4.759568935704845</v>
      </c>
      <c r="AO379" s="7">
        <v>4.7051336972798391E-3</v>
      </c>
      <c r="AP379" s="7">
        <v>1.0408528262493146</v>
      </c>
      <c r="AQ379" s="7">
        <v>1.7071732668147812E-3</v>
      </c>
      <c r="AR379" s="7">
        <v>1.7560396847773088</v>
      </c>
      <c r="AS379" s="7">
        <v>1.8593621007467944</v>
      </c>
      <c r="AT379" s="7">
        <v>1.0202219495037903</v>
      </c>
      <c r="AU379" s="7">
        <v>4.7820692106907909</v>
      </c>
      <c r="AV379" s="7" t="e">
        <v>#N/A</v>
      </c>
    </row>
    <row r="380" spans="37:48" x14ac:dyDescent="0.25">
      <c r="AK380" t="str">
        <v>honda civic</v>
      </c>
      <c r="AL380" s="7">
        <v>38</v>
      </c>
      <c r="AM380" s="7">
        <v>29.498804118189895</v>
      </c>
      <c r="AN380" s="7">
        <v>8.501195881810105</v>
      </c>
      <c r="AO380" s="7">
        <v>4.9904016403792923E-3</v>
      </c>
      <c r="AP380" s="7">
        <v>1.8593621007467944</v>
      </c>
      <c r="AQ380" s="7">
        <v>5.7798281292384878E-3</v>
      </c>
      <c r="AR380" s="7">
        <v>1.7560396847773088</v>
      </c>
      <c r="AS380" s="7">
        <v>1.9318373510721396</v>
      </c>
      <c r="AT380" s="7">
        <v>1.3635842844308503</v>
      </c>
      <c r="AU380" s="7">
        <v>8.5438330402291918</v>
      </c>
      <c r="AV380" s="7" t="e">
        <v>#N/A</v>
      </c>
    </row>
    <row r="381" spans="37:48" x14ac:dyDescent="0.25">
      <c r="AK381" t="str">
        <v>honda civic (auto)</v>
      </c>
      <c r="AL381" s="7">
        <v>32</v>
      </c>
      <c r="AM381" s="7">
        <v>29.498804118189895</v>
      </c>
      <c r="AN381" s="7">
        <v>2.501195881810105</v>
      </c>
      <c r="AO381" s="7">
        <v>4.9904016403792923E-3</v>
      </c>
      <c r="AP381" s="7">
        <v>0.54705583706553051</v>
      </c>
      <c r="AQ381" s="7">
        <v>5.0032279248455745E-4</v>
      </c>
      <c r="AR381" s="7">
        <v>1.7560396847773088</v>
      </c>
      <c r="AS381" s="7">
        <v>1.9318760743916459</v>
      </c>
      <c r="AT381" s="7">
        <v>0.73963223095368857</v>
      </c>
      <c r="AU381" s="7">
        <v>2.513740456306746</v>
      </c>
      <c r="AV381" s="7" t="e">
        <v>#N/A</v>
      </c>
    </row>
    <row r="382" spans="37:48" x14ac:dyDescent="0.25">
      <c r="AK382" t="str">
        <v>datsun 310 gx</v>
      </c>
      <c r="AL382" s="7">
        <v>38</v>
      </c>
      <c r="AM382" s="7">
        <v>29.498804118189895</v>
      </c>
      <c r="AN382" s="7">
        <v>8.501195881810105</v>
      </c>
      <c r="AO382" s="7">
        <v>4.9904016403792923E-3</v>
      </c>
      <c r="AP382" s="7">
        <v>1.8593621007467944</v>
      </c>
      <c r="AQ382" s="7">
        <v>5.7798281292384878E-3</v>
      </c>
      <c r="AR382" s="7">
        <v>1.7560396847773088</v>
      </c>
      <c r="AS382" s="7">
        <v>2.0219680354097753</v>
      </c>
      <c r="AT382" s="7">
        <v>1.3635842844308503</v>
      </c>
      <c r="AU382" s="7">
        <v>8.5438330402291918</v>
      </c>
      <c r="AV382" s="7" t="e">
        <v>#N/A</v>
      </c>
    </row>
    <row r="383" spans="37:48" x14ac:dyDescent="0.25">
      <c r="AK383" t="str">
        <v>buick century limited</v>
      </c>
      <c r="AL383" s="7">
        <v>25</v>
      </c>
      <c r="AM383" s="7">
        <v>21.955814924109514</v>
      </c>
      <c r="AN383" s="7">
        <v>3.0441850758904856</v>
      </c>
      <c r="AO383" s="7">
        <v>2.917680538563657E-3</v>
      </c>
      <c r="AP383" s="7">
        <v>0.66512478461550917</v>
      </c>
      <c r="AQ383" s="7">
        <v>4.3151086090265615E-4</v>
      </c>
      <c r="AR383" s="7">
        <v>1.8906321205380332</v>
      </c>
      <c r="AS383" s="7">
        <v>2.1125269603276573</v>
      </c>
      <c r="AT383" s="7">
        <v>0.81555182828285611</v>
      </c>
      <c r="AU383" s="7">
        <v>3.0530930259948552</v>
      </c>
      <c r="AV383" s="7" t="e">
        <v>#N/A</v>
      </c>
    </row>
    <row r="384" spans="37:48" x14ac:dyDescent="0.25">
      <c r="AK384" t="str">
        <v>oldsmobile cutlass ciera (diesel)</v>
      </c>
      <c r="AL384" s="7">
        <v>38</v>
      </c>
      <c r="AM384" s="7">
        <v>24.108923706565665</v>
      </c>
      <c r="AN384" s="7">
        <v>13.891076293434335</v>
      </c>
      <c r="AO384" s="7">
        <v>7.9924329711578042E-3</v>
      </c>
      <c r="AP384" s="7">
        <v>3.0428180970641172</v>
      </c>
      <c r="AQ384" s="7">
        <v>2.4865359588825409E-2</v>
      </c>
      <c r="AR384" s="7">
        <v>1.9302858560575813</v>
      </c>
      <c r="AS384" s="7">
        <v>2.2217591935428351</v>
      </c>
      <c r="AT384" s="7">
        <v>1.7443675349719501</v>
      </c>
      <c r="AU384" s="7">
        <v>14.002994286666018</v>
      </c>
      <c r="AV384" s="7">
        <v>2.4865359588825409E-2</v>
      </c>
    </row>
    <row r="385" spans="37:48" x14ac:dyDescent="0.25">
      <c r="AK385" t="str">
        <v>chrysler lebaron medallion</v>
      </c>
      <c r="AL385" s="7">
        <v>26</v>
      </c>
      <c r="AM385" s="7">
        <v>27.345695335733744</v>
      </c>
      <c r="AN385" s="7">
        <v>-1.345695335733744</v>
      </c>
      <c r="AO385" s="7">
        <v>5.894097787058938E-3</v>
      </c>
      <c r="AP385" s="7">
        <v>-0.29446115240664739</v>
      </c>
      <c r="AQ385" s="7">
        <v>1.7136394225593493E-4</v>
      </c>
      <c r="AR385" s="7">
        <v>1.9732297912673347</v>
      </c>
      <c r="AS385" s="7">
        <v>2.4344034887389445</v>
      </c>
      <c r="AT385" s="7">
        <v>0.54264274841432036</v>
      </c>
      <c r="AU385" s="7">
        <v>-1.3536740227959045</v>
      </c>
      <c r="AV385" s="7" t="e">
        <v>#N/A</v>
      </c>
    </row>
    <row r="386" spans="37:48" x14ac:dyDescent="0.25">
      <c r="AK386" t="str">
        <v>ford granada l</v>
      </c>
      <c r="AL386" s="7">
        <v>22</v>
      </c>
      <c r="AM386" s="7">
        <v>21.783566221513023</v>
      </c>
      <c r="AN386" s="7">
        <v>0.21643377848697654</v>
      </c>
      <c r="AO386" s="7">
        <v>2.8338279190751282E-3</v>
      </c>
      <c r="AP386" s="7">
        <v>4.7286683926876731E-2</v>
      </c>
      <c r="AQ386" s="7">
        <v>2.1181777489290389E-6</v>
      </c>
      <c r="AR386" s="7">
        <v>2.0201546663717482</v>
      </c>
      <c r="AS386" s="7">
        <v>2.6225941881597925</v>
      </c>
      <c r="AT386" s="7">
        <v>0.21745501586966609</v>
      </c>
      <c r="AU386" s="7">
        <v>0.2170488575994452</v>
      </c>
      <c r="AV386" s="7" t="e">
        <v>#N/A</v>
      </c>
    </row>
    <row r="387" spans="37:48" x14ac:dyDescent="0.25">
      <c r="AK387" t="str">
        <v>toyota celica gt</v>
      </c>
      <c r="AL387" s="7">
        <v>32</v>
      </c>
      <c r="AM387" s="7">
        <v>27.001197930540762</v>
      </c>
      <c r="AN387" s="7">
        <v>4.9988020694592379</v>
      </c>
      <c r="AO387" s="7">
        <v>6.7306669244870179E-3</v>
      </c>
      <c r="AP387" s="7">
        <v>1.0942839109364728</v>
      </c>
      <c r="AQ387" s="7">
        <v>2.7047669161319701E-3</v>
      </c>
      <c r="AR387" s="7">
        <v>2.0720014483779305</v>
      </c>
      <c r="AS387" s="7">
        <v>2.6883517497426985</v>
      </c>
      <c r="AT387" s="7">
        <v>1.0460802602747423</v>
      </c>
      <c r="AU387" s="7">
        <v>5.0326753308502736</v>
      </c>
      <c r="AV387" s="7" t="e">
        <v>#N/A</v>
      </c>
    </row>
    <row r="388" spans="37:48" x14ac:dyDescent="0.25">
      <c r="AK388" t="str">
        <v>dodge charger 2.2</v>
      </c>
      <c r="AL388" s="7">
        <v>36</v>
      </c>
      <c r="AM388" s="7">
        <v>28.034690146119711</v>
      </c>
      <c r="AN388" s="7">
        <v>7.9653098538802887</v>
      </c>
      <c r="AO388" s="7">
        <v>4.7936307568587693E-3</v>
      </c>
      <c r="AP388" s="7">
        <v>1.74198209883175</v>
      </c>
      <c r="AQ388" s="7">
        <v>4.8721152408061153E-3</v>
      </c>
      <c r="AR388" s="7">
        <v>2.1301011271220536</v>
      </c>
      <c r="AS388" s="7">
        <v>2.7638415002905243</v>
      </c>
      <c r="AT388" s="7">
        <v>1.3198416946102856</v>
      </c>
      <c r="AU388" s="7">
        <v>8.0036765238328833</v>
      </c>
      <c r="AV388" s="7" t="e">
        <v>#N/A</v>
      </c>
    </row>
    <row r="389" spans="37:48" x14ac:dyDescent="0.25">
      <c r="AK389" t="str">
        <v>chevrolet camaro</v>
      </c>
      <c r="AL389" s="7">
        <v>27</v>
      </c>
      <c r="AM389" s="7">
        <v>27.517944038330235</v>
      </c>
      <c r="AN389" s="7">
        <v>-0.51794403833023495</v>
      </c>
      <c r="AO389" s="7">
        <v>5.5473971239268956E-3</v>
      </c>
      <c r="AP389" s="7">
        <v>-0.11331525504919178</v>
      </c>
      <c r="AQ389" s="7">
        <v>2.3875950769645618E-5</v>
      </c>
      <c r="AR389" s="7">
        <v>2.1964293827614645</v>
      </c>
      <c r="AS389" s="7">
        <v>2.7936572837699241</v>
      </c>
      <c r="AT389" s="7">
        <v>0.33662331328829825</v>
      </c>
      <c r="AU389" s="7">
        <v>-0.52083330752243018</v>
      </c>
      <c r="AV389" s="7" t="e">
        <v>#N/A</v>
      </c>
    </row>
    <row r="390" spans="37:48" x14ac:dyDescent="0.25">
      <c r="AK390" t="str">
        <v>ford mustang gl</v>
      </c>
      <c r="AL390" s="7">
        <v>27</v>
      </c>
      <c r="AM390" s="7">
        <v>27.86244144352322</v>
      </c>
      <c r="AN390" s="7">
        <v>-0.86244144352322039</v>
      </c>
      <c r="AO390" s="7">
        <v>4.9971636088268082E-3</v>
      </c>
      <c r="AP390" s="7">
        <v>-0.18863185902671509</v>
      </c>
      <c r="AQ390" s="7">
        <v>5.9567323256843759E-5</v>
      </c>
      <c r="AR390" s="7">
        <v>2.2741131596554611</v>
      </c>
      <c r="AS390" s="7">
        <v>2.8856244344914175</v>
      </c>
      <c r="AT390" s="7">
        <v>0.4343176936606602</v>
      </c>
      <c r="AU390" s="7">
        <v>-0.86677284926267495</v>
      </c>
      <c r="AV390" s="7" t="e">
        <v>#N/A</v>
      </c>
    </row>
    <row r="391" spans="37:48" x14ac:dyDescent="0.25">
      <c r="AK391" t="str">
        <v>vw pickup</v>
      </c>
      <c r="AL391" s="7">
        <v>44</v>
      </c>
      <c r="AM391" s="7">
        <v>30.790669387663584</v>
      </c>
      <c r="AN391" s="7">
        <v>13.209330612336416</v>
      </c>
      <c r="AO391" s="7">
        <v>8.0273792314715757E-3</v>
      </c>
      <c r="AP391" s="7">
        <v>2.8935337603199272</v>
      </c>
      <c r="AQ391" s="7">
        <v>2.2584472331631914E-2</v>
      </c>
      <c r="AR391" s="7">
        <v>2.3685670592678738</v>
      </c>
      <c r="AS391" s="7">
        <v>2.8935337603199272</v>
      </c>
      <c r="AT391" s="7">
        <v>1.7010390237498747</v>
      </c>
      <c r="AU391" s="7">
        <v>13.316225000345794</v>
      </c>
      <c r="AV391" s="7">
        <v>2.2584472331631914E-2</v>
      </c>
    </row>
    <row r="392" spans="37:48" x14ac:dyDescent="0.25">
      <c r="AK392" t="str">
        <v>dodge rampage</v>
      </c>
      <c r="AL392" s="7">
        <v>32</v>
      </c>
      <c r="AM392" s="7">
        <v>28.034690146119711</v>
      </c>
      <c r="AN392" s="7">
        <v>3.9653098538802887</v>
      </c>
      <c r="AO392" s="7">
        <v>4.7936307568587693E-3</v>
      </c>
      <c r="AP392" s="7">
        <v>0.86719774980450104</v>
      </c>
      <c r="AQ392" s="7">
        <v>1.2074425084182706E-3</v>
      </c>
      <c r="AR392" s="7">
        <v>2.4905347542813567</v>
      </c>
      <c r="AS392" s="7">
        <v>3.0428180970641172</v>
      </c>
      <c r="AT392" s="7">
        <v>0.93123452996788147</v>
      </c>
      <c r="AU392" s="7">
        <v>3.9844096424904558</v>
      </c>
      <c r="AV392" s="7" t="e">
        <v>#N/A</v>
      </c>
    </row>
    <row r="393" spans="37:48" x14ac:dyDescent="0.25">
      <c r="AK393" t="str">
        <v>ford ranger</v>
      </c>
      <c r="AL393" s="7">
        <v>28</v>
      </c>
      <c r="AM393" s="7">
        <v>28.465311902610942</v>
      </c>
      <c r="AN393" s="7">
        <v>-0.46531190261094224</v>
      </c>
      <c r="AO393" s="7">
        <v>4.493585018219501E-3</v>
      </c>
      <c r="AP393" s="7">
        <v>-0.1017465557767618</v>
      </c>
      <c r="AQ393" s="7">
        <v>1.5576399557296047E-5</v>
      </c>
      <c r="AR393" s="7">
        <v>2.6670046532742755</v>
      </c>
      <c r="AS393" s="7">
        <v>3.302898990796185</v>
      </c>
      <c r="AT393" s="7">
        <v>0.31897735934821736</v>
      </c>
      <c r="AU393" s="7">
        <v>-0.46741225933683034</v>
      </c>
      <c r="AV393" s="7" t="e">
        <v>#N/A</v>
      </c>
    </row>
    <row r="394" spans="37:48" x14ac:dyDescent="0.25">
      <c r="AK394" t="str">
        <v>chevy s-10</v>
      </c>
      <c r="AL394" s="7">
        <v>31</v>
      </c>
      <c r="AM394" s="7">
        <v>28.206938848716206</v>
      </c>
      <c r="AN394" s="7">
        <v>2.7930611512837942</v>
      </c>
      <c r="AO394" s="7">
        <v>4.6378205086120596E-3</v>
      </c>
      <c r="AP394" s="7">
        <v>0.61078373474846026</v>
      </c>
      <c r="AQ394" s="7">
        <v>5.7941064983457746E-4</v>
      </c>
      <c r="AR394" s="7">
        <v>3.0172230343004469</v>
      </c>
      <c r="AS394" s="7">
        <v>3.7031254987650177</v>
      </c>
      <c r="AT394" s="7">
        <v>0.78152654129495835</v>
      </c>
      <c r="AU394" s="7">
        <v>2.8060752245087288</v>
      </c>
      <c r="AV394" s="7" t="e">
        <v>#N/A</v>
      </c>
    </row>
  </sheetData>
  <conditionalFormatting sqref="B1">
    <cfRule type="expression" dxfId="37" priority="11">
      <formula>$B$1&lt;&gt;""</formula>
    </cfRule>
  </conditionalFormatting>
  <conditionalFormatting sqref="C2">
    <cfRule type="expression" dxfId="36" priority="14" stopIfTrue="1">
      <formula>AND($C$2=FALSE,SUMPRODUCT(N(_xlfn.TAKE(Spec_Role,COLUMNS(Source_Data))="Predictor (x)"),N(_xlfn.TAKE(Spec_Include,COLUMNS(Source_Data))=TRUE),N(_xlfn.TAKE(Spec_Type,COLUMNS(Source_Data))="Categorical"))&gt;0)</formula>
    </cfRule>
    <cfRule type="expression" dxfId="35" priority="15">
      <formula>SUMPRODUCT(N(_xlfn.TAKE(Spec_Role,COLUMNS(Source_Data))="Predictor (x)"),N(_xlfn.TAKE(Spec_Include,COLUMNS(Source_Data))=TRUE),N(_xlfn.TAKE(Spec_Type,COLUMNS(Source_Data))="Categorical"))&gt;0</formula>
    </cfRule>
    <cfRule type="expression" dxfId="34" priority="16">
      <formula>AND($C$2=TRUE,SUMPRODUCT(N(_xlfn.TAKE(Spec_Role,COLUMNS(Source_Data))="Fixed Effects"))&gt;0)</formula>
    </cfRule>
  </conditionalFormatting>
  <conditionalFormatting sqref="C4:F16000">
    <cfRule type="expression" dxfId="33" priority="1">
      <formula>$B4&lt;&gt;"Predictor (x)"</formula>
    </cfRule>
  </conditionalFormatting>
  <conditionalFormatting sqref="E1">
    <cfRule type="expression" dxfId="32" priority="10">
      <formula>$E$1&lt;&gt;""</formula>
    </cfRule>
  </conditionalFormatting>
  <conditionalFormatting sqref="E4:E16000">
    <cfRule type="expression" dxfId="31" priority="9">
      <formula>AND($E4&lt;&gt;"",ISNA(Dummy_Levels(INDEX(Source_Data,0,ROW()-3),$E4,Sample_Include())))</formula>
    </cfRule>
  </conditionalFormatting>
  <conditionalFormatting sqref="G4:G16000">
    <cfRule type="expression" dxfId="30" priority="2">
      <formula>AND($B4&lt;&gt;"Predictor (x)",$B4&lt;&gt;"Response (y)")</formula>
    </cfRule>
    <cfRule type="expression" dxfId="29" priority="8">
      <formula>AND($B4="Predictor (x)",$D4="Categorical",$G4="Log")</formula>
    </cfRule>
  </conditionalFormatting>
  <conditionalFormatting sqref="H4:H16000">
    <cfRule type="expression" dxfId="28" priority="6">
      <formula>AND($H4=TRUE,SUMPRODUCT(N(_xlfn.TAKE(Spec_Sequence,COLUMNS(Source_Data))=TRUE))&gt;1)</formula>
    </cfRule>
  </conditionalFormatting>
  <conditionalFormatting sqref="H4:I16000">
    <cfRule type="expression" dxfId="27" priority="4">
      <formula>$H4&lt;&gt;TRUE</formula>
    </cfRule>
  </conditionalFormatting>
  <conditionalFormatting sqref="I2">
    <cfRule type="expression" dxfId="26" priority="12" stopIfTrue="1">
      <formula>OR(ISNUMBER(SEARCH("off-grid",$I$2)),ISNUMBER(SEARCH("calendar",$I$2)))</formula>
    </cfRule>
    <cfRule type="expression" dxfId="25" priority="13">
      <formula>OR(ISNUMBER(SEARCH("evenly spaced",$I$2)),ISNUMBER(SEARCH("no natural",$I$2)))</formula>
    </cfRule>
  </conditionalFormatting>
  <conditionalFormatting sqref="J4:J16000">
    <cfRule type="expression" dxfId="24" priority="5">
      <formula>$H4&lt;&gt;TRUE</formula>
    </cfRule>
  </conditionalFormatting>
  <conditionalFormatting sqref="K4:K16000">
    <cfRule type="expression" dxfId="23" priority="7">
      <formula>AND($B4="Predictor (x)",$C4=TRUE,$D4="Categorical",N($K4)&lt;=1)</formula>
    </cfRule>
  </conditionalFormatting>
  <conditionalFormatting sqref="K4:L16000">
    <cfRule type="expression" dxfId="22" priority="3">
      <formula>$B4&lt;&gt;"Predictor (x)"</formula>
    </cfRule>
  </conditionalFormatting>
  <conditionalFormatting sqref="U3:U1048576">
    <cfRule type="expression" dxfId="21" priority="17">
      <formula>AND(ISNUMBER(U3),U3&gt;5,U3&lt;=10)</formula>
    </cfRule>
    <cfRule type="expression" dxfId="20" priority="18">
      <formula>AND(ISNUMBER(U3),U3&gt;10)</formula>
    </cfRule>
  </conditionalFormatting>
  <conditionalFormatting sqref="AB5">
    <cfRule type="expression" dxfId="19" priority="19">
      <formula>AND(ISNUMBER(AB5),AB5&lt;0)</formula>
    </cfRule>
  </conditionalFormatting>
  <conditionalFormatting sqref="AB10">
    <cfRule type="expression" dxfId="18" priority="20">
      <formula>AND(ISNUMBER(AB10),AB10&lt;0.98,AB10&gt;=0.95)</formula>
    </cfRule>
    <cfRule type="expression" dxfId="17" priority="21">
      <formula>AND(ISNUMBER(AB10),AB10&lt;0.95)</formula>
    </cfRule>
  </conditionalFormatting>
  <conditionalFormatting sqref="AB21:AB1048576">
    <cfRule type="expression" dxfId="16" priority="22">
      <formula>AND(ISNUMBER(AB21),AB21&gt;$Y$12)</formula>
    </cfRule>
  </conditionalFormatting>
  <conditionalFormatting sqref="AC15">
    <cfRule type="expression" dxfId="15" priority="23">
      <formula>AND(ISNUMBER(AC15),AC15&gt;$Y$12)</formula>
    </cfRule>
  </conditionalFormatting>
  <conditionalFormatting sqref="AH12">
    <cfRule type="expression" dxfId="14" priority="24">
      <formula>ISNA(MATCH($AH$12,Prediction_Group_Column(),0))</formula>
    </cfRule>
  </conditionalFormatting>
  <conditionalFormatting sqref="AO3:AO1048576">
    <cfRule type="expression" dxfId="13" priority="25">
      <formula>AND(ISNUMBER(AO3),AO3&gt;2*$AB$6)</formula>
    </cfRule>
    <cfRule type="expression" dxfId="12" priority="26">
      <formula>AND(ISNUMBER(AO3),AO3&gt;3*$AB$6)</formula>
    </cfRule>
  </conditionalFormatting>
  <conditionalFormatting sqref="AP3:AP1048576">
    <cfRule type="expression" dxfId="11" priority="27">
      <formula>AND(ISNUMBER(AP3),ABS(AP3)&gt;2,ABS(AP3)&lt;3)</formula>
    </cfRule>
    <cfRule type="expression" dxfId="10" priority="28">
      <formula>AND(ISNUMBER(AP3),ABS(AP3)&gt;=3)</formula>
    </cfRule>
  </conditionalFormatting>
  <conditionalFormatting sqref="AQ3:AQ1048576">
    <cfRule type="expression" dxfId="9" priority="31">
      <formula>AND(ISNUMBER(AQ3),AQ3&gt;4/$Y$8,AQ3&lt;=0.9)</formula>
    </cfRule>
    <cfRule type="expression" dxfId="8" priority="32">
      <formula>AND(ISNUMBER(AQ3),AQ3&gt;0.9)</formula>
    </cfRule>
  </conditionalFormatting>
  <conditionalFormatting sqref="AS3:AS1048576">
    <cfRule type="expression" dxfId="7" priority="29">
      <formula>AND(ISNUMBER(AS3),ABS(AS3)&gt;2,ABS(AS3)&lt;3)</formula>
    </cfRule>
    <cfRule type="expression" dxfId="6" priority="30">
      <formula>AND(ISNUMBER(AS3),ABS(AS3)&gt;=3)</formula>
    </cfRule>
  </conditionalFormatting>
  <conditionalFormatting sqref="AT3:AT1048576">
    <cfRule type="expression" dxfId="5" priority="35">
      <formula>AND(ISNUMBER(AT3),AT3&gt;1.414,AT3&lt;=1.732)</formula>
    </cfRule>
    <cfRule type="expression" dxfId="4" priority="36">
      <formula>AND(ISNUMBER(AT3),AT3&gt;1.732)</formula>
    </cfRule>
  </conditionalFormatting>
  <conditionalFormatting sqref="AU3:AU1048576">
    <cfRule type="expression" dxfId="3" priority="37">
      <formula>AND(ISNUMBER(AU3),ABS(AU3)&gt;2*$Y$7,ABS(AU3)&lt;=3*$Y$7)</formula>
    </cfRule>
    <cfRule type="expression" dxfId="2" priority="38">
      <formula>AND(ISNUMBER(AU3),ABS(AU3)&gt;3*$Y$7)</formula>
    </cfRule>
  </conditionalFormatting>
  <conditionalFormatting sqref="AV3:AV1048576">
    <cfRule type="expression" dxfId="1" priority="33">
      <formula>AND(ISNUMBER(AV3),AV3&gt;4/$Y$8,AV3&lt;=0.9)</formula>
    </cfRule>
    <cfRule type="expression" dxfId="0" priority="34">
      <formula>AND(ISNUMBER(AV3),AV3&gt;0.9)</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9A0DA-C9C8-40A6-AAE8-AED4531178AC}">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560</v>
      </c>
      <c r="B1" s="13"/>
      <c r="C1" s="13"/>
      <c r="D1" s="13"/>
    </row>
    <row r="2" spans="1:4" ht="105" x14ac:dyDescent="0.25">
      <c r="A2" s="2" t="s">
        <v>561</v>
      </c>
    </row>
    <row r="4" spans="1:4" x14ac:dyDescent="0.25">
      <c r="A4" s="6" t="s">
        <v>562</v>
      </c>
      <c r="B4" s="5"/>
      <c r="C4" s="5"/>
      <c r="D4" s="5"/>
    </row>
    <row r="5" spans="1:4" x14ac:dyDescent="0.25">
      <c r="A5" s="6" t="s">
        <v>563</v>
      </c>
      <c r="B5" s="6" t="s">
        <v>564</v>
      </c>
      <c r="C5" s="6" t="s">
        <v>565</v>
      </c>
      <c r="D5" s="6" t="s">
        <v>566</v>
      </c>
    </row>
    <row r="6" spans="1:4" ht="45" x14ac:dyDescent="0.25">
      <c r="A6" s="2" t="s">
        <v>567</v>
      </c>
      <c r="B6" s="2" t="s">
        <v>568</v>
      </c>
      <c r="C6" s="2" t="s">
        <v>152</v>
      </c>
      <c r="D6" s="2" t="s">
        <v>569</v>
      </c>
    </row>
    <row r="7" spans="1:4" ht="60" x14ac:dyDescent="0.25">
      <c r="A7" s="2" t="s">
        <v>570</v>
      </c>
      <c r="B7" s="2" t="s">
        <v>571</v>
      </c>
      <c r="C7" s="2" t="s">
        <v>572</v>
      </c>
      <c r="D7" s="2" t="s">
        <v>573</v>
      </c>
    </row>
    <row r="8" spans="1:4" ht="45" x14ac:dyDescent="0.25">
      <c r="A8" s="2" t="s">
        <v>574</v>
      </c>
      <c r="B8" s="2" t="s">
        <v>568</v>
      </c>
      <c r="C8" s="2" t="s">
        <v>575</v>
      </c>
      <c r="D8" s="2" t="s">
        <v>576</v>
      </c>
    </row>
    <row r="10" spans="1:4" x14ac:dyDescent="0.25">
      <c r="A10" s="6" t="s">
        <v>577</v>
      </c>
      <c r="B10" s="5"/>
      <c r="C10" s="5"/>
      <c r="D10" s="5"/>
    </row>
    <row r="11" spans="1:4" x14ac:dyDescent="0.25">
      <c r="A11" s="6" t="s">
        <v>563</v>
      </c>
      <c r="B11" s="6" t="s">
        <v>564</v>
      </c>
      <c r="C11" s="6" t="s">
        <v>565</v>
      </c>
      <c r="D11" s="6" t="s">
        <v>566</v>
      </c>
    </row>
    <row r="12" spans="1:4" ht="60" x14ac:dyDescent="0.25">
      <c r="A12" s="2" t="s">
        <v>578</v>
      </c>
      <c r="B12" s="2" t="s">
        <v>568</v>
      </c>
      <c r="C12" s="2" t="s">
        <v>579</v>
      </c>
      <c r="D12" s="2" t="s">
        <v>580</v>
      </c>
    </row>
    <row r="13" spans="1:4" ht="180" x14ac:dyDescent="0.25">
      <c r="A13" s="2" t="s">
        <v>581</v>
      </c>
      <c r="B13" s="2" t="s">
        <v>582</v>
      </c>
      <c r="C13" s="2" t="s">
        <v>581</v>
      </c>
      <c r="D13" s="2" t="s">
        <v>583</v>
      </c>
    </row>
    <row r="14" spans="1:4" ht="60" x14ac:dyDescent="0.25">
      <c r="A14" s="2" t="s">
        <v>584</v>
      </c>
      <c r="B14" s="2" t="s">
        <v>585</v>
      </c>
      <c r="C14" s="2" t="s">
        <v>586</v>
      </c>
      <c r="D14" s="2" t="s">
        <v>587</v>
      </c>
    </row>
    <row r="15" spans="1:4" ht="75" x14ac:dyDescent="0.25">
      <c r="A15" s="2" t="s">
        <v>588</v>
      </c>
      <c r="B15" s="2" t="s">
        <v>582</v>
      </c>
      <c r="C15" s="2" t="s">
        <v>589</v>
      </c>
      <c r="D15" s="2" t="s">
        <v>590</v>
      </c>
    </row>
    <row r="17" spans="1:4" x14ac:dyDescent="0.25">
      <c r="A17" s="6" t="s">
        <v>591</v>
      </c>
      <c r="B17" s="5"/>
      <c r="C17" s="5"/>
      <c r="D17" s="5"/>
    </row>
    <row r="18" spans="1:4" x14ac:dyDescent="0.25">
      <c r="A18" s="6" t="s">
        <v>592</v>
      </c>
      <c r="B18" s="6" t="s">
        <v>593</v>
      </c>
      <c r="C18" s="6" t="s">
        <v>594</v>
      </c>
      <c r="D18" s="6" t="s">
        <v>595</v>
      </c>
    </row>
    <row r="19" spans="1:4" ht="30" x14ac:dyDescent="0.25">
      <c r="A19" s="2" t="s">
        <v>1613</v>
      </c>
      <c r="B19" s="2" t="s">
        <v>1614</v>
      </c>
      <c r="C19" s="2" t="s">
        <v>1615</v>
      </c>
      <c r="D19" s="2" t="s">
        <v>1616</v>
      </c>
    </row>
    <row r="20" spans="1:4" ht="30" x14ac:dyDescent="0.25">
      <c r="A20" s="2" t="s">
        <v>104</v>
      </c>
      <c r="B20" s="2" t="s">
        <v>1617</v>
      </c>
      <c r="C20" s="2" t="s">
        <v>596</v>
      </c>
      <c r="D20" s="2" t="s">
        <v>597</v>
      </c>
    </row>
    <row r="21" spans="1:4" x14ac:dyDescent="0.25">
      <c r="A21" s="2" t="s">
        <v>598</v>
      </c>
      <c r="B21" s="2" t="s">
        <v>599</v>
      </c>
      <c r="C21" s="2" t="s">
        <v>600</v>
      </c>
      <c r="D21" s="2" t="s">
        <v>601</v>
      </c>
    </row>
    <row r="22" spans="1:4" ht="30" x14ac:dyDescent="0.25">
      <c r="A22" s="2" t="s">
        <v>602</v>
      </c>
      <c r="B22" s="2" t="s">
        <v>603</v>
      </c>
      <c r="C22" s="2" t="s">
        <v>604</v>
      </c>
      <c r="D22" s="2" t="s">
        <v>605</v>
      </c>
    </row>
    <row r="23" spans="1:4" x14ac:dyDescent="0.25">
      <c r="A23" s="2" t="s">
        <v>606</v>
      </c>
      <c r="B23" s="2" t="s">
        <v>607</v>
      </c>
      <c r="C23" s="2" t="s">
        <v>600</v>
      </c>
      <c r="D23" s="2" t="s">
        <v>608</v>
      </c>
    </row>
    <row r="24" spans="1:4" x14ac:dyDescent="0.25">
      <c r="A24" s="2" t="s">
        <v>609</v>
      </c>
      <c r="B24" s="2" t="s">
        <v>610</v>
      </c>
      <c r="C24" s="2" t="s">
        <v>600</v>
      </c>
      <c r="D24" s="2" t="s">
        <v>611</v>
      </c>
    </row>
    <row r="25" spans="1:4" x14ac:dyDescent="0.25">
      <c r="A25" s="2" t="s">
        <v>585</v>
      </c>
      <c r="B25" s="2" t="s">
        <v>612</v>
      </c>
      <c r="C25" s="2" t="s">
        <v>600</v>
      </c>
      <c r="D25" s="2" t="s">
        <v>613</v>
      </c>
    </row>
    <row r="26" spans="1:4" ht="30" x14ac:dyDescent="0.25">
      <c r="A26" s="2" t="s">
        <v>586</v>
      </c>
      <c r="B26" s="2" t="s">
        <v>614</v>
      </c>
      <c r="C26" s="2" t="s">
        <v>615</v>
      </c>
      <c r="D26" s="2" t="s">
        <v>616</v>
      </c>
    </row>
    <row r="27" spans="1:4" x14ac:dyDescent="0.25">
      <c r="A27" s="2" t="s">
        <v>581</v>
      </c>
      <c r="B27" s="2" t="s">
        <v>617</v>
      </c>
      <c r="C27" s="2" t="s">
        <v>618</v>
      </c>
      <c r="D27" s="2" t="s">
        <v>619</v>
      </c>
    </row>
    <row r="28" spans="1:4" ht="30" x14ac:dyDescent="0.25">
      <c r="A28" s="2" t="s">
        <v>578</v>
      </c>
      <c r="B28" s="2" t="s">
        <v>620</v>
      </c>
      <c r="C28" s="2" t="s">
        <v>621</v>
      </c>
      <c r="D28" s="2" t="s">
        <v>622</v>
      </c>
    </row>
    <row r="29" spans="1:4" x14ac:dyDescent="0.25">
      <c r="A29" s="2" t="s">
        <v>623</v>
      </c>
      <c r="B29" s="2" t="s">
        <v>624</v>
      </c>
      <c r="C29" s="2" t="s">
        <v>625</v>
      </c>
      <c r="D29" s="2" t="s">
        <v>626</v>
      </c>
    </row>
    <row r="31" spans="1:4" x14ac:dyDescent="0.25">
      <c r="A31" s="6" t="s">
        <v>627</v>
      </c>
      <c r="B31" s="5"/>
      <c r="C31" s="5"/>
    </row>
    <row r="32" spans="1:4" x14ac:dyDescent="0.25">
      <c r="A32" s="6" t="s">
        <v>628</v>
      </c>
      <c r="B32" s="6" t="s">
        <v>629</v>
      </c>
      <c r="C32" s="6" t="s">
        <v>630</v>
      </c>
    </row>
    <row r="33" spans="1:3" ht="120" x14ac:dyDescent="0.25">
      <c r="A33" s="2" t="s">
        <v>631</v>
      </c>
      <c r="B33" s="2" t="s">
        <v>632</v>
      </c>
      <c r="C33" s="2" t="s">
        <v>633</v>
      </c>
    </row>
    <row r="34" spans="1:3" ht="105" x14ac:dyDescent="0.25">
      <c r="A34" s="2" t="s">
        <v>634</v>
      </c>
      <c r="B34" s="2" t="s">
        <v>635</v>
      </c>
      <c r="C34" s="2" t="s">
        <v>636</v>
      </c>
    </row>
    <row r="35" spans="1:3" ht="120" x14ac:dyDescent="0.25">
      <c r="A35" s="2" t="s">
        <v>637</v>
      </c>
      <c r="B35" s="2" t="s">
        <v>638</v>
      </c>
      <c r="C35" s="2" t="s">
        <v>639</v>
      </c>
    </row>
    <row r="36" spans="1:3" ht="240" x14ac:dyDescent="0.25">
      <c r="A36" s="2" t="s">
        <v>640</v>
      </c>
      <c r="B36" s="2" t="s">
        <v>641</v>
      </c>
      <c r="C36" s="2" t="s">
        <v>642</v>
      </c>
    </row>
    <row r="37" spans="1:3" ht="150" x14ac:dyDescent="0.25">
      <c r="A37" s="2" t="s">
        <v>1618</v>
      </c>
      <c r="B37" s="2" t="s">
        <v>1619</v>
      </c>
      <c r="C37" s="2" t="s">
        <v>643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27"/>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841</v>
      </c>
      <c r="C1" s="2" t="s">
        <v>1</v>
      </c>
      <c r="D1" s="2" t="s">
        <v>2</v>
      </c>
      <c r="E1" s="2" t="s">
        <v>3</v>
      </c>
      <c r="F1" s="2" t="s">
        <v>4</v>
      </c>
      <c r="G1" s="2" t="s">
        <v>5</v>
      </c>
    </row>
    <row r="2" spans="1:7" ht="90" x14ac:dyDescent="0.25">
      <c r="A2" s="2" t="s">
        <v>6</v>
      </c>
      <c r="B2" s="2" t="s">
        <v>842</v>
      </c>
      <c r="C2" s="1" t="s">
        <v>7</v>
      </c>
      <c r="D2" s="2" t="s">
        <v>8</v>
      </c>
      <c r="E2" s="2" t="s">
        <v>9</v>
      </c>
      <c r="F2" s="2" t="s">
        <v>10</v>
      </c>
      <c r="G2" s="2" t="s">
        <v>11</v>
      </c>
    </row>
    <row r="3" spans="1:7" ht="105" x14ac:dyDescent="0.25">
      <c r="A3" s="2" t="s">
        <v>765</v>
      </c>
      <c r="B3" s="2" t="s">
        <v>842</v>
      </c>
      <c r="C3" s="1" t="s">
        <v>12</v>
      </c>
      <c r="D3" s="2" t="s">
        <v>13</v>
      </c>
      <c r="E3" s="2" t="s">
        <v>14</v>
      </c>
      <c r="F3" s="2" t="s">
        <v>15</v>
      </c>
      <c r="G3" s="2" t="s">
        <v>16</v>
      </c>
    </row>
    <row r="4" spans="1:7" ht="105" x14ac:dyDescent="0.25">
      <c r="A4" s="2" t="s">
        <v>766</v>
      </c>
      <c r="B4" s="2" t="s">
        <v>842</v>
      </c>
      <c r="C4" s="1" t="s">
        <v>17</v>
      </c>
      <c r="D4" s="2" t="s">
        <v>18</v>
      </c>
      <c r="E4" s="2" t="s">
        <v>19</v>
      </c>
      <c r="F4" s="2" t="s">
        <v>20</v>
      </c>
      <c r="G4" s="2" t="s">
        <v>21</v>
      </c>
    </row>
    <row r="5" spans="1:7" ht="120" x14ac:dyDescent="0.25">
      <c r="A5" s="2" t="s">
        <v>767</v>
      </c>
      <c r="B5" s="2" t="s">
        <v>842</v>
      </c>
      <c r="C5" s="1" t="s">
        <v>22</v>
      </c>
      <c r="D5" s="2" t="s">
        <v>23</v>
      </c>
      <c r="E5" s="2" t="s">
        <v>24</v>
      </c>
      <c r="F5" s="2" t="s">
        <v>25</v>
      </c>
      <c r="G5" s="2" t="s">
        <v>768</v>
      </c>
    </row>
    <row r="6" spans="1:7" ht="240" x14ac:dyDescent="0.25">
      <c r="A6" s="2" t="s">
        <v>769</v>
      </c>
      <c r="B6" s="2" t="s">
        <v>842</v>
      </c>
      <c r="C6" s="1" t="s">
        <v>1624</v>
      </c>
      <c r="D6" s="2" t="s">
        <v>1625</v>
      </c>
      <c r="E6" s="2" t="s">
        <v>1626</v>
      </c>
      <c r="F6" s="2" t="s">
        <v>1627</v>
      </c>
      <c r="G6" s="2" t="s">
        <v>1628</v>
      </c>
    </row>
    <row r="7" spans="1:7" ht="120" x14ac:dyDescent="0.25">
      <c r="A7" s="2" t="s">
        <v>26</v>
      </c>
      <c r="B7" s="2" t="s">
        <v>842</v>
      </c>
      <c r="C7" s="1" t="s">
        <v>770</v>
      </c>
      <c r="D7" s="2" t="s">
        <v>23</v>
      </c>
      <c r="E7" s="2" t="s">
        <v>27</v>
      </c>
      <c r="F7" s="2" t="s">
        <v>28</v>
      </c>
      <c r="G7" s="2" t="s">
        <v>771</v>
      </c>
    </row>
    <row r="8" spans="1:7" ht="210" x14ac:dyDescent="0.25">
      <c r="A8" s="2" t="s">
        <v>772</v>
      </c>
      <c r="B8" s="2" t="s">
        <v>842</v>
      </c>
      <c r="C8" s="1" t="s">
        <v>1629</v>
      </c>
      <c r="D8" s="2" t="s">
        <v>1630</v>
      </c>
      <c r="E8" s="2" t="s">
        <v>29</v>
      </c>
      <c r="F8" s="2" t="s">
        <v>30</v>
      </c>
      <c r="G8" s="2" t="s">
        <v>1631</v>
      </c>
    </row>
    <row r="9" spans="1:7" ht="120" x14ac:dyDescent="0.25">
      <c r="A9" s="2" t="s">
        <v>31</v>
      </c>
      <c r="B9" s="2" t="s">
        <v>842</v>
      </c>
      <c r="C9" s="1" t="s">
        <v>32</v>
      </c>
      <c r="D9" s="2" t="s">
        <v>18</v>
      </c>
      <c r="E9" s="2" t="s">
        <v>33</v>
      </c>
      <c r="F9" s="2" t="s">
        <v>34</v>
      </c>
      <c r="G9" s="2" t="s">
        <v>35</v>
      </c>
    </row>
    <row r="10" spans="1:7" ht="120" x14ac:dyDescent="0.25">
      <c r="A10" s="2" t="s">
        <v>36</v>
      </c>
      <c r="B10" s="2" t="s">
        <v>842</v>
      </c>
      <c r="C10" s="1" t="s">
        <v>773</v>
      </c>
      <c r="D10" s="2" t="s">
        <v>23</v>
      </c>
      <c r="E10" s="2" t="s">
        <v>37</v>
      </c>
      <c r="F10" s="2" t="s">
        <v>38</v>
      </c>
      <c r="G10" s="2" t="s">
        <v>774</v>
      </c>
    </row>
    <row r="11" spans="1:7" ht="120" x14ac:dyDescent="0.25">
      <c r="A11" s="2" t="s">
        <v>39</v>
      </c>
      <c r="B11" s="2" t="s">
        <v>842</v>
      </c>
      <c r="C11" s="1" t="s">
        <v>775</v>
      </c>
      <c r="D11" s="2" t="s">
        <v>23</v>
      </c>
      <c r="E11" s="2" t="s">
        <v>40</v>
      </c>
      <c r="F11" s="2" t="s">
        <v>41</v>
      </c>
      <c r="G11" s="2" t="s">
        <v>776</v>
      </c>
    </row>
    <row r="12" spans="1:7" ht="120" x14ac:dyDescent="0.25">
      <c r="A12" s="2" t="s">
        <v>42</v>
      </c>
      <c r="B12" s="2" t="s">
        <v>842</v>
      </c>
      <c r="C12" s="1" t="s">
        <v>777</v>
      </c>
      <c r="D12" s="2" t="s">
        <v>23</v>
      </c>
      <c r="E12" s="2" t="s">
        <v>43</v>
      </c>
      <c r="F12" s="2" t="s">
        <v>44</v>
      </c>
      <c r="G12" s="2" t="s">
        <v>45</v>
      </c>
    </row>
    <row r="13" spans="1:7" ht="210" x14ac:dyDescent="0.25">
      <c r="A13" s="2" t="s">
        <v>46</v>
      </c>
      <c r="B13" s="2" t="s">
        <v>842</v>
      </c>
      <c r="C13" s="1" t="s">
        <v>1632</v>
      </c>
      <c r="D13" s="2" t="s">
        <v>1630</v>
      </c>
      <c r="E13" s="2" t="s">
        <v>47</v>
      </c>
      <c r="F13" s="2" t="s">
        <v>48</v>
      </c>
      <c r="G13" s="2" t="s">
        <v>1633</v>
      </c>
    </row>
    <row r="14" spans="1:7" ht="210" x14ac:dyDescent="0.25">
      <c r="A14" s="2" t="s">
        <v>49</v>
      </c>
      <c r="B14" s="2" t="s">
        <v>842</v>
      </c>
      <c r="C14" s="1" t="s">
        <v>1634</v>
      </c>
      <c r="D14" s="2" t="s">
        <v>1630</v>
      </c>
      <c r="E14" s="2" t="s">
        <v>50</v>
      </c>
      <c r="F14" s="2" t="s">
        <v>51</v>
      </c>
      <c r="G14" s="2" t="s">
        <v>1635</v>
      </c>
    </row>
    <row r="15" spans="1:7" ht="120" x14ac:dyDescent="0.25">
      <c r="A15" s="2" t="s">
        <v>52</v>
      </c>
      <c r="B15" s="2" t="s">
        <v>842</v>
      </c>
      <c r="C15" s="1" t="s">
        <v>812</v>
      </c>
      <c r="D15" s="2" t="s">
        <v>23</v>
      </c>
      <c r="E15" s="2" t="s">
        <v>53</v>
      </c>
      <c r="F15" s="2" t="s">
        <v>54</v>
      </c>
      <c r="G15" s="2" t="s">
        <v>817</v>
      </c>
    </row>
    <row r="16" spans="1:7" ht="240" x14ac:dyDescent="0.25">
      <c r="A16" s="2" t="s">
        <v>55</v>
      </c>
      <c r="B16" s="2" t="s">
        <v>842</v>
      </c>
      <c r="C16" s="1" t="s">
        <v>1636</v>
      </c>
      <c r="D16" s="2" t="s">
        <v>1637</v>
      </c>
      <c r="E16" s="2" t="s">
        <v>56</v>
      </c>
      <c r="F16" s="2" t="s">
        <v>57</v>
      </c>
      <c r="G16" s="2" t="s">
        <v>1638</v>
      </c>
    </row>
    <row r="17" spans="1:7" ht="240" x14ac:dyDescent="0.25">
      <c r="A17" s="2" t="s">
        <v>58</v>
      </c>
      <c r="B17" s="2" t="s">
        <v>842</v>
      </c>
      <c r="C17" s="1" t="s">
        <v>1639</v>
      </c>
      <c r="D17" s="2" t="s">
        <v>1637</v>
      </c>
      <c r="E17" s="2" t="s">
        <v>59</v>
      </c>
      <c r="F17" s="2" t="s">
        <v>60</v>
      </c>
      <c r="G17" s="2" t="s">
        <v>1640</v>
      </c>
    </row>
    <row r="18" spans="1:7" ht="240" x14ac:dyDescent="0.25">
      <c r="A18" s="2" t="s">
        <v>61</v>
      </c>
      <c r="B18" s="2" t="s">
        <v>842</v>
      </c>
      <c r="C18" s="1" t="s">
        <v>1641</v>
      </c>
      <c r="D18" s="2" t="s">
        <v>1642</v>
      </c>
      <c r="E18" s="2" t="s">
        <v>62</v>
      </c>
      <c r="F18" s="2" t="s">
        <v>63</v>
      </c>
      <c r="G18" s="2" t="s">
        <v>1643</v>
      </c>
    </row>
    <row r="19" spans="1:7" ht="135" x14ac:dyDescent="0.25">
      <c r="A19" s="2" t="s">
        <v>64</v>
      </c>
      <c r="B19" s="2" t="s">
        <v>842</v>
      </c>
      <c r="C19" s="1" t="s">
        <v>65</v>
      </c>
      <c r="D19" s="2" t="s">
        <v>23</v>
      </c>
      <c r="E19" s="2" t="s">
        <v>66</v>
      </c>
      <c r="F19" s="2" t="s">
        <v>67</v>
      </c>
      <c r="G19" s="2" t="s">
        <v>68</v>
      </c>
    </row>
    <row r="20" spans="1:7" ht="375" x14ac:dyDescent="0.25">
      <c r="A20" s="2" t="s">
        <v>878</v>
      </c>
      <c r="B20" s="2" t="s">
        <v>842</v>
      </c>
      <c r="C20" s="1" t="s">
        <v>879</v>
      </c>
      <c r="D20" s="2" t="s">
        <v>880</v>
      </c>
      <c r="E20" s="2" t="s">
        <v>881</v>
      </c>
      <c r="F20" s="2" t="s">
        <v>882</v>
      </c>
      <c r="G20" s="2" t="s">
        <v>883</v>
      </c>
    </row>
    <row r="21" spans="1:7" ht="409.5" x14ac:dyDescent="0.25">
      <c r="A21" s="2" t="s">
        <v>884</v>
      </c>
      <c r="B21" s="2" t="s">
        <v>842</v>
      </c>
      <c r="C21" s="1" t="s">
        <v>885</v>
      </c>
      <c r="D21" s="2" t="s">
        <v>886</v>
      </c>
      <c r="E21" s="2" t="s">
        <v>887</v>
      </c>
      <c r="F21" s="2" t="s">
        <v>888</v>
      </c>
      <c r="G21" s="2" t="s">
        <v>889</v>
      </c>
    </row>
    <row r="22" spans="1:7" ht="210" x14ac:dyDescent="0.25">
      <c r="A22" s="2" t="s">
        <v>69</v>
      </c>
      <c r="B22" s="2" t="s">
        <v>842</v>
      </c>
      <c r="C22" s="1" t="s">
        <v>1644</v>
      </c>
      <c r="D22" s="2" t="s">
        <v>1645</v>
      </c>
      <c r="E22" s="2" t="s">
        <v>70</v>
      </c>
      <c r="F22" s="2" t="s">
        <v>71</v>
      </c>
      <c r="G22" s="2" t="s">
        <v>72</v>
      </c>
    </row>
    <row r="23" spans="1:7" ht="165" x14ac:dyDescent="0.25">
      <c r="A23" s="2" t="s">
        <v>73</v>
      </c>
      <c r="B23" s="2" t="s">
        <v>842</v>
      </c>
      <c r="C23" s="1" t="s">
        <v>74</v>
      </c>
      <c r="D23" s="2" t="s">
        <v>23</v>
      </c>
      <c r="E23" s="2" t="s">
        <v>75</v>
      </c>
      <c r="F23" s="2" t="s">
        <v>76</v>
      </c>
      <c r="G23" s="2" t="s">
        <v>77</v>
      </c>
    </row>
    <row r="24" spans="1:7" ht="300" x14ac:dyDescent="0.25">
      <c r="A24" s="2" t="s">
        <v>78</v>
      </c>
      <c r="B24" s="2" t="s">
        <v>842</v>
      </c>
      <c r="C24" s="1" t="s">
        <v>1646</v>
      </c>
      <c r="D24" s="2" t="s">
        <v>1647</v>
      </c>
      <c r="E24" s="2" t="s">
        <v>79</v>
      </c>
      <c r="F24" s="2" t="s">
        <v>1648</v>
      </c>
      <c r="G24" s="2" t="s">
        <v>1649</v>
      </c>
    </row>
    <row r="25" spans="1:7" ht="225" x14ac:dyDescent="0.25">
      <c r="A25" s="2" t="s">
        <v>778</v>
      </c>
      <c r="B25" s="2" t="s">
        <v>842</v>
      </c>
      <c r="C25" s="1" t="s">
        <v>1650</v>
      </c>
      <c r="D25" s="2" t="s">
        <v>1651</v>
      </c>
      <c r="E25" s="2" t="s">
        <v>80</v>
      </c>
      <c r="F25" s="2" t="s">
        <v>81</v>
      </c>
      <c r="G25" s="2" t="s">
        <v>1652</v>
      </c>
    </row>
    <row r="26" spans="1:7" ht="225" x14ac:dyDescent="0.25">
      <c r="A26" s="2" t="s">
        <v>82</v>
      </c>
      <c r="B26" s="2" t="s">
        <v>842</v>
      </c>
      <c r="C26" s="1" t="s">
        <v>1653</v>
      </c>
      <c r="D26" s="2" t="s">
        <v>1654</v>
      </c>
      <c r="E26" s="2" t="s">
        <v>83</v>
      </c>
      <c r="F26" s="2" t="s">
        <v>84</v>
      </c>
      <c r="G26" s="2" t="s">
        <v>1655</v>
      </c>
    </row>
    <row r="27" spans="1:7" ht="270" x14ac:dyDescent="0.25">
      <c r="A27" s="2" t="s">
        <v>779</v>
      </c>
      <c r="B27" s="2" t="s">
        <v>842</v>
      </c>
      <c r="C27" s="1" t="s">
        <v>1656</v>
      </c>
      <c r="D27" s="2" t="s">
        <v>1657</v>
      </c>
      <c r="E27" s="2" t="s">
        <v>85</v>
      </c>
      <c r="F27" s="2" t="s">
        <v>86</v>
      </c>
      <c r="G27" s="2" t="s">
        <v>1658</v>
      </c>
    </row>
    <row r="28" spans="1:7" ht="270" x14ac:dyDescent="0.25">
      <c r="A28" s="2" t="s">
        <v>780</v>
      </c>
      <c r="B28" s="2" t="s">
        <v>842</v>
      </c>
      <c r="C28" s="1" t="s">
        <v>1659</v>
      </c>
      <c r="D28" s="2" t="s">
        <v>1657</v>
      </c>
      <c r="E28" s="2" t="s">
        <v>87</v>
      </c>
      <c r="F28" s="2" t="s">
        <v>88</v>
      </c>
      <c r="G28" s="2" t="s">
        <v>1660</v>
      </c>
    </row>
    <row r="29" spans="1:7" ht="225" x14ac:dyDescent="0.25">
      <c r="A29" s="2" t="s">
        <v>781</v>
      </c>
      <c r="B29" s="2" t="s">
        <v>842</v>
      </c>
      <c r="C29" s="1" t="s">
        <v>1661</v>
      </c>
      <c r="D29" s="2" t="s">
        <v>1654</v>
      </c>
      <c r="E29" s="2" t="s">
        <v>89</v>
      </c>
      <c r="F29" s="2" t="s">
        <v>90</v>
      </c>
      <c r="G29" s="2" t="s">
        <v>1662</v>
      </c>
    </row>
    <row r="30" spans="1:7" ht="225" x14ac:dyDescent="0.25">
      <c r="A30" s="2" t="s">
        <v>91</v>
      </c>
      <c r="B30" s="2" t="s">
        <v>842</v>
      </c>
      <c r="C30" s="1" t="s">
        <v>1663</v>
      </c>
      <c r="D30" s="2" t="s">
        <v>1654</v>
      </c>
      <c r="E30" s="2" t="s">
        <v>92</v>
      </c>
      <c r="F30" s="2" t="s">
        <v>93</v>
      </c>
      <c r="G30" s="2" t="s">
        <v>1664</v>
      </c>
    </row>
    <row r="31" spans="1:7" ht="180" x14ac:dyDescent="0.25">
      <c r="A31" s="2" t="s">
        <v>94</v>
      </c>
      <c r="B31" s="2" t="s">
        <v>842</v>
      </c>
      <c r="C31" s="1" t="s">
        <v>95</v>
      </c>
      <c r="D31" s="2" t="s">
        <v>23</v>
      </c>
      <c r="E31" s="2" t="s">
        <v>96</v>
      </c>
      <c r="F31" s="2" t="s">
        <v>97</v>
      </c>
      <c r="G31" s="2" t="s">
        <v>98</v>
      </c>
    </row>
    <row r="32" spans="1:7" ht="300" x14ac:dyDescent="0.25">
      <c r="A32" s="2" t="s">
        <v>99</v>
      </c>
      <c r="B32" s="2" t="s">
        <v>842</v>
      </c>
      <c r="C32" s="1" t="s">
        <v>782</v>
      </c>
      <c r="D32" s="2" t="s">
        <v>100</v>
      </c>
      <c r="E32" s="2" t="s">
        <v>101</v>
      </c>
      <c r="F32" s="2" t="s">
        <v>102</v>
      </c>
      <c r="G32" s="2" t="s">
        <v>103</v>
      </c>
    </row>
    <row r="33" spans="1:7" ht="120" x14ac:dyDescent="0.25">
      <c r="A33" s="2" t="s">
        <v>104</v>
      </c>
      <c r="B33" s="2" t="s">
        <v>842</v>
      </c>
      <c r="C33" s="1" t="s">
        <v>105</v>
      </c>
      <c r="D33" s="2" t="s">
        <v>106</v>
      </c>
      <c r="E33" s="2" t="s">
        <v>107</v>
      </c>
      <c r="F33" s="2" t="s">
        <v>108</v>
      </c>
      <c r="G33" s="2" t="s">
        <v>109</v>
      </c>
    </row>
    <row r="34" spans="1:7" ht="345" x14ac:dyDescent="0.25">
      <c r="A34" s="2" t="s">
        <v>1599</v>
      </c>
      <c r="B34" s="2" t="s">
        <v>842</v>
      </c>
      <c r="C34" s="1" t="s">
        <v>1600</v>
      </c>
      <c r="D34" s="2" t="s">
        <v>1601</v>
      </c>
      <c r="E34" s="2" t="s">
        <v>1602</v>
      </c>
      <c r="F34" s="2" t="s">
        <v>1603</v>
      </c>
      <c r="G34" s="2" t="s">
        <v>1604</v>
      </c>
    </row>
    <row r="35" spans="1:7" ht="240" x14ac:dyDescent="0.25">
      <c r="A35" s="2" t="s">
        <v>1605</v>
      </c>
      <c r="B35" s="2" t="s">
        <v>842</v>
      </c>
      <c r="C35" s="1" t="s">
        <v>1606</v>
      </c>
      <c r="D35" s="2" t="s">
        <v>1607</v>
      </c>
      <c r="E35" s="2" t="s">
        <v>1608</v>
      </c>
      <c r="F35" s="2" t="s">
        <v>1609</v>
      </c>
      <c r="G35" s="2" t="s">
        <v>1610</v>
      </c>
    </row>
    <row r="36" spans="1:7" ht="409.5" x14ac:dyDescent="0.25">
      <c r="A36" s="2" t="s">
        <v>110</v>
      </c>
      <c r="B36" s="2" t="s">
        <v>842</v>
      </c>
      <c r="C36" s="1" t="s">
        <v>1665</v>
      </c>
      <c r="D36" s="2" t="s">
        <v>1666</v>
      </c>
      <c r="E36" s="2" t="s">
        <v>111</v>
      </c>
      <c r="F36" s="2" t="s">
        <v>112</v>
      </c>
      <c r="G36" s="2" t="s">
        <v>1667</v>
      </c>
    </row>
    <row r="37" spans="1:7" ht="409.5" x14ac:dyDescent="0.25">
      <c r="A37" s="2" t="s">
        <v>1668</v>
      </c>
      <c r="B37" s="2" t="s">
        <v>842</v>
      </c>
      <c r="C37" s="1" t="s">
        <v>1747</v>
      </c>
      <c r="D37" s="2" t="s">
        <v>1669</v>
      </c>
      <c r="E37" s="2" t="s">
        <v>1670</v>
      </c>
      <c r="F37" s="2" t="s">
        <v>1671</v>
      </c>
      <c r="G37" s="2" t="s">
        <v>1672</v>
      </c>
    </row>
    <row r="38" spans="1:7" ht="60" x14ac:dyDescent="0.25">
      <c r="A38" s="2" t="s">
        <v>783</v>
      </c>
      <c r="B38" s="2" t="s">
        <v>842</v>
      </c>
      <c r="C38" s="1" t="s">
        <v>113</v>
      </c>
      <c r="D38" s="2" t="s">
        <v>8</v>
      </c>
      <c r="E38" s="2" t="s">
        <v>114</v>
      </c>
      <c r="F38" s="2" t="s">
        <v>115</v>
      </c>
      <c r="G38" s="2" t="s">
        <v>116</v>
      </c>
    </row>
    <row r="39" spans="1:7" ht="90" x14ac:dyDescent="0.25">
      <c r="A39" s="2" t="s">
        <v>117</v>
      </c>
      <c r="B39" s="2" t="s">
        <v>842</v>
      </c>
      <c r="C39" s="1" t="s">
        <v>118</v>
      </c>
      <c r="D39" s="2" t="s">
        <v>8</v>
      </c>
      <c r="E39" s="2" t="s">
        <v>119</v>
      </c>
      <c r="F39" s="2" t="s">
        <v>120</v>
      </c>
      <c r="G39" s="2" t="s">
        <v>121</v>
      </c>
    </row>
    <row r="40" spans="1:7" ht="60" x14ac:dyDescent="0.25">
      <c r="A40" s="2" t="s">
        <v>122</v>
      </c>
      <c r="B40" s="2" t="s">
        <v>842</v>
      </c>
      <c r="C40" s="1" t="s">
        <v>123</v>
      </c>
      <c r="D40" s="2" t="s">
        <v>8</v>
      </c>
      <c r="E40" s="2" t="s">
        <v>124</v>
      </c>
      <c r="F40" s="2" t="s">
        <v>125</v>
      </c>
      <c r="G40" s="2" t="s">
        <v>126</v>
      </c>
    </row>
    <row r="41" spans="1:7" ht="90" x14ac:dyDescent="0.25">
      <c r="A41" s="2" t="s">
        <v>784</v>
      </c>
      <c r="B41" s="2" t="s">
        <v>842</v>
      </c>
      <c r="C41" s="1" t="s">
        <v>127</v>
      </c>
      <c r="D41" s="2" t="s">
        <v>8</v>
      </c>
      <c r="E41" s="2" t="s">
        <v>128</v>
      </c>
      <c r="F41" s="2" t="s">
        <v>129</v>
      </c>
      <c r="G41" s="2" t="s">
        <v>130</v>
      </c>
    </row>
    <row r="42" spans="1:7" ht="120" x14ac:dyDescent="0.25">
      <c r="A42" s="2" t="s">
        <v>131</v>
      </c>
      <c r="B42" s="2" t="s">
        <v>842</v>
      </c>
      <c r="C42" s="1" t="s">
        <v>132</v>
      </c>
      <c r="D42" s="2" t="s">
        <v>8</v>
      </c>
      <c r="E42" s="2" t="s">
        <v>133</v>
      </c>
      <c r="F42" s="2" t="s">
        <v>134</v>
      </c>
      <c r="G42" s="2" t="s">
        <v>135</v>
      </c>
    </row>
    <row r="43" spans="1:7" ht="165" x14ac:dyDescent="0.25">
      <c r="A43" s="2" t="s">
        <v>136</v>
      </c>
      <c r="B43" s="2" t="s">
        <v>842</v>
      </c>
      <c r="C43" s="1" t="s">
        <v>137</v>
      </c>
      <c r="D43" s="2" t="s">
        <v>138</v>
      </c>
      <c r="E43" s="2" t="s">
        <v>139</v>
      </c>
      <c r="F43" s="2" t="s">
        <v>140</v>
      </c>
      <c r="G43" s="2" t="s">
        <v>141</v>
      </c>
    </row>
    <row r="44" spans="1:7" ht="105" x14ac:dyDescent="0.25">
      <c r="A44" s="2" t="s">
        <v>142</v>
      </c>
      <c r="B44" s="2" t="s">
        <v>842</v>
      </c>
      <c r="C44" s="1" t="s">
        <v>143</v>
      </c>
      <c r="D44" s="2" t="s">
        <v>144</v>
      </c>
      <c r="E44" s="2" t="s">
        <v>145</v>
      </c>
      <c r="F44" s="2" t="s">
        <v>146</v>
      </c>
      <c r="G44" s="2" t="s">
        <v>785</v>
      </c>
    </row>
    <row r="45" spans="1:7" ht="135" x14ac:dyDescent="0.25">
      <c r="A45" s="2" t="s">
        <v>147</v>
      </c>
      <c r="B45" s="2" t="s">
        <v>842</v>
      </c>
      <c r="C45" s="1" t="s">
        <v>148</v>
      </c>
      <c r="D45" s="2" t="s">
        <v>23</v>
      </c>
      <c r="E45" s="2" t="s">
        <v>149</v>
      </c>
      <c r="F45" s="2" t="s">
        <v>150</v>
      </c>
      <c r="G45" s="2" t="s">
        <v>151</v>
      </c>
    </row>
    <row r="46" spans="1:7" ht="120" x14ac:dyDescent="0.25">
      <c r="A46" s="2" t="s">
        <v>152</v>
      </c>
      <c r="B46" s="2" t="s">
        <v>842</v>
      </c>
      <c r="C46" s="1" t="s">
        <v>153</v>
      </c>
      <c r="D46" s="2" t="s">
        <v>23</v>
      </c>
      <c r="E46" s="2" t="s">
        <v>154</v>
      </c>
      <c r="F46" s="2" t="s">
        <v>155</v>
      </c>
      <c r="G46" s="2" t="s">
        <v>156</v>
      </c>
    </row>
    <row r="47" spans="1:7" ht="195" x14ac:dyDescent="0.25">
      <c r="A47" s="2" t="s">
        <v>157</v>
      </c>
      <c r="B47" s="2" t="s">
        <v>842</v>
      </c>
      <c r="C47" s="1" t="s">
        <v>1673</v>
      </c>
      <c r="D47" s="2" t="s">
        <v>1674</v>
      </c>
      <c r="E47" s="2" t="s">
        <v>158</v>
      </c>
      <c r="F47" s="2" t="s">
        <v>159</v>
      </c>
      <c r="G47" s="2" t="s">
        <v>160</v>
      </c>
    </row>
    <row r="48" spans="1:7" ht="105" x14ac:dyDescent="0.25">
      <c r="A48" s="2" t="s">
        <v>786</v>
      </c>
      <c r="B48" s="2" t="s">
        <v>842</v>
      </c>
      <c r="C48" s="1" t="s">
        <v>161</v>
      </c>
      <c r="D48" s="2" t="s">
        <v>162</v>
      </c>
      <c r="E48" s="2" t="s">
        <v>163</v>
      </c>
      <c r="F48" s="2" t="s">
        <v>164</v>
      </c>
      <c r="G48" s="2" t="s">
        <v>787</v>
      </c>
    </row>
    <row r="49" spans="1:7" ht="210" x14ac:dyDescent="0.25">
      <c r="A49" s="2" t="s">
        <v>788</v>
      </c>
      <c r="B49" s="2" t="s">
        <v>842</v>
      </c>
      <c r="C49" s="1" t="s">
        <v>165</v>
      </c>
      <c r="D49" s="2" t="s">
        <v>166</v>
      </c>
      <c r="E49" s="2" t="s">
        <v>167</v>
      </c>
      <c r="F49" s="2" t="s">
        <v>168</v>
      </c>
      <c r="G49" s="2" t="s">
        <v>169</v>
      </c>
    </row>
    <row r="50" spans="1:7" ht="195" x14ac:dyDescent="0.25">
      <c r="A50" s="2" t="s">
        <v>789</v>
      </c>
      <c r="B50" s="2" t="s">
        <v>842</v>
      </c>
      <c r="C50" s="1" t="s">
        <v>790</v>
      </c>
      <c r="D50" s="2" t="s">
        <v>170</v>
      </c>
      <c r="E50" s="2" t="s">
        <v>171</v>
      </c>
      <c r="F50" s="2" t="s">
        <v>172</v>
      </c>
      <c r="G50" s="2" t="s">
        <v>791</v>
      </c>
    </row>
    <row r="51" spans="1:7" ht="150" x14ac:dyDescent="0.25">
      <c r="A51" s="2" t="s">
        <v>792</v>
      </c>
      <c r="B51" s="2" t="s">
        <v>842</v>
      </c>
      <c r="C51" s="1" t="s">
        <v>793</v>
      </c>
      <c r="D51" s="2" t="s">
        <v>23</v>
      </c>
      <c r="E51" s="2" t="s">
        <v>173</v>
      </c>
      <c r="F51" s="2" t="s">
        <v>174</v>
      </c>
      <c r="G51" s="2" t="s">
        <v>813</v>
      </c>
    </row>
    <row r="52" spans="1:7" ht="135" x14ac:dyDescent="0.25">
      <c r="A52" s="2" t="s">
        <v>814</v>
      </c>
      <c r="B52" s="2" t="s">
        <v>842</v>
      </c>
      <c r="C52" s="1" t="s">
        <v>947</v>
      </c>
      <c r="D52" s="2" t="s">
        <v>23</v>
      </c>
      <c r="E52" s="2" t="s">
        <v>815</v>
      </c>
      <c r="F52" s="2" t="s">
        <v>816</v>
      </c>
      <c r="G52" s="2" t="s">
        <v>948</v>
      </c>
    </row>
    <row r="53" spans="1:7" ht="150" x14ac:dyDescent="0.25">
      <c r="A53" s="2" t="s">
        <v>794</v>
      </c>
      <c r="B53" s="2" t="s">
        <v>842</v>
      </c>
      <c r="C53" s="1" t="s">
        <v>175</v>
      </c>
      <c r="D53" s="2" t="s">
        <v>138</v>
      </c>
      <c r="E53" s="2" t="s">
        <v>176</v>
      </c>
      <c r="F53" s="2" t="s">
        <v>177</v>
      </c>
      <c r="G53" s="2" t="s">
        <v>795</v>
      </c>
    </row>
    <row r="54" spans="1:7" ht="195" x14ac:dyDescent="0.25">
      <c r="A54" s="2" t="s">
        <v>178</v>
      </c>
      <c r="B54" s="2" t="s">
        <v>842</v>
      </c>
      <c r="C54" s="1" t="s">
        <v>1675</v>
      </c>
      <c r="D54" s="2" t="s">
        <v>1674</v>
      </c>
      <c r="E54" s="2" t="s">
        <v>179</v>
      </c>
      <c r="F54" s="2" t="s">
        <v>180</v>
      </c>
      <c r="G54" s="2" t="s">
        <v>1676</v>
      </c>
    </row>
    <row r="55" spans="1:7" ht="210" x14ac:dyDescent="0.25">
      <c r="A55" s="2" t="s">
        <v>181</v>
      </c>
      <c r="B55" s="2" t="s">
        <v>842</v>
      </c>
      <c r="C55" s="1" t="s">
        <v>1677</v>
      </c>
      <c r="D55" s="2" t="s">
        <v>1678</v>
      </c>
      <c r="E55" s="2" t="s">
        <v>182</v>
      </c>
      <c r="F55" s="2" t="s">
        <v>183</v>
      </c>
      <c r="G55" s="2" t="s">
        <v>184</v>
      </c>
    </row>
    <row r="56" spans="1:7" ht="210" x14ac:dyDescent="0.25">
      <c r="A56" s="2" t="s">
        <v>185</v>
      </c>
      <c r="B56" s="2" t="s">
        <v>842</v>
      </c>
      <c r="C56" s="1" t="s">
        <v>1679</v>
      </c>
      <c r="D56" s="2" t="s">
        <v>1678</v>
      </c>
      <c r="E56" s="2" t="s">
        <v>186</v>
      </c>
      <c r="F56" s="2" t="s">
        <v>187</v>
      </c>
      <c r="G56" s="2" t="s">
        <v>188</v>
      </c>
    </row>
    <row r="57" spans="1:7" ht="210" x14ac:dyDescent="0.25">
      <c r="A57" s="2" t="s">
        <v>189</v>
      </c>
      <c r="B57" s="2" t="s">
        <v>842</v>
      </c>
      <c r="C57" s="1" t="s">
        <v>1680</v>
      </c>
      <c r="D57" s="2" t="s">
        <v>1681</v>
      </c>
      <c r="E57" s="2" t="s">
        <v>190</v>
      </c>
      <c r="F57" s="2" t="s">
        <v>191</v>
      </c>
      <c r="G57" s="2" t="s">
        <v>192</v>
      </c>
    </row>
    <row r="58" spans="1:7" ht="135" x14ac:dyDescent="0.25">
      <c r="A58" s="2" t="s">
        <v>796</v>
      </c>
      <c r="B58" s="2" t="s">
        <v>842</v>
      </c>
      <c r="C58" s="1" t="s">
        <v>193</v>
      </c>
      <c r="D58" s="2" t="s">
        <v>194</v>
      </c>
      <c r="E58" s="2" t="s">
        <v>195</v>
      </c>
      <c r="F58" s="2" t="s">
        <v>196</v>
      </c>
      <c r="G58" s="2" t="s">
        <v>797</v>
      </c>
    </row>
    <row r="59" spans="1:7" ht="150" x14ac:dyDescent="0.25">
      <c r="A59" s="2" t="s">
        <v>197</v>
      </c>
      <c r="B59" s="2" t="s">
        <v>842</v>
      </c>
      <c r="C59" s="1" t="s">
        <v>198</v>
      </c>
      <c r="D59" s="2" t="s">
        <v>798</v>
      </c>
      <c r="E59" s="2" t="s">
        <v>199</v>
      </c>
      <c r="F59" s="2" t="s">
        <v>200</v>
      </c>
      <c r="G59" s="2" t="s">
        <v>799</v>
      </c>
    </row>
    <row r="60" spans="1:7" ht="210" x14ac:dyDescent="0.25">
      <c r="A60" s="2" t="s">
        <v>201</v>
      </c>
      <c r="B60" s="2" t="s">
        <v>842</v>
      </c>
      <c r="C60" s="1" t="s">
        <v>202</v>
      </c>
      <c r="D60" s="2" t="s">
        <v>203</v>
      </c>
      <c r="E60" s="2" t="s">
        <v>204</v>
      </c>
      <c r="F60" s="2" t="s">
        <v>205</v>
      </c>
      <c r="G60" s="2" t="s">
        <v>206</v>
      </c>
    </row>
    <row r="61" spans="1:7" ht="150" x14ac:dyDescent="0.25">
      <c r="A61" s="2" t="s">
        <v>207</v>
      </c>
      <c r="B61" s="2" t="s">
        <v>842</v>
      </c>
      <c r="C61" s="1" t="s">
        <v>208</v>
      </c>
      <c r="D61" s="2" t="s">
        <v>209</v>
      </c>
      <c r="E61" s="2" t="s">
        <v>210</v>
      </c>
      <c r="F61" s="2" t="s">
        <v>211</v>
      </c>
      <c r="G61" s="2" t="s">
        <v>212</v>
      </c>
    </row>
    <row r="62" spans="1:7" ht="315" x14ac:dyDescent="0.25">
      <c r="A62" s="2" t="s">
        <v>213</v>
      </c>
      <c r="B62" s="2" t="s">
        <v>842</v>
      </c>
      <c r="C62" s="1" t="s">
        <v>214</v>
      </c>
      <c r="D62" s="2" t="s">
        <v>215</v>
      </c>
      <c r="E62" s="2" t="s">
        <v>216</v>
      </c>
      <c r="F62" s="2" t="s">
        <v>217</v>
      </c>
      <c r="G62" s="2" t="s">
        <v>218</v>
      </c>
    </row>
    <row r="63" spans="1:7" ht="135" x14ac:dyDescent="0.25">
      <c r="A63" s="2" t="s">
        <v>219</v>
      </c>
      <c r="B63" s="2" t="s">
        <v>842</v>
      </c>
      <c r="C63" s="1" t="s">
        <v>220</v>
      </c>
      <c r="D63" s="2" t="s">
        <v>221</v>
      </c>
      <c r="E63" s="2" t="s">
        <v>222</v>
      </c>
      <c r="F63" s="2" t="s">
        <v>223</v>
      </c>
      <c r="G63" s="2" t="s">
        <v>224</v>
      </c>
    </row>
    <row r="64" spans="1:7" ht="150" x14ac:dyDescent="0.25">
      <c r="A64" s="2" t="s">
        <v>225</v>
      </c>
      <c r="B64" s="2" t="s">
        <v>842</v>
      </c>
      <c r="C64" s="1" t="s">
        <v>226</v>
      </c>
      <c r="D64" s="2" t="s">
        <v>221</v>
      </c>
      <c r="E64" s="2" t="s">
        <v>227</v>
      </c>
      <c r="F64" s="2" t="s">
        <v>228</v>
      </c>
      <c r="G64" s="2" t="s">
        <v>229</v>
      </c>
    </row>
    <row r="65" spans="1:7" ht="270" x14ac:dyDescent="0.25">
      <c r="A65" s="2" t="s">
        <v>800</v>
      </c>
      <c r="B65" s="2" t="s">
        <v>842</v>
      </c>
      <c r="C65" s="1" t="s">
        <v>1682</v>
      </c>
      <c r="D65" s="2" t="s">
        <v>1683</v>
      </c>
      <c r="E65" s="2" t="s">
        <v>230</v>
      </c>
      <c r="F65" s="2" t="s">
        <v>231</v>
      </c>
      <c r="G65" s="2" t="s">
        <v>1684</v>
      </c>
    </row>
    <row r="66" spans="1:7" ht="225" x14ac:dyDescent="0.25">
      <c r="A66" s="2" t="s">
        <v>801</v>
      </c>
      <c r="B66" s="2" t="s">
        <v>842</v>
      </c>
      <c r="C66" s="1" t="s">
        <v>1685</v>
      </c>
      <c r="D66" s="2" t="s">
        <v>1686</v>
      </c>
      <c r="E66" s="2" t="s">
        <v>232</v>
      </c>
      <c r="F66" s="2" t="s">
        <v>233</v>
      </c>
      <c r="G66" s="2" t="s">
        <v>1687</v>
      </c>
    </row>
    <row r="67" spans="1:7" ht="150" x14ac:dyDescent="0.25">
      <c r="A67" s="2" t="s">
        <v>234</v>
      </c>
      <c r="B67" s="2" t="s">
        <v>842</v>
      </c>
      <c r="C67" s="1" t="s">
        <v>235</v>
      </c>
      <c r="D67" s="2" t="s">
        <v>236</v>
      </c>
      <c r="E67" s="2" t="s">
        <v>237</v>
      </c>
      <c r="F67" s="2" t="s">
        <v>238</v>
      </c>
      <c r="G67" s="2" t="s">
        <v>239</v>
      </c>
    </row>
    <row r="68" spans="1:7" ht="120" x14ac:dyDescent="0.25">
      <c r="A68" s="2" t="s">
        <v>240</v>
      </c>
      <c r="B68" s="2" t="s">
        <v>842</v>
      </c>
      <c r="C68" s="1" t="s">
        <v>241</v>
      </c>
      <c r="D68" s="2" t="s">
        <v>242</v>
      </c>
      <c r="E68" s="2" t="s">
        <v>243</v>
      </c>
      <c r="F68" s="2" t="s">
        <v>244</v>
      </c>
      <c r="G68" s="2" t="s">
        <v>245</v>
      </c>
    </row>
    <row r="69" spans="1:7" ht="330" x14ac:dyDescent="0.25">
      <c r="A69" s="2" t="s">
        <v>802</v>
      </c>
      <c r="B69" s="2" t="s">
        <v>842</v>
      </c>
      <c r="C69" s="1" t="s">
        <v>246</v>
      </c>
      <c r="D69" s="2" t="s">
        <v>247</v>
      </c>
      <c r="E69" s="2" t="s">
        <v>248</v>
      </c>
      <c r="F69" s="2" t="s">
        <v>249</v>
      </c>
      <c r="G69" s="2" t="s">
        <v>803</v>
      </c>
    </row>
    <row r="70" spans="1:7" ht="120" x14ac:dyDescent="0.25">
      <c r="A70" s="2" t="s">
        <v>250</v>
      </c>
      <c r="B70" s="2" t="s">
        <v>842</v>
      </c>
      <c r="C70" s="1" t="s">
        <v>251</v>
      </c>
      <c r="D70" s="2" t="s">
        <v>252</v>
      </c>
      <c r="E70" s="2" t="s">
        <v>253</v>
      </c>
      <c r="F70" s="2" t="s">
        <v>254</v>
      </c>
      <c r="G70" s="2" t="s">
        <v>255</v>
      </c>
    </row>
    <row r="71" spans="1:7" ht="150" x14ac:dyDescent="0.25">
      <c r="A71" s="2" t="s">
        <v>256</v>
      </c>
      <c r="B71" s="2" t="s">
        <v>842</v>
      </c>
      <c r="C71" s="1" t="s">
        <v>257</v>
      </c>
      <c r="D71" s="2" t="s">
        <v>252</v>
      </c>
      <c r="E71" s="2" t="s">
        <v>258</v>
      </c>
      <c r="F71" s="2" t="s">
        <v>259</v>
      </c>
      <c r="G71" s="2" t="s">
        <v>260</v>
      </c>
    </row>
    <row r="72" spans="1:7" ht="150" x14ac:dyDescent="0.25">
      <c r="A72" s="2" t="s">
        <v>804</v>
      </c>
      <c r="B72" s="2" t="s">
        <v>842</v>
      </c>
      <c r="C72" s="1" t="s">
        <v>261</v>
      </c>
      <c r="D72" s="2" t="s">
        <v>252</v>
      </c>
      <c r="E72" s="2" t="s">
        <v>262</v>
      </c>
      <c r="F72" s="2" t="s">
        <v>263</v>
      </c>
      <c r="G72" s="2" t="s">
        <v>805</v>
      </c>
    </row>
    <row r="73" spans="1:7" ht="330" x14ac:dyDescent="0.25">
      <c r="A73" s="2" t="s">
        <v>806</v>
      </c>
      <c r="B73" s="2" t="s">
        <v>842</v>
      </c>
      <c r="C73" s="1" t="s">
        <v>264</v>
      </c>
      <c r="D73" s="2" t="s">
        <v>265</v>
      </c>
      <c r="E73" s="2" t="s">
        <v>266</v>
      </c>
      <c r="F73" s="2" t="s">
        <v>267</v>
      </c>
      <c r="G73" s="2" t="s">
        <v>807</v>
      </c>
    </row>
    <row r="74" spans="1:7" ht="165" x14ac:dyDescent="0.25">
      <c r="A74" s="2" t="s">
        <v>268</v>
      </c>
      <c r="B74" s="2" t="s">
        <v>842</v>
      </c>
      <c r="C74" s="1" t="s">
        <v>839</v>
      </c>
      <c r="D74" s="2" t="s">
        <v>265</v>
      </c>
      <c r="E74" s="2" t="s">
        <v>742</v>
      </c>
      <c r="F74" s="2" t="s">
        <v>743</v>
      </c>
      <c r="G74" s="2" t="s">
        <v>840</v>
      </c>
    </row>
    <row r="75" spans="1:7" ht="105" x14ac:dyDescent="0.25">
      <c r="A75" s="2" t="s">
        <v>744</v>
      </c>
      <c r="B75" s="2" t="s">
        <v>842</v>
      </c>
      <c r="C75" s="1" t="s">
        <v>745</v>
      </c>
      <c r="D75" s="2" t="s">
        <v>265</v>
      </c>
      <c r="E75" s="2" t="s">
        <v>746</v>
      </c>
      <c r="F75" s="2" t="s">
        <v>747</v>
      </c>
      <c r="G75" s="2" t="s">
        <v>748</v>
      </c>
    </row>
    <row r="76" spans="1:7" ht="105" x14ac:dyDescent="0.25">
      <c r="A76" s="2" t="s">
        <v>269</v>
      </c>
      <c r="B76" s="2" t="s">
        <v>842</v>
      </c>
      <c r="C76" s="1" t="s">
        <v>749</v>
      </c>
      <c r="D76" s="2" t="s">
        <v>265</v>
      </c>
      <c r="E76" s="2" t="s">
        <v>750</v>
      </c>
      <c r="F76" s="2" t="s">
        <v>270</v>
      </c>
      <c r="G76" s="2" t="s">
        <v>751</v>
      </c>
    </row>
    <row r="77" spans="1:7" ht="90" x14ac:dyDescent="0.25">
      <c r="A77" s="2" t="s">
        <v>687</v>
      </c>
      <c r="B77" s="2" t="s">
        <v>842</v>
      </c>
      <c r="C77" s="1" t="s">
        <v>752</v>
      </c>
      <c r="D77" s="2" t="s">
        <v>265</v>
      </c>
      <c r="E77" s="2" t="s">
        <v>753</v>
      </c>
      <c r="F77" s="2" t="s">
        <v>688</v>
      </c>
      <c r="G77" s="2" t="s">
        <v>754</v>
      </c>
    </row>
    <row r="78" spans="1:7" ht="105" x14ac:dyDescent="0.25">
      <c r="A78" s="2" t="s">
        <v>689</v>
      </c>
      <c r="B78" s="2" t="s">
        <v>842</v>
      </c>
      <c r="C78" s="1" t="s">
        <v>755</v>
      </c>
      <c r="D78" s="2" t="s">
        <v>265</v>
      </c>
      <c r="E78" s="2" t="s">
        <v>756</v>
      </c>
      <c r="F78" s="2" t="s">
        <v>690</v>
      </c>
      <c r="G78" s="2" t="s">
        <v>757</v>
      </c>
    </row>
    <row r="79" spans="1:7" ht="120" x14ac:dyDescent="0.25">
      <c r="A79" s="2" t="s">
        <v>691</v>
      </c>
      <c r="B79" s="2" t="s">
        <v>842</v>
      </c>
      <c r="C79" s="1" t="s">
        <v>692</v>
      </c>
      <c r="D79" s="2" t="s">
        <v>693</v>
      </c>
      <c r="E79" s="2" t="s">
        <v>694</v>
      </c>
      <c r="F79" s="2" t="s">
        <v>695</v>
      </c>
      <c r="G79" s="2" t="s">
        <v>696</v>
      </c>
    </row>
    <row r="80" spans="1:7" ht="120" x14ac:dyDescent="0.25">
      <c r="A80" s="2" t="s">
        <v>697</v>
      </c>
      <c r="B80" s="2" t="s">
        <v>842</v>
      </c>
      <c r="C80" s="1" t="s">
        <v>698</v>
      </c>
      <c r="D80" s="2" t="s">
        <v>699</v>
      </c>
      <c r="E80" s="2" t="s">
        <v>700</v>
      </c>
      <c r="F80" s="2" t="s">
        <v>701</v>
      </c>
      <c r="G80" s="2" t="s">
        <v>702</v>
      </c>
    </row>
    <row r="81" spans="1:7" ht="105" x14ac:dyDescent="0.25">
      <c r="A81" s="2" t="s">
        <v>703</v>
      </c>
      <c r="B81" s="2" t="s">
        <v>842</v>
      </c>
      <c r="C81" s="1" t="s">
        <v>704</v>
      </c>
      <c r="D81" s="2" t="s">
        <v>705</v>
      </c>
      <c r="E81" s="2" t="s">
        <v>706</v>
      </c>
      <c r="F81" s="2" t="s">
        <v>707</v>
      </c>
      <c r="G81" s="2" t="s">
        <v>708</v>
      </c>
    </row>
    <row r="82" spans="1:7" ht="135" x14ac:dyDescent="0.25">
      <c r="A82" s="2" t="s">
        <v>709</v>
      </c>
      <c r="B82" s="2" t="s">
        <v>842</v>
      </c>
      <c r="C82" s="1" t="s">
        <v>710</v>
      </c>
      <c r="D82" s="2" t="s">
        <v>711</v>
      </c>
      <c r="E82" s="2" t="s">
        <v>712</v>
      </c>
      <c r="F82" s="2" t="s">
        <v>713</v>
      </c>
      <c r="G82" s="2" t="s">
        <v>714</v>
      </c>
    </row>
    <row r="83" spans="1:7" ht="135" x14ac:dyDescent="0.25">
      <c r="A83" s="2" t="s">
        <v>715</v>
      </c>
      <c r="B83" s="2" t="s">
        <v>842</v>
      </c>
      <c r="C83" s="1" t="s">
        <v>716</v>
      </c>
      <c r="D83" s="2" t="s">
        <v>717</v>
      </c>
      <c r="E83" s="2" t="s">
        <v>718</v>
      </c>
      <c r="F83" s="2" t="s">
        <v>719</v>
      </c>
      <c r="G83" s="2" t="s">
        <v>720</v>
      </c>
    </row>
    <row r="84" spans="1:7" ht="195" x14ac:dyDescent="0.25">
      <c r="A84" s="2" t="s">
        <v>721</v>
      </c>
      <c r="B84" s="2" t="s">
        <v>842</v>
      </c>
      <c r="C84" s="1" t="s">
        <v>722</v>
      </c>
      <c r="D84" s="2" t="s">
        <v>723</v>
      </c>
      <c r="E84" s="2" t="s">
        <v>724</v>
      </c>
      <c r="F84" s="2" t="s">
        <v>725</v>
      </c>
      <c r="G84" s="2" t="s">
        <v>726</v>
      </c>
    </row>
    <row r="85" spans="1:7" ht="255" x14ac:dyDescent="0.25">
      <c r="A85" s="2" t="s">
        <v>727</v>
      </c>
      <c r="B85" s="2" t="s">
        <v>842</v>
      </c>
      <c r="C85" s="1" t="s">
        <v>728</v>
      </c>
      <c r="D85" s="2" t="s">
        <v>729</v>
      </c>
      <c r="E85" s="2" t="s">
        <v>730</v>
      </c>
      <c r="F85" s="2" t="s">
        <v>731</v>
      </c>
      <c r="G85" s="2" t="s">
        <v>732</v>
      </c>
    </row>
    <row r="86" spans="1:7" ht="180" x14ac:dyDescent="0.25">
      <c r="A86" s="2" t="s">
        <v>733</v>
      </c>
      <c r="B86" s="2" t="s">
        <v>842</v>
      </c>
      <c r="C86" s="1" t="s">
        <v>875</v>
      </c>
      <c r="D86" s="2" t="s">
        <v>734</v>
      </c>
      <c r="E86" s="2" t="s">
        <v>735</v>
      </c>
      <c r="F86" s="2" t="s">
        <v>736</v>
      </c>
      <c r="G86" s="2" t="s">
        <v>876</v>
      </c>
    </row>
    <row r="87" spans="1:7" ht="240" x14ac:dyDescent="0.25">
      <c r="A87" s="2" t="s">
        <v>808</v>
      </c>
      <c r="B87" s="2" t="s">
        <v>842</v>
      </c>
      <c r="C87" s="1" t="s">
        <v>271</v>
      </c>
      <c r="D87" s="2" t="s">
        <v>272</v>
      </c>
      <c r="E87" s="2" t="s">
        <v>273</v>
      </c>
      <c r="F87" s="2" t="s">
        <v>274</v>
      </c>
      <c r="G87" s="2" t="s">
        <v>809</v>
      </c>
    </row>
    <row r="88" spans="1:7" ht="180" x14ac:dyDescent="0.25">
      <c r="A88" s="2" t="s">
        <v>275</v>
      </c>
      <c r="B88" s="2" t="s">
        <v>842</v>
      </c>
      <c r="C88" s="1" t="s">
        <v>810</v>
      </c>
      <c r="D88" s="2" t="s">
        <v>276</v>
      </c>
      <c r="E88" s="2" t="s">
        <v>277</v>
      </c>
      <c r="F88" s="2" t="s">
        <v>278</v>
      </c>
      <c r="G88" s="2" t="s">
        <v>811</v>
      </c>
    </row>
    <row r="89" spans="1:7" ht="150" x14ac:dyDescent="0.25">
      <c r="A89" s="2" t="s">
        <v>279</v>
      </c>
      <c r="B89" s="2" t="s">
        <v>842</v>
      </c>
      <c r="C89" s="1" t="s">
        <v>280</v>
      </c>
      <c r="D89" s="2" t="s">
        <v>281</v>
      </c>
      <c r="E89" s="2" t="s">
        <v>282</v>
      </c>
      <c r="F89" s="2" t="s">
        <v>283</v>
      </c>
      <c r="G89" s="2" t="s">
        <v>284</v>
      </c>
    </row>
    <row r="90" spans="1:7" ht="135" x14ac:dyDescent="0.25">
      <c r="A90" s="2" t="s">
        <v>285</v>
      </c>
      <c r="B90" s="2" t="s">
        <v>842</v>
      </c>
      <c r="C90" s="1" t="s">
        <v>286</v>
      </c>
      <c r="D90" s="2" t="s">
        <v>287</v>
      </c>
      <c r="E90" s="2" t="s">
        <v>288</v>
      </c>
      <c r="F90" s="2" t="s">
        <v>289</v>
      </c>
      <c r="G90" s="2" t="s">
        <v>290</v>
      </c>
    </row>
    <row r="91" spans="1:7" ht="120" x14ac:dyDescent="0.25">
      <c r="A91" s="2" t="s">
        <v>291</v>
      </c>
      <c r="B91" s="2" t="s">
        <v>842</v>
      </c>
      <c r="C91" s="1" t="s">
        <v>292</v>
      </c>
      <c r="D91" s="2" t="s">
        <v>293</v>
      </c>
      <c r="E91" s="2" t="s">
        <v>294</v>
      </c>
      <c r="F91" s="2" t="s">
        <v>295</v>
      </c>
      <c r="G91" s="2" t="s">
        <v>296</v>
      </c>
    </row>
    <row r="92" spans="1:7" ht="135" x14ac:dyDescent="0.25">
      <c r="A92" s="2" t="s">
        <v>297</v>
      </c>
      <c r="B92" s="2" t="s">
        <v>842</v>
      </c>
      <c r="C92" s="1" t="s">
        <v>298</v>
      </c>
      <c r="D92" s="2" t="s">
        <v>299</v>
      </c>
      <c r="E92" s="2" t="s">
        <v>300</v>
      </c>
      <c r="F92" s="2" t="s">
        <v>301</v>
      </c>
      <c r="G92" s="2" t="s">
        <v>302</v>
      </c>
    </row>
    <row r="93" spans="1:7" ht="120" x14ac:dyDescent="0.25">
      <c r="A93" s="2" t="s">
        <v>303</v>
      </c>
      <c r="B93" s="2" t="s">
        <v>842</v>
      </c>
      <c r="C93" s="1" t="s">
        <v>304</v>
      </c>
      <c r="D93" s="2" t="s">
        <v>305</v>
      </c>
      <c r="E93" s="2" t="s">
        <v>306</v>
      </c>
      <c r="F93" s="2" t="s">
        <v>307</v>
      </c>
      <c r="G93" s="2" t="s">
        <v>308</v>
      </c>
    </row>
    <row r="94" spans="1:7" ht="180" x14ac:dyDescent="0.25">
      <c r="A94" s="2" t="s">
        <v>309</v>
      </c>
      <c r="B94" s="2" t="s">
        <v>842</v>
      </c>
      <c r="C94" s="1" t="s">
        <v>310</v>
      </c>
      <c r="D94" s="2" t="s">
        <v>311</v>
      </c>
      <c r="E94" s="2" t="s">
        <v>312</v>
      </c>
      <c r="F94" s="2" t="s">
        <v>313</v>
      </c>
      <c r="G94" s="2" t="s">
        <v>314</v>
      </c>
    </row>
    <row r="95" spans="1:7" ht="135" x14ac:dyDescent="0.25">
      <c r="A95" s="2" t="s">
        <v>315</v>
      </c>
      <c r="B95" s="2" t="s">
        <v>842</v>
      </c>
      <c r="C95" s="1" t="s">
        <v>316</v>
      </c>
      <c r="D95" s="2" t="s">
        <v>317</v>
      </c>
      <c r="E95" s="2" t="s">
        <v>318</v>
      </c>
      <c r="F95" s="2" t="s">
        <v>319</v>
      </c>
      <c r="G95" s="2" t="s">
        <v>320</v>
      </c>
    </row>
    <row r="96" spans="1:7" ht="180" x14ac:dyDescent="0.25">
      <c r="A96" s="2" t="s">
        <v>321</v>
      </c>
      <c r="B96" s="2" t="s">
        <v>842</v>
      </c>
      <c r="C96" s="1" t="s">
        <v>322</v>
      </c>
      <c r="D96" s="2" t="s">
        <v>323</v>
      </c>
      <c r="E96" s="2" t="s">
        <v>324</v>
      </c>
      <c r="F96" s="2" t="s">
        <v>325</v>
      </c>
      <c r="G96" s="2" t="s">
        <v>326</v>
      </c>
    </row>
    <row r="97" spans="1:7" ht="150" x14ac:dyDescent="0.25">
      <c r="A97" s="2" t="s">
        <v>327</v>
      </c>
      <c r="B97" s="2" t="s">
        <v>842</v>
      </c>
      <c r="C97" s="1" t="s">
        <v>328</v>
      </c>
      <c r="D97" s="2" t="s">
        <v>329</v>
      </c>
      <c r="E97" s="2" t="s">
        <v>330</v>
      </c>
      <c r="F97" s="2" t="s">
        <v>331</v>
      </c>
      <c r="G97" s="2" t="s">
        <v>332</v>
      </c>
    </row>
    <row r="98" spans="1:7" ht="135" x14ac:dyDescent="0.25">
      <c r="A98" s="2" t="s">
        <v>333</v>
      </c>
      <c r="B98" s="2" t="s">
        <v>842</v>
      </c>
      <c r="C98" s="1" t="s">
        <v>334</v>
      </c>
      <c r="D98" s="2" t="s">
        <v>335</v>
      </c>
      <c r="E98" s="2" t="s">
        <v>336</v>
      </c>
      <c r="F98" s="2" t="s">
        <v>337</v>
      </c>
      <c r="G98" s="2" t="s">
        <v>338</v>
      </c>
    </row>
    <row r="99" spans="1:7" ht="240" x14ac:dyDescent="0.25">
      <c r="A99" s="2" t="s">
        <v>758</v>
      </c>
      <c r="B99" s="2" t="s">
        <v>842</v>
      </c>
      <c r="C99" s="1" t="s">
        <v>737</v>
      </c>
      <c r="D99" s="2" t="s">
        <v>738</v>
      </c>
      <c r="E99" s="2" t="s">
        <v>739</v>
      </c>
      <c r="F99" s="2" t="s">
        <v>759</v>
      </c>
      <c r="G99" s="2" t="s">
        <v>760</v>
      </c>
    </row>
    <row r="100" spans="1:7" ht="225" x14ac:dyDescent="0.25">
      <c r="A100" s="2" t="s">
        <v>761</v>
      </c>
      <c r="B100" s="2" t="s">
        <v>842</v>
      </c>
      <c r="C100" s="1" t="s">
        <v>740</v>
      </c>
      <c r="D100" s="2" t="s">
        <v>738</v>
      </c>
      <c r="E100" s="2" t="s">
        <v>741</v>
      </c>
      <c r="F100" s="2" t="s">
        <v>762</v>
      </c>
      <c r="G100" s="2" t="s">
        <v>763</v>
      </c>
    </row>
    <row r="101" spans="1:7" ht="360" x14ac:dyDescent="0.25">
      <c r="A101" s="2" t="s">
        <v>1815</v>
      </c>
      <c r="B101" s="2" t="s">
        <v>842</v>
      </c>
      <c r="C101" s="1" t="s">
        <v>1816</v>
      </c>
      <c r="D101" s="2" t="s">
        <v>1817</v>
      </c>
      <c r="E101" s="2" t="s">
        <v>1818</v>
      </c>
      <c r="F101" s="2" t="s">
        <v>1819</v>
      </c>
      <c r="G101" s="2" t="s">
        <v>1820</v>
      </c>
    </row>
    <row r="102" spans="1:7" ht="409.5" x14ac:dyDescent="0.25">
      <c r="A102" s="2" t="s">
        <v>818</v>
      </c>
      <c r="B102" s="2" t="s">
        <v>842</v>
      </c>
      <c r="C102" s="1" t="s">
        <v>819</v>
      </c>
      <c r="D102" s="2" t="s">
        <v>820</v>
      </c>
      <c r="E102" s="2" t="s">
        <v>821</v>
      </c>
      <c r="F102" s="2" t="s">
        <v>822</v>
      </c>
      <c r="G102" s="2" t="s">
        <v>823</v>
      </c>
    </row>
    <row r="103" spans="1:7" ht="390" x14ac:dyDescent="0.25">
      <c r="A103" s="2" t="s">
        <v>824</v>
      </c>
      <c r="B103" s="2" t="s">
        <v>842</v>
      </c>
      <c r="C103" s="1" t="s">
        <v>825</v>
      </c>
      <c r="D103" s="2" t="s">
        <v>820</v>
      </c>
      <c r="E103" s="2" t="s">
        <v>826</v>
      </c>
      <c r="F103" s="2" t="s">
        <v>827</v>
      </c>
      <c r="G103" s="2" t="s">
        <v>828</v>
      </c>
    </row>
    <row r="104" spans="1:7" ht="375" x14ac:dyDescent="0.25">
      <c r="A104" s="2" t="s">
        <v>890</v>
      </c>
      <c r="B104" s="2" t="s">
        <v>842</v>
      </c>
      <c r="C104" s="1" t="s">
        <v>937</v>
      </c>
      <c r="D104" s="2"/>
      <c r="E104" s="2" t="s">
        <v>938</v>
      </c>
      <c r="F104" s="2" t="s">
        <v>891</v>
      </c>
      <c r="G104" s="2" t="s">
        <v>939</v>
      </c>
    </row>
    <row r="105" spans="1:7" ht="409.5" x14ac:dyDescent="0.25">
      <c r="A105" s="2" t="s">
        <v>892</v>
      </c>
      <c r="B105" s="2" t="s">
        <v>842</v>
      </c>
      <c r="C105" s="1" t="s">
        <v>893</v>
      </c>
      <c r="D105" s="2" t="s">
        <v>894</v>
      </c>
      <c r="E105" s="2" t="s">
        <v>895</v>
      </c>
      <c r="F105" s="2" t="s">
        <v>896</v>
      </c>
      <c r="G105" s="2" t="s">
        <v>897</v>
      </c>
    </row>
    <row r="106" spans="1:7" ht="409.5" x14ac:dyDescent="0.25">
      <c r="A106" s="2" t="s">
        <v>898</v>
      </c>
      <c r="B106" s="2" t="s">
        <v>842</v>
      </c>
      <c r="C106" s="1" t="s">
        <v>899</v>
      </c>
      <c r="D106" s="2" t="s">
        <v>900</v>
      </c>
      <c r="E106" s="2" t="s">
        <v>901</v>
      </c>
      <c r="F106" s="2" t="s">
        <v>902</v>
      </c>
      <c r="G106" s="2" t="s">
        <v>903</v>
      </c>
    </row>
    <row r="107" spans="1:7" ht="285" x14ac:dyDescent="0.25">
      <c r="A107" s="2" t="s">
        <v>1688</v>
      </c>
      <c r="B107" s="2" t="s">
        <v>842</v>
      </c>
      <c r="C107" s="1" t="s">
        <v>1748</v>
      </c>
      <c r="D107" s="2" t="s">
        <v>1689</v>
      </c>
      <c r="E107" s="2" t="s">
        <v>1690</v>
      </c>
      <c r="F107" s="2" t="s">
        <v>1691</v>
      </c>
      <c r="G107" s="2" t="s">
        <v>1692</v>
      </c>
    </row>
    <row r="108" spans="1:7" ht="330" x14ac:dyDescent="0.25">
      <c r="A108" s="2" t="s">
        <v>1693</v>
      </c>
      <c r="B108" s="2" t="s">
        <v>842</v>
      </c>
      <c r="C108" s="1" t="s">
        <v>1694</v>
      </c>
      <c r="D108" s="2" t="s">
        <v>1695</v>
      </c>
      <c r="E108" s="2" t="s">
        <v>1696</v>
      </c>
      <c r="F108" s="2" t="s">
        <v>1697</v>
      </c>
      <c r="G108" s="2" t="s">
        <v>1698</v>
      </c>
    </row>
    <row r="109" spans="1:7" ht="285" x14ac:dyDescent="0.25">
      <c r="A109" s="2" t="s">
        <v>1699</v>
      </c>
      <c r="B109" s="2" t="s">
        <v>842</v>
      </c>
      <c r="C109" s="1" t="s">
        <v>1700</v>
      </c>
      <c r="D109" s="2" t="s">
        <v>1701</v>
      </c>
      <c r="E109" s="2" t="s">
        <v>1702</v>
      </c>
      <c r="F109" s="2" t="s">
        <v>1703</v>
      </c>
      <c r="G109" s="2" t="s">
        <v>1704</v>
      </c>
    </row>
    <row r="110" spans="1:7" ht="180" x14ac:dyDescent="0.25">
      <c r="A110" s="2" t="s">
        <v>1705</v>
      </c>
      <c r="B110" s="2" t="s">
        <v>842</v>
      </c>
      <c r="C110" s="1" t="s">
        <v>1706</v>
      </c>
      <c r="D110" s="2" t="s">
        <v>1707</v>
      </c>
      <c r="E110" s="2" t="s">
        <v>1708</v>
      </c>
      <c r="F110" s="2" t="s">
        <v>1709</v>
      </c>
      <c r="G110" s="2" t="s">
        <v>1710</v>
      </c>
    </row>
    <row r="111" spans="1:7" ht="135" x14ac:dyDescent="0.25">
      <c r="A111" s="2" t="s">
        <v>1711</v>
      </c>
      <c r="B111" s="2" t="s">
        <v>842</v>
      </c>
      <c r="C111" s="1" t="s">
        <v>1712</v>
      </c>
      <c r="D111" s="2" t="s">
        <v>1713</v>
      </c>
      <c r="E111" s="2" t="s">
        <v>1714</v>
      </c>
      <c r="F111" s="2" t="s">
        <v>1715</v>
      </c>
      <c r="G111" s="2" t="s">
        <v>1716</v>
      </c>
    </row>
    <row r="112" spans="1:7" ht="165" x14ac:dyDescent="0.25">
      <c r="A112" s="2" t="s">
        <v>843</v>
      </c>
      <c r="B112" s="2" t="s">
        <v>667</v>
      </c>
      <c r="C112" s="1" t="s">
        <v>854</v>
      </c>
      <c r="D112" s="2"/>
      <c r="E112" s="2" t="s">
        <v>844</v>
      </c>
      <c r="F112" s="2" t="s">
        <v>845</v>
      </c>
      <c r="G112" s="2" t="s">
        <v>846</v>
      </c>
    </row>
    <row r="113" spans="1:7" ht="345" x14ac:dyDescent="0.25">
      <c r="A113" s="2" t="s">
        <v>847</v>
      </c>
      <c r="B113" s="2" t="s">
        <v>667</v>
      </c>
      <c r="C113" s="1" t="s">
        <v>1821</v>
      </c>
      <c r="D113" s="2"/>
      <c r="E113" s="2" t="s">
        <v>1822</v>
      </c>
      <c r="F113" s="2" t="s">
        <v>1823</v>
      </c>
      <c r="G113" s="2" t="s">
        <v>1824</v>
      </c>
    </row>
    <row r="114" spans="1:7" ht="135" x14ac:dyDescent="0.25">
      <c r="A114" s="2" t="s">
        <v>848</v>
      </c>
      <c r="B114" s="2" t="s">
        <v>667</v>
      </c>
      <c r="C114" s="1" t="s">
        <v>855</v>
      </c>
      <c r="D114" s="2"/>
      <c r="E114" s="2" t="s">
        <v>849</v>
      </c>
      <c r="F114" s="2" t="s">
        <v>850</v>
      </c>
      <c r="G114" s="2" t="s">
        <v>851</v>
      </c>
    </row>
    <row r="115" spans="1:7" ht="315" x14ac:dyDescent="0.25">
      <c r="A115" s="2" t="s">
        <v>852</v>
      </c>
      <c r="B115" s="2" t="s">
        <v>667</v>
      </c>
      <c r="C115" s="1" t="s">
        <v>1825</v>
      </c>
      <c r="D115" s="2"/>
      <c r="E115" s="2" t="s">
        <v>1826</v>
      </c>
      <c r="F115" s="2" t="s">
        <v>1827</v>
      </c>
      <c r="G115" s="2" t="s">
        <v>1828</v>
      </c>
    </row>
    <row r="116" spans="1:7" ht="240" x14ac:dyDescent="0.25">
      <c r="A116" s="2" t="s">
        <v>853</v>
      </c>
      <c r="B116" s="2" t="s">
        <v>667</v>
      </c>
      <c r="C116" s="1" t="s">
        <v>1829</v>
      </c>
      <c r="D116" s="2"/>
      <c r="E116" s="2" t="s">
        <v>1830</v>
      </c>
      <c r="F116" s="2" t="s">
        <v>1831</v>
      </c>
      <c r="G116" s="2" t="s">
        <v>1832</v>
      </c>
    </row>
    <row r="117" spans="1:7" ht="409.5" x14ac:dyDescent="0.25">
      <c r="A117" s="2" t="s">
        <v>1833</v>
      </c>
      <c r="B117" s="2" t="s">
        <v>667</v>
      </c>
      <c r="C117" s="1" t="s">
        <v>1834</v>
      </c>
      <c r="D117" s="2"/>
      <c r="E117" s="2" t="s">
        <v>1835</v>
      </c>
      <c r="F117" s="2" t="s">
        <v>1836</v>
      </c>
      <c r="G117" s="2" t="s">
        <v>1837</v>
      </c>
    </row>
    <row r="118" spans="1:7" ht="255" x14ac:dyDescent="0.25">
      <c r="A118" s="2" t="s">
        <v>904</v>
      </c>
      <c r="B118" s="2" t="s">
        <v>667</v>
      </c>
      <c r="C118" s="1" t="s">
        <v>905</v>
      </c>
      <c r="D118" s="2"/>
      <c r="E118" s="2" t="s">
        <v>906</v>
      </c>
      <c r="F118" s="2" t="s">
        <v>907</v>
      </c>
      <c r="G118" s="2" t="s">
        <v>908</v>
      </c>
    </row>
    <row r="119" spans="1:7" ht="360" x14ac:dyDescent="0.25">
      <c r="A119" s="2" t="s">
        <v>909</v>
      </c>
      <c r="B119" s="2" t="s">
        <v>667</v>
      </c>
      <c r="C119" s="1" t="s">
        <v>910</v>
      </c>
      <c r="D119" s="2"/>
      <c r="E119" s="2" t="s">
        <v>911</v>
      </c>
      <c r="F119" s="2" t="s">
        <v>912</v>
      </c>
      <c r="G119" s="2" t="s">
        <v>913</v>
      </c>
    </row>
    <row r="120" spans="1:7" ht="390" x14ac:dyDescent="0.25">
      <c r="A120" s="2" t="s">
        <v>1717</v>
      </c>
      <c r="B120" s="2" t="s">
        <v>667</v>
      </c>
      <c r="C120" s="1" t="s">
        <v>1718</v>
      </c>
      <c r="D120" s="2"/>
      <c r="E120" s="2" t="s">
        <v>1719</v>
      </c>
      <c r="F120" s="2" t="s">
        <v>1720</v>
      </c>
      <c r="G120" s="2" t="s">
        <v>1721</v>
      </c>
    </row>
    <row r="121" spans="1:7" ht="315" x14ac:dyDescent="0.25">
      <c r="A121" s="2" t="s">
        <v>1722</v>
      </c>
      <c r="B121" s="2" t="s">
        <v>667</v>
      </c>
      <c r="C121" s="1" t="s">
        <v>1723</v>
      </c>
      <c r="D121" s="2"/>
      <c r="E121" s="2" t="s">
        <v>1724</v>
      </c>
      <c r="F121" s="2" t="s">
        <v>1725</v>
      </c>
      <c r="G121" s="2" t="s">
        <v>1726</v>
      </c>
    </row>
    <row r="122" spans="1:7" ht="390" x14ac:dyDescent="0.25">
      <c r="A122" s="2" t="s">
        <v>1727</v>
      </c>
      <c r="B122" s="2" t="s">
        <v>667</v>
      </c>
      <c r="C122" s="1" t="s">
        <v>1728</v>
      </c>
      <c r="D122" s="2"/>
      <c r="E122" s="2" t="s">
        <v>1729</v>
      </c>
      <c r="F122" s="2" t="s">
        <v>1730</v>
      </c>
      <c r="G122" s="2" t="s">
        <v>1731</v>
      </c>
    </row>
    <row r="123" spans="1:7" ht="390" x14ac:dyDescent="0.25">
      <c r="A123" s="2" t="s">
        <v>1732</v>
      </c>
      <c r="B123" s="2" t="s">
        <v>667</v>
      </c>
      <c r="C123" s="1" t="s">
        <v>1749</v>
      </c>
      <c r="D123" s="2"/>
      <c r="E123" s="2" t="s">
        <v>1733</v>
      </c>
      <c r="F123" s="2" t="s">
        <v>1734</v>
      </c>
      <c r="G123" s="2" t="s">
        <v>1750</v>
      </c>
    </row>
    <row r="124" spans="1:7" ht="409.5" x14ac:dyDescent="0.25">
      <c r="A124" s="2" t="s">
        <v>914</v>
      </c>
      <c r="B124" s="2" t="s">
        <v>667</v>
      </c>
      <c r="C124" s="1" t="s">
        <v>915</v>
      </c>
      <c r="D124" s="2"/>
      <c r="E124" s="2" t="s">
        <v>916</v>
      </c>
      <c r="F124" s="2" t="s">
        <v>917</v>
      </c>
      <c r="G124" s="2" t="s">
        <v>918</v>
      </c>
    </row>
    <row r="125" spans="1:7" ht="409.5" x14ac:dyDescent="0.25">
      <c r="A125" s="2" t="s">
        <v>919</v>
      </c>
      <c r="B125" s="2" t="s">
        <v>667</v>
      </c>
      <c r="C125" s="1" t="s">
        <v>920</v>
      </c>
      <c r="D125" s="2"/>
      <c r="E125" s="2" t="s">
        <v>921</v>
      </c>
      <c r="F125" s="2" t="s">
        <v>922</v>
      </c>
      <c r="G125" s="2" t="s">
        <v>923</v>
      </c>
    </row>
    <row r="126" spans="1:7" ht="315" x14ac:dyDescent="0.25">
      <c r="A126" s="2" t="s">
        <v>924</v>
      </c>
      <c r="B126" s="2" t="s">
        <v>667</v>
      </c>
      <c r="C126" s="1" t="s">
        <v>925</v>
      </c>
      <c r="D126" s="2"/>
      <c r="E126" s="2" t="s">
        <v>926</v>
      </c>
      <c r="F126" s="2" t="s">
        <v>927</v>
      </c>
      <c r="G126" s="2" t="s">
        <v>940</v>
      </c>
    </row>
    <row r="127" spans="1:7" ht="255" x14ac:dyDescent="0.25">
      <c r="A127" s="2" t="s">
        <v>928</v>
      </c>
      <c r="B127" s="2" t="s">
        <v>667</v>
      </c>
      <c r="C127" s="1" t="s">
        <v>929</v>
      </c>
      <c r="D127" s="2"/>
      <c r="E127" s="2" t="s">
        <v>930</v>
      </c>
      <c r="F127" s="2" t="s">
        <v>931</v>
      </c>
      <c r="G127" s="2" t="s">
        <v>932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2026-07-29T02:28:02Z</dcterms:modified>
</cp:coreProperties>
</file>