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C776EEF7-6D6F-4753-9F24-6E2E7B0DC428}" xr6:coauthVersionLast="47" xr6:coauthVersionMax="47" xr10:uidLastSave="{00000000-0000-0000-0000-000000000000}"/>
  <bookViews>
    <workbookView xWindow="28680" yWindow="-120" windowWidth="29040" windowHeight="15720" activeTab="1" xr2:uid="{8C6D7ED2-175B-44AB-8FA7-7C1A75FC23AF}"/>
  </bookViews>
  <sheets>
    <sheet name="LAMBDA_functions" sheetId="1" r:id="rId1"/>
    <sheet name="Life Expectancy Data" sheetId="2" r:id="rId2"/>
    <sheet name="MLR_Scalar_Test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5" i="3" l="1"/>
  <c r="R6" i="3"/>
  <c r="R7" i="3"/>
  <c r="R8" i="3"/>
  <c r="R9" i="3"/>
  <c r="R10" i="3"/>
  <c r="R11" i="3"/>
  <c r="R12" i="3"/>
  <c r="P5" i="3"/>
  <c r="P6" i="3"/>
  <c r="P7" i="3"/>
  <c r="P8" i="3"/>
  <c r="P9" i="3"/>
  <c r="P10" i="3"/>
  <c r="P11" i="3"/>
  <c r="P12" i="3"/>
  <c r="N5" i="3"/>
  <c r="N6" i="3"/>
  <c r="N7" i="3"/>
  <c r="N8" i="3"/>
  <c r="N9" i="3"/>
  <c r="N10" i="3"/>
  <c r="N11" i="3"/>
  <c r="N12" i="3"/>
  <c r="L5" i="3"/>
  <c r="L6" i="3"/>
  <c r="L7" i="3"/>
  <c r="L8" i="3"/>
  <c r="L9" i="3"/>
  <c r="L10" i="3"/>
  <c r="L11" i="3"/>
  <c r="L12" i="3"/>
  <c r="J5" i="3"/>
  <c r="J6" i="3"/>
  <c r="J7" i="3"/>
  <c r="J8" i="3"/>
  <c r="J9" i="3"/>
  <c r="J10" i="3"/>
  <c r="J11" i="3"/>
  <c r="J12" i="3"/>
  <c r="H5" i="3"/>
  <c r="H6" i="3"/>
  <c r="H7" i="3"/>
  <c r="H8" i="3"/>
  <c r="H9" i="3"/>
  <c r="H10" i="3"/>
  <c r="H11" i="3"/>
  <c r="H12" i="3"/>
  <c r="F5" i="3"/>
  <c r="F6" i="3"/>
  <c r="F7" i="3"/>
  <c r="F8" i="3"/>
  <c r="F9" i="3"/>
  <c r="F10" i="3"/>
  <c r="F11" i="3"/>
  <c r="F12" i="3"/>
  <c r="A5" i="3"/>
  <c r="A6" i="3"/>
  <c r="A7" i="3"/>
  <c r="A8" i="3"/>
  <c r="A9" i="3"/>
  <c r="A10" i="3"/>
  <c r="A11" i="3"/>
  <c r="A12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D7" i="3" l="1"/>
  <c r="D5" i="3"/>
  <c r="D8" i="3"/>
  <c r="D6" i="3"/>
  <c r="D11" i="3"/>
  <c r="D12" i="3"/>
  <c r="D10" i="3"/>
  <c r="D9" i="3"/>
</calcChain>
</file>

<file path=xl/sharedStrings.xml><?xml version="1.0" encoding="utf-8"?>
<sst xmlns="http://schemas.openxmlformats.org/spreadsheetml/2006/main" count="5959" uniqueCount="275">
  <si>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</si>
  <si>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</si>
  <si>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</si>
  <si>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</si>
  <si>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</si>
  <si>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</si>
  <si>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</si>
  <si>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</si>
  <si>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</si>
  <si>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</si>
  <si>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</si>
  <si>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</si>
  <si>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</si>
  <si>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</si>
  <si>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</si>
  <si>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</si>
  <si>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</si>
  <si>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</si>
  <si>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</si>
  <si>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</si>
  <si>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</si>
  <si>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</si>
  <si>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</si>
  <si>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</si>
  <si>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</si>
  <si>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</si>
  <si>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</si>
  <si>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</si>
  <si>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</si>
  <si>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</si>
  <si>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</si>
  <si>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</si>
  <si>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</si>
  <si>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</si>
  <si>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</si>
  <si>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</si>
  <si>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</si>
  <si>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</si>
  <si>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</si>
  <si>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</si>
  <si>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</si>
  <si>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</si>
  <si>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</si>
  <si>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</si>
  <si>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</si>
  <si>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</si>
  <si>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</si>
  <si>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</si>
  <si>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</si>
  <si>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</si>
  <si>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</si>
  <si>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</si>
  <si>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</si>
  <si>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</si>
  <si>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</si>
  <si>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</si>
  <si>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</si>
  <si>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</si>
  <si>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</si>
  <si>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</si>
  <si>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</si>
  <si>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</si>
  <si>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</si>
  <si>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</si>
  <si>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</si>
  <si>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</si>
  <si>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</si>
  <si>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</si>
  <si>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</si>
  <si>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</si>
  <si>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</si>
  <si>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</si>
  <si>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</si>
  <si>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</si>
  <si>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</si>
  <si>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</si>
  <si>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</si>
  <si>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</si>
  <si>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</si>
  <si>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</si>
  <si>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</si>
  <si>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</si>
  <si>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</si>
  <si>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</si>
  <si>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</si>
  <si>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</si>
  <si>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</si>
  <si>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</si>
  <si>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</si>
  <si>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</si>
  <si>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</si>
  <si>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</si>
  <si>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</si>
  <si>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</si>
  <si>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</si>
  <si>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</si>
  <si>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</si>
  <si>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</si>
  <si>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</si>
  <si>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</si>
  <si>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</si>
  <si>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</si>
  <si>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</si>
  <si>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</si>
  <si>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</si>
  <si>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</si>
  <si>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</si>
  <si>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</si>
  <si>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</si>
  <si>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</si>
  <si>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</si>
  <si>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</si>
  <si>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</si>
  <si>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</si>
  <si>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</si>
  <si>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</si>
  <si>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</si>
  <si>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</si>
  <si>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</si>
  <si>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</si>
  <si>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</si>
  <si>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</si>
  <si>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</si>
  <si>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</si>
  <si>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</si>
  <si>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</si>
  <si>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</si>
  <si>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</si>
  <si>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</si>
  <si>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</si>
  <si>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</si>
  <si>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</si>
  <si>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</si>
  <si>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</si>
  <si>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</si>
  <si>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</si>
  <si>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</si>
  <si>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</si>
  <si>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</si>
  <si>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</si>
  <si>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</si>
  <si>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</si>
  <si>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</si>
  <si>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</si>
  <si>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</si>
  <si>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</si>
  <si>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</si>
  <si>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</si>
  <si>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</si>
  <si>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</si>
  <si>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</si>
  <si>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</si>
  <si>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</si>
  <si>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</si>
  <si>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</si>
  <si>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</si>
  <si>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</si>
  <si>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</si>
  <si>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</si>
  <si>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</si>
  <si>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</si>
  <si>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</si>
  <si>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</si>
  <si>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</si>
  <si>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</si>
  <si>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</si>
  <si>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</si>
  <si>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</si>
  <si>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</si>
  <si>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</si>
  <si>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</si>
  <si>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</si>
  <si>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</si>
  <si>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</si>
  <si>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</si>
  <si>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</si>
  <si>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</si>
  <si>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</si>
  <si>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</si>
  <si>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</si>
  <si>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</si>
  <si>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</si>
  <si>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</si>
  <si>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</si>
  <si>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</si>
  <si>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</si>
  <si>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</si>
  <si>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</si>
  <si>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</si>
  <si>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</si>
  <si>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</si>
  <si>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</si>
  <si>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</si>
  <si>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</si>
  <si>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</si>
  <si>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</si>
  <si>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</si>
  <si>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</si>
  <si>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</si>
  <si>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</si>
  <si>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</si>
  <si>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</si>
  <si>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</si>
  <si>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</si>
  <si>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</si>
  <si>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</si>
  <si>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</si>
  <si>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</si>
  <si>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</si>
  <si>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</si>
  <si>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</si>
  <si>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</si>
  <si>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</si>
  <si>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</si>
  <si>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</si>
  <si>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</si>
  <si>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</si>
  <si>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</si>
  <si>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</si>
  <si>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</si>
  <si>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</si>
  <si>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</si>
  <si>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</si>
  <si>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</si>
  <si>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</si>
  <si>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</si>
  <si>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</si>
  <si>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</si>
  <si>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</si>
  <si>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</si>
  <si>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</si>
  <si>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</si>
  <si>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</si>
  <si>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</si>
  <si>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</si>
  <si>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</si>
  <si>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</si>
  <si>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</si>
  <si>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</si>
  <si>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</si>
  <si>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</si>
  <si>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</si>
  <si>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</si>
  <si>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</si>
  <si>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</si>
  <si>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</si>
  <si>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</si>
  <si>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</si>
  <si>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</si>
  <si>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</si>
  <si>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</si>
  <si>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</si>
  <si>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</si>
  <si>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</si>
  <si>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</si>
  <si>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MLR Testing</t>
  </si>
  <si>
    <t>Registered definitions: 7</t>
  </si>
  <si>
    <t>X_Variables</t>
  </si>
  <si>
    <t>Allow_Intercept</t>
  </si>
  <si>
    <t>Smoke Test</t>
  </si>
  <si>
    <t>Observations (Exp.)</t>
  </si>
  <si>
    <t>Observations (Calc.)</t>
  </si>
  <si>
    <t>DF_Regression (Exp.)</t>
  </si>
  <si>
    <t>DF_Regression (Calc.)</t>
  </si>
  <si>
    <t>DF_Total (Exp.)</t>
  </si>
  <si>
    <t>DF_Total (Calc.)</t>
  </si>
  <si>
    <t>R_squared (Exp.)</t>
  </si>
  <si>
    <t>R_squared (Calc.)</t>
  </si>
  <si>
    <t>DF_Residual (Exp.)</t>
  </si>
  <si>
    <t>DF_Residual (Calc.)</t>
  </si>
  <si>
    <t>Multiple_R (Exp.)</t>
  </si>
  <si>
    <t>Multiple_R (Calc.)</t>
  </si>
  <si>
    <t>Adjusted_R2 (Exp.)</t>
  </si>
  <si>
    <t>Adjusted_R2 (Calc.)</t>
  </si>
  <si>
    <t>ind_vars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</si>
</sst>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16">
    <dxf>
      <numFmt numFmtId="164" formatCode="0.000"/>
    </dxf>
    <dxf>
      <numFmt numFmtId="164" formatCode="0.000"/>
    </dxf>
    <dxf>
      <numFmt numFmtId="1" formatCode="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13245-C5F6-4038-AF11-FB7DF33EDA3D}" name="LAMBDAFunctionsCatalog" displayName="LAMBDAFunctionsCatalog" ref="A1:E8" totalsRowShown="0" headerRowDxfId="15" dataDxfId="14">
  <autoFilter ref="A1:E8" xr:uid="{3DB13245-C5F6-4038-AF11-FB7DF33EDA3D}"/>
  <tableColumns count="5">
    <tableColumn id="1" xr3:uid="{EE13723C-12C4-4766-9988-4C38043D0545}" name="Function Name" dataDxfId="13"/>
    <tableColumn id="2" xr3:uid="{A8AA5A18-8723-429C-8680-13BB5DDB194A}" name="Definition" dataDxfId="12"/>
    <tableColumn id="3" xr3:uid="{872BD867-621B-4565-B02D-DDD87BB6F296}" name="Arguments" dataDxfId="11"/>
    <tableColumn id="4" xr3:uid="{9365F4CA-F7CF-41D9-853D-A78C84E69726}" name="Yields" dataDxfId="10"/>
    <tableColumn id="5" xr3:uid="{0005FC4E-A2FC-4AB6-BCF0-50E81139E838}" name="Description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C682A3-F0C0-4B02-BE46-3B4B7DC915F6}" name="LifeExpectancyData" displayName="LifeExpectancyData" ref="A1:W2939" totalsRowShown="0">
  <autoFilter ref="A1:W2939" xr:uid="{33C682A3-F0C0-4B02-BE46-3B4B7DC915F6}"/>
  <tableColumns count="23">
    <tableColumn id="1" xr3:uid="{67E01794-FDC6-42A1-B9A2-4CD0426D43E6}" name="Country"/>
    <tableColumn id="2" xr3:uid="{B7D1CA13-6F2B-448C-B7E1-043C712F3386}" name="Year"/>
    <tableColumn id="3" xr3:uid="{3D956878-CC85-4E87-9EF3-26B4F5FDF36C}" name="Status"/>
    <tableColumn id="4" xr3:uid="{43912EC3-4253-42A7-AC30-4925650E1340}" name="Life expectancy"/>
    <tableColumn id="5" xr3:uid="{3A89A4DA-87DD-49D3-AABC-17788472F95A}" name="Adult Mortality"/>
    <tableColumn id="6" xr3:uid="{0C8AC9EF-74B8-4DEE-88D4-06FB5BC6B11D}" name="infant deaths"/>
    <tableColumn id="7" xr3:uid="{A8C6CE19-CAB6-4E6E-A4DD-A7B1DFD6E787}" name="Alcohol"/>
    <tableColumn id="8" xr3:uid="{CAB41AC7-9775-47F9-A9B4-4CEABAE73877}" name="percentage expenditure"/>
    <tableColumn id="9" xr3:uid="{A02B87F1-306F-4C88-95DD-3DA3F9D95416}" name="Hepatitis B"/>
    <tableColumn id="10" xr3:uid="{1B4CB2C4-1936-4DCB-AAF1-72D67E34241B}" name="Measles"/>
    <tableColumn id="11" xr3:uid="{C4D83E92-1C0C-4C36-97D2-ECDA87278119}" name="BMI"/>
    <tableColumn id="12" xr3:uid="{6F6C957A-E2F3-4DE9-AD6D-4B3CBDCE44CC}" name="under-five deaths"/>
    <tableColumn id="13" xr3:uid="{CA133942-68A4-4D37-BEB4-DB5D4A4077D1}" name="Polio"/>
    <tableColumn id="14" xr3:uid="{A4105FD7-B93A-4A08-A125-9DC6ED496C56}" name="Total expenditure"/>
    <tableColumn id="15" xr3:uid="{2AD00E5B-18D9-4586-824A-C4FE58D5A5CC}" name="Diphtheria"/>
    <tableColumn id="16" xr3:uid="{DAEC0074-4D2C-442B-93ED-A381E7D8D3E3}" name="HIV/AIDS"/>
    <tableColumn id="17" xr3:uid="{7759E284-A881-4F08-9659-097135A027A2}" name="GDP"/>
    <tableColumn id="18" xr3:uid="{45CCA7A7-0830-439B-A6AC-69EC2A6C05B7}" name="Population"/>
    <tableColumn id="19" xr3:uid="{C1C07478-10B5-456D-93D8-97B262CA7F6D}" name="thinness 1-19 years"/>
    <tableColumn id="20" xr3:uid="{DABC7990-7CA9-440A-A977-F558EED6B6C0}" name="thinness 5-9 years"/>
    <tableColumn id="21" xr3:uid="{D0353C80-F09A-452A-9903-A28E5AAA4093}" name="Income composition of resources"/>
    <tableColumn id="22" xr3:uid="{7F0DDF67-6E3B-442F-9EC9-E6EF5BE96FC4}" name="Schooling"/>
    <tableColumn id="23" xr3:uid="{9E7B6921-FD5C-46C1-A7C7-C69CAE0D5CAF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0777DF-04F9-462C-9CE9-7BDBC56553A7}" name="MLR_Scalar_Test" displayName="MLR_Scalar_Test" ref="A4:R12" totalsRowShown="0">
  <autoFilter ref="A4:R12" xr:uid="{5A0777DF-04F9-462C-9CE9-7BDBC56553A7}"/>
  <tableColumns count="18">
    <tableColumn id="1" xr3:uid="{9D0A50C4-BDF0-4493-842C-682ADAB7074E}" name="X_Variables" dataDxfId="8">
      <calculatedColumnFormula>_xlfn.TEXTJOIN(", ",TRUE,OFFSET(y,-1,MLR_Scalar_Test[[#This Row],[ind_vars]],1,MLR_Scalar_Test[[#This Row],[ind_vars]]))</calculatedColumnFormula>
    </tableColumn>
    <tableColumn id="2" xr3:uid="{672016EB-C13F-48A0-9638-D4B1BB41C319}" name="ind_vars"/>
    <tableColumn id="3" xr3:uid="{91BE3FDE-1D5A-4B0B-8011-EBCA742BC3E2}" name="Allow_Intercept"/>
    <tableColumn id="4" xr3:uid="{542052DE-4A6C-4B3F-A84A-A1CB90CC535E}" name="Smoke Test" dataDxfId="7">
      <calculatedColumnFormula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calculatedColumnFormula>
    </tableColumn>
    <tableColumn id="5" xr3:uid="{4AA719FB-449E-4708-8585-E06C97CD835F}" name="Observations (Exp.)"/>
    <tableColumn id="6" xr3:uid="{4144297B-310B-46E7-A2B6-FB7073C7A0AB}" name="Observations (Calc.)" dataDxfId="6">
      <calculatedColumnFormula>Observations(y, fil)</calculatedColumnFormula>
    </tableColumn>
    <tableColumn id="7" xr3:uid="{74583F3D-326B-4D5C-94C4-0248571D4139}" name="DF_Regression (Exp.)"/>
    <tableColumn id="8" xr3:uid="{44CCF56F-28DE-4296-8FAF-FFE88B208EC8}" name="DF_Regression (Calc.)" dataDxfId="5">
      <calculatedColumnFormula>_xlfn.LET(_xlpm.x_s, OFFSET(y,0,1,ROWS(y),MLR_Scalar_Test[[#This Row],[ind_vars]]), DF_Regression(_xlpm.x_s))</calculatedColumnFormula>
    </tableColumn>
    <tableColumn id="9" xr3:uid="{5C86C405-11B4-4E83-8C92-F35269D34DD8}" name="DF_Total (Exp.)"/>
    <tableColumn id="10" xr3:uid="{06010696-8EA7-4ECC-850B-07C023019C5F}" name="DF_Total (Calc.)" dataDxfId="4">
      <calculatedColumnFormula>DF_Total(y, MLR_Scalar_Test[[#This Row],[Allow_Intercept]], fil)</calculatedColumnFormula>
    </tableColumn>
    <tableColumn id="11" xr3:uid="{3BCA404F-9016-4D14-AB0F-6E4EA0F27FDC}" name="R_squared (Exp.)"/>
    <tableColumn id="12" xr3:uid="{303B77C6-7C98-417B-87B5-5AF1E2C78236}" name="R_squared (Calc.)" dataDxfId="3">
      <calculatedColumnFormula>_xlfn.LET(_xlpm.x_s, OFFSET(y,0,1,ROWS(y),MLR_Scalar_Test[[#This Row],[ind_vars]]), R_squared(_xlpm.x_s, y, MLR_Scalar_Test[[#This Row],[Allow_Intercept]], fil))</calculatedColumnFormula>
    </tableColumn>
    <tableColumn id="13" xr3:uid="{80E25D7A-D9B5-4312-AAD8-8A06EA5964E9}" name="DF_Residual (Exp.)"/>
    <tableColumn id="14" xr3:uid="{83647762-5044-447A-8AFD-83468435846A}" name="DF_Residual (Calc.)" dataDxfId="2">
      <calculatedColumnFormula>_xlfn.LET(_xlpm.x_s, OFFSET(y,0,1,ROWS(y),MLR_Scalar_Test[[#This Row],[ind_vars]]), DF_Residual(_xlpm.x_s, y, MLR_Scalar_Test[[#This Row],[Allow_Intercept]], fil))</calculatedColumnFormula>
    </tableColumn>
    <tableColumn id="15" xr3:uid="{0392EF39-178E-41CC-9D69-739C5A1FC5B5}" name="Multiple_R (Exp.)"/>
    <tableColumn id="16" xr3:uid="{C6418099-B5E9-4C6A-9291-99357DDD2DFD}" name="Multiple_R (Calc.)" dataDxfId="1">
      <calculatedColumnFormula>_xlfn.LET(_xlpm.x_s, OFFSET(y,0,1,ROWS(y),MLR_Scalar_Test[[#This Row],[ind_vars]]), Multiple_R(_xlpm.x_s, y, MLR_Scalar_Test[[#This Row],[Allow_Intercept]], fil))</calculatedColumnFormula>
    </tableColumn>
    <tableColumn id="17" xr3:uid="{C251FDF2-2125-42C9-A86B-D51FAC7401E0}" name="Adjusted_R2 (Exp.)"/>
    <tableColumn id="18" xr3:uid="{3C4C72E1-D834-4E3A-A71E-83A50653A76E}" name="Adjusted_R2 (Calc.)" dataDxfId="0">
      <calculatedColumnFormula>_xlfn.LET(_xlpm.x_s, OFFSET(y,0,1,ROWS(y),MLR_Scalar_Test[[#This Row],[ind_vars]]), Adjusted_R2(_xlpm.x_s, y, MLR_Scalar_Test[[#This Row],[Allow_Intercept]], fil))</calculatedColumnFormula>
    </tableColumn>
  </tableColumns>
  <tableStyleInfo name="TableStyleMedium2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8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tabSelected="1"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R112"/>
  <sheetViews>
    <sheetView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5" width="21.28515625" bestFit="1" customWidth="1"/>
    <col min="6" max="6" width="22" bestFit="1" customWidth="1"/>
    <col min="7" max="7" width="22.7109375" bestFit="1" customWidth="1"/>
    <col min="8" max="8" width="23.42578125" bestFit="1" customWidth="1"/>
    <col min="9" max="9" width="16.85546875" bestFit="1" customWidth="1"/>
    <col min="10" max="10" width="17.5703125" bestFit="1" customWidth="1"/>
    <col min="11" max="11" width="18.5703125" bestFit="1" customWidth="1"/>
    <col min="12" max="12" width="19.28515625" bestFit="1" customWidth="1"/>
    <col min="13" max="13" width="20.42578125" bestFit="1" customWidth="1"/>
    <col min="14" max="14" width="21.140625" bestFit="1" customWidth="1"/>
    <col min="15" max="15" width="18.7109375" bestFit="1" customWidth="1"/>
    <col min="16" max="16" width="19.5703125" bestFit="1" customWidth="1"/>
    <col min="17" max="17" width="20.42578125" bestFit="1" customWidth="1"/>
    <col min="18" max="18" width="21.140625" bestFit="1" customWidth="1"/>
  </cols>
  <sheetData>
    <row r="1" spans="1:18" x14ac:dyDescent="0.25">
      <c r="A1" s="5" t="s">
        <v>255</v>
      </c>
    </row>
    <row r="2" spans="1:18" x14ac:dyDescent="0.25">
      <c r="A2" s="2" t="s">
        <v>256</v>
      </c>
    </row>
    <row r="3" spans="1:18" x14ac:dyDescent="0.25">
      <c r="A3" s="2"/>
    </row>
    <row r="4" spans="1:18" x14ac:dyDescent="0.25">
      <c r="A4" s="2" t="s">
        <v>257</v>
      </c>
      <c r="B4" t="s">
        <v>274</v>
      </c>
      <c r="C4" t="s">
        <v>258</v>
      </c>
      <c r="D4" t="s">
        <v>259</v>
      </c>
      <c r="E4" t="s">
        <v>260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266</v>
      </c>
      <c r="L4" t="s">
        <v>267</v>
      </c>
      <c r="M4" t="s">
        <v>268</v>
      </c>
      <c r="N4" t="s">
        <v>269</v>
      </c>
      <c r="O4" t="s">
        <v>270</v>
      </c>
      <c r="P4" t="s">
        <v>271</v>
      </c>
      <c r="Q4" t="s">
        <v>272</v>
      </c>
      <c r="R4" t="s">
        <v>273</v>
      </c>
    </row>
    <row r="5" spans="1:18" x14ac:dyDescent="0.25">
      <c r="A5" s="2" t="str">
        <f ca="1">_xlfn.TEXTJOIN(", ",TRUE,OFFSET(y,-1,MLR_Scalar_Test[[#This Row],[ind_vars]],1,MLR_Scalar_Test[[#This Row],[ind_vars]]))</f>
        <v>Adult Mortality</v>
      </c>
      <c r="B5" s="3">
        <v>1</v>
      </c>
      <c r="C5" t="b">
        <v>1</v>
      </c>
      <c r="D5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5" s="3">
        <v>1649</v>
      </c>
      <c r="F5" s="3">
        <f>Observations(y, fil)</f>
        <v>1649</v>
      </c>
      <c r="G5" s="3">
        <v>1</v>
      </c>
      <c r="H5" s="3">
        <f ca="1">_xlfn.LET(_xlpm.x_s, OFFSET(y,0,1,ROWS(y),MLR_Scalar_Test[[#This Row],[ind_vars]]), DF_Regression(_xlpm.x_s))</f>
        <v>1</v>
      </c>
      <c r="I5" s="3">
        <v>1648</v>
      </c>
      <c r="J5" s="3">
        <f>DF_Total(y, MLR_Scalar_Test[[#This Row],[Allow_Intercept]], fil)</f>
        <v>1648</v>
      </c>
      <c r="K5" s="4">
        <v>0.49353865307316791</v>
      </c>
      <c r="L5" s="4">
        <f ca="1">_xlfn.LET(_xlpm.x_s, OFFSET(y,0,1,ROWS(y),MLR_Scalar_Test[[#This Row],[ind_vars]]), R_squared(_xlpm.x_s, y, MLR_Scalar_Test[[#This Row],[Allow_Intercept]], fil))</f>
        <v>0.49353865307316708</v>
      </c>
      <c r="M5" s="3">
        <v>1647</v>
      </c>
      <c r="N5" s="3">
        <f ca="1">_xlfn.LET(_xlpm.x_s, OFFSET(y,0,1,ROWS(y),MLR_Scalar_Test[[#This Row],[ind_vars]]), DF_Residual(_xlpm.x_s, y, MLR_Scalar_Test[[#This Row],[Allow_Intercept]], fil))</f>
        <v>1647</v>
      </c>
      <c r="O5" s="4">
        <v>0.70252306230697359</v>
      </c>
      <c r="P5" s="4">
        <f ca="1">_xlfn.LET(_xlpm.x_s, OFFSET(y,0,1,ROWS(y),MLR_Scalar_Test[[#This Row],[ind_vars]]), Multiple_R(_xlpm.x_s, y, MLR_Scalar_Test[[#This Row],[Allow_Intercept]], fil))</f>
        <v>0.70252306230697303</v>
      </c>
      <c r="Q5" s="4">
        <v>0.49323114770162757</v>
      </c>
      <c r="R5" s="4">
        <f ca="1">_xlfn.LET(_xlpm.x_s, OFFSET(y,0,1,ROWS(y),MLR_Scalar_Test[[#This Row],[ind_vars]]), Adjusted_R2(_xlpm.x_s, y, MLR_Scalar_Test[[#This Row],[Allow_Intercept]], fil))</f>
        <v>0.4932311477016269</v>
      </c>
    </row>
    <row r="6" spans="1:18" x14ac:dyDescent="0.25">
      <c r="A6" s="2" t="str">
        <f ca="1">_xlfn.TEXTJOIN(", ",TRUE,OFFSET(y,-1,MLR_Scalar_Test[[#This Row],[ind_vars]],1,MLR_Scalar_Test[[#This Row],[ind_vars]]))</f>
        <v>Adult Mortality</v>
      </c>
      <c r="B6" s="3">
        <v>1</v>
      </c>
      <c r="C6" t="b">
        <v>0</v>
      </c>
      <c r="D6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6" s="3">
        <v>1649</v>
      </c>
      <c r="F6" s="3">
        <f>Observations(y, fil)</f>
        <v>1649</v>
      </c>
      <c r="G6" s="3">
        <v>1</v>
      </c>
      <c r="H6" s="3">
        <f ca="1">_xlfn.LET(_xlpm.x_s, OFFSET(y,0,1,ROWS(y),MLR_Scalar_Test[[#This Row],[ind_vars]]), DF_Regression(_xlpm.x_s))</f>
        <v>1</v>
      </c>
      <c r="I6" s="3">
        <v>1649</v>
      </c>
      <c r="J6" s="3">
        <f>DF_Total(y, MLR_Scalar_Test[[#This Row],[Allow_Intercept]], fil)</f>
        <v>1649</v>
      </c>
      <c r="K6" s="4">
        <v>0.55179208580397665</v>
      </c>
      <c r="L6" s="4">
        <f ca="1">_xlfn.LET(_xlpm.x_s, OFFSET(y,0,1,ROWS(y),MLR_Scalar_Test[[#This Row],[ind_vars]]), R_squared(_xlpm.x_s, y, MLR_Scalar_Test[[#This Row],[Allow_Intercept]], fil))</f>
        <v>0.55179208580397665</v>
      </c>
      <c r="M6" s="3">
        <v>1648</v>
      </c>
      <c r="N6" s="3">
        <f ca="1">_xlfn.LET(_xlpm.x_s, OFFSET(y,0,1,ROWS(y),MLR_Scalar_Test[[#This Row],[ind_vars]]), DF_Residual(_xlpm.x_s, y, MLR_Scalar_Test[[#This Row],[Allow_Intercept]], fil))</f>
        <v>1648</v>
      </c>
      <c r="O6" s="4">
        <v>0.74282709011180836</v>
      </c>
      <c r="P6" s="4">
        <f ca="1">_xlfn.LET(_xlpm.x_s, OFFSET(y,0,1,ROWS(y),MLR_Scalar_Test[[#This Row],[ind_vars]]), Multiple_R(_xlpm.x_s, y, MLR_Scalar_Test[[#This Row],[Allow_Intercept]], fil))</f>
        <v>0.74282709011180836</v>
      </c>
      <c r="Q6" s="4">
        <v>0.55152011498225573</v>
      </c>
      <c r="R6" s="4">
        <f ca="1">_xlfn.LET(_xlpm.x_s, OFFSET(y,0,1,ROWS(y),MLR_Scalar_Test[[#This Row],[ind_vars]]), Adjusted_R2(_xlpm.x_s, y, MLR_Scalar_Test[[#This Row],[Allow_Intercept]], fil))</f>
        <v>0.55152011498225573</v>
      </c>
    </row>
    <row r="7" spans="1:18" x14ac:dyDescent="0.25">
      <c r="A7" s="2" t="str">
        <f ca="1">_xlfn.TEXTJOIN(", ",TRUE,OFFSET(y,-1,MLR_Scalar_Test[[#This Row],[ind_vars]],1,MLR_Scalar_Test[[#This Row],[ind_vars]]))</f>
        <v>Hepatitis B, Measles, BMI, under-five deaths, Polio</v>
      </c>
      <c r="B7" s="3">
        <v>5</v>
      </c>
      <c r="C7" t="b">
        <v>1</v>
      </c>
      <c r="D7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7" s="3">
        <v>1649</v>
      </c>
      <c r="F7" s="3">
        <f>Observations(y, fil)</f>
        <v>1649</v>
      </c>
      <c r="G7" s="3">
        <v>5</v>
      </c>
      <c r="H7" s="3">
        <f ca="1">_xlfn.LET(_xlpm.x_s, OFFSET(y,0,1,ROWS(y),MLR_Scalar_Test[[#This Row],[ind_vars]]), DF_Regression(_xlpm.x_s))</f>
        <v>5</v>
      </c>
      <c r="I7" s="3">
        <v>1648</v>
      </c>
      <c r="J7" s="3">
        <f>DF_Total(y, MLR_Scalar_Test[[#This Row],[Allow_Intercept]], fil)</f>
        <v>1648</v>
      </c>
      <c r="K7" s="4">
        <v>0.61521427511204863</v>
      </c>
      <c r="L7" s="4">
        <f ca="1">_xlfn.LET(_xlpm.x_s, OFFSET(y,0,1,ROWS(y),MLR_Scalar_Test[[#This Row],[ind_vars]]), R_squared(_xlpm.x_s, y, MLR_Scalar_Test[[#This Row],[Allow_Intercept]], fil))</f>
        <v>0.61521427511204763</v>
      </c>
      <c r="M7" s="3">
        <v>1643</v>
      </c>
      <c r="N7" s="3">
        <f ca="1">_xlfn.LET(_xlpm.x_s, OFFSET(y,0,1,ROWS(y),MLR_Scalar_Test[[#This Row],[ind_vars]]), DF_Residual(_xlpm.x_s, y, MLR_Scalar_Test[[#This Row],[Allow_Intercept]], fil))</f>
        <v>1643</v>
      </c>
      <c r="O7" s="4">
        <v>0.78435596199177871</v>
      </c>
      <c r="P7" s="4">
        <f ca="1">_xlfn.LET(_xlpm.x_s, OFFSET(y,0,1,ROWS(y),MLR_Scalar_Test[[#This Row],[ind_vars]]), Multiple_R(_xlpm.x_s, y, MLR_Scalar_Test[[#This Row],[Allow_Intercept]], fil))</f>
        <v>0.78435596199177804</v>
      </c>
      <c r="Q7" s="4">
        <v>0.61404328994805613</v>
      </c>
      <c r="R7" s="4">
        <f ca="1">_xlfn.LET(_xlpm.x_s, OFFSET(y,0,1,ROWS(y),MLR_Scalar_Test[[#This Row],[ind_vars]]), Adjusted_R2(_xlpm.x_s, y, MLR_Scalar_Test[[#This Row],[Allow_Intercept]], fil))</f>
        <v>0.61404328994805502</v>
      </c>
    </row>
    <row r="8" spans="1:18" x14ac:dyDescent="0.25">
      <c r="A8" s="2" t="str">
        <f ca="1">_xlfn.TEXTJOIN(", ",TRUE,OFFSET(y,-1,MLR_Scalar_Test[[#This Row],[ind_vars]],1,MLR_Scalar_Test[[#This Row],[ind_vars]]))</f>
        <v>Hepatitis B, Measles, BMI, under-five deaths, Polio</v>
      </c>
      <c r="B8" s="3">
        <v>5</v>
      </c>
      <c r="C8" t="b">
        <v>0</v>
      </c>
      <c r="D8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8" s="3">
        <v>1649</v>
      </c>
      <c r="F8" s="3">
        <f>Observations(y, fil)</f>
        <v>1649</v>
      </c>
      <c r="G8" s="3">
        <v>5</v>
      </c>
      <c r="H8" s="3">
        <f ca="1">_xlfn.LET(_xlpm.x_s, OFFSET(y,0,1,ROWS(y),MLR_Scalar_Test[[#This Row],[ind_vars]]), DF_Regression(_xlpm.x_s))</f>
        <v>5</v>
      </c>
      <c r="I8" s="3">
        <v>1649</v>
      </c>
      <c r="J8" s="3">
        <f>DF_Total(y, MLR_Scalar_Test[[#This Row],[Allow_Intercept]], fil)</f>
        <v>1649</v>
      </c>
      <c r="K8" s="4">
        <v>0.92776300985660654</v>
      </c>
      <c r="L8" s="4">
        <f ca="1">_xlfn.LET(_xlpm.x_s, OFFSET(y,0,1,ROWS(y),MLR_Scalar_Test[[#This Row],[ind_vars]]), R_squared(_xlpm.x_s, y, MLR_Scalar_Test[[#This Row],[Allow_Intercept]], fil))</f>
        <v>0.92776300985660642</v>
      </c>
      <c r="M8" s="3">
        <v>1644</v>
      </c>
      <c r="N8" s="3">
        <f ca="1">_xlfn.LET(_xlpm.x_s, OFFSET(y,0,1,ROWS(y),MLR_Scalar_Test[[#This Row],[ind_vars]]), DF_Residual(_xlpm.x_s, y, MLR_Scalar_Test[[#This Row],[Allow_Intercept]], fil))</f>
        <v>1644</v>
      </c>
      <c r="O8" s="4">
        <v>0.96320455244802827</v>
      </c>
      <c r="P8" s="4">
        <f ca="1">_xlfn.LET(_xlpm.x_s, OFFSET(y,0,1,ROWS(y),MLR_Scalar_Test[[#This Row],[ind_vars]]), Multiple_R(_xlpm.x_s, y, MLR_Scalar_Test[[#This Row],[Allow_Intercept]], fil))</f>
        <v>0.96320455244802827</v>
      </c>
      <c r="Q8" s="4">
        <v>0.92754331098147458</v>
      </c>
      <c r="R8" s="4">
        <f ca="1">_xlfn.LET(_xlpm.x_s, OFFSET(y,0,1,ROWS(y),MLR_Scalar_Test[[#This Row],[ind_vars]]), Adjusted_R2(_xlpm.x_s, y, MLR_Scalar_Test[[#This Row],[Allow_Intercept]], fil))</f>
        <v>0.92754331098147447</v>
      </c>
    </row>
    <row r="9" spans="1:18" ht="30" x14ac:dyDescent="0.25">
      <c r="A9" s="2" t="str">
        <f ca="1">_xlfn.TEXTJOIN(", ",TRUE,OFFSET(y,-1,MLR_Scalar_Test[[#This Row],[ind_vars]],1,MLR_Scalar_Test[[#This Row],[ind_vars]]))</f>
        <v>Total expenditure, Diphtheria, HIV/AIDS, GDP, Population, thinness 1-19 years, thinness 5-9 years, Income composition of resources, Schooling, Full_Data</v>
      </c>
      <c r="B9" s="3">
        <v>10</v>
      </c>
      <c r="C9" t="b">
        <v>1</v>
      </c>
      <c r="D9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9" s="3">
        <v>1649</v>
      </c>
      <c r="F9" s="3">
        <f>Observations(y, fil)</f>
        <v>1649</v>
      </c>
      <c r="G9" s="3">
        <v>10</v>
      </c>
      <c r="H9" s="3">
        <f ca="1">_xlfn.LET(_xlpm.x_s, OFFSET(y,0,1,ROWS(y),MLR_Scalar_Test[[#This Row],[ind_vars]]), DF_Regression(_xlpm.x_s))</f>
        <v>10</v>
      </c>
      <c r="I9" s="3">
        <v>1648</v>
      </c>
      <c r="J9" s="3">
        <f>DF_Total(y, MLR_Scalar_Test[[#This Row],[Allow_Intercept]], fil)</f>
        <v>1648</v>
      </c>
      <c r="K9" s="4">
        <v>0.68651084263037387</v>
      </c>
      <c r="L9" s="4">
        <f ca="1">_xlfn.LET(_xlpm.x_s, OFFSET(y,0,1,ROWS(y),MLR_Scalar_Test[[#This Row],[ind_vars]]), R_squared(_xlpm.x_s, y, MLR_Scalar_Test[[#This Row],[Allow_Intercept]], fil))</f>
        <v>0.68651084263037343</v>
      </c>
      <c r="M9" s="3">
        <v>1638</v>
      </c>
      <c r="N9" s="3">
        <f ca="1">_xlfn.LET(_xlpm.x_s, OFFSET(y,0,1,ROWS(y),MLR_Scalar_Test[[#This Row],[ind_vars]]), DF_Residual(_xlpm.x_s, y, MLR_Scalar_Test[[#This Row],[Allow_Intercept]], fil))</f>
        <v>1638</v>
      </c>
      <c r="O9" s="4">
        <v>0.82855949854574351</v>
      </c>
      <c r="P9" s="4">
        <f ca="1">_xlfn.LET(_xlpm.x_s, OFFSET(y,0,1,ROWS(y),MLR_Scalar_Test[[#This Row],[ind_vars]]), Multiple_R(_xlpm.x_s, y, MLR_Scalar_Test[[#This Row],[Allow_Intercept]], fil))</f>
        <v>0.82855949854574318</v>
      </c>
      <c r="Q9" s="4">
        <v>0.68459698941077907</v>
      </c>
      <c r="R9" s="4">
        <f ca="1">_xlfn.LET(_xlpm.x_s, OFFSET(y,0,1,ROWS(y),MLR_Scalar_Test[[#This Row],[ind_vars]]), Adjusted_R2(_xlpm.x_s, y, MLR_Scalar_Test[[#This Row],[Allow_Intercept]], fil))</f>
        <v>0.68459698941077862</v>
      </c>
    </row>
    <row r="10" spans="1:18" ht="30" x14ac:dyDescent="0.25">
      <c r="A10" s="2" t="str">
        <f ca="1">_xlfn.TEXTJOIN(", ",TRUE,OFFSET(y,-1,MLR_Scalar_Test[[#This Row],[ind_vars]],1,MLR_Scalar_Test[[#This Row],[ind_vars]]))</f>
        <v>Total expenditure, Diphtheria, HIV/AIDS, GDP, Population, thinness 1-19 years, thinness 5-9 years, Income composition of resources, Schooling, Full_Data</v>
      </c>
      <c r="B10" s="3">
        <v>10</v>
      </c>
      <c r="C10" t="b">
        <v>0</v>
      </c>
      <c r="D10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10" s="3">
        <v>1649</v>
      </c>
      <c r="F10" s="3">
        <f>Observations(y, fil)</f>
        <v>1649</v>
      </c>
      <c r="G10" s="3">
        <v>10</v>
      </c>
      <c r="H10" s="3">
        <f ca="1">_xlfn.LET(_xlpm.x_s, OFFSET(y,0,1,ROWS(y),MLR_Scalar_Test[[#This Row],[ind_vars]]), DF_Regression(_xlpm.x_s))</f>
        <v>10</v>
      </c>
      <c r="I10" s="3">
        <v>1649</v>
      </c>
      <c r="J10" s="3">
        <f>DF_Total(y, MLR_Scalar_Test[[#This Row],[Allow_Intercept]], fil)</f>
        <v>1649</v>
      </c>
      <c r="K10" s="4">
        <v>0.96807706925095049</v>
      </c>
      <c r="L10" s="4">
        <f ca="1">_xlfn.LET(_xlpm.x_s, OFFSET(y,0,1,ROWS(y),MLR_Scalar_Test[[#This Row],[ind_vars]]), R_squared(_xlpm.x_s, y, MLR_Scalar_Test[[#This Row],[Allow_Intercept]], fil))</f>
        <v>0.96807706925095049</v>
      </c>
      <c r="M10" s="3">
        <v>1639</v>
      </c>
      <c r="N10" s="3">
        <f ca="1">_xlfn.LET(_xlpm.x_s, OFFSET(y,0,1,ROWS(y),MLR_Scalar_Test[[#This Row],[ind_vars]]), DF_Residual(_xlpm.x_s, y, MLR_Scalar_Test[[#This Row],[Allow_Intercept]], fil))</f>
        <v>1639</v>
      </c>
      <c r="O10" s="4">
        <v>0.98390907570311115</v>
      </c>
      <c r="P10" s="4">
        <f ca="1">_xlfn.LET(_xlpm.x_s, OFFSET(y,0,1,ROWS(y),MLR_Scalar_Test[[#This Row],[ind_vars]]), Multiple_R(_xlpm.x_s, y, MLR_Scalar_Test[[#This Row],[Allow_Intercept]], fil))</f>
        <v>0.98390907570311115</v>
      </c>
      <c r="Q10" s="4">
        <v>0.96788229847151763</v>
      </c>
      <c r="R10" s="4">
        <f ca="1">_xlfn.LET(_xlpm.x_s, OFFSET(y,0,1,ROWS(y),MLR_Scalar_Test[[#This Row],[ind_vars]]), Adjusted_R2(_xlpm.x_s, y, MLR_Scalar_Test[[#This Row],[Allow_Intercept]], fil))</f>
        <v>0.96788229847151763</v>
      </c>
    </row>
    <row r="11" spans="1:18" x14ac:dyDescent="0.25">
      <c r="A11" s="2" t="str">
        <f ca="1">_xlfn.TEXTJOIN(", ",TRUE,OFFSET(y,-1,MLR_Scalar_Test[[#This Row],[ind_vars]],1,MLR_Scalar_Test[[#This Row],[ind_vars]]))</f>
        <v>Schooling, Full_Data</v>
      </c>
      <c r="B11" s="3">
        <v>18</v>
      </c>
      <c r="C11" t="b">
        <v>1</v>
      </c>
      <c r="D11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11" s="3">
        <v>1649</v>
      </c>
      <c r="F11" s="3">
        <f>Observations(y, fil)</f>
        <v>1649</v>
      </c>
      <c r="G11" s="3">
        <v>18</v>
      </c>
      <c r="H11" s="3">
        <f ca="1">_xlfn.LET(_xlpm.x_s, OFFSET(y,0,1,ROWS(y),MLR_Scalar_Test[[#This Row],[ind_vars]]), DF_Regression(_xlpm.x_s))</f>
        <v>18</v>
      </c>
      <c r="I11" s="3">
        <v>1648</v>
      </c>
      <c r="J11" s="3">
        <f>DF_Total(y, MLR_Scalar_Test[[#This Row],[Allow_Intercept]], fil)</f>
        <v>1648</v>
      </c>
      <c r="K11" s="4">
        <v>0.83473769465896497</v>
      </c>
      <c r="L11" s="4">
        <f ca="1">_xlfn.LET(_xlpm.x_s, OFFSET(y,0,1,ROWS(y),MLR_Scalar_Test[[#This Row],[ind_vars]]), R_squared(_xlpm.x_s, y, MLR_Scalar_Test[[#This Row],[Allow_Intercept]], fil))</f>
        <v>0.83473769465896452</v>
      </c>
      <c r="M11" s="3">
        <v>1630</v>
      </c>
      <c r="N11" s="3">
        <f ca="1">_xlfn.LET(_xlpm.x_s, OFFSET(y,0,1,ROWS(y),MLR_Scalar_Test[[#This Row],[ind_vars]]), DF_Residual(_xlpm.x_s, y, MLR_Scalar_Test[[#This Row],[Allow_Intercept]], fil))</f>
        <v>1630</v>
      </c>
      <c r="O11" s="4">
        <v>0.91363980575441484</v>
      </c>
      <c r="P11" s="4">
        <f ca="1">_xlfn.LET(_xlpm.x_s, OFFSET(y,0,1,ROWS(y),MLR_Scalar_Test[[#This Row],[ind_vars]]), Multiple_R(_xlpm.x_s, y, MLR_Scalar_Test[[#This Row],[Allow_Intercept]], fil))</f>
        <v>0.91363980575441461</v>
      </c>
      <c r="Q11" s="4">
        <v>0.83291271214599649</v>
      </c>
      <c r="R11" s="4">
        <f ca="1">_xlfn.LET(_xlpm.x_s, OFFSET(y,0,1,ROWS(y),MLR_Scalar_Test[[#This Row],[ind_vars]]), Adjusted_R2(_xlpm.x_s, y, MLR_Scalar_Test[[#This Row],[Allow_Intercept]], fil))</f>
        <v>0.83291271214599605</v>
      </c>
    </row>
    <row r="12" spans="1:18" x14ac:dyDescent="0.25">
      <c r="A12" s="2" t="str">
        <f ca="1">_xlfn.TEXTJOIN(", ",TRUE,OFFSET(y,-1,MLR_Scalar_Test[[#This Row],[ind_vars]],1,MLR_Scalar_Test[[#This Row],[ind_vars]]))</f>
        <v>Schooling, Full_Data</v>
      </c>
      <c r="B12" s="3">
        <v>18</v>
      </c>
      <c r="C12" t="b">
        <v>0</v>
      </c>
      <c r="D12" t="b">
        <f ca="1">AND(MLR_Scalar_Test[[#This Row],[Observations (Exp.)]]=MLR_Scalar_Test[[#This Row],[Observations (Calc.)]],MLR_Scalar_Test[[#This Row],[DF_Regression (Exp.)]]=MLR_Scalar_Test[[#This Row],[DF_Regression (Calc.)]],MLR_Scalar_Test[[#This Row],[DF_Total (Exp.)]]=MLR_Scalar_Test[[#This Row],[DF_Total (Calc.)]],ROUND(MLR_Scalar_Test[[#This Row],[R_squared (Exp.)]],10)=ROUND(MLR_Scalar_Test[[#This Row],[R_squared (Calc.)]],10),MLR_Scalar_Test[[#This Row],[DF_Residual (Exp.)]]=MLR_Scalar_Test[[#This Row],[DF_Residual (Calc.)]],ROUND(MLR_Scalar_Test[[#This Row],[Multiple_R (Exp.)]],10)=ROUND(MLR_Scalar_Test[[#This Row],[Multiple_R (Calc.)]],10),ROUND(MLR_Scalar_Test[[#This Row],[Adjusted_R2 (Exp.)]],10)=ROUND(MLR_Scalar_Test[[#This Row],[Adjusted_R2 (Calc.)]],10))</f>
        <v>1</v>
      </c>
      <c r="E12" s="3">
        <v>1649</v>
      </c>
      <c r="F12" s="3">
        <f>Observations(y, fil)</f>
        <v>1649</v>
      </c>
      <c r="G12" s="3">
        <v>18</v>
      </c>
      <c r="H12" s="3">
        <f ca="1">_xlfn.LET(_xlpm.x_s, OFFSET(y,0,1,ROWS(y),MLR_Scalar_Test[[#This Row],[ind_vars]]), DF_Regression(_xlpm.x_s))</f>
        <v>18</v>
      </c>
      <c r="I12" s="3">
        <v>1649</v>
      </c>
      <c r="J12" s="3">
        <f>DF_Total(y, MLR_Scalar_Test[[#This Row],[Allow_Intercept]], fil)</f>
        <v>1649</v>
      </c>
      <c r="K12" s="4">
        <v>0.98895618417793629</v>
      </c>
      <c r="L12" s="4">
        <f ca="1">_xlfn.LET(_xlpm.x_s, OFFSET(y,0,1,ROWS(y),MLR_Scalar_Test[[#This Row],[ind_vars]]), R_squared(_xlpm.x_s, y, MLR_Scalar_Test[[#This Row],[Allow_Intercept]], fil))</f>
        <v>0.9889561841779364</v>
      </c>
      <c r="M12" s="3">
        <v>1631</v>
      </c>
      <c r="N12" s="3">
        <f ca="1">_xlfn.LET(_xlpm.x_s, OFFSET(y,0,1,ROWS(y),MLR_Scalar_Test[[#This Row],[ind_vars]]), DF_Residual(_xlpm.x_s, y, MLR_Scalar_Test[[#This Row],[Allow_Intercept]], fil))</f>
        <v>1631</v>
      </c>
      <c r="O12" s="4">
        <v>0.99446276158433222</v>
      </c>
      <c r="P12" s="4">
        <f ca="1">_xlfn.LET(_xlpm.x_s, OFFSET(y,0,1,ROWS(y),MLR_Scalar_Test[[#This Row],[ind_vars]]), Multiple_R(_xlpm.x_s, y, MLR_Scalar_Test[[#This Row],[Allow_Intercept]], fil))</f>
        <v>0.99446276158433222</v>
      </c>
      <c r="Q12" s="4">
        <v>0.98883430270350514</v>
      </c>
      <c r="R12" s="4">
        <f ca="1">_xlfn.LET(_xlpm.x_s, OFFSET(y,0,1,ROWS(y),MLR_Scalar_Test[[#This Row],[ind_vars]]), Adjusted_R2(_xlpm.x_s, y, MLR_Scalar_Test[[#This Row],[Allow_Intercept]], fil))</f>
        <v>0.98883430270350525</v>
      </c>
    </row>
    <row r="13" spans="1:18" x14ac:dyDescent="0.25">
      <c r="A13" s="2"/>
    </row>
    <row r="14" spans="1:18" x14ac:dyDescent="0.25">
      <c r="A14" s="2"/>
    </row>
    <row r="15" spans="1:18" x14ac:dyDescent="0.25">
      <c r="A15" s="2"/>
    </row>
    <row r="16" spans="1:18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LAMBDA_functions</vt:lpstr>
      <vt:lpstr>Life Expectancy Data</vt:lpstr>
      <vt:lpstr>MLR_Scalar_Test</vt:lpstr>
      <vt:lpstr>MLR_Scalar_Test!fil</vt:lpstr>
      <vt:lpstr>MLR_Scalar_Test!y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2026-05-10T02:40:27Z</dcterms:modified>
</cp:coreProperties>
</file>