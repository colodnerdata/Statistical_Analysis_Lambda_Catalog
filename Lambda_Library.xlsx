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01CF0C6A-D7ED-46DD-8AAF-899CC03E81F2}" xr6:coauthVersionLast="47" xr6:coauthVersionMax="47" xr10:uidLastSave="{00000000-0000-0000-0000-000000000000}"/>
  <bookViews>
    <workbookView xWindow="-120" yWindow="-120" windowWidth="29040" windowHeight="15720" activeTab="6" xr2:uid="{23924B70-F520-48C4-A607-397F77D7C498}"/>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9"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udf.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udf.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_input" localSheetId="5">Regression!$V$12:OFFSET(Regression!$V$12,1,0,COLUMNS(Regression!x_s))</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Data">_xlfn.ANCHORARRAY(#REF!)</definedName>
    <definedName name="UV_FD_Counts" localSheetId="6">OFFSET(Univariate!$N$5,0,0,n_histogram_bins(Univariate!UV_Data,Univariate!$M$2,Univariate!UV_Include),1)</definedName>
    <definedName name="UV_FD_Edges" localSheetId="6">OFFSET(Univariate!$M$5,0,0,n_histogram_bins(Univariate!UV_Data,Univariate!$M$2,Univariate!UV_Include),1)</definedName>
    <definedName name="UV_Include" localSheetId="6">_xlfn.ANCHORARRAY(Univariate!$B$4)</definedName>
    <definedName name="UV_Include">_xlfn.ANCHORARRAY(#REF!)</definedName>
    <definedName name="UV_n" localSheetId="6">IFERROR(COUNT(_xlfn._xlws.FILTER(_xlfn.ANCHORARRAY(Univariate!$A$4),Univariate!UV_Include)),0)</definedName>
    <definedName name="UV_Scott_Counts" localSheetId="6">OFFSET(Univariate!$K$5,0,0,n_histogram_bins(Univariate!UV_Data,Univariate!$J$2,Univariate!UV_Include),1)</definedName>
    <definedName name="UV_Scott_Edges" localSheetId="6">OFFSET(Univariate!$J$5,0,0,n_histogram_bins(Univariate!UV_Data,Univariate!$J$2,Univariate!UV_Include),1)</definedName>
    <definedName name="UV_Sturges_Counts" localSheetId="6">OFFSET(Univariate!$H$5,0,0,n_histogram_bins(Univariate!UV_Data,Univariate!$G$2,Univariate!UV_Include),1)</definedName>
    <definedName name="UV_Sturges_Edges" localSheetId="6">OFFSET(Univariate!$G$5,0,0,n_histogram_bins(Univariate!UV_Data,Univariate!$G$2,Univariate!UV_Include),1)</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Y_Ranked">_xlfn.LAMBDA(_xlpm.Y,_xlop.Include,_xlfn._xlws.SORT(_xlfn._xlws.FILTER(_xlpm.Y,IF(_xlfn.ISOMITTED(_xlpm.Include),TRUE,_xlpm.Include))))</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5" i="9" l="1" a="1"/>
  <c r="E14" i="9"/>
  <c r="E13" i="9" a="1"/>
  <c r="E12" i="9" a="1"/>
  <c r="E11" i="9"/>
  <c r="X10" i="9" a="1"/>
  <c r="U10" i="9"/>
  <c r="S10" i="9"/>
  <c r="E10" i="9"/>
  <c r="X9" i="9" a="1"/>
  <c r="W9" i="9"/>
  <c r="U9" i="9"/>
  <c r="S9" i="9"/>
  <c r="E9" i="9"/>
  <c r="AA8" i="9" a="1"/>
  <c r="Z8" i="9" a="1"/>
  <c r="X8" i="9" a="1"/>
  <c r="W8" i="9"/>
  <c r="U8" i="9"/>
  <c r="S8" i="9"/>
  <c r="E8" i="9"/>
  <c r="X7" i="9" a="1"/>
  <c r="S7" i="9"/>
  <c r="E7" i="9"/>
  <c r="X6" i="9" a="1"/>
  <c r="U6" i="9" a="1"/>
  <c r="S6" i="9" a="1"/>
  <c r="E6" i="9"/>
  <c r="X5" i="9" a="1"/>
  <c r="U5" i="9"/>
  <c r="S5" i="9"/>
  <c r="M5" i="9" a="1"/>
  <c r="J5" i="9" a="1"/>
  <c r="G5" i="9" a="1"/>
  <c r="E5" i="9"/>
  <c r="E4" i="9"/>
  <c r="B4" i="9" a="1"/>
  <c r="A4" i="9" a="1"/>
  <c r="N3" i="9" a="1"/>
  <c r="K3" i="9" a="1"/>
  <c r="H3" i="9"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7" a="1"/>
  <c r="V29" i="7" a="1"/>
  <c r="V28" i="7" a="1"/>
  <c r="V27" i="7" a="1"/>
  <c r="V26" i="7" a="1"/>
  <c r="V25" i="7" a="1"/>
  <c r="V24" i="7" a="1"/>
  <c r="V23" i="7" a="1"/>
  <c r="V22" i="7" a="1"/>
  <c r="V21" i="7" a="1"/>
  <c r="S21" i="7" a="1"/>
  <c r="R21" i="7" a="1"/>
  <c r="Q21" i="7" a="1"/>
  <c r="P21" i="7" a="1"/>
  <c r="O21" i="7" a="1"/>
  <c r="N21" i="7" a="1"/>
  <c r="M21" i="7" a="1"/>
  <c r="L21" i="7" a="1"/>
  <c r="V20" i="7" a="1"/>
  <c r="V19" i="7" a="1"/>
  <c r="V18" i="7" a="1"/>
  <c r="V17" i="7" a="1"/>
  <c r="N17" i="7" a="1"/>
  <c r="M17" i="7" a="1"/>
  <c r="V16" i="7" a="1"/>
  <c r="O16" i="7" a="1"/>
  <c r="N16" i="7" a="1"/>
  <c r="M16" i="7" a="1"/>
  <c r="V15"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V3" i="7" a="1"/>
  <c r="J3" i="7" a="1"/>
  <c r="I3" i="7" a="1"/>
  <c r="H3" i="7" a="1"/>
  <c r="G3" i="7" a="1"/>
  <c r="F3" i="7" a="1"/>
  <c r="E3" i="7" a="1"/>
  <c r="D3" i="7" a="1"/>
  <c r="A3" i="7" a="1"/>
  <c r="AA10" i="9" l="1" a="1"/>
  <c r="AA7" i="9" a="1"/>
  <c r="AA6" i="9" a="1"/>
  <c r="Z5" i="9" a="1"/>
  <c r="AA5" i="9" a="1"/>
  <c r="H5" i="9" a="1"/>
  <c r="Z9" i="9" a="1"/>
  <c r="Z7" i="9" a="1"/>
  <c r="Z6" i="9" a="1"/>
  <c r="Z10" i="9" a="1"/>
  <c r="AA9" i="9" a="1"/>
  <c r="N5" i="9" a="1"/>
  <c r="K5" i="9"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4CA97925-7EF1-4F1C-AE96-DE54C6F81D17}">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CE0A765D-3CFF-4212-8BEE-D88E51DA1AD4}">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3DA6AAF7-512A-444C-98AA-6FA36166034F}">
      <text>
        <r>
          <rPr>
            <b/>
            <sz val="9"/>
            <color indexed="81"/>
            <rFont val="Tahoma"/>
            <family val="2"/>
          </rPr>
          <t>Shows whether the data have a longer tail on one side. Positive means a longer right tail; negative means a longer left tail.</t>
        </r>
      </text>
    </comment>
    <comment ref="H2" authorId="0" shapeId="0" xr:uid="{67835CB7-4EE8-41E2-BC14-4DA1810D7DA0}">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AD918204-E721-479B-8BAA-D3D1260085FC}">
      <text>
        <r>
          <rPr>
            <b/>
            <sz val="9"/>
            <color indexed="81"/>
            <rFont val="Tahoma"/>
            <family val="2"/>
          </rPr>
          <t>A measure of collinearity with the other predictors. A value of 1 means no overlap; above 5 warrants review, above 10 indicates a problem.</t>
        </r>
      </text>
    </comment>
    <comment ref="J2" authorId="0" shapeId="0" xr:uid="{B1831546-9FC9-4D0E-ABEA-78D5E3ABC047}">
      <text>
        <r>
          <rPr>
            <b/>
            <sz val="9"/>
            <color indexed="81"/>
            <rFont val="Tahoma"/>
            <family val="2"/>
          </rPr>
          <t>The fraction of a predictor's variation not explained by the other predictors. Values below 0.2 warrant review; below 0.1 indicate strong collinearity.</t>
        </r>
      </text>
    </comment>
    <comment ref="X2" authorId="0" shapeId="0" xr:uid="{5EE64183-2ADD-41F5-9ECA-0DE368466D1D}">
      <text>
        <r>
          <rPr>
            <b/>
            <sz val="9"/>
            <color indexed="81"/>
            <rFont val="Tahoma"/>
            <family val="2"/>
          </rPr>
          <t>The actual observed outcome values.</t>
        </r>
      </text>
    </comment>
    <comment ref="Y2" authorId="0" shapeId="0" xr:uid="{68808AC2-23B2-452D-8869-DA791B194212}">
      <text>
        <r>
          <rPr>
            <b/>
            <sz val="9"/>
            <color indexed="81"/>
            <rFont val="Tahoma"/>
            <family val="2"/>
          </rPr>
          <t>The fitted outcome values produced by the model.</t>
        </r>
      </text>
    </comment>
    <comment ref="Z2" authorId="0" shapeId="0" xr:uid="{C7F92DBD-8D93-4C71-90D1-1E6265E2AB52}">
      <text>
        <r>
          <rPr>
            <b/>
            <sz val="9"/>
            <color indexed="81"/>
            <rFont val="Tahoma"/>
            <family val="2"/>
          </rPr>
          <t>Actual Y minus predicted Y. Positive means the row came in above the model's prediction; negative means below.</t>
        </r>
      </text>
    </comment>
    <comment ref="AA2" authorId="0" shapeId="0" xr:uid="{930493DC-5CC9-4812-8437-096415EF145A}">
      <text>
        <r>
          <rPr>
            <b/>
            <sz val="9"/>
            <color indexed="81"/>
            <rFont val="Tahoma"/>
            <family val="2"/>
          </rPr>
          <t>The prediction error for a row when that row is left out of the fitting step.</t>
        </r>
      </text>
    </comment>
    <comment ref="AB2" authorId="0" shapeId="0" xr:uid="{6D782D41-5165-4DF7-978E-F5B0F21527FF}">
      <text>
        <r>
          <rPr>
            <b/>
            <sz val="9"/>
            <color indexed="81"/>
            <rFont val="Tahoma"/>
            <family val="2"/>
          </rPr>
          <t>Leverage. It shows how unusual a row's predictor values are relative to the rest of the data.</t>
        </r>
      </text>
    </comment>
    <comment ref="AC2" authorId="0" shapeId="0" xr:uid="{EEE99794-A616-42C6-B1E9-3B1667BD5644}">
      <text>
        <r>
          <rPr>
            <b/>
            <sz val="9"/>
            <color indexed="81"/>
            <rFont val="Tahoma"/>
            <family val="2"/>
          </rPr>
          <t>Residuals scaled to account for overall error size and leverage, making outliers easier to compare fairly.</t>
        </r>
      </text>
    </comment>
    <comment ref="AD2" authorId="0" shapeId="0" xr:uid="{73985002-C575-4EAC-A2A6-52E0D14C550A}">
      <text>
        <r>
          <rPr>
            <b/>
            <sz val="9"/>
            <color indexed="81"/>
            <rFont val="Tahoma"/>
            <family val="2"/>
          </rPr>
          <t>How much a single row can pull the fitted coefficients and predictions around.</t>
        </r>
      </text>
    </comment>
    <comment ref="AE2" authorId="0" shapeId="0" xr:uid="{DC55FFD1-4DD8-4861-9311-E790761D86C3}">
      <text>
        <r>
          <rPr>
            <b/>
            <sz val="9"/>
            <color indexed="81"/>
            <rFont val="Tahoma"/>
            <family val="2"/>
          </rPr>
          <t>Expected bell-curve quantiles used for the Q-Q comparison.</t>
        </r>
      </text>
    </comment>
    <comment ref="AF2" authorId="0" shapeId="0" xr:uid="{651EA3E7-0A89-4B9C-820F-DDEE52821F66}">
      <text>
        <r>
          <rPr>
            <b/>
            <sz val="9"/>
            <color indexed="81"/>
            <rFont val="Tahoma"/>
            <family val="2"/>
          </rPr>
          <t>Studentized residuals sorted from smallest to largest for the Q-Q plot.</t>
        </r>
      </text>
    </comment>
    <comment ref="AG2" authorId="0" shapeId="0" xr:uid="{A423092A-7869-429F-BA36-A1B50349AB07}">
      <text>
        <r>
          <rPr>
            <b/>
            <sz val="9"/>
            <color indexed="81"/>
            <rFont val="Tahoma"/>
            <family val="2"/>
          </rPr>
          <t>The square root of the absolute studentized residual. A flat pattern suggests stable error spread.</t>
        </r>
      </text>
    </comment>
    <comment ref="AH2" authorId="0" shapeId="0" xr:uid="{A2317E49-024D-41B6-A011-FBA1F1118F14}">
      <text>
        <r>
          <rPr>
            <b/>
            <sz val="9"/>
            <color indexed="81"/>
            <rFont val="Tahoma"/>
            <family val="2"/>
          </rPr>
          <t>A leverage-adjusted residual used to show how much a row affects out-of-sample prediction error.</t>
        </r>
      </text>
    </comment>
    <comment ref="U3" authorId="0" shapeId="0" xr:uid="{31841FA0-A1B5-4F0B-B537-50B2398FC040}">
      <text>
        <r>
          <rPr>
            <b/>
            <sz val="9"/>
            <color indexed="81"/>
            <rFont val="Tahoma"/>
            <family val="2"/>
          </rPr>
          <t>The model's single best predicted Y value for the inputs you entered.</t>
        </r>
      </text>
    </comment>
    <comment ref="L4" authorId="0" shapeId="0" xr:uid="{A8147367-C0AF-4F51-A4ED-D7DAADCB774D}">
      <text>
        <r>
          <rPr>
            <b/>
            <sz val="9"/>
            <color indexed="81"/>
            <rFont val="Tahoma"/>
            <family val="2"/>
          </rPr>
          <t>How closely the model's predicted Y values track the actual Y values overall.</t>
        </r>
      </text>
    </comment>
    <comment ref="O4" authorId="0" shapeId="0" xr:uid="{3FE40B83-3F33-4547-8A55-1DAC85C732EB}">
      <text>
        <r>
          <rPr>
            <b/>
            <sz val="9"/>
            <color indexed="81"/>
            <rFont val="Tahoma"/>
            <family val="2"/>
          </rPr>
          <t>A leave-one-out prediction error score. Lower is better because it means the model predicts unseen rows more accurately.</t>
        </r>
      </text>
    </comment>
    <comment ref="U4" authorId="0" shapeId="0" xr:uid="{47959271-E498-4A8E-8FFD-49A8A6108BCD}">
      <text>
        <r>
          <rPr>
            <b/>
            <sz val="9"/>
            <color indexed="81"/>
            <rFont val="Tahoma"/>
            <family val="2"/>
          </rPr>
          <t>The standard error for a new prediction. It reflects both model uncertainty and ordinary row-to-row noise.</t>
        </r>
      </text>
    </comment>
    <comment ref="L5" authorId="0" shapeId="0" xr:uid="{442EDE56-6692-498A-9828-744CDEA7CE47}">
      <text>
        <r>
          <rPr>
            <b/>
            <sz val="9"/>
            <color indexed="81"/>
            <rFont val="Tahoma"/>
            <family val="2"/>
          </rPr>
          <t>The share of the outcome's variation explained by the model.</t>
        </r>
      </text>
    </comment>
    <comment ref="O5" authorId="0" shapeId="0" xr:uid="{7C7314F7-1A4B-4060-85EB-ACC56ADDEF49}">
      <text>
        <r>
          <rPr>
            <b/>
            <sz val="9"/>
            <color indexed="81"/>
            <rFont val="Tahoma"/>
            <family val="2"/>
          </rPr>
          <t>An out-of-sample version of R Square based on leave-one-out prediction. Negative values mean the model predicts worse than just using the average Y.</t>
        </r>
      </text>
    </comment>
    <comment ref="U5" authorId="0" shapeId="0" xr:uid="{D7B98C23-7175-4461-B0E8-52AC0A49D784}">
      <text>
        <r>
          <rPr>
            <b/>
            <sz val="9"/>
            <color indexed="81"/>
            <rFont val="Tahoma"/>
            <family val="2"/>
          </rPr>
          <t>The t-distribution cutoff at the chosen confidence level. Multiply by SE Prediction to get the prediction interval half-width.</t>
        </r>
      </text>
    </comment>
    <comment ref="L6" authorId="0" shapeId="0" xr:uid="{57529C41-E632-4A3E-BC04-10B500FAC2DC}">
      <text>
        <r>
          <rPr>
            <b/>
            <sz val="9"/>
            <color indexed="81"/>
            <rFont val="Tahoma"/>
            <family val="2"/>
          </rPr>
          <t>R Square with a penalty for adding predictors that do not help enough.</t>
        </r>
      </text>
    </comment>
    <comment ref="O6" authorId="0" shapeId="0" xr:uid="{0BD52164-9297-4ABC-9FED-EFFC3DFA99F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8B194D42-1AD8-4655-8E54-A6AE2301D68B}">
      <text>
        <r>
          <rPr>
            <b/>
            <sz val="9"/>
            <color indexed="81"/>
            <rFont val="Tahoma"/>
            <family val="2"/>
          </rPr>
          <t>The lower bound of the 95% confidence interval.</t>
        </r>
      </text>
    </comment>
    <comment ref="L7" authorId="0" shapeId="0" xr:uid="{B5CED21B-B43A-4A6D-B207-F37E1CFBEB4C}">
      <text>
        <r>
          <rPr>
            <b/>
            <sz val="9"/>
            <color indexed="81"/>
            <rFont val="Tahoma"/>
            <family val="2"/>
          </rPr>
          <t>The typical size of the model's prediction errors, measured in the same units as Y.</t>
        </r>
      </text>
    </comment>
    <comment ref="O7" authorId="0" shapeId="0" xr:uid="{690718F8-735C-4DF2-90AB-2252D3B71C66}">
      <text>
        <r>
          <rPr>
            <b/>
            <sz val="9"/>
            <color indexed="81"/>
            <rFont val="Tahoma"/>
            <family val="2"/>
          </rPr>
          <t>A model-comparison score that balances fit against complexity. Lower is better when comparing models on the same data.</t>
        </r>
      </text>
    </comment>
    <comment ref="U7" authorId="0" shapeId="0" xr:uid="{95F75FE6-B557-42A0-BAD0-DB63EDD202A7}">
      <text>
        <r>
          <rPr>
            <b/>
            <sz val="9"/>
            <color indexed="81"/>
            <rFont val="Tahoma"/>
            <family val="2"/>
          </rPr>
          <t>The upper bound of the 95% confidence interval.</t>
        </r>
      </text>
    </comment>
    <comment ref="L8" authorId="0" shapeId="0" xr:uid="{A15FB42F-8294-47FF-8D77-9090BCB7C63D}">
      <text>
        <r>
          <rPr>
            <b/>
            <sz val="9"/>
            <color indexed="81"/>
            <rFont val="Tahoma"/>
            <family val="2"/>
          </rPr>
          <t>The number of rows actually used in the regression after filtering.</t>
        </r>
      </text>
    </comment>
    <comment ref="O8" authorId="0" shapeId="0" xr:uid="{F321DADB-8DB1-4574-957F-78451D0037D9}">
      <text>
        <r>
          <rPr>
            <b/>
            <sz val="9"/>
            <color indexed="81"/>
            <rFont val="Tahoma"/>
            <family val="2"/>
          </rPr>
          <t>Another model-comparison score like AIC, but it penalizes extra predictors more strongly.</t>
        </r>
      </text>
    </comment>
    <comment ref="U8" authorId="0" shapeId="0" xr:uid="{FE3B9410-3EC1-4AF2-98CC-DA75C501EB6E}">
      <text>
        <r>
          <rPr>
            <b/>
            <sz val="9"/>
            <color indexed="81"/>
            <rFont val="Tahoma"/>
            <family val="2"/>
          </rPr>
          <t>The probability level associated with the interval. With alpha 0.05, this is 95%.</t>
        </r>
      </text>
    </comment>
    <comment ref="O9" authorId="0" shapeId="0" xr:uid="{748FCA68-469D-4419-8B65-B3EB2F6FD0AF}">
      <text>
        <r>
          <rPr>
            <b/>
            <sz val="9"/>
            <color indexed="81"/>
            <rFont val="Tahoma"/>
            <family val="2"/>
          </rPr>
          <t>AIC with an extra correction for small samples.</t>
        </r>
      </text>
    </comment>
    <comment ref="O10" authorId="0" shapeId="0" xr:uid="{B4A149CA-4BE9-4270-BB3A-78D3179B2C3D}">
      <text>
        <r>
          <rPr>
            <b/>
            <sz val="9"/>
            <color indexed="81"/>
            <rFont val="Tahoma"/>
            <family val="2"/>
          </rPr>
          <t>A numeric check of how close the residuals are to a normal bell shape. Values closer to 1 are better.</t>
        </r>
      </text>
    </comment>
    <comment ref="L12" authorId="0" shapeId="0" xr:uid="{A0BB7102-EBDD-4741-B005-0ADE4587CCDA}">
      <text>
        <r>
          <rPr>
            <b/>
            <sz val="9"/>
            <color indexed="81"/>
            <rFont val="Tahoma"/>
            <family val="2"/>
          </rPr>
          <t>The cutoff for statistical significance. At 0.05, results with p-values below 0.05 are treated as statistically significant.</t>
        </r>
      </text>
    </comment>
    <comment ref="M14" authorId="0" shapeId="0" xr:uid="{2A796AA4-497D-4E59-98F8-AC599D59DBC2}">
      <text>
        <r>
          <rPr>
            <b/>
            <sz val="9"/>
            <color indexed="81"/>
            <rFont val="Tahoma"/>
            <family val="2"/>
          </rPr>
          <t>The number of independent data points available to estimate each part of the model — total rows minus one for each estimated parameter.</t>
        </r>
      </text>
    </comment>
    <comment ref="N14" authorId="0" shapeId="0" xr:uid="{579EBE52-59CC-4104-A310-39C034B09F51}">
      <text>
        <r>
          <rPr>
            <b/>
            <sz val="9"/>
            <color indexed="81"/>
            <rFont val="Tahoma"/>
            <family val="2"/>
          </rPr>
          <t>The total variation attributed to that source — regression, residual, or total. The raw material from which MS and F are calculated.</t>
        </r>
      </text>
    </comment>
    <comment ref="O14" authorId="0" shapeId="0" xr:uid="{558FAB52-402C-41BE-B966-5342DD4EFE4D}">
      <text>
        <r>
          <rPr>
            <b/>
            <sz val="9"/>
            <color indexed="81"/>
            <rFont val="Tahoma"/>
            <family val="2"/>
          </rPr>
          <t>Sum of squares averaged over its degrees of freedom — a per-unit measure of variation for that source.</t>
        </r>
      </text>
    </comment>
    <comment ref="P14" authorId="0" shapeId="0" xr:uid="{D0C88540-FC6D-491A-B82A-CA131F4900C5}">
      <text>
        <r>
          <rPr>
            <b/>
            <sz val="9"/>
            <color indexed="81"/>
            <rFont val="Tahoma"/>
            <family val="2"/>
          </rPr>
          <t>The model-vs-noise ratio used in the overall regression significance test.</t>
        </r>
      </text>
    </comment>
    <comment ref="Q14" authorId="0" shapeId="0" xr:uid="{09AFB251-2811-474F-AF61-E636E4956081}">
      <text>
        <r>
          <rPr>
            <b/>
            <sz val="9"/>
            <color indexed="81"/>
            <rFont val="Tahoma"/>
            <family val="2"/>
          </rPr>
          <t>The p-value for the overall F test. Small values mean the model as a whole is unlikely to be pure noise.</t>
        </r>
      </text>
    </comment>
    <comment ref="L15" authorId="0" shapeId="0" xr:uid="{81745091-9049-460E-9CCB-3CF54DF65D8D}">
      <text>
        <r>
          <rPr>
            <b/>
            <sz val="9"/>
            <color indexed="81"/>
            <rFont val="Tahoma"/>
            <family val="2"/>
          </rPr>
          <t>The variation explained by the predictors taken together.</t>
        </r>
      </text>
    </comment>
    <comment ref="L16" authorId="0" shapeId="0" xr:uid="{F59DACCA-4E0B-4ADD-AC72-828274206EE1}">
      <text>
        <r>
          <rPr>
            <b/>
            <sz val="9"/>
            <color indexed="81"/>
            <rFont val="Tahoma"/>
            <family val="2"/>
          </rPr>
          <t>The variation the model does not explain.</t>
        </r>
      </text>
    </comment>
    <comment ref="L17" authorId="0" shapeId="0" xr:uid="{2752F223-494F-4A1C-98DA-0F4F8606EA43}">
      <text>
        <r>
          <rPr>
            <b/>
            <sz val="9"/>
            <color indexed="81"/>
            <rFont val="Tahoma"/>
            <family val="2"/>
          </rPr>
          <t>All variation in the outcome before splitting it into explained and unexplained parts.</t>
        </r>
      </text>
    </comment>
    <comment ref="M20" authorId="0" shapeId="0" xr:uid="{23981FBF-863D-4243-86FA-DC953A97ECF3}">
      <text>
        <r>
          <rPr>
            <b/>
            <sz val="9"/>
            <color indexed="81"/>
            <rFont val="Tahoma"/>
            <family val="2"/>
          </rPr>
          <t>The fitted weights used to turn predictor values into predictions.</t>
        </r>
      </text>
    </comment>
    <comment ref="N20" authorId="0" shapeId="0" xr:uid="{E085E3C9-C69A-4EBE-89A5-83EC53C28C8F}">
      <text>
        <r>
          <rPr>
            <b/>
            <sz val="9"/>
            <color indexed="81"/>
            <rFont val="Tahoma"/>
            <family val="2"/>
          </rPr>
          <t>How uncertain each coefficient estimate is.</t>
        </r>
      </text>
    </comment>
    <comment ref="O20" authorId="0" shapeId="0" xr:uid="{5EA46D58-2552-4F59-845C-B3824408B507}">
      <text>
        <r>
          <rPr>
            <b/>
            <sz val="9"/>
            <color indexed="81"/>
            <rFont val="Tahoma"/>
            <family val="2"/>
          </rPr>
          <t>How many standard errors the coefficient is away from zero.</t>
        </r>
      </text>
    </comment>
    <comment ref="P20" authorId="0" shapeId="0" xr:uid="{0201FC55-6519-4E84-8361-EBC6E65BAD77}">
      <text>
        <r>
          <rPr>
            <b/>
            <sz val="9"/>
            <color indexed="81"/>
            <rFont val="Tahoma"/>
            <family val="2"/>
          </rPr>
          <t>How surprising this coefficient would be if its true effect were zero. Smaller values mean stronger evidence of a real effect.</t>
        </r>
      </text>
    </comment>
    <comment ref="Q20" authorId="0" shapeId="0" xr:uid="{012F595A-3BF8-45F3-9151-37180C6BB454}">
      <text>
        <r>
          <rPr>
            <b/>
            <sz val="9"/>
            <color indexed="81"/>
            <rFont val="Tahoma"/>
            <family val="2"/>
          </rPr>
          <t>The lower bound of the 95% confidence interval.</t>
        </r>
      </text>
    </comment>
    <comment ref="R20" authorId="0" shapeId="0" xr:uid="{FD4F9BFC-0480-469E-8FC0-18610ABBB646}">
      <text>
        <r>
          <rPr>
            <b/>
            <sz val="9"/>
            <color indexed="81"/>
            <rFont val="Tahoma"/>
            <family val="2"/>
          </rPr>
          <t>The upper bound of the 95% confidence interval.</t>
        </r>
      </text>
    </comment>
    <comment ref="S20" authorId="0" shapeId="0" xr:uid="{CCDB6B26-75D7-45BE-8AB8-6563FAE5FC2B}">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<sst xmlns="http://schemas.openxmlformats.org/spreadsheetml/2006/main" count="6626" uniqueCount="841">
  <si>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</si>
  <si>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</si>
  <si>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</si>
  <si>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</si>
  <si>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</si>
  <si>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</si>
  <si>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</si>
  <si>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</si>
  <si>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</si>
  <si>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</si>
  <si>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</si>
  <si>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</si>
  <si>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</si>
  <si>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</si>
  <si>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</si>
  <si>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</si>
  <si>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</si>
  <si>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</si>
  <si>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</si>
  <si>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</si>
  <si>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</si>
  <si>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</si>
  <si>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</si>
  <si>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</si>
  <si>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</si>
  <si>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</si>
  <si>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</si>
  <si>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</si>
  <si>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</si>
  <si>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</si>
  <si>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</si>
  <si>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</si>
  <si>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</si>
  <si>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</si>
  <si>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</si>
  <si>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</si>
  <si>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</si>
  <si>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</si>
  <si>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</si>
  <si>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</si>
  <si>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</si>
  <si>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</si>
  <si>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</si>
  <si>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</si>
  <si>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</si>
  <si>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</si>
  <si>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</si>
  <si>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</si>
  <si>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</si>
  <si>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</si>
  <si>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</si>
  <si>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</si>
  <si>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</si>
  <si>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</si>
  <si>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</si>
  <si>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</si>
  <si>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</si>
  <si>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</si>
  <si>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</si>
  <si>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</si>
  <si>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</si>
  <si>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</si>
  <si>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</si>
  <si>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</si>
  <si>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</si>
  <si>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</si>
  <si>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</si>
  <si>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</si>
  <si>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</si>
  <si>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</si>
  <si>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</si>
  <si>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</si>
  <si>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</si>
  <si>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</si>
  <si>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</si>
  <si>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</si>
  <si>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</si>
  <si>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</si>
  <si>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</si>
  <si>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</si>
  <si>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</si>
  <si>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</si>
  <si>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</si>
  <si>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</si>
  <si>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</si>
  <si>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</si>
  <si>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</si>
  <si>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</si>
  <si>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</si>
  <si>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</si>
  <si>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</si>
  <si>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</si>
  <si>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</si>
  <si>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</si>
  <si>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</si>
  <si>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</si>
  <si>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</si>
  <si>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</si>
  <si>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</si>
  <si>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</si>
  <si>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</si>
  <si>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</si>
  <si>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</si>
  <si>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</si>
  <si>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</si>
  <si>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</si>
  <si>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</si>
  <si>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</si>
  <si>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</si>
  <si>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</si>
  <si>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</si>
  <si>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</si>
  <si>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</si>
  <si>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</si>
  <si>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</si>
  <si>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</si>
  <si>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</si>
  <si>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</si>
  <si>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</si>
  <si>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</si>
  <si>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</si>
  <si>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</si>
  <si>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</si>
  <si>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</si>
  <si>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</si>
  <si>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</si>
  <si>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</si>
  <si>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</si>
  <si>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</si>
  <si>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</si>
  <si>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</si>
  <si>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</si>
  <si>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</si>
  <si>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</si>
  <si>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</si>
  <si>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</si>
  <si>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</si>
  <si>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</si>
  <si>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</si>
  <si>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</si>
  <si>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</si>
  <si>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</si>
  <si>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</si>
  <si>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</si>
  <si>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</si>
  <si>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</si>
  <si>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</si>
  <si>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</si>
  <si>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</si>
  <si>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</si>
  <si>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</si>
  <si>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</si>
  <si>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</si>
  <si>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</si>
  <si>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</si>
  <si>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</si>
  <si>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</si>
  <si>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</si>
  <si>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</si>
  <si>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</si>
  <si>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</si>
  <si>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</si>
  <si>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</si>
  <si>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</si>
  <si>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</si>
  <si>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</si>
  <si>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</si>
  <si>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</si>
  <si>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</si>
  <si>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</si>
  <si>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</si>
  <si>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</si>
  <si>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</si>
  <si>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</si>
  <si>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</si>
  <si>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</si>
  <si>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</si>
  <si>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</si>
  <si>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</si>
  <si>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</si>
  <si>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</si>
  <si>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</si>
  <si>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</si>
  <si>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</si>
  <si>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</si>
  <si>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</si>
  <si>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</si>
  <si>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</si>
  <si>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</si>
  <si>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</si>
  <si>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</si>
  <si>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</si>
  <si>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</si>
  <si>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</si>
  <si>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</si>
  <si>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</si>
  <si>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</si>
  <si>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</si>
  <si>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</si>
  <si>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</si>
  <si>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</si>
  <si>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</si>
  <si>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</si>
  <si>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</si>
  <si>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</si>
  <si>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</si>
  <si>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</si>
  <si>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</si>
  <si>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</si>
  <si>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</si>
  <si>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</si>
  <si>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</si>
  <si>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</si>
  <si>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</si>
  <si>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</si>
  <si>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</si>
  <si>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</si>
  <si>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</si>
  <si>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</si>
  <si>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</si>
  <si>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</si>
  <si>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</si>
  <si>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</si>
  <si>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</si>
  <si>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</si>
  <si>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</si>
  <si>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</si>
  <si>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</si>
  <si>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</si>
  <si>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</si>
  <si>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</si>
  <si>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</si>
  <si>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</si>
  <si>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</si>
  <si>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</si>
  <si>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</si>
  <si>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</si>
  <si>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</si>
  <si>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</si>
  <si>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</si>
  <si>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</si>
  <si>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</si>
  <si>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</si>
  <si>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</si>
  <si>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</si>
  <si>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</si>
  <si>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</si>
  <si>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</si>
  <si>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</si>
  <si>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</si>
  <si>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</si>
  <si>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</si>
  <si>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</si>
  <si>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</si>
  <si>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</si>
  <si>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</si>
  <si>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</si>
  <si>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</si>
  <si>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</si>
  <si>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</si>
  <si>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</si>
  <si>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</si>
  <si>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</si>
  <si>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</si>
  <si>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</si>
  <si>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</si>
  <si>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</si>
  <si>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</si>
  <si>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</si>
  <si>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</si>
  <si>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</si>
  <si>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</si>
  <si>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</si>
  <si>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</si>
  <si>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</si>
  <si>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</si>
  <si>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</si>
  <si>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</si>
  <si>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</si>
  <si>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</si>
  <si>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</si>
  <si>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</si>
  <si>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</si>
  <si>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</si>
  <si>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</si>
  <si>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</si>
  <si>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</si>
  <si>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</si>
  <si>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</si>
  <si>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</si>
  <si>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</si>
  <si>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</si>
  <si>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</si>
  <si>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</si>
  <si>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</si>
  <si>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</si>
  <si>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</si>
  <si>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</si>
  <si>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</si>
  <si>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</si>
  <si>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</si>
  <si>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</si>
  <si>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</si>
  <si>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</si>
  <si>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</si>
  <si>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</si>
  <si>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</si>
  <si>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</si>
  <si>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</si>
  <si>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</si>
  <si>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</si>
  <si>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</si>
  <si>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</si>
  <si>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</si>
  <si>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</si>
  <si>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</si>
  <si>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</si>
  <si>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</si>
  <si>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</si>
  <si>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</si>
  <si>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</si>
  <si>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</si>
  <si>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</si>
  <si>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</si>
  <si>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</si>
  <si>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</si>
  <si>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</si>
  <si>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</si>
  <si>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</si>
  <si>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</si>
  <si>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</si>
  <si>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</si>
  <si>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</si>
  <si>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</si>
  <si>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</si>
  <si>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</si>
  <si>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</si>
  <si>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</si>
  <si>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</si>
  <si>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</si>
  <si>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</si>
  <si>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</si>
  <si>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</si>
  <si>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</si>
  <si>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</si>
  <si>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</si>
  <si>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</si>
  <si>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</si>
  <si>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</si>
  <si>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</si>
  <si>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</si>
  <si>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</si>
  <si>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</si>
  <si>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</si>
  <si>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</si>
  <si>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</si>
  <si>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</si>
  <si>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</si>
  <si>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</si>
  <si>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</si>
  <si>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</si>
  <si>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</si>
  <si>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</si>
  <si>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</si>
  <si>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</si>
  <si>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</si>
  <si>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</si>
  <si>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</si>
  <si>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</si>
  <si>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</si>
  <si>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</si>
  <si>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</si>
  <si>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</si>
  <si>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</si>
  <si>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</si>
  <si>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</si>
  <si>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</si>
  <si>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</si>
  <si>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</si>
  <si>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</si>
  <si>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</si>
  <si>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</si>
  <si>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</si>
  <si>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</si>
  <si>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</si>
  <si>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</si>
  <si>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</si>
  <si>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</si>
  <si>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</si>
  <si>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</si>
  <si>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</si>
  <si>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</si>
  <si>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</si>
  <si>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</si>
  <si>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</si>
  <si>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</si>
  <si>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</si>
  <si>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</si>
  <si>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</si>
  <si>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</si>
  <si>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</si>
  <si>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</si>
  <si>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</si>
  <si>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</si>
  <si>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</si>
  <si>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</si>
  <si>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</si>
  <si>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</si>
  <si>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</si>
  <si>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</si>
  <si>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</si>
  <si>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</si>
  <si>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</si>
  <si>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</si>
  <si>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</si>
  <si>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</si>
  <si>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</si>
  <si>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</si>
  <si>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</si>
  <si>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</si>
  <si>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</si>
  <si>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</si>
  <si>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</si>
  <si>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</si>
  <si>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</si>
  <si>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</si>
  <si>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</si>
  <si>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</si>
  <si>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</si>
  <si>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</si>
  <si>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</si>
  <si>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</si>
  <si>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</si>
  <si>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</si>
  <si>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</si>
  <si>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</si>
  <si>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</si>
  <si>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</si>
  <si>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</si>
  <si>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</si>
  <si>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</si>
  <si>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</si>
  <si>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</si>
  <si>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</si>
  <si>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</si>
  <si>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</si>
  <si>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</si>
  <si>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</si>
  <si>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</si>
  <si>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</si>
  <si>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</si>
  <si>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</si>
  <si>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</si>
  <si>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</si>
  <si>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</si>
  <si>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</si>
  <si>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</si>
  <si>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</si>
  <si>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</si>
  <si>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</si>
  <si>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</si>
  <si>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</si>
  <si>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</si>
  <si>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</si>
  <si>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</si>
  <si>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</si>
  <si>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</si>
  <si>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</si>
  <si>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</si>
  <si>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</si>
  <si>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</si>
  <si>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</si>
  <si>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</si>
  <si>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</si>
  <si>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</si>
  <si>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</si>
  <si>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</si>
  <si>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</si>
  <si>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</si>
  <si>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</si>
  <si>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</si>
  <si>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</si>
  <si>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</si>
  <si>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</si>
  <si>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</si>
  <si>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</si>
  <si>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</si>
  <si>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</si>
  <si>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</si>
  <si>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</si>
  <si>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</si>
  <si>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</si>
  <si>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</si>
  <si>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</si>
  <si>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</si>
  <si>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</si>
  <si>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</si>
  <si>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</si>
  <si>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</si>
  <si>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</si>
  <si>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</si>
  <si>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</si>
  <si>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</si>
  <si>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</si>
  <si>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</si>
  <si>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</si>
  <si>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</si>
  <si>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</si>
  <si>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</si>
  <si>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</si>
  <si>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</si>
  <si>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</si>
  <si>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</si>
  <si>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</si>
  <si>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</si>
  <si>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</si>
  <si>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</si>
  <si>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</si>
  <si>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</si>
  <si>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</si>
  <si>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</si>
  <si>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</si>
  <si>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</si>
  <si>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</si>
  <si>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</si>
  <si>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</si>
  <si>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</si>
  <si>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</si>
  <si>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</si>
  <si>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</si>
  <si>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</si>
  <si>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</si>
  <si>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</si>
  <si>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</si>
  <si>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</si>
  <si>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</si>
  <si>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</si>
  <si>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</si>
  <si>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</si>
  <si>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</si>
  <si>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</si>
  <si>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</si>
  <si>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</si>
  <si>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</si>
  <si>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</si>
  <si>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</si>
  <si>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</si>
  <si>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</si>
  <si>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</si>
  <si>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</si>
  <si>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</si>
  <si>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</si>
  <si>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</si>
  <si>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</si>
  <si>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</si>
  <si>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</si>
  <si>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</si>
  <si>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</si>
  <si>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</si>
  <si>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</si>
  <si>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</si>
  <si>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</si>
  <si>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</si>
  <si>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</si>
  <si>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</si>
  <si>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</si>
  <si>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</si>
  <si>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</si>
  <si>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</si>
  <si>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</si>
  <si>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</si>
  <si>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</si>
  <si>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</si>
  <si>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</si>
  <si>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</si>
  <si>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</si>
  <si>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</si>
  <si>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</si>
  <si>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</si>
  <si>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</si>
  <si>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</si>
  <si>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</si>
  <si>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</si>
  <si>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</si>
  <si>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</si>
  <si>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</si>
  <si>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</si>
  <si>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</si>
  <si>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</si>
  <si>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</si>
  <si>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</si>
  <si>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</si>
  <si>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</si>
  <si>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</si>
  <si>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</si>
  <si>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</si>
  <si>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</si>
  <si>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</si>
  <si>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</si>
  <si>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</si>
  <si>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</si>
  <si>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</si>
  <si>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</si>
  <si>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</si>
  <si>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</si>
  <si>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</si>
  <si>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</si>
  <si>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</si>
  <si>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</si>
  <si>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</si>
  <si>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</si>
  <si>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</si>
  <si>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</si>
  <si>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</si>
  <si>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</si>
  <si>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</si>
  <si>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</si>
  <si>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</si>
  <si>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</si>
  <si>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</si>
  <si>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</si>
  <si>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</si>
  <si>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</si>
  <si>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</si>
  <si>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</si>
  <si>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</si>
  <si>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</si>
  <si>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</si>
  <si>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</si>
  <si>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</si>
  <si>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</si>
  <si>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</si>
  <si>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</si>
  <si>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</si>
  <si>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</si>
  <si>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</si>
  <si>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</si>
  <si>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</si>
  <si>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</si>
  <si>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</si>
  <si>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</si>
  <si>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</si>
  <si>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</si>
  <si>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</si>
  <si>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</si>
  <si>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</si>
  <si>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</si>
  <si>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</si>
  <si>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</si>
  <si>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</si>
  <si>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</si>
  <si>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</si>
  <si>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</si>
  <si>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</si>
  <si>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</si>
  <si>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</si>
  <si>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</si>
  <si>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</si>
  <si>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</si>
  <si>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</si>
  <si>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</si>
  <si>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</si>
  <si>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</si>
  <si>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</si>
  <si>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</si>
  <si>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Upper Edge</t>
  </si>
  <si>
    <t>Bins</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</si>
  <si>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</si>
  <si>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</si>
  <si>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</si>
  <si>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</si>
  <si>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</si>
  <si>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</si>
  <si>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</si>
  <si>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</si>
  <si>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</si>
  <si>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</si>
  <si>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</si>
  <si>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</si>
  <si>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</si>
  <si>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</si>
  <si>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</si>
  <si>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</si>
  <si>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</si>
  <si>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</si>
  <si>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</si>
  <si>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</si>
  <si>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</si>
  <si>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</si>
  <si>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</si>
  <si>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</si>
  <si>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</si>
  <si>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</si>
  <si>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</si>
  <si>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</si>
  <si>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</si>
  <si>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</si>
  <si>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</si>
  <si>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</si>
  <si>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</si>
  <si>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</si>
  <si>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</si>
  <si>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</si>
  <si>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</si>
  <si>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</si>
  <si>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</si>
  <si>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</si>
  <si>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</si>
  <si>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</si>
  <si>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</si>
  <si>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</si>
  <si>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</si>
  <si>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</si>
  <si>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</si>
  <si>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</si>
  <si>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</si>
  <si>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</si>
  <si>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</si>
  <si>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</si>
  <si>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</si>
  <si>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</si>
  <si>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</si>
  <si>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</si>
  <si>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</si>
  <si>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</si>
  <si>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</si>
  <si>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</si>
  <si>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</si>
  <si>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</si>
  <si>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</si>
  <si>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</si>
  <si>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</si>
  <si>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</si>
  <si>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</si>
  <si>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</si>
  <si>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</si>
  <si>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</si>
  <si>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</si>
  <si>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</si>
  <si>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</si>
  <si>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</si>
  <si>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</si>
  <si>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</si>
  <si>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</si>
  <si>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</si>
  <si>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</si>
  <si>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</si>
  <si>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</si>
  <si>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</si>
  <si>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</si>
  <si>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</si>
  <si>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</si>
  <si>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</si>
  <si>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</si>
  <si>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</si>
  <si>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</si>
  <si>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</si>
  <si>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</si>
  <si>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</si>
  <si>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</si>
  <si>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</si>
  <si>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</si>
  <si>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</si>
  <si>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</si>
  <si>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</si>
  <si>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</si>
  <si>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</si>
  <si>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</si>
  <si>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</si>
  <si>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</si>
  <si>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</si>
  <si>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</si>
  <si>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</si>
  <si>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</si>
  <si>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</si>
  <si>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</si>
  <si>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</si>
  <si>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</si>
  <si>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</si>
  <si>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</si>
  <si>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</si>
  <si>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</si>
  <si>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</si>
  <si>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</si>
  <si>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</si>
  <si>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</si>
  <si>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</si>
  <si>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</si>
  <si>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</si>
  <si>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</si>
  <si>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</si>
  <si>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</si>
  <si>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</si>
  <si>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</si>
  <si>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</si>
  <si>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</si>
  <si>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</si>
  <si>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</si>
  <si>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</si>
  <si>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</si>
  <si>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</si>
  <si>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</si>
  <si>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</si>
  <si>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</si>
  <si>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</si>
  <si>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</si>
  <si>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</si>
  <si>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</si>
  <si>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</si>
  <si>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</si>
  <si>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</si>
  <si>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</si>
  <si>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</si>
  <si>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</si>
  <si>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</si>
  <si>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</si>
  <si>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</si>
  <si>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</si>
  <si>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</si>
  <si>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</si>
  <si>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</si>
  <si>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</si>
  <si>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</si>
  <si>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</si>
  <si>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</si>
  <si>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</si>
  <si>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</si>
  <si>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</si>
  <si>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</si>
  <si>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</si>
  <si>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</si>
  <si>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</si>
  <si>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</si>
  <si>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</si>
  <si>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</si>
  <si>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</si>
  <si>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</si>
  <si>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</si>
  <si>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Sturges</t>
  </si>
  <si>
    <t>Scott</t>
  </si>
  <si>
    <t>Freedman-Diaconis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</si>
</sst>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65" fontId="0" fillId="0" borderId="0" xfId="0" applyNumberFormat="1"/>
    <xf numFmtId="0" fontId="1" fillId="2" borderId="0" xfId="0" applyFont="1" applyFill="1"/>
    <xf numFmtId="0" fontId="1" fillId="0" borderId="0" xfId="0" applyFont="1"/>
    <xf numFmtId="0" fontId="0" fillId="0" borderId="0" xfId="0"/>
  </cellXfs>
  <cellStyles count="1">
    <cellStyle name="Normal" xfId="0" builtinId="0"/>
  </cellStyles>
  <dxfs count="29">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A374-423F-A504-AD7A13C16DA3}"/>
            </c:ext>
          </c:extLst>
        </c:ser>
        <c:dLbls>
          <c:showLegendKey val="0"/>
          <c:showVal val="0"/>
          <c:showCatName val="0"/>
          <c:showSerName val="0"/>
          <c:showPercent val="0"/>
          <c:showBubbleSize val="0"/>
        </c:dLbls>
        <c:axId val="1772199503"/>
        <c:axId val="1420281263"/>
      </c:scatterChart>
      <c:valAx>
        <c:axId val="177219950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20281263"/>
        <c:crosses val="autoZero"/>
        <c:crossBetween val="midCat"/>
      </c:valAx>
      <c:valAx>
        <c:axId val="142028126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772199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A0A0-4395-ADFC-F0F56F32FCE6}"/>
            </c:ext>
          </c:extLst>
        </c:ser>
        <c:dLbls>
          <c:showLegendKey val="0"/>
          <c:showVal val="0"/>
          <c:showCatName val="0"/>
          <c:showSerName val="0"/>
          <c:showPercent val="0"/>
          <c:showBubbleSize val="0"/>
        </c:dLbls>
        <c:axId val="1420284143"/>
        <c:axId val="1420282223"/>
      </c:scatterChart>
      <c:valAx>
        <c:axId val="1420284143"/>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20282223"/>
        <c:crosses val="autoZero"/>
        <c:crossBetween val="midCat"/>
      </c:valAx>
      <c:valAx>
        <c:axId val="1420282223"/>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20284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2E5D-4394-BD4B-8BA3B6EA3985}"/>
            </c:ext>
          </c:extLst>
        </c:ser>
        <c:dLbls>
          <c:showLegendKey val="0"/>
          <c:showVal val="0"/>
          <c:showCatName val="0"/>
          <c:showSerName val="0"/>
          <c:showPercent val="0"/>
          <c:showBubbleSize val="0"/>
        </c:dLbls>
        <c:axId val="1425196271"/>
        <c:axId val="1425195791"/>
      </c:scatterChart>
      <c:valAx>
        <c:axId val="1425196271"/>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25195791"/>
        <c:crosses val="autoZero"/>
        <c:crossBetween val="midCat"/>
      </c:valAx>
      <c:valAx>
        <c:axId val="1425195791"/>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251962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7405-41B9-BFBA-4B6BFB1AFE53}"/>
            </c:ext>
          </c:extLst>
        </c:ser>
        <c:dLbls>
          <c:showLegendKey val="0"/>
          <c:showVal val="0"/>
          <c:showCatName val="0"/>
          <c:showSerName val="0"/>
          <c:showPercent val="0"/>
          <c:showBubbleSize val="0"/>
        </c:dLbls>
        <c:axId val="1206334591"/>
        <c:axId val="1206336991"/>
      </c:scatterChart>
      <c:valAx>
        <c:axId val="120633459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06336991"/>
        <c:crosses val="autoZero"/>
        <c:crossBetween val="midCat"/>
      </c:valAx>
      <c:valAx>
        <c:axId val="12063369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206334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A14F-4685-ADD1-4D90707DA8BE}"/>
            </c:ext>
          </c:extLst>
        </c:ser>
        <c:dLbls>
          <c:showLegendKey val="0"/>
          <c:showVal val="0"/>
          <c:showCatName val="0"/>
          <c:showSerName val="0"/>
          <c:showPercent val="0"/>
          <c:showBubbleSize val="0"/>
        </c:dLbls>
        <c:gapWidth val="150"/>
        <c:axId val="1215870927"/>
        <c:axId val="1215869007"/>
      </c:barChart>
      <c:catAx>
        <c:axId val="121587092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15869007"/>
        <c:crosses val="autoZero"/>
        <c:auto val="1"/>
        <c:lblAlgn val="ctr"/>
        <c:lblOffset val="100"/>
        <c:noMultiLvlLbl val="0"/>
      </c:catAx>
      <c:valAx>
        <c:axId val="121586900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2158709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25F9-4455-BA76-901415FB38CB}"/>
            </c:ext>
          </c:extLst>
        </c:ser>
        <c:dLbls>
          <c:showLegendKey val="0"/>
          <c:showVal val="0"/>
          <c:showCatName val="0"/>
          <c:showSerName val="0"/>
          <c:showPercent val="0"/>
          <c:showBubbleSize val="0"/>
        </c:dLbls>
        <c:axId val="1420284143"/>
        <c:axId val="1206334591"/>
      </c:scatterChart>
      <c:valAx>
        <c:axId val="142028414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206334591"/>
        <c:crosses val="autoZero"/>
        <c:crossBetween val="midCat"/>
      </c:valAx>
      <c:valAx>
        <c:axId val="120633459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20284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4945-437A-9F2B-8EDFA1DE6990}"/>
            </c:ext>
          </c:extLst>
        </c:ser>
        <c:dLbls>
          <c:showLegendKey val="0"/>
          <c:showVal val="0"/>
          <c:showCatName val="0"/>
          <c:showSerName val="0"/>
          <c:showPercent val="0"/>
          <c:showBubbleSize val="0"/>
        </c:dLbls>
        <c:gapWidth val="150"/>
        <c:axId val="1420284143"/>
        <c:axId val="1425994879"/>
      </c:barChart>
      <c:catAx>
        <c:axId val="14202841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25994879"/>
        <c:crosses val="autoZero"/>
        <c:auto val="1"/>
        <c:lblAlgn val="ctr"/>
        <c:lblOffset val="100"/>
        <c:noMultiLvlLbl val="0"/>
      </c:catAx>
      <c:valAx>
        <c:axId val="142599487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4202841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C7CCB44D-5680-898D-50B2-201D42FA8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7C090E58-95CC-273A-5F25-454BA691D3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1E2A23FB-786A-5B4C-85B7-A962ED05D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FC4C68D9-5D03-0C81-13A1-D2C8C8BB0D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AFBE8067-2D2F-4DFB-26A8-2DF0CD61F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96656500-DD8B-8C80-9117-DC5C89CFD7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F7F1939B-9796-C05D-05D2-06CC2DDBD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EB5C2A12-8AE5-A37D-E8BE-8531D9EA4058}"/>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575DC6A8-874F-30B1-0FFB-964428B5DEFB}"/>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43E785-4E0B-406E-8CE4-19D98B43B178}" name="LAMBDAFunctionsCatalog" displayName="LAMBDAFunctionsCatalog" ref="A1:F79" totalsRowShown="0" headerRowDxfId="28" dataDxfId="27">
  <autoFilter ref="A1:F79" xr:uid="{E943E785-4E0B-406E-8CE4-19D98B43B178}"/>
  <tableColumns count="6">
    <tableColumn id="1" xr3:uid="{92BFA91C-56C3-45C6-A895-4306DE43F2CC}" name="Function Name" dataDxfId="26"/>
    <tableColumn id="2" xr3:uid="{82B9DAB6-B92D-4FBB-97B7-E755F4CB38AE}" name="Definition" dataDxfId="25"/>
    <tableColumn id="3" xr3:uid="{55D41DC2-4012-43EA-9889-CA47C942E5D6}" name="Arguments" dataDxfId="24"/>
    <tableColumn id="4" xr3:uid="{64DA1638-BD46-4EE7-AEBF-FA839169F7AF}" name="Yields" dataDxfId="23"/>
    <tableColumn id="5" xr3:uid="{1EBDA811-1644-4376-A005-C4F2220CD112}" name="Plain-Language Summary" dataDxfId="22"/>
    <tableColumn id="6" xr3:uid="{7B478A48-EFE3-4B1E-873B-FEE3A1048975}" name="Description"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5BE80C-1EE4-4FAB-97E2-812994D5E8B5}" name="LifeExpectancyData" displayName="LifeExpectancyData" ref="A1:W2939" totalsRowShown="0">
  <autoFilter ref="A1:W2939" xr:uid="{FB5BE80C-1EE4-4FAB-97E2-812994D5E8B5}"/>
  <tableColumns count="23">
    <tableColumn id="1" xr3:uid="{55F07D57-3838-4C18-A057-F65B36EE93B8}" name="Country"/>
    <tableColumn id="2" xr3:uid="{CBD4F82E-75F5-4F34-9B81-985AAD402F97}" name="Year"/>
    <tableColumn id="3" xr3:uid="{86F10E7D-6621-4F8F-82D4-E53FA77270DF}" name="Status"/>
    <tableColumn id="4" xr3:uid="{2DA9D1D7-AACB-4CD9-81CC-EF9EF9739130}" name="Life expectancy"/>
    <tableColumn id="5" xr3:uid="{5A45C82C-6D31-4BF0-A70E-9DDA4B2ECA3D}" name="Adult Mortality"/>
    <tableColumn id="6" xr3:uid="{1356D35D-73E8-4E85-87C0-18AE2FFC060D}" name="infant deaths"/>
    <tableColumn id="7" xr3:uid="{79E7A227-6AD1-48E1-AED4-674CF0CB4A78}" name="Alcohol"/>
    <tableColumn id="8" xr3:uid="{7E5BE28F-16C3-436A-8198-0A15E5934801}" name="percentage expenditure"/>
    <tableColumn id="9" xr3:uid="{1857045F-4BAC-4417-8BF0-6D52F8A15457}" name="Hepatitis B"/>
    <tableColumn id="10" xr3:uid="{2B69240B-828D-43D0-8CEB-535B179DEEBD}" name="Measles"/>
    <tableColumn id="11" xr3:uid="{F3A147EC-24EA-44E9-AC1D-0F74785B2BC4}" name="BMI"/>
    <tableColumn id="12" xr3:uid="{DB1892E5-9713-4B20-A6A3-934CB7A0B2AD}" name="under-five deaths"/>
    <tableColumn id="13" xr3:uid="{E891791F-2602-4CFA-8F8D-2ED798B203EF}" name="Polio"/>
    <tableColumn id="14" xr3:uid="{BF65A2BD-8A7B-46E9-A876-8ACF52684EF3}" name="Total expenditure"/>
    <tableColumn id="15" xr3:uid="{0305A3D8-9599-49DD-A10F-79069BB28007}" name="Diphtheria"/>
    <tableColumn id="16" xr3:uid="{EFED8418-A198-4939-A29D-EDD43B963F75}" name="HIV/AIDS"/>
    <tableColumn id="17" xr3:uid="{8C27F41B-C19E-4BED-B79C-B37276C169E1}" name="GDP"/>
    <tableColumn id="18" xr3:uid="{6FA72098-BBFE-4357-BD37-B11AEFBA325C}" name="Population"/>
    <tableColumn id="19" xr3:uid="{01B1C3F3-21D3-48A8-8827-646CCD2C9059}" name="thinness 1-19 years"/>
    <tableColumn id="20" xr3:uid="{CF239D78-2F23-4E50-BA4D-B5EB19DA484D}" name="thinness 5-9 years"/>
    <tableColumn id="21" xr3:uid="{BA06A94A-FF10-4514-99F5-259B3B001817}" name="Income composition of resources"/>
    <tableColumn id="22" xr3:uid="{FEAD159E-AF51-477C-A75A-453DA303B7F5}" name="Schooling"/>
    <tableColumn id="23" xr3:uid="{3D3FB12B-91D2-46AC-B42E-DDA36997EE7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A196-2291-45F4-9438-5F47121E3D97}">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922B0-B49B-4986-AD1A-C0068EE8975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8C2-122A-4C17-BF00-81FC740A4D2A}">
  <dimension ref="A1:A13"/>
  <sheetViews>
    <sheetView workbookViewId="0"/>
  </sheetViews>
  <sheetFormatPr defaultRowHeight="15" x14ac:dyDescent="0.25"/>
  <cols>
    <col min="1" max="1" width="110.7109375" customWidth="1"/>
  </cols>
  <sheetData>
    <row r="1" spans="1:1" x14ac:dyDescent="0.25">
      <c r="A1" s="5" t="s">
        <v>686</v>
      </c>
    </row>
    <row r="2" spans="1:1" ht="45" x14ac:dyDescent="0.25">
      <c r="A2" s="2" t="s">
        <v>687</v>
      </c>
    </row>
    <row r="3" spans="1:1" ht="30" x14ac:dyDescent="0.25">
      <c r="A3" s="2" t="s">
        <v>688</v>
      </c>
    </row>
    <row r="4" spans="1:1" ht="30" x14ac:dyDescent="0.25">
      <c r="A4" s="2" t="s">
        <v>689</v>
      </c>
    </row>
    <row r="6" spans="1:1" x14ac:dyDescent="0.25">
      <c r="A6" s="5" t="s">
        <v>690</v>
      </c>
    </row>
    <row r="7" spans="1:1" ht="30" x14ac:dyDescent="0.25">
      <c r="A7" s="2" t="s">
        <v>691</v>
      </c>
    </row>
    <row r="8" spans="1:1" x14ac:dyDescent="0.25">
      <c r="A8" s="2" t="s">
        <v>692</v>
      </c>
    </row>
    <row r="9" spans="1:1" x14ac:dyDescent="0.25">
      <c r="A9" s="5" t="s">
        <v>693</v>
      </c>
    </row>
    <row r="10" spans="1:1" ht="120" x14ac:dyDescent="0.25">
      <c r="A10" s="2" t="s">
        <v>694</v>
      </c>
    </row>
    <row r="12" spans="1:1" x14ac:dyDescent="0.25">
      <c r="A12" s="5" t="s">
        <v>695</v>
      </c>
    </row>
    <row r="13" spans="1:1" ht="105" x14ac:dyDescent="0.25">
      <c r="A13" s="2" t="s">
        <v>696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ECEB-EFCF-4FEE-BD9C-D167510931B6}">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697</v>
      </c>
      <c r="B1" s="32"/>
      <c r="C1" s="32"/>
      <c r="D1" s="32"/>
    </row>
    <row r="2" spans="1:4" ht="90" x14ac:dyDescent="0.25">
      <c r="A2" s="2" t="s">
        <v>698</v>
      </c>
    </row>
    <row r="4" spans="1:4" x14ac:dyDescent="0.25">
      <c r="A4" s="33" t="s">
        <v>699</v>
      </c>
      <c r="B4" s="34"/>
      <c r="C4" s="34"/>
      <c r="D4" s="34"/>
    </row>
    <row r="5" spans="1:4" x14ac:dyDescent="0.25">
      <c r="A5" s="35" t="s">
        <v>700</v>
      </c>
      <c r="B5" s="35" t="s">
        <v>701</v>
      </c>
      <c r="C5" s="35" t="s">
        <v>702</v>
      </c>
      <c r="D5" s="35" t="s">
        <v>703</v>
      </c>
    </row>
    <row r="6" spans="1:4" ht="45" x14ac:dyDescent="0.25">
      <c r="A6" s="2" t="s">
        <v>704</v>
      </c>
      <c r="B6" s="2" t="s">
        <v>705</v>
      </c>
      <c r="C6" s="2" t="s">
        <v>211</v>
      </c>
      <c r="D6" s="2" t="s">
        <v>706</v>
      </c>
    </row>
    <row r="7" spans="1:4" ht="60" x14ac:dyDescent="0.25">
      <c r="A7" s="2" t="s">
        <v>707</v>
      </c>
      <c r="B7" s="2" t="s">
        <v>708</v>
      </c>
      <c r="C7" s="2" t="s">
        <v>709</v>
      </c>
      <c r="D7" s="2" t="s">
        <v>710</v>
      </c>
    </row>
    <row r="8" spans="1:4" ht="45" x14ac:dyDescent="0.25">
      <c r="A8" s="2" t="s">
        <v>711</v>
      </c>
      <c r="B8" s="2" t="s">
        <v>705</v>
      </c>
      <c r="C8" s="2" t="s">
        <v>712</v>
      </c>
      <c r="D8" s="2" t="s">
        <v>713</v>
      </c>
    </row>
    <row r="10" spans="1:4" x14ac:dyDescent="0.25">
      <c r="A10" s="33" t="s">
        <v>714</v>
      </c>
      <c r="B10" s="34"/>
      <c r="C10" s="34"/>
      <c r="D10" s="34"/>
    </row>
    <row r="11" spans="1:4" x14ac:dyDescent="0.25">
      <c r="A11" s="35" t="s">
        <v>700</v>
      </c>
      <c r="B11" s="35" t="s">
        <v>701</v>
      </c>
      <c r="C11" s="35" t="s">
        <v>702</v>
      </c>
      <c r="D11" s="35" t="s">
        <v>703</v>
      </c>
    </row>
    <row r="12" spans="1:4" ht="60" x14ac:dyDescent="0.25">
      <c r="A12" s="2" t="s">
        <v>715</v>
      </c>
      <c r="B12" s="2" t="s">
        <v>705</v>
      </c>
      <c r="C12" s="2" t="s">
        <v>716</v>
      </c>
      <c r="D12" s="2" t="s">
        <v>717</v>
      </c>
    </row>
    <row r="13" spans="1:4" ht="180" x14ac:dyDescent="0.25">
      <c r="A13" s="2" t="s">
        <v>718</v>
      </c>
      <c r="B13" s="2" t="s">
        <v>719</v>
      </c>
      <c r="C13" s="2" t="s">
        <v>718</v>
      </c>
      <c r="D13" s="2" t="s">
        <v>720</v>
      </c>
    </row>
    <row r="14" spans="1:4" ht="60" x14ac:dyDescent="0.25">
      <c r="A14" s="2" t="s">
        <v>721</v>
      </c>
      <c r="B14" s="2" t="s">
        <v>722</v>
      </c>
      <c r="C14" s="2" t="s">
        <v>723</v>
      </c>
      <c r="D14" s="2" t="s">
        <v>724</v>
      </c>
    </row>
    <row r="15" spans="1:4" ht="75" x14ac:dyDescent="0.25">
      <c r="A15" s="2" t="s">
        <v>725</v>
      </c>
      <c r="B15" s="2" t="s">
        <v>719</v>
      </c>
      <c r="C15" s="2" t="s">
        <v>726</v>
      </c>
      <c r="D15" s="2" t="s">
        <v>727</v>
      </c>
    </row>
    <row r="17" spans="1:4" x14ac:dyDescent="0.25">
      <c r="A17" s="33" t="s">
        <v>728</v>
      </c>
      <c r="B17" s="34"/>
      <c r="C17" s="34"/>
      <c r="D17" s="34"/>
    </row>
    <row r="18" spans="1:4" x14ac:dyDescent="0.25">
      <c r="A18" s="35" t="s">
        <v>729</v>
      </c>
      <c r="B18" s="35" t="s">
        <v>730</v>
      </c>
      <c r="C18" s="35" t="s">
        <v>731</v>
      </c>
      <c r="D18" s="35" t="s">
        <v>732</v>
      </c>
    </row>
    <row r="19" spans="1:4" ht="30" x14ac:dyDescent="0.25">
      <c r="A19" s="2" t="s">
        <v>733</v>
      </c>
      <c r="B19" s="2" t="s">
        <v>734</v>
      </c>
      <c r="C19" s="2" t="s">
        <v>735</v>
      </c>
      <c r="D19" s="2" t="s">
        <v>736</v>
      </c>
    </row>
    <row r="20" spans="1:4" ht="30" x14ac:dyDescent="0.25">
      <c r="A20" s="2" t="s">
        <v>157</v>
      </c>
      <c r="B20" s="2" t="s">
        <v>737</v>
      </c>
      <c r="C20" s="2" t="s">
        <v>738</v>
      </c>
      <c r="D20" s="2" t="s">
        <v>739</v>
      </c>
    </row>
    <row r="21" spans="1:4" x14ac:dyDescent="0.25">
      <c r="A21" s="2" t="s">
        <v>740</v>
      </c>
      <c r="B21" s="2" t="s">
        <v>741</v>
      </c>
      <c r="C21" s="2" t="s">
        <v>742</v>
      </c>
      <c r="D21" s="2" t="s">
        <v>743</v>
      </c>
    </row>
    <row r="22" spans="1:4" ht="30" x14ac:dyDescent="0.25">
      <c r="A22" s="2" t="s">
        <v>744</v>
      </c>
      <c r="B22" s="2" t="s">
        <v>745</v>
      </c>
      <c r="C22" s="2" t="s">
        <v>746</v>
      </c>
      <c r="D22" s="2" t="s">
        <v>747</v>
      </c>
    </row>
    <row r="23" spans="1:4" x14ac:dyDescent="0.25">
      <c r="A23" s="2" t="s">
        <v>748</v>
      </c>
      <c r="B23" s="2" t="s">
        <v>749</v>
      </c>
      <c r="C23" s="2" t="s">
        <v>742</v>
      </c>
      <c r="D23" s="2" t="s">
        <v>750</v>
      </c>
    </row>
    <row r="24" spans="1:4" x14ac:dyDescent="0.25">
      <c r="A24" s="2" t="s">
        <v>751</v>
      </c>
      <c r="B24" s="2" t="s">
        <v>752</v>
      </c>
      <c r="C24" s="2" t="s">
        <v>742</v>
      </c>
      <c r="D24" s="2" t="s">
        <v>753</v>
      </c>
    </row>
    <row r="25" spans="1:4" x14ac:dyDescent="0.25">
      <c r="A25" s="2" t="s">
        <v>722</v>
      </c>
      <c r="B25" s="2" t="s">
        <v>754</v>
      </c>
      <c r="C25" s="2" t="s">
        <v>742</v>
      </c>
      <c r="D25" s="2" t="s">
        <v>755</v>
      </c>
    </row>
    <row r="26" spans="1:4" ht="30" x14ac:dyDescent="0.25">
      <c r="A26" s="2" t="s">
        <v>723</v>
      </c>
      <c r="B26" s="2" t="s">
        <v>756</v>
      </c>
      <c r="C26" s="2" t="s">
        <v>757</v>
      </c>
      <c r="D26" s="2" t="s">
        <v>758</v>
      </c>
    </row>
    <row r="27" spans="1:4" x14ac:dyDescent="0.25">
      <c r="A27" s="2" t="s">
        <v>718</v>
      </c>
      <c r="B27" s="2" t="s">
        <v>759</v>
      </c>
      <c r="C27" s="2" t="s">
        <v>760</v>
      </c>
      <c r="D27" s="2" t="s">
        <v>761</v>
      </c>
    </row>
    <row r="28" spans="1:4" ht="30" x14ac:dyDescent="0.25">
      <c r="A28" s="2" t="s">
        <v>715</v>
      </c>
      <c r="B28" s="2" t="s">
        <v>762</v>
      </c>
      <c r="C28" s="2" t="s">
        <v>763</v>
      </c>
      <c r="D28" s="2" t="s">
        <v>764</v>
      </c>
    </row>
    <row r="29" spans="1:4" x14ac:dyDescent="0.25">
      <c r="A29" s="2" t="s">
        <v>765</v>
      </c>
      <c r="B29" s="2" t="s">
        <v>766</v>
      </c>
      <c r="C29" s="2" t="s">
        <v>767</v>
      </c>
      <c r="D29" s="2" t="s">
        <v>768</v>
      </c>
    </row>
    <row r="31" spans="1:4" x14ac:dyDescent="0.25">
      <c r="A31" s="33" t="s">
        <v>769</v>
      </c>
      <c r="B31" s="34"/>
      <c r="C31" s="34"/>
    </row>
    <row r="32" spans="1:4" x14ac:dyDescent="0.25">
      <c r="A32" s="35" t="s">
        <v>770</v>
      </c>
      <c r="B32" s="35" t="s">
        <v>771</v>
      </c>
      <c r="C32" s="35" t="s">
        <v>772</v>
      </c>
    </row>
    <row r="33" spans="1:3" ht="120" x14ac:dyDescent="0.25">
      <c r="A33" s="2" t="s">
        <v>773</v>
      </c>
      <c r="B33" s="2" t="s">
        <v>774</v>
      </c>
      <c r="C33" s="2" t="s">
        <v>775</v>
      </c>
    </row>
    <row r="34" spans="1:3" ht="105" x14ac:dyDescent="0.25">
      <c r="A34" s="2" t="s">
        <v>776</v>
      </c>
      <c r="B34" s="2" t="s">
        <v>777</v>
      </c>
      <c r="C34" s="2" t="s">
        <v>778</v>
      </c>
    </row>
    <row r="35" spans="1:3" ht="120" x14ac:dyDescent="0.25">
      <c r="A35" s="2" t="s">
        <v>779</v>
      </c>
      <c r="B35" s="2" t="s">
        <v>780</v>
      </c>
      <c r="C35" s="2" t="s">
        <v>781</v>
      </c>
    </row>
    <row r="36" spans="1:3" ht="240" x14ac:dyDescent="0.25">
      <c r="A36" s="2" t="s">
        <v>782</v>
      </c>
      <c r="B36" s="2" t="s">
        <v>783</v>
      </c>
      <c r="C36" s="2" t="s">
        <v>784</v>
      </c>
    </row>
    <row r="37" spans="1:3" ht="150" x14ac:dyDescent="0.25">
      <c r="A37" s="2" t="s">
        <v>785</v>
      </c>
      <c r="B37" s="2" t="s">
        <v>786</v>
      </c>
      <c r="C37" s="2" t="s">
        <v>787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07D1F-ED5A-4EEA-8BD9-626E9E458A3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788</v>
      </c>
      <c r="B1" s="32"/>
      <c r="C1" s="32"/>
    </row>
    <row r="2" spans="1:3" x14ac:dyDescent="0.25">
      <c r="A2" s="35" t="s">
        <v>789</v>
      </c>
      <c r="B2" s="35" t="s">
        <v>790</v>
      </c>
      <c r="C2" s="35" t="s">
        <v>791</v>
      </c>
    </row>
    <row r="3" spans="1:3" ht="105" x14ac:dyDescent="0.25">
      <c r="A3" t="s">
        <v>792</v>
      </c>
      <c r="B3" s="36">
        <v>46189</v>
      </c>
      <c r="C3" s="2" t="s">
        <v>793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43868-8C35-4815-942F-B98B2938C172}">
  <dimension ref="A1:AH1651"/>
  <sheetViews>
    <sheetView topLeftCell="C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794</v>
      </c>
      <c r="B1" s="3" t="s">
        <v>795</v>
      </c>
      <c r="D1" s="5" t="s">
        <v>797</v>
      </c>
      <c r="L1" s="5" t="s">
        <v>800</v>
      </c>
      <c r="U1" s="11" t="s">
        <v>824</v>
      </c>
      <c r="V1" s="15"/>
      <c r="X1" s="5" t="s">
        <v>834</v>
      </c>
    </row>
    <row r="2" spans="1:34" ht="30" x14ac:dyDescent="0.25">
      <c r="A2" s="2" t="s">
        <v>796</v>
      </c>
      <c r="B2" s="44" t="b">
        <v>1</v>
      </c>
      <c r="C2" s="2"/>
      <c r="D2" s="45"/>
      <c r="E2" s="45" t="s">
        <v>798</v>
      </c>
      <c r="F2" s="45" t="s">
        <v>799</v>
      </c>
      <c r="G2" s="45" t="s">
        <v>299</v>
      </c>
      <c r="H2" s="45" t="s">
        <v>305</v>
      </c>
      <c r="I2" s="45" t="s">
        <v>151</v>
      </c>
      <c r="J2" s="45" t="s">
        <v>157</v>
      </c>
      <c r="K2" s="2"/>
      <c r="L2" s="2"/>
      <c r="M2" s="2"/>
      <c r="N2" s="2"/>
      <c r="O2" s="2"/>
      <c r="P2" s="2"/>
      <c r="Q2" s="2"/>
      <c r="R2" s="2"/>
      <c r="S2" s="2"/>
      <c r="T2" s="2"/>
      <c r="U2" s="46" t="s">
        <v>825</v>
      </c>
      <c r="V2" s="47"/>
      <c r="W2" s="2"/>
      <c r="X2" s="45" t="s">
        <v>712</v>
      </c>
      <c r="Y2" s="48" t="s">
        <v>705</v>
      </c>
      <c r="Z2" s="48" t="s">
        <v>211</v>
      </c>
      <c r="AA2" s="48" t="s">
        <v>835</v>
      </c>
      <c r="AB2" s="48" t="s">
        <v>836</v>
      </c>
      <c r="AC2" s="48" t="s">
        <v>723</v>
      </c>
      <c r="AD2" s="48" t="s">
        <v>718</v>
      </c>
      <c r="AE2" s="48" t="s">
        <v>837</v>
      </c>
      <c r="AF2" s="48" t="s">
        <v>709</v>
      </c>
      <c r="AG2" s="48" t="s">
        <v>715</v>
      </c>
      <c r="AH2" s="48" t="s">
        <v>765</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801</v>
      </c>
      <c r="M3" s="15"/>
      <c r="O3" s="11" t="s">
        <v>806</v>
      </c>
      <c r="P3" s="15"/>
      <c r="U3" s="10" t="s">
        <v>826</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802</v>
      </c>
      <c r="M4" s="17" cm="1">
        <f t="array" ref="M4">Multiple_R(x_s,y,Allow_Intercept,Regression_Sample_Include)</f>
        <v>0.91363980575441461</v>
      </c>
      <c r="O4" s="10" t="s">
        <v>75</v>
      </c>
      <c r="P4" s="17" cm="1">
        <f t="array" ref="P4">PRESS(x_s,y,Allow_Intercept,Regression_Sample_Include)</f>
        <v>21644.337291621447</v>
      </c>
      <c r="U4" s="10" t="s">
        <v>827</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803</v>
      </c>
      <c r="M5" s="17" cm="1">
        <f t="array" ref="M5">R_squared(x_s,y,Allow_Intercept,Regression_Sample_Include)</f>
        <v>0.83473769465896452</v>
      </c>
      <c r="O5" s="10" t="s">
        <v>740</v>
      </c>
      <c r="P5" s="17" cm="1">
        <f t="array" ref="P5">1-PRESS(x_s,y,Allow_Intercept,Regression_Sample_Include)/SS_Total(y,Allow_Intercept,Regression_Sample_Include)</f>
        <v>0.830279509231025</v>
      </c>
      <c r="U5" s="10" t="s">
        <v>828</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804</v>
      </c>
      <c r="M6" s="17" cm="1">
        <f t="array" ref="M6">Adjusted_R2(x_s,y,Allow_Intercept,Regression_Sample_Include)</f>
        <v>0.83291271214599605</v>
      </c>
      <c r="O6" s="10" t="s">
        <v>807</v>
      </c>
      <c r="P6" s="17" cm="1">
        <f t="array" ref="P6">(DF_Regression(x_s)+IF(Allow_Intercept,1,0))/Observations(y,Regression_Sample_Include)</f>
        <v>1.1522134627046696E-2</v>
      </c>
      <c r="U6" s="10" t="s">
        <v>821</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805</v>
      </c>
      <c r="M7" s="17" cm="1">
        <f t="array" ref="M7">SE_Regression(x_s,y,Allow_Intercept,Regression_Sample_Include)</f>
        <v>3.5958213627434183</v>
      </c>
      <c r="O7" s="10" t="s">
        <v>80</v>
      </c>
      <c r="P7" s="17" cm="1">
        <f t="array" ref="P7">AIC(x_s,y,Allow_Intercept,Regression_Sample_Include)</f>
        <v>4239.5791944720204</v>
      </c>
      <c r="U7" s="10" t="s">
        <v>822</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829</v>
      </c>
      <c r="V8" s="37">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744</v>
      </c>
      <c r="P10" s="37" cm="1">
        <f t="array" ref="P10">QQ_Correlation(x_s,y,Allow_Intercept,Regression_Sample_Include)</f>
        <v>0.99482008680564749</v>
      </c>
      <c r="U10" s="5" t="s">
        <v>830</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831</v>
      </c>
      <c r="V11" s="3" t="s">
        <v>832</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808</v>
      </c>
      <c r="M12" s="29">
        <v>0.05</v>
      </c>
      <c r="U12" t="s">
        <v>833</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809</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39"/>
      <c r="M14" s="3" t="s">
        <v>810</v>
      </c>
      <c r="N14" s="3" t="s">
        <v>811</v>
      </c>
      <c r="O14" s="3" t="s">
        <v>812</v>
      </c>
      <c r="P14" s="3" t="s">
        <v>813</v>
      </c>
      <c r="Q14" s="41" t="s">
        <v>748</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814</v>
      </c>
      <c r="M15" s="8" cm="1">
        <f t="array" ref="M15">DF_Regression(x_s)</f>
        <v>18</v>
      </c>
      <c r="N15" s="49" cm="1">
        <f t="array" ref="N15">SS_Regression(x_s,y,Allow_Intercept,Regression_Sample_Include)</f>
        <v>106453.52326857558</v>
      </c>
      <c r="O15" s="49" cm="1">
        <f t="array" ref="O15">MS_Regression(x_s,y,Allow_Intercept,Regression_Sample_Include)</f>
        <v>5914.0846260319768</v>
      </c>
      <c r="P15" s="49" cm="1">
        <f t="array" ref="P15">F_Stat(x_s,y,Allow_Intercept,Regression_Sample_Include)</f>
        <v>457.3949003495888</v>
      </c>
      <c r="Q15" s="42"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815</v>
      </c>
      <c r="M16" s="8" cm="1">
        <f t="array" ref="M16">DF_Residual(x_s,y,Allow_Intercept,Regression_Sample_Include)</f>
        <v>1630</v>
      </c>
      <c r="N16" s="49" cm="1">
        <f t="array" ref="N16">SS_Residual(x_s,y,Allow_Intercept,Regression_Sample_Include)</f>
        <v>21075.787974601953</v>
      </c>
      <c r="O16" s="49" cm="1">
        <f t="array" ref="O16">MS_Residual(x_s,y,Allow_Intercept,Regression_Sample_Include)</f>
        <v>12.929931272761934</v>
      </c>
      <c r="Q16" s="31"/>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816</v>
      </c>
      <c r="M17" s="14" cm="1">
        <f t="array" ref="M17">DF_Total(y,Allow_Intercept,Regression_Sample_Include)</f>
        <v>1648</v>
      </c>
      <c r="N17" s="40" cm="1">
        <f t="array" ref="N17">SS_Total(y,Allow_Intercept,Regression_Sample_Include)</f>
        <v>127529.31124317752</v>
      </c>
      <c r="O17" s="23"/>
      <c r="P17" s="23"/>
      <c r="Q17" s="43"/>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817</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818</v>
      </c>
      <c r="O20" s="3" t="s">
        <v>819</v>
      </c>
      <c r="P20" s="3" t="s">
        <v>820</v>
      </c>
      <c r="Q20" s="3" t="s">
        <v>821</v>
      </c>
      <c r="R20" s="3" t="s">
        <v>822</v>
      </c>
      <c r="S20" s="3" t="s">
        <v>823</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38"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38">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38">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38">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38">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38">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38">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38">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38">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38">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38">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38">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38">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38">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38">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38">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38">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38">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38">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20" priority="1">
      <formula>AND(ISNUMBER(I3),I3&gt;5,I3&lt;=10)</formula>
    </cfRule>
    <cfRule type="expression" dxfId="19" priority="2">
      <formula>AND(ISNUMBER(I3),I3&gt;10)</formula>
    </cfRule>
  </conditionalFormatting>
  <conditionalFormatting sqref="P5">
    <cfRule type="expression" dxfId="18" priority="3">
      <formula>AND(ISNUMBER(P5),P5&lt;0)</formula>
    </cfRule>
  </conditionalFormatting>
  <conditionalFormatting sqref="P10">
    <cfRule type="expression" dxfId="17" priority="4">
      <formula>AND(ISNUMBER(P10),P10&lt;0.98,P10&gt;=0.95)</formula>
    </cfRule>
    <cfRule type="expression" dxfId="16" priority="5">
      <formula>AND(ISNUMBER(P10),P10&lt;0.95)</formula>
    </cfRule>
  </conditionalFormatting>
  <conditionalFormatting sqref="P21:P1048576">
    <cfRule type="expression" dxfId="15" priority="6">
      <formula>AND(ISNUMBER(P21),P21&gt;$M$12)</formula>
    </cfRule>
  </conditionalFormatting>
  <conditionalFormatting sqref="Q15">
    <cfRule type="expression" dxfId="14" priority="7">
      <formula>AND(ISNUMBER(Q15),Q15&gt;$M$12)</formula>
    </cfRule>
  </conditionalFormatting>
  <conditionalFormatting sqref="U13:U1048576">
    <cfRule type="expression" dxfId="13" priority="20">
      <formula>NOT(INDEX(_xlfn.TAKE(Ind_Var_Include,COLUMNS(All_Xs)),ROW()-ROW($U$13)+1))</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D3:AD1048576">
    <cfRule type="expression" dxfId="8" priority="14">
      <formula>AND(ISNUMBER(AD3),AD3&gt;4/$M$8,AD3&lt;=0.9)</formula>
    </cfRule>
    <cfRule type="expression" dxfId="7" priority="15">
      <formula>AND(ISNUMBER(AD3),AD3&gt;0.9)</formula>
    </cfRule>
  </conditionalFormatting>
  <conditionalFormatting sqref="AF3:AF1048576">
    <cfRule type="expression" dxfId="6" priority="12">
      <formula>AND(ISNUMBER(AF3),ABS(AF3)&gt;2,ABS(AF3)&lt;3)</formula>
    </cfRule>
    <cfRule type="expression" dxfId="5" priority="13">
      <formula>AND(ISNUMBER(AF3),ABS(AF3)&gt;=3)</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dataValidations count="1">
    <dataValidation type="list" allowBlank="1" showInputMessage="1" showErrorMessage="1" sqref="B2:B16000" xr:uid="{EC395D4F-300F-4F50-B6B6-058B580554D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3D101-D667-4A41-AE93-6603E3E88876}">
  <dimension ref="A1:AW2941"/>
  <sheetViews>
    <sheetView tabSelected="1" workbookViewId="0">
      <pane xSplit="2" ySplit="3" topLeftCell="C4" activePane="bottomRight" state="frozen"/>
      <selection pane="topRight" activeCell="C1" sqref="C1"/>
      <selection pane="bottomLeft" activeCell="A4" sqref="A4"/>
      <selection pane="bottomRight" activeCell="S6" sqref="S6"/>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49" ht="20.100000000000001" customHeight="1" x14ac:dyDescent="0.3">
      <c r="A1" s="4" t="s">
        <v>649</v>
      </c>
      <c r="G1" s="50" t="s">
        <v>664</v>
      </c>
      <c r="H1" s="50"/>
      <c r="I1" s="50"/>
      <c r="J1" s="50"/>
      <c r="K1" s="50"/>
      <c r="L1" s="50"/>
      <c r="M1" s="50"/>
      <c r="N1" s="50"/>
    </row>
    <row r="2" spans="1:49" ht="18" customHeight="1" x14ac:dyDescent="0.25">
      <c r="G2" s="50" t="s">
        <v>838</v>
      </c>
      <c r="H2" s="50"/>
      <c r="J2" s="50" t="s">
        <v>839</v>
      </c>
      <c r="K2" s="50"/>
      <c r="M2" s="50" t="s">
        <v>840</v>
      </c>
      <c r="N2" s="50"/>
      <c r="Q2" s="50" t="s">
        <v>667</v>
      </c>
      <c r="R2" s="50"/>
      <c r="S2" s="50"/>
      <c r="T2" s="50"/>
      <c r="U2" s="50"/>
      <c r="V2" s="50"/>
      <c r="W2" s="50"/>
      <c r="X2" s="50"/>
      <c r="Y2" s="50"/>
      <c r="Z2" s="50"/>
      <c r="AA2" s="50"/>
    </row>
    <row r="3" spans="1:49" ht="18" customHeight="1" x14ac:dyDescent="0.25">
      <c r="A3" s="5" t="s">
        <v>650</v>
      </c>
      <c r="B3" s="5" t="s">
        <v>651</v>
      </c>
      <c r="D3" s="11" t="s">
        <v>652</v>
      </c>
      <c r="E3" s="15"/>
      <c r="G3" t="s">
        <v>666</v>
      </c>
      <c r="H3" s="8" t="e" cm="1">
        <f t="array" aca="1" ref="H3" ca="1">n_histogram_bins(UV_Data,"Sturges",UV_Include)</f>
        <v>#NAME?</v>
      </c>
      <c r="J3" t="s">
        <v>666</v>
      </c>
      <c r="K3" s="8" t="e" cm="1">
        <f t="array" aca="1" ref="K3" ca="1">n_histogram_bins(UV_Data,"Scott",UV_Include)</f>
        <v>#NAME?</v>
      </c>
      <c r="M3" t="s">
        <v>666</v>
      </c>
      <c r="N3" s="8" t="e" cm="1">
        <f t="array" aca="1" ref="N3" ca="1">n_histogram_bins(UV_Data,"FD",UV_Include)</f>
        <v>#NAME?</v>
      </c>
      <c r="AC3" s="51" t="s">
        <v>685</v>
      </c>
      <c r="AD3" s="52"/>
      <c r="AE3" s="52"/>
      <c r="AF3" s="52"/>
      <c r="AG3" s="52"/>
      <c r="AH3" s="52"/>
      <c r="AI3" s="52"/>
      <c r="AJ3" s="52"/>
      <c r="AK3" s="52"/>
      <c r="AL3" s="52"/>
      <c r="AM3" s="52"/>
      <c r="AN3" s="52"/>
      <c r="AO3" s="52"/>
      <c r="AP3" s="52"/>
      <c r="AQ3" s="52"/>
      <c r="AR3" s="52"/>
      <c r="AS3" s="52"/>
      <c r="AT3" s="52"/>
      <c r="AU3" s="52"/>
      <c r="AV3" s="52"/>
      <c r="AW3" s="52"/>
    </row>
    <row r="4" spans="1:49" ht="18" customHeight="1" x14ac:dyDescent="0.25">
      <c r="A4" cm="1">
        <f t="array" ref="A4:A2941">LifeExpectancyData[Life expectancy]</f>
        <v>65</v>
      </c>
      <c r="B4" t="b" cm="1">
        <f t="array" ref="B4:B2941">_xlfn.MAP(_xlfn.ANCHORARRAY(A4),Data_Completeness)</f>
        <v>1</v>
      </c>
      <c r="D4" s="9" t="s">
        <v>654</v>
      </c>
      <c r="E4" s="16">
        <f>AVERAGE(_xlfn._xlws.FILTER(UV_Data,UV_Include))</f>
        <v>68.989312457454105</v>
      </c>
      <c r="G4" s="6" t="s">
        <v>665</v>
      </c>
      <c r="H4" s="6" t="s">
        <v>662</v>
      </c>
      <c r="J4" s="6" t="s">
        <v>665</v>
      </c>
      <c r="K4" s="6" t="s">
        <v>662</v>
      </c>
      <c r="M4" s="6" t="s">
        <v>665</v>
      </c>
      <c r="N4" s="6" t="s">
        <v>662</v>
      </c>
      <c r="Q4" s="21" t="s">
        <v>668</v>
      </c>
      <c r="R4" s="22" t="s">
        <v>669</v>
      </c>
      <c r="S4" s="22" t="s">
        <v>653</v>
      </c>
      <c r="T4" s="22" t="s">
        <v>670</v>
      </c>
      <c r="U4" s="22" t="s">
        <v>653</v>
      </c>
      <c r="V4" s="22" t="s">
        <v>671</v>
      </c>
      <c r="W4" s="22" t="s">
        <v>653</v>
      </c>
      <c r="X4" s="22" t="s">
        <v>672</v>
      </c>
      <c r="Y4" s="22" t="s">
        <v>673</v>
      </c>
      <c r="Z4" s="22" t="s">
        <v>80</v>
      </c>
      <c r="AA4" s="26" t="s">
        <v>85</v>
      </c>
    </row>
    <row r="5" spans="1:49" x14ac:dyDescent="0.25">
      <c r="A5">
        <v>59.9</v>
      </c>
      <c r="B5" t="b">
        <v>1</v>
      </c>
      <c r="D5" s="10" t="s">
        <v>655</v>
      </c>
      <c r="E5" s="17">
        <f>MEDIAN(_xlfn._xlws.FILTER(UV_Data,UV_Include))</f>
        <v>72</v>
      </c>
      <c r="G5" s="20" t="e" cm="1">
        <f t="array" aca="1" ref="G5" ca="1">Bin_Edges(UV_Data,"Sturges",UV_Include)</f>
        <v>#NAME?</v>
      </c>
      <c r="H5" s="8" cm="1">
        <f t="array" aca="1" ref="H5" ca="1">Bin_Counts(UV_Data,_xlfn.ANCHORARRAY(G5),UV_Include)</f>
        <v>10</v>
      </c>
      <c r="J5" s="20" t="e" cm="1">
        <f t="array" aca="1" ref="J5" ca="1">Bin_Edges(UV_Data,"Scott",UV_Include)</f>
        <v>#NAME?</v>
      </c>
      <c r="K5" s="8" cm="1">
        <f t="array" aca="1" ref="K5" ca="1">Bin_Counts(UV_Data,_xlfn.ANCHORARRAY(J5),UV_Include)</f>
        <v>10</v>
      </c>
      <c r="M5" s="20" t="e" cm="1">
        <f t="array" aca="1" ref="M5" ca="1">Bin_Edges(UV_Data,"FD",UV_Include)</f>
        <v>#NAME?</v>
      </c>
      <c r="N5" s="8" cm="1">
        <f t="array" aca="1" ref="N5" ca="1">Bin_Counts(UV_Data,_xlfn.ANCHORARRAY(M5),UV_Include)</f>
        <v>10</v>
      </c>
      <c r="Q5" s="10" t="s">
        <v>674</v>
      </c>
      <c r="R5" t="s">
        <v>654</v>
      </c>
      <c r="S5" s="7">
        <f>AVERAGE(_xlfn._xlws.FILTER(UV_Data,UV_Include))</f>
        <v>68.989312457454105</v>
      </c>
      <c r="T5" t="s">
        <v>657</v>
      </c>
      <c r="U5" s="7">
        <f>_xlfn.STDEV.S(_xlfn._xlws.FILTER(UV_Data,UV_Include))</f>
        <v>10.327437405657575</v>
      </c>
      <c r="W5" s="7"/>
      <c r="X5" s="20" cm="1">
        <f t="array" aca="1" ref="X5" ca="1">NLL_Normal(UV_Data,$S$5,$U$5,UV_Include)</f>
        <v>1000000000000000</v>
      </c>
      <c r="Y5" s="8">
        <v>2</v>
      </c>
      <c r="Z5" s="20" cm="1">
        <f t="array" aca="1" ref="Z5" ca="1">GoF_AIC($X$5,$Y$5)</f>
        <v>2000000000000004</v>
      </c>
      <c r="AA5" s="27" cm="1">
        <f t="array" aca="1" ref="AA5" ca="1">GoF_BIC($X$5,$Y$5,UV_n)</f>
        <v>2000000000000016</v>
      </c>
    </row>
    <row r="6" spans="1:49" x14ac:dyDescent="0.25">
      <c r="A6">
        <v>59.9</v>
      </c>
      <c r="B6" t="b">
        <v>1</v>
      </c>
      <c r="D6" s="10" t="s">
        <v>656</v>
      </c>
      <c r="E6" s="17">
        <f>IFERROR(_xlfn.MODE.SNGL(_xlfn._xlws.FILTER(UV_Data,UV_Include)),"N/A")</f>
        <v>73</v>
      </c>
      <c r="Q6" s="10" t="s">
        <v>675</v>
      </c>
      <c r="R6" t="s">
        <v>676</v>
      </c>
      <c r="S6" s="7" t="e" cm="1">
        <f t="array" ref="S6">AVERAGE(LN(_xlfn._xlws.FILTER(UV_Data,(UV_Include)*(ISNUMBER(UV_Data)))))</f>
        <v>#NUM!</v>
      </c>
      <c r="T6" t="s">
        <v>677</v>
      </c>
      <c r="U6" s="7" t="e" cm="1">
        <f t="array" ref="U6">_xlfn.STDEV.S(LN(_xlfn._xlws.FILTER(UV_Data,(UV_Include)*(ISNUMBER(UV_Data)))))</f>
        <v>#NUM!</v>
      </c>
      <c r="W6" s="7"/>
      <c r="X6" s="20" cm="1">
        <f t="array" aca="1" ref="X6" ca="1">NLL_Lognormal(UV_Data,$S$6,$U$6,UV_Include)</f>
        <v>1000000000000000</v>
      </c>
      <c r="Y6" s="8">
        <v>2</v>
      </c>
      <c r="Z6" s="20" cm="1">
        <f t="array" aca="1" ref="Z6" ca="1">GoF_AIC($X$6,$Y$6)</f>
        <v>2000000000000004</v>
      </c>
      <c r="AA6" s="27" cm="1">
        <f t="array" aca="1" ref="AA6" ca="1">GoF_BIC($X$6,$Y$6,UV_n)</f>
        <v>2000000000000016</v>
      </c>
    </row>
    <row r="7" spans="1:49" x14ac:dyDescent="0.25">
      <c r="A7">
        <v>59.5</v>
      </c>
      <c r="B7" t="b">
        <v>1</v>
      </c>
      <c r="D7" s="10" t="s">
        <v>657</v>
      </c>
      <c r="E7" s="17">
        <f>_xlfn.STDEV.S(_xlfn._xlws.FILTER(UV_Data,UV_Include))</f>
        <v>10.327437405657575</v>
      </c>
      <c r="Q7" s="10" t="s">
        <v>678</v>
      </c>
      <c r="R7" t="s">
        <v>679</v>
      </c>
      <c r="S7" s="7">
        <f>1/AVERAGE(_xlfn._xlws.FILTER(UV_Data,UV_Include))</f>
        <v>1.4494998781393896E-2</v>
      </c>
      <c r="U7" s="7"/>
      <c r="W7" s="7"/>
      <c r="X7" s="20" cm="1">
        <f t="array" aca="1" ref="X7" ca="1">NLL_Exponential(UV_Data,$S$7,UV_Include)</f>
        <v>1000000000000000</v>
      </c>
      <c r="Y7" s="8">
        <v>1</v>
      </c>
      <c r="Z7" s="20" cm="1">
        <f t="array" aca="1" ref="Z7" ca="1">GoF_AIC($X$7,$Y$7)</f>
        <v>2000000000000002</v>
      </c>
      <c r="AA7" s="27" cm="1">
        <f t="array" aca="1" ref="AA7" ca="1">GoF_BIC($X$7,$Y$7,UV_n)</f>
        <v>2000000000000008</v>
      </c>
    </row>
    <row r="8" spans="1:49" x14ac:dyDescent="0.25">
      <c r="A8">
        <v>59.2</v>
      </c>
      <c r="B8" t="b">
        <v>1</v>
      </c>
      <c r="D8" s="10" t="s">
        <v>658</v>
      </c>
      <c r="E8" s="17">
        <f>_xlfn.VAR.S(_xlfn._xlws.FILTER(UV_Data,UV_Include))</f>
        <v>106.65596336777524</v>
      </c>
      <c r="Q8" s="10" t="s">
        <v>680</v>
      </c>
      <c r="R8" t="s">
        <v>659</v>
      </c>
      <c r="S8" s="7">
        <f>_xlfn.LET(_xlpm.d,_xlfn._xlws.FILTER(UV_Data,UV_Include),MIN(_xlpm.d)-(MAX(_xlpm.d)-MIN(_xlpm.d))*0.001)</f>
        <v>-8.8999999999999996E-2</v>
      </c>
      <c r="T8" t="s">
        <v>656</v>
      </c>
      <c r="U8" s="7">
        <f>IFERROR(_xlfn.MODE.SNGL(_xlfn._xlws.FILTER(UV_Data,UV_Include)),MEDIAN(_xlfn._xlws.FILTER(UV_Data,UV_Include)))</f>
        <v>73</v>
      </c>
      <c r="V8" t="s">
        <v>660</v>
      </c>
      <c r="W8" s="7">
        <f>_xlfn.LET(_xlpm.d,_xlfn._xlws.FILTER(UV_Data,UV_Include),MAX(_xlpm.d)+(MAX(_xlpm.d)-MIN(_xlpm.d))*0.001)</f>
        <v>89.088999999999999</v>
      </c>
      <c r="X8" s="20" cm="1">
        <f t="array" ref="X8">NLL_Triangular(UV_Data,$S$8,$U$8,$W$8,UV_Include)</f>
        <v>12007.178983319563</v>
      </c>
      <c r="Y8" s="8">
        <v>3</v>
      </c>
      <c r="Z8" s="20" cm="1">
        <f t="array" ref="Z8">GoF_AIC($X$8,$Y$8)</f>
        <v>24020.357966639127</v>
      </c>
      <c r="AA8" s="27" cm="1">
        <f t="array" ref="AA8">GoF_BIC($X$8,$Y$8,UV_n)</f>
        <v>24038.314419709328</v>
      </c>
    </row>
    <row r="9" spans="1:49" x14ac:dyDescent="0.25">
      <c r="A9">
        <v>58.8</v>
      </c>
      <c r="B9" t="b">
        <v>1</v>
      </c>
      <c r="D9" s="10" t="s">
        <v>659</v>
      </c>
      <c r="E9" s="17">
        <f>MIN(_xlfn._xlws.FILTER(UV_Data,UV_Include))</f>
        <v>0</v>
      </c>
      <c r="Q9" s="10" t="s">
        <v>681</v>
      </c>
      <c r="R9" t="s">
        <v>659</v>
      </c>
      <c r="S9" s="7">
        <f>_xlfn.LET(_xlpm.d,_xlfn._xlws.FILTER(UV_Data,UV_Include),MIN(_xlpm.d)-(MAX(_xlpm.d)-MIN(_xlpm.d))*0.001)</f>
        <v>-8.8999999999999996E-2</v>
      </c>
      <c r="T9" t="s">
        <v>656</v>
      </c>
      <c r="U9" s="7">
        <f>IFERROR(_xlfn.MODE.SNGL(_xlfn._xlws.FILTER(UV_Data,UV_Include)),MEDIAN(_xlfn._xlws.FILTER(UV_Data,UV_Include)))</f>
        <v>73</v>
      </c>
      <c r="V9" t="s">
        <v>660</v>
      </c>
      <c r="W9" s="7">
        <f>_xlfn.LET(_xlpm.d,_xlfn._xlws.FILTER(UV_Data,UV_Include),MAX(_xlpm.d)+(MAX(_xlpm.d)-MIN(_xlpm.d))*0.001)</f>
        <v>89.088999999999999</v>
      </c>
      <c r="X9" s="20" cm="1">
        <f t="array" aca="1" ref="X9" ca="1">NLL_BetaPERT(UV_Data,$S$9,$U$9,$W$9,UV_Include)</f>
        <v>1000000000000000</v>
      </c>
      <c r="Y9" s="8">
        <v>3</v>
      </c>
      <c r="Z9" s="20" cm="1">
        <f t="array" aca="1" ref="Z9" ca="1">GoF_AIC($X$9,$Y$9)</f>
        <v>2000000000000006</v>
      </c>
      <c r="AA9" s="27" cm="1">
        <f t="array" aca="1" ref="AA9" ca="1">GoF_BIC($X$9,$Y$9,UV_n)</f>
        <v>2000000000000024</v>
      </c>
    </row>
    <row r="10" spans="1:49" x14ac:dyDescent="0.25">
      <c r="A10">
        <v>58.6</v>
      </c>
      <c r="B10" t="b">
        <v>1</v>
      </c>
      <c r="D10" s="10" t="s">
        <v>660</v>
      </c>
      <c r="E10" s="17">
        <f>MAX(_xlfn._xlws.FILTER(UV_Data,UV_Include))</f>
        <v>89</v>
      </c>
      <c r="Q10" s="13" t="s">
        <v>682</v>
      </c>
      <c r="R10" s="23" t="s">
        <v>683</v>
      </c>
      <c r="S10" s="24">
        <f>$AZ$7</f>
        <v>0</v>
      </c>
      <c r="T10" s="23" t="s">
        <v>684</v>
      </c>
      <c r="U10" s="24">
        <f>$BB$7</f>
        <v>0</v>
      </c>
      <c r="V10" s="23"/>
      <c r="W10" s="24"/>
      <c r="X10" s="25" cm="1">
        <f t="array" aca="1" ref="X10" ca="1">NLL_Weibull(UV_Data,$S$10,$U$10,UV_Include)</f>
        <v>1000000000000000</v>
      </c>
      <c r="Y10" s="14">
        <v>2</v>
      </c>
      <c r="Z10" s="25" cm="1">
        <f t="array" aca="1" ref="Z10" ca="1">GoF_AIC($X$10,$Y$10)</f>
        <v>2000000000000004</v>
      </c>
      <c r="AA10" s="28" cm="1">
        <f t="array" aca="1" ref="AA10" ca="1">GoF_BIC($X$10,$Y$10,UV_n)</f>
        <v>2000000000000016</v>
      </c>
    </row>
    <row r="11" spans="1:49" x14ac:dyDescent="0.25">
      <c r="A11">
        <v>58.1</v>
      </c>
      <c r="B11" t="b">
        <v>1</v>
      </c>
      <c r="D11" s="10" t="s">
        <v>661</v>
      </c>
      <c r="E11" s="17">
        <f>_xlfn.LET(_xlpm.d,_xlfn._xlws.FILTER(UV_Data,UV_Include),MAX(_xlpm.d)-MIN(_xlpm.d))</f>
        <v>89</v>
      </c>
    </row>
    <row r="12" spans="1:49" x14ac:dyDescent="0.25">
      <c r="A12">
        <v>57.5</v>
      </c>
      <c r="B12" t="b">
        <v>1</v>
      </c>
      <c r="D12" s="10" t="s">
        <v>299</v>
      </c>
      <c r="E12" s="17" cm="1">
        <f t="array" ref="E12">INDEX(Skewness(UV_Data,UV_Include),1)</f>
        <v>-1.4567535294817073</v>
      </c>
    </row>
    <row r="13" spans="1:49" x14ac:dyDescent="0.25">
      <c r="A13">
        <v>57.3</v>
      </c>
      <c r="B13" t="b">
        <v>1</v>
      </c>
      <c r="D13" s="10" t="s">
        <v>305</v>
      </c>
      <c r="E13" s="17" cm="1">
        <f t="array" ref="E13">INDEX(Kurtosis(UV_Data,UV_Include),1)</f>
        <v>5.743737284444725</v>
      </c>
    </row>
    <row r="14" spans="1:49" x14ac:dyDescent="0.25">
      <c r="A14">
        <v>57.3</v>
      </c>
      <c r="B14" t="b">
        <v>1</v>
      </c>
      <c r="D14" s="10" t="s">
        <v>662</v>
      </c>
      <c r="E14" s="18">
        <f>COUNT(_xlfn._xlws.FILTER(UV_Data,UV_Include))</f>
        <v>2938</v>
      </c>
    </row>
    <row r="15" spans="1:49" x14ac:dyDescent="0.25">
      <c r="A15">
        <v>57</v>
      </c>
      <c r="B15" t="b">
        <v>1</v>
      </c>
      <c r="D15" s="13" t="s">
        <v>663</v>
      </c>
      <c r="E15" s="19" cm="1">
        <f t="array" ref="E15">Missing_Count(UV_Data,UV_Include)</f>
        <v>0</v>
      </c>
    </row>
    <row r="16" spans="1:49" x14ac:dyDescent="0.25">
      <c r="A16">
        <v>56.7</v>
      </c>
      <c r="B16" t="b">
        <v>1</v>
      </c>
    </row>
    <row r="17" spans="1:2" x14ac:dyDescent="0.25">
      <c r="A17">
        <v>56.2</v>
      </c>
      <c r="B17" t="b">
        <v>1</v>
      </c>
    </row>
    <row r="18" spans="1:2" x14ac:dyDescent="0.25">
      <c r="A18">
        <v>55.3</v>
      </c>
      <c r="B18" t="b">
        <v>1</v>
      </c>
    </row>
    <row r="19" spans="1:2" x14ac:dyDescent="0.25">
      <c r="A19">
        <v>54.8</v>
      </c>
      <c r="B19" t="b">
        <v>1</v>
      </c>
    </row>
    <row r="20" spans="1:2" x14ac:dyDescent="0.25">
      <c r="A20">
        <v>77.8</v>
      </c>
      <c r="B20" t="b">
        <v>1</v>
      </c>
    </row>
    <row r="21" spans="1:2" x14ac:dyDescent="0.25">
      <c r="A21">
        <v>77.5</v>
      </c>
      <c r="B21" t="b">
        <v>1</v>
      </c>
    </row>
    <row r="22" spans="1:2" x14ac:dyDescent="0.25">
      <c r="A22">
        <v>77.2</v>
      </c>
      <c r="B22" t="b">
        <v>1</v>
      </c>
    </row>
    <row r="23" spans="1:2" x14ac:dyDescent="0.25">
      <c r="A23">
        <v>76.900000000000006</v>
      </c>
      <c r="B23" t="b">
        <v>1</v>
      </c>
    </row>
    <row r="24" spans="1:2" x14ac:dyDescent="0.25">
      <c r="A24">
        <v>76.599999999999994</v>
      </c>
      <c r="B24" t="b">
        <v>1</v>
      </c>
    </row>
    <row r="25" spans="1:2" x14ac:dyDescent="0.25">
      <c r="A25">
        <v>76.2</v>
      </c>
      <c r="B25" t="b">
        <v>1</v>
      </c>
    </row>
    <row r="26" spans="1:2" x14ac:dyDescent="0.25">
      <c r="A26">
        <v>76.099999999999994</v>
      </c>
      <c r="B26" t="b">
        <v>1</v>
      </c>
    </row>
    <row r="27" spans="1:2" x14ac:dyDescent="0.25">
      <c r="A27">
        <v>75.3</v>
      </c>
      <c r="B27" t="b">
        <v>1</v>
      </c>
    </row>
    <row r="28" spans="1:2" x14ac:dyDescent="0.25">
      <c r="A28">
        <v>75.900000000000006</v>
      </c>
      <c r="B28" t="b">
        <v>1</v>
      </c>
    </row>
    <row r="29" spans="1:2" x14ac:dyDescent="0.25">
      <c r="A29">
        <v>74.2</v>
      </c>
      <c r="B29" t="b">
        <v>1</v>
      </c>
    </row>
    <row r="30" spans="1:2" x14ac:dyDescent="0.25">
      <c r="A30">
        <v>73.5</v>
      </c>
      <c r="B30" t="b">
        <v>1</v>
      </c>
    </row>
    <row r="31" spans="1:2" x14ac:dyDescent="0.25">
      <c r="A31">
        <v>73</v>
      </c>
      <c r="B31" t="b">
        <v>1</v>
      </c>
    </row>
    <row r="32" spans="1:2"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v>0</v>
      </c>
      <c r="B628" t="b">
        <v>1</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v>0</v>
      </c>
      <c r="B773" t="b">
        <v>1</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v>0</v>
      </c>
      <c r="B1654" t="b">
        <v>1</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v>0</v>
      </c>
      <c r="B1719" t="b">
        <v>1</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v>0</v>
      </c>
      <c r="B1816" t="b">
        <v>1</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v>0</v>
      </c>
      <c r="B1913" t="b">
        <v>1</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v>0</v>
      </c>
      <c r="B1962" t="b">
        <v>1</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v>0</v>
      </c>
      <c r="B2171" t="b">
        <v>1</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v>0</v>
      </c>
      <c r="B2220" t="b">
        <v>1</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v>0</v>
      </c>
      <c r="B2717" t="b">
        <v>1</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6">
    <mergeCell ref="AC3:AW3"/>
    <mergeCell ref="G1:N1"/>
    <mergeCell ref="G2:H2"/>
    <mergeCell ref="J2:K2"/>
    <mergeCell ref="M2:N2"/>
    <mergeCell ref="Q2:AA2"/>
  </mergeCells>
  <conditionalFormatting sqref="Q5:AA10">
    <cfRule type="expression" dxfId="0" priority="1" stopIfTrue="1">
      <formula>$Z5=MIN($Z$5:$Z$10)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2026-06-21T15:39:18Z</dcterms:created>
  <dcterms:modified xsi:type="dcterms:W3CDTF">2026-06-21T16:42:26Z</dcterms:modified>
</cp:coreProperties>
</file>