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680882E6-0311-4BEF-A53D-3E559544856C}" xr6:coauthVersionLast="47" xr6:coauthVersionMax="47" xr10:uidLastSave="{00000000-0000-0000-0000-000000000000}"/>
  <bookViews>
    <workbookView xWindow="-120" yWindow="-120" windowWidth="29040" windowHeight="15720" activeTab="4" xr2:uid="{92D0E1A5-8335-431C-B56C-E9E74C0E0410}"/>
  </bookViews>
  <sheets>
    <sheet name="Mileage Data" sheetId="12" r:id="rId1"/>
    <sheet name="Life Expectancy Data" sheetId="2" r:id="rId2"/>
    <sheet name="Version History" sheetId="6" r:id="rId3"/>
    <sheet name="Regression Instructions" sheetId="4" r:id="rId4"/>
    <sheet name="Regression" sheetId="7" r:id="rId5"/>
    <sheet name="Diagnostic Guide" sheetId="5" r:id="rId6"/>
    <sheet name="LAMBDA_functions" sheetId="1" r:id="rId7"/>
  </sheets>
  <definedNames>
    <definedName name="Absorbed_Degrees_Of_Freedom" localSheetId="4">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4">Regression!$C$2</definedName>
    <definedName name="alpha" localSheetId="4">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4">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4">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4">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_xlpm.groups,IFERROR(_xlfn.UNIQUE(_xlfn._xlws.FILTER(_xlpm.g_v,_xlpm.active)),NA()),IF(ISNA(_xlpm.groups),NA(),_xlfn.LET(_xlpm.means,_xlfn.BYROW(_xlpm.groups,_xlfn.LAMBDA(_xlpm.gk,_xlfn.LET(_xlpm.mask,_xlpm.active*(_xlpm.g_v=_xlpm.gk),SUMPRODUCT(_xlpm.mask,IF(ISNUMBER(_xlpm.x_v),_xlpm.x_v,0))/SUM(_xlpm.mask)))),_xlfn.XLOOKUP(_xlpm.g_v,_xlpm.groups,_xlpm.means,NA(),0)))))</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BYCOL(_xlpm.X_s,_xlfn.LAMBDA(_xlpm.col,Demean_By(_xlpm.col,_xlpm.group,_xlpm.filt_arg))),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4">_xlfn.TAKE(Regression!Source_Table,1)</definedName>
    <definedName name="Intercept_Only_DF" localSheetId="4">_xlfn.LAMBDA(Regression!Intercept_Only_N()-1)</definedName>
    <definedName name="Intercept_Only_N" localSheetId="4">_xlfn.LAMBDA(SUMPRODUCT(N(Regression!Sample_Include())))</definedName>
    <definedName name="Intercept_Only_Point" localSheetId="4">_xlfn.LAMBDA(AVERAGE(_xlfn._xlws.FILTER(Regression!Response_Column(),Regression!Sample_Include())))</definedName>
    <definedName name="Intercept_Only_S" localSheetId="4">_xlfn.LAMBDA(_xlfn.STDEV.S(_xlfn._xlws.FILTER(Regression!Response_Column(),Regression!Sample_Include())))</definedName>
    <definedName name="Intercept_Only_SE" localSheetId="4">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4">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4">OFFSET(Regression!$AL$2,1,0,MAX(IFERROR(Regression!$Y$8,1),1),1)</definedName>
    <definedName name="RegChartCookDist" comment="Cook's Distance chart: bar values" localSheetId="4">OFFSET(Regression!$AQ$2,1,0,MAX(IFERROR(Regression!$Y$8,1),1),1)</definedName>
    <definedName name="RegChartFitY" comment="Predicted Y: X values for the Residuals vs. Fitted, Actual vs. Predicted, and Scale-Location charts" localSheetId="4">OFFSET(Regression!$AM$2,1,0,MAX(IFERROR(Regression!$Y$8,1),1),1)</definedName>
    <definedName name="RegChartLeverage" comment="Studentized Residuals vs. Leverage chart: X values (Hat Diagonal)" localSheetId="4">OFFSET(Regression!$AO$2,1,0,MAX(IFERROR(Regression!$Y$8,1),1),1)</definedName>
    <definedName name="RegChartPRESSResid" comment="PRESS Residuals chart: bar values" localSheetId="4">OFFSET(Regression!$AU$2,1,0,MAX(IFERROR(Regression!$Y$8,1),1),1)</definedName>
    <definedName name="RegChartQQX" comment="Normal Q-Q chart: X values (theoretical quantiles, Normal Scores Ranked)" localSheetId="4">OFFSET(Regression!$AR$2,1,0,MAX(IFERROR(Regression!$Y$8,1),1),1)</definedName>
    <definedName name="RegChartQQY" comment="Normal Q-Q chart: Y values (Studentized Residuals Ranked)" localSheetId="4">OFFSET(Regression!$AS$2,1,0,MAX(IFERROR(Regression!$Y$8,1),1),1)</definedName>
    <definedName name="RegChartResid" comment="Residuals vs. Fitted chart: Y values (Residuals)" localSheetId="4">OFFSET(Regression!$AN$2,1,0,MAX(IFERROR(Regression!$Y$8,1),1),1)</definedName>
    <definedName name="RegChartScaleLoc" comment="Scale-Location chart: Y values (sqrt of abs Studentized Residual)" localSheetId="4">OFFSET(Regression!$AT$2,1,0,MAX(IFERROR(Regression!$Y$8,1),1),1)</definedName>
    <definedName name="RegChartStudResid" comment="Studentized Residuals vs. Leverage chart: Y values" localSheetId="4">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4">_xlfn.LAMBDA(_xlfn.LET(_xlpm.n_c,COLUMNS(Regression!Source_Data),_xlpm.rl,_xlfn.TAKE(Regression!Spec_Role,_xlpm.n_c),INDEX(Regression!Source_Data,0,_xlfn.XMATCH("Response (y)",_xlpm.rl))))</definedName>
    <definedName name="Row_Labels" localSheetId="4">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4">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4">_xlfn.LAMBDA(_xlfn.LET(_xlpm.n_c,COLUMNS(Regression!Source_Data),INDEX(Regression!Source_Data,0,_xlfn.XMATCH(TRUE,_xlfn.TAKE(Regression!Spec_Sequence,_xlpm.n_c),0))))</definedName>
    <definedName name="Sequence_Delta_Spectrum" localSheetId="4">_xlfn.LAMBDA(_xlfn.LET(_xlpm.d,Regression!Sequence_Deltas(),_xlpm.u,_xlfn._xlws.SORT(_xlfn.UNIQUE(_xlpm.d)),IF(COUNT(_xlpm.d)=0,NA(),_xlfn.HSTACK(_xlpm.u,_xlfn.BYROW(_xlpm.u,_xlfn.LAMBDA(_xlpm.v,SUM(--(_xlpm.d=_xlpm.v))))))))</definedName>
    <definedName name="Sequence_Deltas" localSheetId="4">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4">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4">_xlfn.DROP(Regression!Source_Table,1)</definedName>
    <definedName name="Source_Table" localSheetId="4">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4">Regression!$I$4:$I$15989</definedName>
    <definedName name="Spec_Include" localSheetId="4">SpecTable[[#Data],[Include]]</definedName>
    <definedName name="Spec_Order" localSheetId="4">SpecTable[[#Data],[Order]]</definedName>
    <definedName name="Spec_Period_In_Use" localSheetId="4">SpecTable[[#Data],[Period In Use]]</definedName>
    <definedName name="Spec_Reference" localSheetId="4">SpecTable[[#Data],[Reference Level]]</definedName>
    <definedName name="Spec_Role" localSheetId="4">SpecTable[[#Data],[Role]]</definedName>
    <definedName name="Spec_Sequence" localSheetId="4">SpecTable[[#Data],[Sequence]]</definedName>
    <definedName name="Spec_Sequence_Period" localSheetId="4">SpecTable[[#Data],[Sequence Period]]</definedName>
    <definedName name="Spec_Transform" localSheetId="4">SpecTable[[#Data],[Transform]]</definedName>
    <definedName name="Spec_Type" localSheetId="4">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4">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X_s_Within" localSheetId="4">_xlfn.LAMBDA(_xlfn.LET(_xlpm.n_c,COLUMNS(Regression!Source_Data),_xlpm.fe_active,SUMPRODUCT(N(_xlfn.TAKE(Regression!Spec_Role,_xlpm.n_c)="Fixed Effects"))&gt;0,IF(NOT(_xlpm.fe_active),Regression!X_s(),_xlfn.LET(_xlpm.fe,Regression!Fixed_Effects_Column(),_xlpm.inc,Regression!Sample_Include(),_xlfn.BYCOL(Regression!X_s(),_xlfn.LAMBDA(_xlpm.col,Demean_By(_xlpm.col,_xlpm.fe,_xlpm.inc)))))))</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4">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4">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AI19" i="7" a="1"/>
  <c r="AG19" i="7" a="1"/>
  <c r="Z17" i="7" a="1"/>
  <c r="Y17" i="7" a="1"/>
  <c r="AA16" i="7" a="1"/>
  <c r="Z16" i="7" a="1"/>
  <c r="Y16" i="7" a="1"/>
  <c r="AC15" i="7" a="1"/>
  <c r="AB15" i="7" a="1"/>
  <c r="AA15" i="7" a="1"/>
  <c r="Z15" i="7" a="1"/>
  <c r="Y15" i="7" a="1"/>
  <c r="L15" i="7"/>
  <c r="K15" i="7"/>
  <c r="J15" i="7"/>
  <c r="L14" i="7"/>
  <c r="K14" i="7"/>
  <c r="J14" i="7"/>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P3" i="7" a="1"/>
  <c r="AO3" i="7" a="1"/>
  <c r="AN3" i="7" a="1"/>
  <c r="AM3" i="7" a="1"/>
  <c r="AL3" i="7" a="1"/>
  <c r="AK3" i="7" a="1"/>
  <c r="V3" i="7" a="1"/>
  <c r="U3" i="7" a="1"/>
  <c r="T3" i="7" a="1"/>
  <c r="S3" i="7" a="1"/>
  <c r="R3" i="7" a="1"/>
  <c r="Q3" i="7" a="1"/>
  <c r="P3" i="7" a="1"/>
  <c r="AC2" i="7" a="1"/>
  <c r="M2" i="7" a="1"/>
  <c r="L2" i="7" a="1"/>
  <c r="K2" i="7" a="1"/>
  <c r="J2" i="7" a="1"/>
  <c r="I2" i="7" a="1"/>
  <c r="E1" i="7" a="1"/>
  <c r="B1" i="7"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1" i="7" a="1"/>
  <c r="AH60" i="7" a="1"/>
  <c r="AH59" i="7" a="1"/>
  <c r="AH58" i="7" a="1"/>
  <c r="AH57" i="7" a="1"/>
  <c r="AH56" i="7" a="1"/>
  <c r="AH55" i="7" a="1"/>
  <c r="AH54" i="7" a="1"/>
  <c r="AH53" i="7" a="1"/>
  <c r="AH52" i="7" a="1"/>
  <c r="AH51" i="7"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25" i="7" a="1"/>
  <c r="AH24" i="7" a="1"/>
  <c r="AH23" i="7" a="1"/>
  <c r="AH22" i="7" a="1"/>
  <c r="AH21" i="7" a="1"/>
  <c r="AH20" i="7" a="1"/>
  <c r="AH19" i="7" a="1"/>
  <c r="AH3" i="7" s="1" a="1"/>
  <c r="AH14" i="7" a="1"/>
  <c r="AH13"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DA2DEA1A-9CDB-4129-8032-3560535B1BB2}">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92FBA5B9-DDAB-4A73-95AE-B21C988AC303}">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2CF72238-82C7-4FE8-AE35-637B79962C4F}">
      <text>
        <r>
          <rPr>
            <b/>
            <sz val="9"/>
            <color indexed="81"/>
            <rFont val="Tahoma"/>
            <family val="2"/>
          </rPr>
          <t>Shows whether the data have a longer tail on one side. Positive means a longer right tail; negative means a longer left tail.</t>
        </r>
      </text>
    </comment>
    <comment ref="T2" authorId="0" shapeId="0" xr:uid="{1409728D-44BB-4193-B780-7FF45F938ED4}">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C9758D63-0213-4857-A376-CA26B3CBC8A8}">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BCD301F9-FCFC-4C04-A831-A3246112CC1B}">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25C1FECF-6FE0-482B-B1C0-7C6BAEB7AB05}">
      <text>
        <r>
          <rPr>
            <b/>
            <sz val="9"/>
            <color indexed="81"/>
            <rFont val="Tahoma"/>
            <family val="2"/>
          </rPr>
          <t>The actual observed outcome values.</t>
        </r>
      </text>
    </comment>
    <comment ref="AM2" authorId="0" shapeId="0" xr:uid="{9283A1C8-F438-4AB1-8241-85CBA6701C80}">
      <text>
        <r>
          <rPr>
            <b/>
            <sz val="9"/>
            <color indexed="81"/>
            <rFont val="Tahoma"/>
            <family val="2"/>
          </rPr>
          <t>The fitted outcome values produced by the model.</t>
        </r>
      </text>
    </comment>
    <comment ref="AN2" authorId="0" shapeId="0" xr:uid="{3EFD2E9D-403B-4641-A6D2-C43AEFF3841F}">
      <text>
        <r>
          <rPr>
            <b/>
            <sz val="9"/>
            <color indexed="81"/>
            <rFont val="Tahoma"/>
            <family val="2"/>
          </rPr>
          <t>Actual Y minus predicted Y. Positive means the row came in above the model's prediction; negative means below.</t>
        </r>
      </text>
    </comment>
    <comment ref="AO2" authorId="0" shapeId="0" xr:uid="{663DAA1E-82CD-439A-ACEE-C05962338AAC}">
      <text>
        <r>
          <rPr>
            <b/>
            <sz val="9"/>
            <color indexed="81"/>
            <rFont val="Tahoma"/>
            <family val="2"/>
          </rPr>
          <t>Leverage. It shows how unusual a row's predictor values are relative to the rest of the data.</t>
        </r>
      </text>
    </comment>
    <comment ref="AP2" authorId="0" shapeId="0" xr:uid="{3B354BA7-A787-444C-91BA-AFEDF43B61A8}">
      <text>
        <r>
          <rPr>
            <b/>
            <sz val="9"/>
            <color indexed="81"/>
            <rFont val="Tahoma"/>
            <family val="2"/>
          </rPr>
          <t>Residuals scaled to account for overall error size and leverage, making outliers easier to compare fairly.</t>
        </r>
      </text>
    </comment>
    <comment ref="AQ2" authorId="0" shapeId="0" xr:uid="{994AEB33-6CFE-4CCF-B7CC-F501352DA861}">
      <text>
        <r>
          <rPr>
            <b/>
            <sz val="9"/>
            <color indexed="81"/>
            <rFont val="Tahoma"/>
            <family val="2"/>
          </rPr>
          <t>How much a single row can pull the fitted coefficients and predictions around.</t>
        </r>
      </text>
    </comment>
    <comment ref="AR2" authorId="0" shapeId="0" xr:uid="{72CDD127-DF8F-4D20-AF79-4EA8467D2E55}">
      <text>
        <r>
          <rPr>
            <b/>
            <sz val="9"/>
            <color indexed="81"/>
            <rFont val="Tahoma"/>
            <family val="2"/>
          </rPr>
          <t>Expected bell-curve quantiles used for the Q-Q comparison.</t>
        </r>
      </text>
    </comment>
    <comment ref="AS2" authorId="0" shapeId="0" xr:uid="{D2E78168-622D-4778-935A-77747679C47F}">
      <text>
        <r>
          <rPr>
            <b/>
            <sz val="9"/>
            <color indexed="81"/>
            <rFont val="Tahoma"/>
            <family val="2"/>
          </rPr>
          <t>Studentized residuals sorted from smallest to largest for the Q-Q plot.</t>
        </r>
      </text>
    </comment>
    <comment ref="AT2" authorId="0" shapeId="0" xr:uid="{FA6F0B3C-8C93-4F39-8D08-F3403EDCAC4E}">
      <text>
        <r>
          <rPr>
            <b/>
            <sz val="9"/>
            <color indexed="81"/>
            <rFont val="Tahoma"/>
            <family val="2"/>
          </rPr>
          <t>The square root of the absolute studentized residual. A flat pattern suggests stable error spread.</t>
        </r>
      </text>
    </comment>
    <comment ref="AU2" authorId="0" shapeId="0" xr:uid="{DED43DC4-DB87-4FCA-B27C-66D886A352F7}">
      <text>
        <r>
          <rPr>
            <b/>
            <sz val="9"/>
            <color indexed="81"/>
            <rFont val="Tahoma"/>
            <family val="2"/>
          </rPr>
          <t>The prediction error for a row when that row is left out of the fitting step (the leave-one-out / LOOCV residual). Summing its squares gives PRESS.</t>
        </r>
      </text>
    </comment>
    <comment ref="AG3" authorId="0" shapeId="0" xr:uid="{A48C8EE6-F052-42E4-A98D-E4280BDB1C64}">
      <text>
        <r>
          <rPr>
            <b/>
            <sz val="9"/>
            <color indexed="81"/>
            <rFont val="Tahoma"/>
            <family val="2"/>
          </rPr>
          <t>The model's single best predicted Y value for the inputs you entered.</t>
        </r>
      </text>
    </comment>
    <comment ref="F4" authorId="0" shapeId="0" xr:uid="{96619879-1DAA-4E1C-8E3F-524B8217517D}">
      <text>
        <r>
          <rPr>
            <b/>
            <sz val="9"/>
            <color indexed="81"/>
            <rFont val="Tahoma"/>
            <family val="2"/>
          </rPr>
          <t>Reserved for a future release — not yet used by any formula.</t>
        </r>
      </text>
    </comment>
    <comment ref="G4" authorId="0" shapeId="0" xr:uid="{0E23B0F3-1FDB-42AA-8EEF-A28ABDF2683B}">
      <text>
        <r>
          <rPr>
            <b/>
            <sz val="9"/>
            <color indexed="81"/>
            <rFont val="Tahoma"/>
            <family val="2"/>
          </rPr>
          <t>Reserved for a future release — not yet used by any formula.</t>
        </r>
      </text>
    </comment>
    <comment ref="H4" authorId="0" shapeId="0" xr:uid="{19398AA6-B022-4138-BFC2-CCB60C9D63F2}">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494D528B-B3CB-4D5E-BB93-32FCE512193D}">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7070843E-B2F7-4E00-915B-1574125DB5C3}">
      <text>
        <r>
          <rPr>
            <b/>
            <sz val="9"/>
            <color indexed="81"/>
            <rFont val="Tahoma"/>
            <family val="2"/>
          </rPr>
          <t>How closely the model's predicted Y values track the actual Y values overall.</t>
        </r>
      </text>
    </comment>
    <comment ref="AA4" authorId="0" shapeId="0" xr:uid="{F3FD0CB3-07AE-442E-8E89-37B21C89FB30}">
      <text>
        <r>
          <rPr>
            <b/>
            <sz val="9"/>
            <color indexed="81"/>
            <rFont val="Tahoma"/>
            <family val="2"/>
          </rPr>
          <t>A leave-one-out prediction error score. Lower is better because it means the model predicts unseen rows more accurately.</t>
        </r>
      </text>
    </comment>
    <comment ref="AG4" authorId="0" shapeId="0" xr:uid="{AE100B9A-AE32-49C3-A1D5-0B6184FEB13B}">
      <text>
        <r>
          <rPr>
            <b/>
            <sz val="9"/>
            <color indexed="81"/>
            <rFont val="Tahoma"/>
            <family val="2"/>
          </rPr>
          <t>The standard error for a new prediction. It reflects both model uncertainty and ordinary row-to-row noise.</t>
        </r>
      </text>
    </comment>
    <comment ref="X5" authorId="0" shapeId="0" xr:uid="{F9B83189-7E89-4F53-921B-F4871FCCCCF4}">
      <text>
        <r>
          <rPr>
            <b/>
            <sz val="9"/>
            <color indexed="81"/>
            <rFont val="Tahoma"/>
            <family val="2"/>
          </rPr>
          <t>The share of the outcome's variation explained by the model.</t>
        </r>
      </text>
    </comment>
    <comment ref="AA5" authorId="0" shapeId="0" xr:uid="{3C3ED6F3-2B02-4F0A-BD32-E5AA81268D9C}">
      <text>
        <r>
          <rPr>
            <b/>
            <sz val="9"/>
            <color indexed="81"/>
            <rFont val="Tahoma"/>
            <family val="2"/>
          </rPr>
          <t>An out-of-sample version of R Square based on leave-one-out prediction. Negative values mean the model predicts worse than just using the average Y.</t>
        </r>
      </text>
    </comment>
    <comment ref="AG5" authorId="0" shapeId="0" xr:uid="{90328508-FF85-4224-84E2-3E3A8AFDDF8D}">
      <text>
        <r>
          <rPr>
            <b/>
            <sz val="9"/>
            <color indexed="81"/>
            <rFont val="Tahoma"/>
            <family val="2"/>
          </rPr>
          <t>The t-distribution cutoff at the chosen confidence level. Multiply by SE Prediction to get the prediction interval half-width.</t>
        </r>
      </text>
    </comment>
    <comment ref="X6" authorId="0" shapeId="0" xr:uid="{39279F0D-2256-4BAD-AA7F-47E3A1EAF98C}">
      <text>
        <r>
          <rPr>
            <b/>
            <sz val="9"/>
            <color indexed="81"/>
            <rFont val="Tahoma"/>
            <family val="2"/>
          </rPr>
          <t>R Square with a penalty for adding predictors that do not help enough.</t>
        </r>
      </text>
    </comment>
    <comment ref="AA6" authorId="0" shapeId="0" xr:uid="{F9D97EAD-763C-4BD9-BE9A-6B09A289502E}">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9493AFD4-8413-4A0A-AF04-93DFF48F1782}">
      <text>
        <r>
          <rPr>
            <b/>
            <sz val="9"/>
            <color indexed="81"/>
            <rFont val="Tahoma"/>
            <family val="2"/>
          </rPr>
          <t>The lower bound of the 95% confidence interval.</t>
        </r>
      </text>
    </comment>
    <comment ref="X7" authorId="0" shapeId="0" xr:uid="{71E20458-8416-4DFE-BA6A-2D40F1647B54}">
      <text>
        <r>
          <rPr>
            <b/>
            <sz val="9"/>
            <color indexed="81"/>
            <rFont val="Tahoma"/>
            <family val="2"/>
          </rPr>
          <t>The typical size of the model's prediction errors, measured in the same units as Y.</t>
        </r>
      </text>
    </comment>
    <comment ref="AA7" authorId="0" shapeId="0" xr:uid="{301ADD2F-684E-485A-B041-A64AC38FC31B}">
      <text>
        <r>
          <rPr>
            <b/>
            <sz val="9"/>
            <color indexed="81"/>
            <rFont val="Tahoma"/>
            <family val="2"/>
          </rPr>
          <t>A model-comparison score that balances fit against complexity. Lower is better when comparing models on the same data.</t>
        </r>
      </text>
    </comment>
    <comment ref="AG7" authorId="0" shapeId="0" xr:uid="{B756AFF0-B4C5-4EC0-84D2-9B103C839FA8}">
      <text>
        <r>
          <rPr>
            <b/>
            <sz val="9"/>
            <color indexed="81"/>
            <rFont val="Tahoma"/>
            <family val="2"/>
          </rPr>
          <t>The upper bound of the 95% confidence interval.</t>
        </r>
      </text>
    </comment>
    <comment ref="X8" authorId="0" shapeId="0" xr:uid="{D50CB51E-ADA4-459B-BA6C-6140FFBCB7B4}">
      <text>
        <r>
          <rPr>
            <b/>
            <sz val="9"/>
            <color indexed="81"/>
            <rFont val="Tahoma"/>
            <family val="2"/>
          </rPr>
          <t>The number of rows actually used in the regression after filtering.</t>
        </r>
      </text>
    </comment>
    <comment ref="AA8" authorId="0" shapeId="0" xr:uid="{D3ED234B-71E2-4002-AE41-AA7E4D5A7458}">
      <text>
        <r>
          <rPr>
            <b/>
            <sz val="9"/>
            <color indexed="81"/>
            <rFont val="Tahoma"/>
            <family val="2"/>
          </rPr>
          <t>Another model-comparison score like AIC, but it penalizes extra predictors more strongly.</t>
        </r>
      </text>
    </comment>
    <comment ref="AG8" authorId="0" shapeId="0" xr:uid="{503B9139-08A2-42EE-818B-8EA5AE97A065}">
      <text>
        <r>
          <rPr>
            <b/>
            <sz val="9"/>
            <color indexed="81"/>
            <rFont val="Tahoma"/>
            <family val="2"/>
          </rPr>
          <t>The probability level associated with the interval. With alpha 0.05, this is 95%.</t>
        </r>
      </text>
    </comment>
    <comment ref="AA9" authorId="0" shapeId="0" xr:uid="{D348515F-3669-4712-82F9-BF2241639E22}">
      <text>
        <r>
          <rPr>
            <b/>
            <sz val="9"/>
            <color indexed="81"/>
            <rFont val="Tahoma"/>
            <family val="2"/>
          </rPr>
          <t>AIC with an extra correction for small samples.</t>
        </r>
      </text>
    </comment>
    <comment ref="AA10" authorId="0" shapeId="0" xr:uid="{76C7A7D9-F876-4D62-A80C-F7BC11681F7E}">
      <text>
        <r>
          <rPr>
            <b/>
            <sz val="9"/>
            <color indexed="81"/>
            <rFont val="Tahoma"/>
            <family val="2"/>
          </rPr>
          <t>A numeric check of how close the residuals are to a normal bell shape. Values closer to 1 are better.</t>
        </r>
      </text>
    </comment>
    <comment ref="AA11" authorId="0" shapeId="0" xr:uid="{1BAF5DC1-8018-4591-811F-36AFAB73BD55}">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ABCCF971-AB8A-4839-8FE0-D11FC9D8879E}">
      <text>
        <r>
          <rPr>
            <b/>
            <sz val="9"/>
            <color indexed="81"/>
            <rFont val="Tahoma"/>
            <family val="2"/>
          </rPr>
          <t>The cutoff for statistical significance. At 0.05, results with p-values below 0.05 are treated as statistically significant.</t>
        </r>
      </text>
    </comment>
    <comment ref="AA12" authorId="0" shapeId="0" xr:uid="{A0EBDFE6-FB19-4C48-B7FB-DE0A7ACAF89B}">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B2D3844B-02E0-4CB0-9831-AE95A3F13592}">
      <text>
        <r>
          <rPr>
            <b/>
            <sz val="9"/>
            <color indexed="81"/>
            <rFont val="Tahoma"/>
            <family val="2"/>
          </rPr>
          <t>The number of independent data points available to estimate each part of the model — total rows minus one for each estimated parameter.</t>
        </r>
      </text>
    </comment>
    <comment ref="Z14" authorId="0" shapeId="0" xr:uid="{A766275F-E60D-4696-8D28-6F662D9B7D54}">
      <text>
        <r>
          <rPr>
            <b/>
            <sz val="9"/>
            <color indexed="81"/>
            <rFont val="Tahoma"/>
            <family val="2"/>
          </rPr>
          <t>The total variation attributed to that source — regression, residual, or total. The raw material from which MS and F are calculated.</t>
        </r>
      </text>
    </comment>
    <comment ref="AA14" authorId="0" shapeId="0" xr:uid="{A49D4481-7976-4784-BB76-C2C33DBE767F}">
      <text>
        <r>
          <rPr>
            <b/>
            <sz val="9"/>
            <color indexed="81"/>
            <rFont val="Tahoma"/>
            <family val="2"/>
          </rPr>
          <t>Sum of squares averaged over its degrees of freedom — a per-unit measure of variation for that source.</t>
        </r>
      </text>
    </comment>
    <comment ref="AB14" authorId="0" shapeId="0" xr:uid="{98063C5A-59BE-4936-9DFF-258726E4DFAA}">
      <text>
        <r>
          <rPr>
            <b/>
            <sz val="9"/>
            <color indexed="81"/>
            <rFont val="Tahoma"/>
            <family val="2"/>
          </rPr>
          <t>The model-vs-noise ratio used in the overall regression significance test.</t>
        </r>
      </text>
    </comment>
    <comment ref="AC14" authorId="0" shapeId="0" xr:uid="{FBA7E287-6EB6-4DF3-AA8B-FBA7EA65F911}">
      <text>
        <r>
          <rPr>
            <b/>
            <sz val="9"/>
            <color indexed="81"/>
            <rFont val="Tahoma"/>
            <family val="2"/>
          </rPr>
          <t>The p-value for the overall F test. Small values mean the model as a whole is unlikely to be pure noise.</t>
        </r>
      </text>
    </comment>
    <comment ref="X15" authorId="0" shapeId="0" xr:uid="{3443F4FD-3C61-4C83-A498-353E25015D31}">
      <text>
        <r>
          <rPr>
            <b/>
            <sz val="9"/>
            <color indexed="81"/>
            <rFont val="Tahoma"/>
            <family val="2"/>
          </rPr>
          <t>The variation explained by the predictors taken together.</t>
        </r>
      </text>
    </comment>
    <comment ref="X16" authorId="0" shapeId="0" xr:uid="{ED216559-C8EA-4F35-B914-088EA93E987A}">
      <text>
        <r>
          <rPr>
            <b/>
            <sz val="9"/>
            <color indexed="81"/>
            <rFont val="Tahoma"/>
            <family val="2"/>
          </rPr>
          <t>The variation the model does not explain.</t>
        </r>
      </text>
    </comment>
    <comment ref="X17" authorId="0" shapeId="0" xr:uid="{DA226641-73B5-4968-82A9-500964C8C921}">
      <text>
        <r>
          <rPr>
            <b/>
            <sz val="9"/>
            <color indexed="81"/>
            <rFont val="Tahoma"/>
            <family val="2"/>
          </rPr>
          <t>All variation in the outcome before splitting it into explained and unexplained parts.</t>
        </r>
      </text>
    </comment>
    <comment ref="Y20" authorId="0" shapeId="0" xr:uid="{5F44948D-4E7A-45E3-B825-EF92F5915E9B}">
      <text>
        <r>
          <rPr>
            <b/>
            <sz val="9"/>
            <color indexed="81"/>
            <rFont val="Tahoma"/>
            <family val="2"/>
          </rPr>
          <t>The fitted weights used to turn predictor values into predictions.</t>
        </r>
      </text>
    </comment>
    <comment ref="Z20" authorId="0" shapeId="0" xr:uid="{DE9F2B3D-7F6C-4FD8-82D2-B489813E49AC}">
      <text>
        <r>
          <rPr>
            <b/>
            <sz val="9"/>
            <color indexed="81"/>
            <rFont val="Tahoma"/>
            <family val="2"/>
          </rPr>
          <t>How uncertain each coefficient estimate is.</t>
        </r>
      </text>
    </comment>
    <comment ref="AA20" authorId="0" shapeId="0" xr:uid="{C97E19E7-BBAA-409B-8F18-0CC34B2D1123}">
      <text>
        <r>
          <rPr>
            <b/>
            <sz val="9"/>
            <color indexed="81"/>
            <rFont val="Tahoma"/>
            <family val="2"/>
          </rPr>
          <t>How many standard errors the coefficient is away from zero.</t>
        </r>
      </text>
    </comment>
    <comment ref="AB20" authorId="0" shapeId="0" xr:uid="{898DAFC1-FB71-4CA2-8C6E-A4F72EF8B426}">
      <text>
        <r>
          <rPr>
            <b/>
            <sz val="9"/>
            <color indexed="81"/>
            <rFont val="Tahoma"/>
            <family val="2"/>
          </rPr>
          <t>How surprising this coefficient would be if its true effect were zero. Smaller values mean stronger evidence of a real effect.</t>
        </r>
      </text>
    </comment>
    <comment ref="AC20" authorId="0" shapeId="0" xr:uid="{7243CD5B-9013-49D2-9965-A5FAEF1816D5}">
      <text>
        <r>
          <rPr>
            <b/>
            <sz val="9"/>
            <color indexed="81"/>
            <rFont val="Tahoma"/>
            <family val="2"/>
          </rPr>
          <t>The lower bound of the 95% confidence interval.</t>
        </r>
      </text>
    </comment>
    <comment ref="AD20" authorId="0" shapeId="0" xr:uid="{AE8E5E35-8F10-4AB2-BBFE-9967868F6C53}">
      <text>
        <r>
          <rPr>
            <b/>
            <sz val="9"/>
            <color indexed="81"/>
            <rFont val="Tahoma"/>
            <family val="2"/>
          </rPr>
          <t>The upper bound of the 95% confidence interval.</t>
        </r>
      </text>
    </comment>
    <comment ref="AE20" authorId="0" shapeId="0" xr:uid="{9C9D9040-8473-4AB2-8CCE-BA08015FDD2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<sst xmlns="http://schemas.openxmlformats.org/spreadsheetml/2006/main" count="8634" uniqueCount="1770">
  <si>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</si>
  <si>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</si>
  <si>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</si>
  <si>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</si>
  <si>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</si>
  <si>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</si>
  <si>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</si>
  <si>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</si>
  <si>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</si>
  <si>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</si>
  <si>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</si>
  <si>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</si>
  <si>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</si>
  <si>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</si>
  <si>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</si>
  <si>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</si>
  <si>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</si>
  <si>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</si>
  <si>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</si>
  <si>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</si>
  <si>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</si>
  <si>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</si>
  <si>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</si>
  <si>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</si>
  <si>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</si>
  <si>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</si>
  <si>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</si>
  <si>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</si>
  <si>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</si>
  <si>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</si>
  <si>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</si>
  <si>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</si>
  <si>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</si>
  <si>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</si>
  <si>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</si>
  <si>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</si>
  <si>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</si>
  <si>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</si>
  <si>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</si>
  <si>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</si>
  <si>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</si>
  <si>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</si>
  <si>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</si>
  <si>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</si>
  <si>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</si>
  <si>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</si>
  <si>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</si>
  <si>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</si>
  <si>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</si>
  <si>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</si>
  <si>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</si>
  <si>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</si>
  <si>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</si>
  <si>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</si>
  <si>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</si>
  <si>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</si>
  <si>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</si>
  <si>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</si>
  <si>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</si>
  <si>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</si>
  <si>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</si>
  <si>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</si>
  <si>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</si>
  <si>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</si>
  <si>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</si>
  <si>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</si>
  <si>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</si>
  <si>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</si>
  <si>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</si>
  <si>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</si>
  <si>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</si>
  <si>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</si>
  <si>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</si>
  <si>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</si>
  <si>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</si>
  <si>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</si>
  <si>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</si>
  <si>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</si>
  <si>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</si>
  <si>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</si>
  <si>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</si>
  <si>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</si>
  <si>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</si>
  <si>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</si>
  <si>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</si>
  <si>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</si>
  <si>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</si>
  <si>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</si>
  <si>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</si>
  <si>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</si>
  <si>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</si>
  <si>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</si>
  <si>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</si>
  <si>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</si>
  <si>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</si>
  <si>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</si>
  <si>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</si>
  <si>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</si>
  <si>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</si>
  <si>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</si>
  <si>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</si>
  <si>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</si>
  <si>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</si>
  <si>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</si>
  <si>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</si>
  <si>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</si>
  <si>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</si>
  <si>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</si>
  <si>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</si>
  <si>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</si>
  <si>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</si>
  <si>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</si>
  <si>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</si>
  <si>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</si>
  <si>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</si>
  <si>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</si>
  <si>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</si>
  <si>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</si>
  <si>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</si>
  <si>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</si>
  <si>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</si>
  <si>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</si>
  <si>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</si>
  <si>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</si>
  <si>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</si>
  <si>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</si>
  <si>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</si>
  <si>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</si>
  <si>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</si>
  <si>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</si>
  <si>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</si>
  <si>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</si>
  <si>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</si>
  <si>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</si>
  <si>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</si>
  <si>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</si>
  <si>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</si>
  <si>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</si>
  <si>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</si>
  <si>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</si>
  <si>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</si>
  <si>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</si>
  <si>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</si>
  <si>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</si>
  <si>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</si>
  <si>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</si>
  <si>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</si>
  <si>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</si>
  <si>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</si>
  <si>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</si>
  <si>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</si>
  <si>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</si>
  <si>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</si>
  <si>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</si>
  <si>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</si>
  <si>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</si>
  <si>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</si>
  <si>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</si>
  <si>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</si>
  <si>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</si>
  <si>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</si>
  <si>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</si>
  <si>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</si>
  <si>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</si>
  <si>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</si>
  <si>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</si>
  <si>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</si>
  <si>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</si>
  <si>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</si>
  <si>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</si>
  <si>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</si>
  <si>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</si>
  <si>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</si>
  <si>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</si>
  <si>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</si>
  <si>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</si>
  <si>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</si>
  <si>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</si>
  <si>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</si>
  <si>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</si>
  <si>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</si>
  <si>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</si>
  <si>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</si>
  <si>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</si>
  <si>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</si>
  <si>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</si>
  <si>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</si>
  <si>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</si>
  <si>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</si>
  <si>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</si>
  <si>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</si>
  <si>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</si>
  <si>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</si>
  <si>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</si>
  <si>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</si>
  <si>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</si>
  <si>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</si>
  <si>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</si>
  <si>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</si>
  <si>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</si>
  <si>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</si>
  <si>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</si>
  <si>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</si>
  <si>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</si>
  <si>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</si>
  <si>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</si>
  <si>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</si>
  <si>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</si>
  <si>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</si>
  <si>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</si>
  <si>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</si>
  <si>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</si>
  <si>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</si>
  <si>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</si>
  <si>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</si>
  <si>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</si>
  <si>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</si>
  <si>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</si>
  <si>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</si>
  <si>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</si>
  <si>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</si>
  <si>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</si>
  <si>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</si>
  <si>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</si>
  <si>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</si>
  <si>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</si>
  <si>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</si>
  <si>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</si>
  <si>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</si>
  <si>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</si>
  <si>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</si>
  <si>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</si>
  <si>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</si>
  <si>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</si>
  <si>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</si>
  <si>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</si>
  <si>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</si>
  <si>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</si>
  <si>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</si>
  <si>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</si>
  <si>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</si>
  <si>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</si>
  <si>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</si>
  <si>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</si>
  <si>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</si>
  <si>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</si>
  <si>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</si>
  <si>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</si>
  <si>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</si>
  <si>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</si>
  <si>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</si>
  <si>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</si>
  <si>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</si>
  <si>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</si>
  <si>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</si>
  <si>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</si>
  <si>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</si>
  <si>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</si>
  <si>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</si>
  <si>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</si>
  <si>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</si>
  <si>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</si>
  <si>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</si>
  <si>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</si>
  <si>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</si>
  <si>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</si>
  <si>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</si>
  <si>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</si>
  <si>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</si>
  <si>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</si>
  <si>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</si>
  <si>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</si>
  <si>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</si>
  <si>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</si>
  <si>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</si>
  <si>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</si>
  <si>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</si>
  <si>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</si>
  <si>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</si>
  <si>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</si>
  <si>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</si>
  <si>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</si>
  <si>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</si>
  <si>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</si>
  <si>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</si>
  <si>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</si>
  <si>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</si>
  <si>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</si>
  <si>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</si>
  <si>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</si>
  <si>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</si>
  <si>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</si>
  <si>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</si>
  <si>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</si>
  <si>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</si>
  <si>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</si>
  <si>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</si>
  <si>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</si>
  <si>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</si>
  <si>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</si>
  <si>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</si>
  <si>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</si>
  <si>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</si>
  <si>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</si>
  <si>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</si>
  <si>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</si>
  <si>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</si>
  <si>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</si>
  <si>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</si>
  <si>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</si>
  <si>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</si>
  <si>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</si>
  <si>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</si>
  <si>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</si>
  <si>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</si>
  <si>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</si>
  <si>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</si>
  <si>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</si>
  <si>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</si>
  <si>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</si>
  <si>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</si>
  <si>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</si>
  <si>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</si>
  <si>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</si>
  <si>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</si>
  <si>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</si>
  <si>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</si>
  <si>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</si>
  <si>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</si>
  <si>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</si>
  <si>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</si>
  <si>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</si>
  <si>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</si>
  <si>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</si>
  <si>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</si>
  <si>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</si>
  <si>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</si>
  <si>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</si>
  <si>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</si>
  <si>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</si>
  <si>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</si>
  <si>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</si>
  <si>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</si>
  <si>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</si>
  <si>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</si>
  <si>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</si>
  <si>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</si>
  <si>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</si>
  <si>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</si>
  <si>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</si>
  <si>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</si>
  <si>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</si>
  <si>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</si>
  <si>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</si>
  <si>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</si>
  <si>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</si>
  <si>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</si>
  <si>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</si>
  <si>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</si>
  <si>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</si>
  <si>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</si>
  <si>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</si>
  <si>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</si>
  <si>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</si>
  <si>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</si>
  <si>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</si>
  <si>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</si>
  <si>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</si>
  <si>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</si>
  <si>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</si>
  <si>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</si>
  <si>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</si>
  <si>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</si>
  <si>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</si>
  <si>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</si>
  <si>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</si>
  <si>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</si>
  <si>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</si>
  <si>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</si>
  <si>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</si>
  <si>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</si>
  <si>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</si>
  <si>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</si>
  <si>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</si>
  <si>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</si>
  <si>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</si>
  <si>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</si>
  <si>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</si>
  <si>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</si>
  <si>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</si>
  <si>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</si>
  <si>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</si>
  <si>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</si>
  <si>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</si>
  <si>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</si>
  <si>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</si>
  <si>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</si>
  <si>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</si>
  <si>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</si>
  <si>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</si>
  <si>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</si>
  <si>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</si>
  <si>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</si>
  <si>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</si>
  <si>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</si>
  <si>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</si>
  <si>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</si>
  <si>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</si>
  <si>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</si>
  <si>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</si>
  <si>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</si>
  <si>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</si>
  <si>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</si>
  <si>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</si>
  <si>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</si>
  <si>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</si>
  <si>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</si>
  <si>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</si>
  <si>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</si>
  <si>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</si>
  <si>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</si>
  <si>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</si>
  <si>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</si>
  <si>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</si>
  <si>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</si>
  <si>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</si>
  <si>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</si>
  <si>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</si>
  <si>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</si>
  <si>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</si>
  <si>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</si>
  <si>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</si>
  <si>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</si>
  <si>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</si>
  <si>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</si>
  <si>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</si>
  <si>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</si>
  <si>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</si>
  <si>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</si>
  <si>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</si>
  <si>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</si>
  <si>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</si>
  <si>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</si>
  <si>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</si>
  <si>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</si>
  <si>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</si>
  <si>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</si>
  <si>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</si>
  <si>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</si>
  <si>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</si>
  <si>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</si>
  <si>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</si>
  <si>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</si>
  <si>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</si>
  <si>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</si>
  <si>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</si>
  <si>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</si>
  <si>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</si>
  <si>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</si>
  <si>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</si>
  <si>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</si>
  <si>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</si>
  <si>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</si>
  <si>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</si>
  <si>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</si>
  <si>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</si>
  <si>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</si>
  <si>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</si>
  <si>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</si>
  <si>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</si>
  <si>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</si>
  <si>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</si>
  <si>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</si>
  <si>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</si>
  <si>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</si>
  <si>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</si>
  <si>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</si>
  <si>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</si>
  <si>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</si>
  <si>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</si>
  <si>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</si>
  <si>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</si>
  <si>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</si>
  <si>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</si>
  <si>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</si>
  <si>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</si>
  <si>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</si>
  <si>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</si>
  <si>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</si>
  <si>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</si>
  <si>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</si>
  <si>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</si>
  <si>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</si>
  <si>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</si>
  <si>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</si>
  <si>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</si>
  <si>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</si>
  <si>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</si>
  <si>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</si>
  <si>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</si>
  <si>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</si>
  <si>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</si>
  <si>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</si>
  <si>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</si>
  <si>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</si>
  <si>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</si>
  <si>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</si>
  <si>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</si>
  <si>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</si>
  <si>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</si>
  <si>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</si>
  <si>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</si>
  <si>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</si>
  <si>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</si>
  <si>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</si>
  <si>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</si>
  <si>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</si>
  <si>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</si>
  <si>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</si>
  <si>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</si>
  <si>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</si>
  <si>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</si>
  <si>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</si>
  <si>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</si>
  <si>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</si>
  <si>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</si>
  <si>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</si>
  <si>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</si>
  <si>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</si>
  <si>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</si>
  <si>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</si>
  <si>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</si>
  <si>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</si>
  <si>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</si>
  <si>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</si>
  <si>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</si>
  <si>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</si>
  <si>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</si>
  <si>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</si>
  <si>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</si>
  <si>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</si>
  <si>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</si>
  <si>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</si>
  <si>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</si>
  <si>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</si>
  <si>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</si>
  <si>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</si>
  <si>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</si>
  <si>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</si>
  <si>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</si>
  <si>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</si>
  <si>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</si>
  <si>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</si>
  <si>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</si>
  <si>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</si>
  <si>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</si>
  <si>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</si>
  <si>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</si>
  <si>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</si>
  <si>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</si>
  <si>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</si>
  <si>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</si>
  <si>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</si>
  <si>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</si>
  <si>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</si>
  <si>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</si>
  <si>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</si>
  <si>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</si>
  <si>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</si>
  <si>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</si>
  <si>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</si>
  <si>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</si>
  <si>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</si>
  <si>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</si>
  <si>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</si>
  <si>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</si>
  <si>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</si>
  <si>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</si>
  <si>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</si>
  <si>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</si>
  <si>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</si>
  <si>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</si>
  <si>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</si>
  <si>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</si>
  <si>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</si>
  <si>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</si>
  <si>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</si>
  <si>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</si>
  <si>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</si>
  <si>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</si>
  <si>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</si>
  <si>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</si>
  <si>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</si>
  <si>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</si>
  <si>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</si>
  <si>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</si>
  <si>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</si>
  <si>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</si>
  <si>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</si>
  <si>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</si>
  <si>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</si>
  <si>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</si>
  <si>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</si>
  <si>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</si>
  <si>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</si>
  <si>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</si>
  <si>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</si>
  <si>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</si>
  <si>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</si>
  <si>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</si>
  <si>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</si>
  <si>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</si>
  <si>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</si>
  <si>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</si>
  <si>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</si>
  <si>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</si>
  <si>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</si>
  <si>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</si>
  <si>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</si>
  <si>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</si>
  <si>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</si>
  <si>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</si>
  <si>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</si>
  <si>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</si>
  <si>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</si>
  <si>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</si>
  <si>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</si>
  <si>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</si>
  <si>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</si>
  <si>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</si>
  <si>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</si>
  <si>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</si>
  <si>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</si>
  <si>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</si>
  <si>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</si>
  <si>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</si>
  <si>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</si>
  <si>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</si>
  <si>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</si>
  <si>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</si>
  <si>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</si>
  <si>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</si>
  <si>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</si>
  <si>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</si>
  <si>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</si>
  <si>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</si>
  <si>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</si>
  <si>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</si>
  <si>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</si>
  <si>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</si>
  <si>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</si>
  <si>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</si>
  <si>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</si>
  <si>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</si>
  <si>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</si>
  <si>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</si>
  <si>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</si>
  <si>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</si>
  <si>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</si>
  <si>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</si>
  <si>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</si>
  <si>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</si>
  <si>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</si>
  <si>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</si>
  <si>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</si>
  <si>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</si>
  <si>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</si>
  <si>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</si>
  <si>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</si>
  <si>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</si>
  <si>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</si>
  <si>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</si>
  <si>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</si>
  <si>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</si>
  <si>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</si>
  <si>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</si>
  <si>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</si>
  <si>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</si>
  <si>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</si>
  <si>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</si>
  <si>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</si>
  <si>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</si>
  <si>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</si>
  <si>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</si>
  <si>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</si>
  <si>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</si>
  <si>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</si>
  <si>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</si>
  <si>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</si>
  <si>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</si>
  <si>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</si>
  <si>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</si>
  <si>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</si>
  <si>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</si>
  <si>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</si>
  <si>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</si>
  <si>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</si>
  <si>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</si>
  <si>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</si>
  <si>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</si>
  <si>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</si>
  <si>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</si>
  <si>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</si>
  <si>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</si>
  <si>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</si>
  <si>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</si>
  <si>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</si>
  <si>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</si>
  <si>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</si>
  <si>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</si>
  <si>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</si>
  <si>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</si>
  <si>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</si>
  <si>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</si>
  <si>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</si>
  <si>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</si>
  <si>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</si>
  <si>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</si>
  <si>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</si>
  <si>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</si>
  <si>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</si>
  <si>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</si>
  <si>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</si>
  <si>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</si>
  <si>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</si>
  <si>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</si>
  <si>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</si>
  <si>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</si>
  <si>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</si>
  <si>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</si>
  <si>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</si>
  <si>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</si>
  <si>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</si>
  <si>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</si>
  <si>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</si>
  <si>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</si>
  <si>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</si>
  <si>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</si>
  <si>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</si>
  <si>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</si>
  <si>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</si>
  <si>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</si>
  <si>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</si>
  <si>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</si>
  <si>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</si>
  <si>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</si>
  <si>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</si>
  <si>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</si>
  <si>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</si>
  <si>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</si>
  <si>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</si>
  <si>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</si>
  <si>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</si>
  <si>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</si>
  <si>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</si>
  <si>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</si>
  <si>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</si>
  <si>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</si>
  <si>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</si>
  <si>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</si>
  <si>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</si>
  <si>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</si>
  <si>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</si>
  <si>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</si>
  <si>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</si>
  <si>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</si>
  <si>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</si>
  <si>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</si>
  <si>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</si>
  <si>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</si>
  <si>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</si>
  <si>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</si>
  <si>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</si>
  <si>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</si>
  <si>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</si>
  <si>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</si>
  <si>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</si>
  <si>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</si>
  <si>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</si>
  <si>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</si>
  <si>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</si>
  <si>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</si>
  <si>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</si>
  <si>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</si>
  <si>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</si>
  <si>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</si>
  <si>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</si>
  <si>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</si>
  <si>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</si>
  <si>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</si>
  <si>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</si>
  <si>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</si>
  <si>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</si>
  <si>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</si>
  <si>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</si>
  <si>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</si>
  <si>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</si>
  <si>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</si>
  <si>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</si>
  <si>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</si>
  <si>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</si>
  <si>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</si>
  <si>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</si>
  <si>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</si>
  <si>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</si>
  <si>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</si>
  <si>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</si>
  <si>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</si>
  <si>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</si>
  <si>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</si>
  <si>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</si>
  <si>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</si>
  <si>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</si>
  <si>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</si>
  <si>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</si>
  <si>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</si>
  <si>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</si>
  <si>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</si>
  <si>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</si>
  <si>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</si>
  <si>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</si>
  <si>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</si>
  <si>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</si>
  <si>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</si>
  <si>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</si>
  <si>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</si>
  <si>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</si>
  <si>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</si>
  <si>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</si>
  <si>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</si>
  <si>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</si>
  <si>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</si>
  <si>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</si>
  <si>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</si>
  <si>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</si>
  <si>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</si>
  <si>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</si>
  <si>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</si>
  <si>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</si>
  <si>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</si>
  <si>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</si>
  <si>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</si>
  <si>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</si>
  <si>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</si>
  <si>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</si>
  <si>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</si>
  <si>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</si>
  <si>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</si>
  <si>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</si>
  <si>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</si>
  <si>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</si>
  <si>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</si>
  <si>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</si>
  <si>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</si>
  <si>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</si>
  <si>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</si>
  <si>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</si>
  <si>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</si>
  <si>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</si>
  <si>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</si>
  <si>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</si>
  <si>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</si>
  <si>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</si>
  <si>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</si>
  <si>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</si>
  <si>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</si>
  <si>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</si>
  <si>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</si>
  <si>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</si>
  <si>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</si>
  <si>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</si>
  <si>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</si>
  <si>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</si>
  <si>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</si>
  <si>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</si>
  <si>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</si>
  <si>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</si>
  <si>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</si>
  <si>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</si>
  <si>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</si>
  <si>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</si>
  <si>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</si>
  <si>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</si>
  <si>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</si>
  <si>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</si>
  <si>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</si>
  <si>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</si>
  <si>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</si>
  <si>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</si>
  <si>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</si>
  <si>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</si>
  <si>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</si>
  <si>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</si>
  <si>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</si>
  <si>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</si>
  <si>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</si>
  <si>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</si>
  <si>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</si>
  <si>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</si>
  <si>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</si>
  <si>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</si>
  <si>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</si>
  <si>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</si>
  <si>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</si>
  <si>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</si>
  <si>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</si>
  <si>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</si>
  <si>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</si>
  <si>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</si>
  <si>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</si>
  <si>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</si>
  <si>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</si>
  <si>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</si>
  <si>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</si>
  <si>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</si>
  <si>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</si>
  <si>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</si>
  <si>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</si>
  <si>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</si>
  <si>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</si>
  <si>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</si>
  <si>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</si>
  <si>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</si>
  <si>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</si>
  <si>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</si>
  <si>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</si>
  <si>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</si>
  <si>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</si>
  <si>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</si>
  <si>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</si>
  <si>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</si>
  <si>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</si>
  <si>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</si>
  <si>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</si>
  <si>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</si>
  <si>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</si>
  <si>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</si>
  <si>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</si>
  <si>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</si>
  <si>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</si>
  <si>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</si>
  <si>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</si>
  <si>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</si>
  <si>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</si>
  <si>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</si>
  <si>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</si>
  <si>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</si>
  <si>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</si>
  <si>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</si>
  <si>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</si>
  <si>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</si>
  <si>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</si>
  <si>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</si>
  <si>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</si>
  <si>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</si>
  <si>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</si>
  <si>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</si>
  <si>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</si>
  <si>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</si>
  <si>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</si>
  <si>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</si>
  <si>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</si>
  <si>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</si>
  <si>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</si>
  <si>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</si>
  <si>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</si>
  <si>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</si>
  <si>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</si>
  <si>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</si>
  <si>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</si>
  <si>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</si>
  <si>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</si>
  <si>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</si>
  <si>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</si>
  <si>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</si>
  <si>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</si>
  <si>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</si>
  <si>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</si>
  <si>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</si>
  <si>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</si>
  <si>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</si>
  <si>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</si>
  <si>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</si>
  <si>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</si>
  <si>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</si>
  <si>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</si>
  <si>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</si>
  <si>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</si>
  <si>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</si>
  <si>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</si>
  <si>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</si>
  <si>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</si>
  <si>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</si>
  <si>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</si>
  <si>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</si>
  <si>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</si>
  <si>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</si>
  <si>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</si>
  <si>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</si>
  <si>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</si>
  <si>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</si>
  <si>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</si>
  <si>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</si>
  <si>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</si>
  <si>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</si>
  <si>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</si>
  <si>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</si>
  <si>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</si>
  <si>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</si>
  <si>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</si>
  <si>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</si>
  <si>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</si>
  <si>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</si>
  <si>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</si>
  <si>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</si>
  <si>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</si>
  <si>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</si>
  <si>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</si>
  <si>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</si>
  <si>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</si>
  <si>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</si>
  <si>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</si>
  <si>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</si>
  <si>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</si>
  <si>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</si>
  <si>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</si>
  <si>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</si>
  <si>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</si>
  <si>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</si>
  <si>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</si>
  <si>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</si>
  <si>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</si>
  <si>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</si>
  <si>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</si>
  <si>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</si>
  <si>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</si>
  <si>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</si>
  <si>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</si>
  <si>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</si>
  <si>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</si>
  <si>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</si>
  <si>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</si>
  <si>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</si>
  <si>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</si>
  <si>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</si>
  <si>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</si>
  <si>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</si>
  <si>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</si>
  <si>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</si>
  <si>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</si>
  <si>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</si>
  <si>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</si>
  <si>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</si>
  <si>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</si>
  <si>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</si>
  <si>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</si>
  <si>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</si>
  <si>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</si>
  <si>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</si>
  <si>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</si>
  <si>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</si>
  <si>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</si>
  <si>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</si>
  <si>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</si>
  <si>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</si>
  <si>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</si>
  <si>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</si>
  <si>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</si>
  <si>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</si>
  <si>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</si>
  <si>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</si>
  <si>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</si>
  <si>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</si>
  <si>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</si>
  <si>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</si>
  <si>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</si>
  <si>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</si>
  <si>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</si>
  <si>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</si>
  <si>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</si>
  <si>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</si>
  <si>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</si>
  <si>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</si>
  <si>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</si>
  <si>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</si>
  <si>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</si>
  <si>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</si>
  <si>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</si>
  <si>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</si>
  <si>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</si>
  <si>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</si>
  <si>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</si>
  <si>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</si>
  <si>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</si>
  <si>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</si>
  <si>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</si>
  <si>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</si>
  <si>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</si>
  <si>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</si>
  <si>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</si>
  <si>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</si>
  <si>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</si>
  <si>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</si>
  <si>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</si>
  <si>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</si>
  <si>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</si>
  <si>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</si>
  <si>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</si>
  <si>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</si>
  <si>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</si>
  <si>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</si>
  <si>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</si>
  <si>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</si>
  <si>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</si>
  <si>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</si>
  <si>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</si>
  <si>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</si>
  <si>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</si>
  <si>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</si>
  <si>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</si>
  <si>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</si>
  <si>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</si>
  <si>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</si>
  <si>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</si>
  <si>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</si>
  <si>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</si>
  <si>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</si>
  <si>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</si>
  <si>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</si>
  <si>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</si>
  <si>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</si>
  <si>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</si>
  <si>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</si>
  <si>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</si>
  <si>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</si>
  <si>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</si>
  <si>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</si>
  <si>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</si>
  <si>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</si>
  <si>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</si>
  <si>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</si>
  <si>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</si>
  <si>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</si>
  <si>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</si>
  <si>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</si>
  <si>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</si>
  <si>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</si>
  <si>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</si>
  <si>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</si>
  <si>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</si>
  <si>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</si>
  <si>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</si>
  <si>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</si>
  <si>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</si>
  <si>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</si>
  <si>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</si>
  <si>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</si>
  <si>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</si>
  <si>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</si>
  <si>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</si>
  <si>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</si>
  <si>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</si>
  <si>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</si>
  <si>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</si>
  <si>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</si>
  <si>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</si>
  <si>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</si>
  <si>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</si>
  <si>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</si>
  <si>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</si>
  <si>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</si>
  <si>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</si>
  <si>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</si>
  <si>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</si>
  <si>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</si>
  <si>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</si>
  <si>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</si>
  <si>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</si>
  <si>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</si>
  <si>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</si>
  <si>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</si>
  <si>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</si>
  <si>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</si>
  <si>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</si>
  <si>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</si>
  <si>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</si>
  <si>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</si>
  <si>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</si>
  <si>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</si>
  <si>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</si>
  <si>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</si>
  <si>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</si>
  <si>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</si>
  <si>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</si>
  <si>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</si>
  <si>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</si>
  <si>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</si>
  <si>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</si>
  <si>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</si>
  <si>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</si>
  <si>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</si>
  <si>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</si>
  <si>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</si>
  <si>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</si>
  <si>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</si>
  <si>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</si>
  <si>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</si>
  <si>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</si>
  <si>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</si>
  <si>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</si>
  <si>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</si>
  <si>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</si>
  <si>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</si>
  <si>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</si>
  <si>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</si>
  <si>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</si>
  <si>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</si>
  <si>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</si>
  <si>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</si>
  <si>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</si>
  <si>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</si>
  <si>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</si>
  <si>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</si>
  <si>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</si>
  <si>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</si>
  <si>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</si>
  <si>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</si>
  <si>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</si>
  <si>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</si>
  <si>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</si>
  <si>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</si>
  <si>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</si>
  <si>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</si>
  <si>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</si>
  <si>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</si>
  <si>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</si>
  <si>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</si>
  <si>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</si>
  <si>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</si>
  <si>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</si>
  <si>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</si>
  <si>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</si>
  <si>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</si>
  <si>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</si>
  <si>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</si>
  <si>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</si>
  <si>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</si>
  <si>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</si>
  <si>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</si>
  <si>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</si>
  <si>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</si>
  <si>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</si>
  <si>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</si>
  <si>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</si>
  <si>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</si>
  <si>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</si>
  <si>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</si>
  <si>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</si>
  <si>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</si>
  <si>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</si>
  <si>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</si>
  <si>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</si>
  <si>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</si>
  <si>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</si>
  <si>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</si>
  <si>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</si>
  <si>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</si>
  <si>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</si>
  <si>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</si>
  <si>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</si>
  <si>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</si>
  <si>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</si>
  <si>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</si>
  <si>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</si>
  <si>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</si>
  <si>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</si>
  <si>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</si>
  <si>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</si>
  <si>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</si>
  <si>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</si>
  <si>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</si>
  <si>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</si>
  <si>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</si>
  <si>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</si>
  <si>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</si>
  <si>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</si>
  <si>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</si>
  <si>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</si>
  <si>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</si>
  <si>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</si>
  <si>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</si>
  <si>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</si>
  <si>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</si>
  <si>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</si>
  <si>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</si>
  <si>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</si>
  <si>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</si>
  <si>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</si>
  <si>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</si>
  <si>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</si>
  <si>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</si>
  <si>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</si>
  <si>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</si>
  <si>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</si>
  <si>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</si>
  <si>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</si>
  <si>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</si>
  <si>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</si>
  <si>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</si>
  <si>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</si>
  <si>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</si>
  <si>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</si>
  <si>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</si>
  <si>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</si>
  <si>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</si>
  <si>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</si>
  <si>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</si>
  <si>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</si>
  <si>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</si>
  <si>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</si>
  <si>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</si>
  <si>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</si>
  <si>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</si>
  <si>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</si>
  <si>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</si>
  <si>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</si>
  <si>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</si>
  <si>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</si>
  <si>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</si>
  <si>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</si>
  <si>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</si>
  <si>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</si>
  <si>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</si>
  <si>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</si>
  <si>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</si>
  <si>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</si>
  <si>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</si>
  <si>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</si>
  <si>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</si>
  <si>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</si>
  <si>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</si>
  <si>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</si>
  <si>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</si>
  <si>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</si>
  <si>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</si>
  <si>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</si>
  <si>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</si>
  <si>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</si>
  <si>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</si>
  <si>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</si>
  <si>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</si>
  <si>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</si>
  <si>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</si>
  <si>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</si>
  <si>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</si>
  <si>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</si>
  <si>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</si>
  <si>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</si>
  <si>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</si>
  <si>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</si>
  <si>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</si>
  <si>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</si>
  <si>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</si>
  <si>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</si>
  <si>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</si>
  <si>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</si>
  <si>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</si>
  <si>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</si>
  <si>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</si>
  <si>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</si>
  <si>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</si>
  <si>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</si>
  <si>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</si>
  <si>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</si>
  <si>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</si>
  <si>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</si>
  <si>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</si>
  <si>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</si>
  <si>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</si>
  <si>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</si>
  <si>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</si>
  <si>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</si>
  <si>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</si>
  <si>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</si>
  <si>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</si>
  <si>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</si>
  <si>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</si>
  <si>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</si>
  <si>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</si>
  <si>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</si>
  <si>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</si>
  <si>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</si>
  <si>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</si>
  <si>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</si>
  <si>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</si>
  <si>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</si>
  <si>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</si>
  <si>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</si>
  <si>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</si>
  <si>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</si>
  <si>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</si>
  <si>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</si>
  <si>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</si>
  <si>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</si>
  <si>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</si>
  <si>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</si>
  <si>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</si>
  <si>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</si>
  <si>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</si>
  <si>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</si>
  <si>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</si>
  <si>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</si>
  <si>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</si>
  <si>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</si>
  <si>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</si>
  <si>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</si>
  <si>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</si>
  <si>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</si>
  <si>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</si>
  <si>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</si>
  <si>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</si>
  <si>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</si>
  <si>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</si>
  <si>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</si>
  <si>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</si>
  <si>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</si>
  <si>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</si>
  <si>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</si>
  <si>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</si>
  <si>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</si>
  <si>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</si>
  <si>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</si>
  <si>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</si>
  <si>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</si>
  <si>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</si>
  <si>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</si>
  <si>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</si>
  <si>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</si>
  <si>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</si>
  <si>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</si>
  <si>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</si>
  <si>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</si>
  <si>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</si>
  <si>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</si>
  <si>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</si>
  <si>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</si>
  <si>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</si>
  <si>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</si>
  <si>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</si>
  <si>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</si>
  <si>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</si>
  <si>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</si>
  <si>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</si>
  <si>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</si>
  <si>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</si>
  <si>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</si>
  <si>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</si>
  <si>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</si>
  <si>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</si>
  <si>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</si>
  <si>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</si>
  <si>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</si>
  <si>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</si>
  <si>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</si>
  <si>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</si>
  <si>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</si>
  <si>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</si>
  <si>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</si>
  <si>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</si>
  <si>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</si>
  <si>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</si>
  <si>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</si>
  <si>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</si>
  <si>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</si>
  <si>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</si>
  <si>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</si>
  <si>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</si>
  <si>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</si>
  <si>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</si>
  <si>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</si>
  <si>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</si>
  <si>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</si>
  <si>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</si>
  <si>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</si>
  <si>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</si>
  <si>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</si>
  <si>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</si>
  <si>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</si>
  <si>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</si>
  <si>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</si>
  <si>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</si>
  <si>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</si>
  <si>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</si>
  <si>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</si>
  <si>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</si>
  <si>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</si>
  <si>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</si>
  <si>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</si>
  <si>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</si>
  <si>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</si>
  <si>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</si>
  <si>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</si>
  <si>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</si>
  <si>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</si>
  <si>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</si>
  <si>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</si>
  <si>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</si>
  <si>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</si>
  <si>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</si>
  <si>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</si>
  <si>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</si>
  <si>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</si>
  <si>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</si>
  <si>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</si>
  <si>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</si>
  <si>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</si>
  <si>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</si>
  <si>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</si>
  <si>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</si>
  <si>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</si>
  <si>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</si>
  <si>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</si>
  <si>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</si>
  <si>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</si>
  <si>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</si>
  <si>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</si>
  <si>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</si>
  <si>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</si>
  <si>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</si>
  <si>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</si>
  <si>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</si>
  <si>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</si>
  <si>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</si>
  <si>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</si>
  <si>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</si>
  <si>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</si>
  <si>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</si>
  <si>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</si>
  <si>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</si>
  <si>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</si>
  <si>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</si>
  <si>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</si>
  <si>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</si>
  <si>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</si>
  <si>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</si>
  <si>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</si>
  <si>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</si>
  <si>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</si>
  <si>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</si>
  <si>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</si>
  <si>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</si>
  <si>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</si>
  <si>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</si>
  <si>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</si>
  <si>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</si>
  <si>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</si>
  <si>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</si>
  <si>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</si>
  <si>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</si>
  <si>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</si>
  <si>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</si>
  <si>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</si>
  <si>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</si>
  <si>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</si>
  <si>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</si>
  <si>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</si>
  <si>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</si>
  <si>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</si>
  <si>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</si>
  <si>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</si>
  <si>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</si>
  <si>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</si>
  <si>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</si>
  <si>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</si>
  <si>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</si>
  <si>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</si>
  <si>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</si>
  <si>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</si>
  <si>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</si>
  <si>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</si>
  <si>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</si>
  <si>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</si>
  <si>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</si>
  <si>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</si>
  <si>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</si>
  <si>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</si>
  <si>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</si>
  <si>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</si>
  <si>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</si>
  <si>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</si>
  <si>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</si>
  <si>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</si>
  <si>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</si>
  <si>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</si>
  <si>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</si>
  <si>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</si>
  <si>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</si>
  <si>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</si>
  <si>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</si>
  <si>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</si>
  <si>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</si>
  <si>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</si>
  <si>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</si>
  <si>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</si>
  <si>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</si>
  <si>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</si>
  <si>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</si>
  <si>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</si>
  <si>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</si>
  <si>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</si>
  <si>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</si>
  <si>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</si>
  <si>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</si>
  <si>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</si>
  <si>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</si>
  <si>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</si>
  <si>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</si>
  <si>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</si>
  <si>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</si>
  <si>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</si>
  <si>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</si>
  <si>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</si>
  <si>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</si>
  <si>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</si>
  <si>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</si>
  <si>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</si>
  <si>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</si>
  <si>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</si>
  <si>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</si>
  <si>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</si>
  <si>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</si>
  <si>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</si>
  <si>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</si>
  <si>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</si>
  <si>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</si>
  <si>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</si>
  <si>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</si>
  <si>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</si>
  <si>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</si>
  <si>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</si>
  <si>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</si>
  <si>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</si>
  <si>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</si>
  <si>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</si>
  <si>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</si>
  <si>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</si>
  <si>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</si>
  <si>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</si>
  <si>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</si>
  <si>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</si>
  <si>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</si>
  <si>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</si>
  <si>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</si>
  <si>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</si>
  <si>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</si>
  <si>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</si>
  <si>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</si>
  <si>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</si>
  <si>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</si>
  <si>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</si>
  <si>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</si>
  <si>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</si>
  <si>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</si>
  <si>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</si>
  <si>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</si>
  <si>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</si>
  <si>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</si>
  <si>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</si>
  <si>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</si>
  <si>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</si>
  <si>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</si>
  <si>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</si>
  <si>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</si>
  <si>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</si>
  <si>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</si>
  <si>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</si>
  <si>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</si>
  <si>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</si>
  <si>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</si>
  <si>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</si>
  <si>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</si>
  <si>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</si>
  <si>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</si>
  <si>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</si>
  <si>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</si>
  <si>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</si>
  <si>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BYCOL(X_s, LAMBDA(col, Demean_By(col, group, filt_arg))),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</si>
  <si>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</si>
  <si>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</si>
  <si>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</si>
  <si>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</si>
  <si>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</si>
  <si>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</si>
  <si>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</si>
  <si>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</si>
  <si>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</si>
  <si>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</si>
  <si>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</si>
  <si>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</si>
  <si>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</si>
  <si>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</si>
  <si>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</si>
  <si>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</si>
  <si>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</si>
  <si>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</si>
  <si>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</si>
  <si>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</si>
  <si>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=LAMBDA(x, group, [include],
    LET(
        x_v,      TOCOL(IF(x = "", "", x), 0),
        g_v,      TOCOL(IF(group = "", "", group), 0),
        inc,      IF(ISOMITTED(include), ISNUMBER(x_v), include * 1),
        active,   inc * (g_v &lt;&gt; ""),
        groups,   IFERROR(UNIQUE(FILTER(g_v, active)), NA()),
        IF(ISNA(groups),
           NA(),
           LET(
               means, BYROW(groups, LAMBDA(gk,
                   LET(mask, active * (g_v = gk),
                       SUMPRODUCT(mask, IF(ISNUMBER(x_v), x_v, 0)) / SUM(mask))
               )),
               XLOOKUP(g_v, groups, means, NA(), 0)
           )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</si>
  <si>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</si>
  <si>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</si>
  <si>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</si>
  <si>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</si>
  <si>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</si>
  <si>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</si>
  <si>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</si>
  <si>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</si>
  <si>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</si>
  <si>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</si>
  <si>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</si>
  <si>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</si>
  <si>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</si>
  <si>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</si>
  <si>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</si>
  <si>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</si>
  <si>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</si>
  <si>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</si>
  <si>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</si>
  <si>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</si>
  <si>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</si>
  <si>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</si>
  <si>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</si>
  <si>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</si>
  <si>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</si>
  <si>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</si>
  <si>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</si>
  <si>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</si>
  <si>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</si>
  <si>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</si>
  <si>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</si>
  <si>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</si>
  <si>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</si>
  <si>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</si>
  <si>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</si>
  <si>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</si>
  <si>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</si>
  <si>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</si>
  <si>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</si>
  <si>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</si>
  <si>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</si>
  <si>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</si>
  <si>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</si>
  <si>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</si>
  <si>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=LAMBDA(LET(
    n_c,       COLUMNS(Source_Data),
    fe_active, SUMPRODUCT(N(TAKE(Spec_Role, n_c) = "Fixed Effects")) &gt; 0,
    IF(NOT(fe_active),
       X_s(),
       LET(
           fe,  Fixed_Effects_Column(),
           inc, Sample_Include(),
           BYCOL(X_s(), LAMBDA(col, Demean_By(col, fe, inc)))
       )
    )
))</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</si>
  <si>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</si>
  <si>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</si>
  <si>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X_s_Within is the fit-time design matrix for the Regression sheet — the predictor-side counterpart to y_s. With no declared Fixed Effects row it is X_s() unchanged; with one declared, BYCOL demeans every constructed column of X_s() by the Fixed Effects group via Demean_By, reproducing the LSDV fit's coefficients on the non-FE predictors without ever materializing the G−1 group dummy columns an explicit one-hot encoding would require.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</si>
  <si>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</si>
  <si>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</si>
  <si>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</si>
  <si>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</si>
  <si>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</si>
  <si>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</si>
  <si>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</si>
  <si>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</si>
  <si>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</si>
  <si>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PI Upper</t>
  </si>
  <si>
    <t>FE Group</t>
  </si>
  <si>
    <t>Group Mean (y)</t>
  </si>
  <si>
    <t>Group Count</t>
  </si>
  <si>
    <t>Fixed Effects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</si>
</sst>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xf numFmtId="0" fontId="0" fillId="4" borderId="4" xfId="0" applyFill="1" applyBorder="1"/>
  </cellXfs>
  <cellStyles count="1">
    <cellStyle name="Normal" xfId="0" builtinId="0"/>
  </cellStyles>
  <dxfs count="47">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0</c:v>
                </c:pt>
              </c:numCache>
            </c:numRef>
          </c:xVal>
          <c:yVal>
            <c:numRef>
              <c:f>Regression!RegChartResid</c:f>
              <c:numCache>
                <c:formatCode>0.0000</c:formatCode>
                <c:ptCount val="392"/>
                <c:pt idx="0">
                  <c:v>0</c:v>
                </c:pt>
                <c:pt idx="1">
                  <c:v>0</c:v>
                </c:pt>
                <c:pt idx="2">
                  <c:v>0</c:v>
                </c:pt>
                <c:pt idx="3">
                  <c:v>0</c:v>
                </c:pt>
                <c:pt idx="4">
                  <c:v>0</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1-5487-4950-AB3E-E69CA59C571F}"/>
            </c:ext>
          </c:extLst>
        </c:ser>
        <c:dLbls>
          <c:showLegendKey val="0"/>
          <c:showVal val="0"/>
          <c:showCatName val="0"/>
          <c:showSerName val="0"/>
          <c:showPercent val="0"/>
          <c:showBubbleSize val="0"/>
        </c:dLbls>
        <c:axId val="1524042431"/>
        <c:axId val="1524043871"/>
      </c:scatterChart>
      <c:valAx>
        <c:axId val="152404243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524043871"/>
        <c:crosses val="autoZero"/>
        <c:crossBetween val="midCat"/>
      </c:valAx>
      <c:valAx>
        <c:axId val="152404387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5240424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xVal>
          <c:yVal>
            <c:numRef>
              <c:f>Regression!RegChartQQY</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1-A461-46A6-B549-8288B330BBF1}"/>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xVal>
          <c:yVal>
            <c:numRef>
              <c:f>Regression!RegChartQQX</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2-A461-46A6-B549-8288B330BBF1}"/>
            </c:ext>
          </c:extLst>
        </c:ser>
        <c:dLbls>
          <c:showLegendKey val="0"/>
          <c:showVal val="0"/>
          <c:showCatName val="0"/>
          <c:showSerName val="0"/>
          <c:showPercent val="0"/>
          <c:showBubbleSize val="0"/>
        </c:dLbls>
        <c:axId val="1524043391"/>
        <c:axId val="1524042431"/>
      </c:scatterChart>
      <c:valAx>
        <c:axId val="1524043391"/>
        <c:scaling>
          <c:orientation val="minMax"/>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524042431"/>
        <c:crosses val="autoZero"/>
        <c:crossBetween val="midCat"/>
      </c:valAx>
      <c:valAx>
        <c:axId val="152404243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5240433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0</c:v>
                </c:pt>
              </c:numCache>
            </c:numRef>
          </c:xVal>
          <c:yVal>
            <c:numRef>
              <c:f>Regression!RegChartActY</c:f>
              <c:numCache>
                <c:formatCode>0.0000</c:formatCode>
                <c:ptCount val="392"/>
                <c:pt idx="0">
                  <c:v>3.0368932038834924</c:v>
                </c:pt>
                <c:pt idx="1">
                  <c:v>3.6893203883492376E-2</c:v>
                </c:pt>
                <c:pt idx="2">
                  <c:v>3.0368932038834924</c:v>
                </c:pt>
                <c:pt idx="3">
                  <c:v>1.0368932038834924</c:v>
                </c:pt>
                <c:pt idx="4">
                  <c:v>2.0368932038834924</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1-7770-48C9-B79F-5DDA98DA4D4D}"/>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0</c:v>
                </c:pt>
              </c:numCache>
            </c:numRef>
          </c:xVal>
          <c:yVal>
            <c:numRef>
              <c:f>Regression!RegChartFitY</c:f>
              <c:numCache>
                <c:formatCode>0.0000</c:formatCode>
                <c:ptCount val="392"/>
                <c:pt idx="0">
                  <c:v>0</c:v>
                </c:pt>
              </c:numCache>
            </c:numRef>
          </c:yVal>
          <c:smooth val="0"/>
          <c:extLst>
            <c:ext xmlns:c16="http://schemas.microsoft.com/office/drawing/2014/chart" uri="{C3380CC4-5D6E-409C-BE32-E72D297353CC}">
              <c16:uniqueId val="{00000002-7770-48C9-B79F-5DDA98DA4D4D}"/>
            </c:ext>
          </c:extLst>
        </c:ser>
        <c:dLbls>
          <c:showLegendKey val="0"/>
          <c:showVal val="0"/>
          <c:showCatName val="0"/>
          <c:showSerName val="0"/>
          <c:showPercent val="0"/>
          <c:showBubbleSize val="0"/>
        </c:dLbls>
        <c:axId val="1524052031"/>
        <c:axId val="1524043391"/>
      </c:scatterChart>
      <c:valAx>
        <c:axId val="1524052031"/>
        <c:scaling>
          <c:orientation val="minMax"/>
          <c:max val="46.6"/>
          <c:min val="7.263249526262052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524043391"/>
        <c:crosses val="autoZero"/>
        <c:crossBetween val="midCat"/>
      </c:valAx>
      <c:valAx>
        <c:axId val="1524043391"/>
        <c:scaling>
          <c:orientation val="minMax"/>
          <c:max val="46.6"/>
          <c:min val="7.263249526262052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5240520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0</c:v>
                </c:pt>
              </c:numCache>
            </c:numRef>
          </c:xVal>
          <c:yVal>
            <c:numRef>
              <c:f>Regression!RegChartScaleLoc</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1-1392-4D9C-8C08-50DBA2457EBE}"/>
            </c:ext>
          </c:extLst>
        </c:ser>
        <c:dLbls>
          <c:showLegendKey val="0"/>
          <c:showVal val="0"/>
          <c:showCatName val="0"/>
          <c:showSerName val="0"/>
          <c:showPercent val="0"/>
          <c:showBubbleSize val="0"/>
        </c:dLbls>
        <c:axId val="1524046751"/>
        <c:axId val="1524047231"/>
      </c:scatterChart>
      <c:valAx>
        <c:axId val="152404675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524047231"/>
        <c:crosses val="autoZero"/>
        <c:crossBetween val="midCat"/>
      </c:valAx>
      <c:valAx>
        <c:axId val="152404723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5240467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val>
          <c:extLst>
            <c:ext xmlns:c16="http://schemas.microsoft.com/office/drawing/2014/chart" uri="{C3380CC4-5D6E-409C-BE32-E72D297353CC}">
              <c16:uniqueId val="{00000001-D01B-4778-8AD5-CFFF1E64231E}"/>
            </c:ext>
          </c:extLst>
        </c:ser>
        <c:dLbls>
          <c:showLegendKey val="0"/>
          <c:showVal val="0"/>
          <c:showCatName val="0"/>
          <c:showSerName val="0"/>
          <c:showPercent val="0"/>
          <c:showBubbleSize val="0"/>
        </c:dLbls>
        <c:gapWidth val="150"/>
        <c:axId val="1524052031"/>
        <c:axId val="1524036191"/>
      </c:barChart>
      <c:catAx>
        <c:axId val="152405203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524036191"/>
        <c:crosses val="autoZero"/>
        <c:auto val="1"/>
        <c:lblAlgn val="ctr"/>
        <c:lblOffset val="100"/>
        <c:noMultiLvlLbl val="0"/>
      </c:catAx>
      <c:valAx>
        <c:axId val="1524036191"/>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52405203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0</c:v>
                </c:pt>
              </c:numCache>
            </c:numRef>
          </c:xVal>
          <c:yVal>
            <c:numRef>
              <c:f>Regression!RegChartStudResid</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1-3061-47A7-823A-80828B7AD529}"/>
            </c:ext>
          </c:extLst>
        </c:ser>
        <c:dLbls>
          <c:showLegendKey val="0"/>
          <c:showVal val="0"/>
          <c:showCatName val="0"/>
          <c:showSerName val="0"/>
          <c:showPercent val="0"/>
          <c:showBubbleSize val="0"/>
        </c:dLbls>
        <c:axId val="1524053951"/>
        <c:axId val="1524037631"/>
      </c:scatterChart>
      <c:valAx>
        <c:axId val="1524053951"/>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524037631"/>
        <c:crosses val="autoZero"/>
        <c:crossBetween val="midCat"/>
      </c:valAx>
      <c:valAx>
        <c:axId val="152403763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524053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val>
          <c:extLst>
            <c:ext xmlns:c16="http://schemas.microsoft.com/office/drawing/2014/chart" uri="{C3380CC4-5D6E-409C-BE32-E72D297353CC}">
              <c16:uniqueId val="{00000001-4373-4252-AAB8-60B9CD9E1EB5}"/>
            </c:ext>
          </c:extLst>
        </c:ser>
        <c:dLbls>
          <c:showLegendKey val="0"/>
          <c:showVal val="0"/>
          <c:showCatName val="0"/>
          <c:showSerName val="0"/>
          <c:showPercent val="0"/>
          <c:showBubbleSize val="0"/>
        </c:dLbls>
        <c:gapWidth val="150"/>
        <c:axId val="1524053951"/>
        <c:axId val="1524078431"/>
      </c:barChart>
      <c:catAx>
        <c:axId val="152405395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524078431"/>
        <c:crosses val="autoZero"/>
        <c:auto val="1"/>
        <c:lblAlgn val="ctr"/>
        <c:lblOffset val="100"/>
        <c:noMultiLvlLbl val="0"/>
      </c:catAx>
      <c:valAx>
        <c:axId val="1524078431"/>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52405395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2" name="Chart 1">
          <a:extLst>
            <a:ext uri="{FF2B5EF4-FFF2-40B4-BE49-F238E27FC236}">
              <a16:creationId xmlns:a16="http://schemas.microsoft.com/office/drawing/2014/main" id="{410B0AB9-F992-658C-39E8-EEDCA69E1E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3" name="Chart 2">
          <a:extLst>
            <a:ext uri="{FF2B5EF4-FFF2-40B4-BE49-F238E27FC236}">
              <a16:creationId xmlns:a16="http://schemas.microsoft.com/office/drawing/2014/main" id="{696DDE2F-374A-B833-5A6D-9C51CDD9F9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4" name="Chart 3">
          <a:extLst>
            <a:ext uri="{FF2B5EF4-FFF2-40B4-BE49-F238E27FC236}">
              <a16:creationId xmlns:a16="http://schemas.microsoft.com/office/drawing/2014/main" id="{34EEAD59-965E-778D-EB66-058CCA0490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5" name="Chart 4">
          <a:extLst>
            <a:ext uri="{FF2B5EF4-FFF2-40B4-BE49-F238E27FC236}">
              <a16:creationId xmlns:a16="http://schemas.microsoft.com/office/drawing/2014/main" id="{E8CA1472-49AF-466A-947D-7E863ED8B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6" name="Chart 5">
          <a:extLst>
            <a:ext uri="{FF2B5EF4-FFF2-40B4-BE49-F238E27FC236}">
              <a16:creationId xmlns:a16="http://schemas.microsoft.com/office/drawing/2014/main" id="{7AD44BAD-72C7-86BB-1C01-EA65B256FD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7" name="Chart 6">
          <a:extLst>
            <a:ext uri="{FF2B5EF4-FFF2-40B4-BE49-F238E27FC236}">
              <a16:creationId xmlns:a16="http://schemas.microsoft.com/office/drawing/2014/main" id="{0A9901DD-0719-59F3-EA75-534B841FED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8" name="Chart 7">
          <a:extLst>
            <a:ext uri="{FF2B5EF4-FFF2-40B4-BE49-F238E27FC236}">
              <a16:creationId xmlns:a16="http://schemas.microsoft.com/office/drawing/2014/main" id="{C2C2EF6A-0337-5464-F315-0E9944D5C8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E11C70-02B0-445A-9210-08C5478C46BF}" name="MileageData" displayName="MileageData" ref="A1:L407" totalsRowShown="0">
  <autoFilter ref="A1:L407" xr:uid="{3DE11C70-02B0-445A-9210-08C5478C46BF}"/>
  <tableColumns count="12">
    <tableColumn id="1" xr3:uid="{B7BB9405-2239-4D07-AA0E-B2CC4005D0A4}" name="MPG"/>
    <tableColumn id="2" xr3:uid="{2AA1F429-943A-4FF3-8717-B7A3BF8D2439}" name="Cylinders"/>
    <tableColumn id="3" xr3:uid="{EF7120DB-D492-4449-BF7A-3E5DAC871309}" name="Displacement"/>
    <tableColumn id="4" xr3:uid="{6CFAFB8A-B163-4904-A057-6FD980EB6E6B}" name="Horsepower"/>
    <tableColumn id="5" xr3:uid="{5DD88FB8-F4AB-4FDB-8D3F-CBA9C96F9840}" name="Weight"/>
    <tableColumn id="6" xr3:uid="{4E3ECA7A-932B-4693-93F2-989A97038D5F}" name="Acceleration"/>
    <tableColumn id="7" xr3:uid="{AF4A361E-1CCF-4FD8-8085-3FE7ECCAFC74}" name="Model Year"/>
    <tableColumn id="8" xr3:uid="{22866229-3065-4B38-8152-F252CBDCDEB2}" name="Origin"/>
    <tableColumn id="9" xr3:uid="{356E9AEF-B1DA-4CE5-B212-20B8F9A04BA7}" name="Car Name"/>
    <tableColumn id="10" xr3:uid="{44924000-0698-4ED9-8FE1-BFB5D1A9E70D}" name="Make"/>
    <tableColumn id="11" xr3:uid="{00A0EF32-FDEF-49AB-AB9D-306370CDDD47}" name="Model?"/>
    <tableColumn id="12" xr3:uid="{7A111435-A971-4BF5-AF8C-1654FF94E47F}"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EED28DE-085C-42FF-AAD7-297F23E1F96A}" name="LifeExpectancyData" displayName="LifeExpectancyData" ref="A1:W2939" totalsRowShown="0">
  <autoFilter ref="A1:W2939" xr:uid="{7EED28DE-085C-42FF-AAD7-297F23E1F96A}"/>
  <tableColumns count="23">
    <tableColumn id="1" xr3:uid="{0F9288D7-5B40-4A15-A968-984E39CAB666}" name="Country"/>
    <tableColumn id="2" xr3:uid="{56CB979C-F079-457B-8C90-35821C4EC817}" name="Year"/>
    <tableColumn id="3" xr3:uid="{D3B94834-DADF-4758-95C1-DECBD1CE7CD6}" name="Status"/>
    <tableColumn id="4" xr3:uid="{F581C194-9D34-44DD-B960-71578EDB2DFF}" name="Life expectancy"/>
    <tableColumn id="5" xr3:uid="{9A9B5531-B057-4C82-B575-386C86913E60}" name="Adult Mortality"/>
    <tableColumn id="6" xr3:uid="{36AAF3CF-8A24-4B93-B4C9-2374A0C60F18}" name="infant deaths"/>
    <tableColumn id="7" xr3:uid="{E40C37EC-9D7A-492A-8B1C-59AA68F751A9}" name="Alcohol"/>
    <tableColumn id="8" xr3:uid="{A2830FEB-80D9-4D56-967C-9E6670E52954}" name="percentage expenditure"/>
    <tableColumn id="9" xr3:uid="{6643579F-E739-48BC-A995-47525E0B23C6}" name="Hepatitis B"/>
    <tableColumn id="10" xr3:uid="{4B423CE5-C4AE-417A-A7FF-3BC53AB09C85}" name="Measles"/>
    <tableColumn id="11" xr3:uid="{FB7D1718-42B7-4E15-88BC-1B6356C1ACB5}" name="BMI"/>
    <tableColumn id="12" xr3:uid="{B8A7E1AD-BCE1-4339-B0AC-F55A43CF06EA}" name="under-five deaths"/>
    <tableColumn id="13" xr3:uid="{1D7CC72F-6117-4193-A8F5-5F0046124505}" name="Polio"/>
    <tableColumn id="14" xr3:uid="{62EE92FC-9D2F-402C-AD7F-0FB1DDC6E2E0}" name="Total expenditure"/>
    <tableColumn id="15" xr3:uid="{6DBFB5BA-F804-42CE-BD5B-C116582FB323}" name="Diphtheria"/>
    <tableColumn id="16" xr3:uid="{99564BD1-0540-4FCF-9122-3EE8C99F1673}" name="HIV/AIDS"/>
    <tableColumn id="17" xr3:uid="{A33A73E9-201D-434B-8DB8-60D42D928F59}" name="GDP"/>
    <tableColumn id="18" xr3:uid="{D02E467F-DC6B-4179-AC77-2AC14B30762B}" name="Population"/>
    <tableColumn id="19" xr3:uid="{C924B02B-E063-41DA-B8BA-CD468A1969A3}" name="thinness 1-19 years"/>
    <tableColumn id="20" xr3:uid="{A38F71F9-B351-431A-A529-C1E933CF101A}" name="thinness 5-9 years"/>
    <tableColumn id="21" xr3:uid="{C43A9040-C6F0-413A-9E73-886775A5669C}" name="Income composition of resources"/>
    <tableColumn id="22" xr3:uid="{31B3EB47-12EA-4B3B-8D8C-540F5866571C}" name="Schooling"/>
    <tableColumn id="23" xr3:uid="{3A7B95D8-8D50-411F-B025-A569C084D9B4}"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C52BA5F-4C41-4475-B8EB-439EF3EFCAE8}" name="SpecTable" displayName="SpecTable" ref="B3:L15" totalsRowShown="0" headerRowDxfId="46">
  <autoFilter ref="B3:L15" xr:uid="{CC52BA5F-4C41-4475-B8EB-439EF3EFCAE8}"/>
  <tableColumns count="11">
    <tableColumn id="1" xr3:uid="{59722D7F-2238-4C7D-9195-2ADA5E9FB4C0}" name="Role"/>
    <tableColumn id="2" xr3:uid="{E16EA1A2-72CD-489B-8196-89752065A38B}" name="Include"/>
    <tableColumn id="3" xr3:uid="{AA696BF4-6A66-41FD-8B44-2F637FDE41E4}" name="Type"/>
    <tableColumn id="4" xr3:uid="{4B006424-F89F-49EF-ACE3-0F5A035C2CFA}" name="Reference Level"/>
    <tableColumn id="5" xr3:uid="{2F75B7FF-E927-46EB-977C-5D5E1D629B8E}" name="Order"/>
    <tableColumn id="6" xr3:uid="{FC142A39-37B8-4FD2-B219-D77909C3B357}" name="Transform"/>
    <tableColumn id="7" xr3:uid="{4E6A2731-7C70-4F19-9DE6-3399438A0C59}" name="Sequence"/>
    <tableColumn id="8" xr3:uid="{EE2587D1-DE3A-47E8-AE01-F85BB2DDDF94}" name="Sequence Period"/>
    <tableColumn id="9" xr3:uid="{30682F14-6787-430B-8212-9626B135CCEE}" name="Period In Use" dataDxfId="45">
      <calculatedColumnFormula>IF(SpecTable[[#This Row],[Sequence]]&lt;&gt;TRUE,"",IF(N(SpecTable[[#This Row],[Sequence Period]])&lt;&gt;0,SpecTable[[#This Row],[Sequence Period]],IFERROR(Base_Period_Delta_Candidate(),"")))</calculatedColumnFormula>
    </tableColumn>
    <tableColumn id="10" xr3:uid="{C80FEB1F-E4DD-4408-A189-511066D5144A}" name="Levels" dataDxfId="44">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BE94D51B-0C67-42D9-ACBE-4C7C5FF5A1A8}" name="Reference In Use" dataDxfId="43">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01D2A1-753E-47C0-9B65-12619CDE5D1A}" name="LAMBDAFunctionsCatalog" displayName="LAMBDAFunctionsCatalog" ref="A1:G125" totalsRowShown="0" headerRowDxfId="42" dataDxfId="41">
  <autoFilter ref="A1:G125" xr:uid="{5501D2A1-753E-47C0-9B65-12619CDE5D1A}"/>
  <tableColumns count="7">
    <tableColumn id="1" xr3:uid="{03F25299-46B7-40DF-A013-E25D9B344D9B}" name="Function Name" dataDxfId="40"/>
    <tableColumn id="2" xr3:uid="{E8228C33-8ED2-4E4E-A26A-B653B32A3A05}" name="Scope" dataDxfId="39"/>
    <tableColumn id="3" xr3:uid="{D7A187A1-0B8E-4110-A729-FE658B83E30A}" name="Definition" dataDxfId="38"/>
    <tableColumn id="4" xr3:uid="{F71D0E78-A5CA-45CD-A15E-5C390832F3B8}" name="Arguments" dataDxfId="37"/>
    <tableColumn id="5" xr3:uid="{E0E532AF-DE26-4231-BA21-2C411CF9A6F2}" name="Yields" dataDxfId="36"/>
    <tableColumn id="6" xr3:uid="{CA7F63BC-26FF-4E91-A4E0-1AC60E9A7A67}" name="Plain-Language Summary" dataDxfId="35"/>
    <tableColumn id="7" xr3:uid="{5EAB3D9F-753B-47F2-8EE9-131BCF3B643B}" name="Description" dataDxfId="3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workbookViewId="0">
      <pane ySplit="1" topLeftCell="A390" activePane="bottomLeft" state="frozenSplit"/>
      <selection pane="bottomLeft" activeCell="N391" sqref="N391"/>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968</v>
      </c>
      <c r="B1" t="s">
        <v>969</v>
      </c>
      <c r="C1" t="s">
        <v>970</v>
      </c>
      <c r="D1" t="s">
        <v>971</v>
      </c>
      <c r="E1" t="s">
        <v>972</v>
      </c>
      <c r="F1" t="s">
        <v>973</v>
      </c>
      <c r="G1" t="s">
        <v>974</v>
      </c>
      <c r="H1" t="s">
        <v>975</v>
      </c>
      <c r="I1" t="s">
        <v>976</v>
      </c>
      <c r="J1" t="s">
        <v>977</v>
      </c>
      <c r="K1" t="s">
        <v>978</v>
      </c>
      <c r="L1" t="s">
        <v>361</v>
      </c>
    </row>
    <row r="2" spans="1:12" x14ac:dyDescent="0.25">
      <c r="A2">
        <v>18</v>
      </c>
      <c r="B2">
        <v>8</v>
      </c>
      <c r="C2">
        <v>307</v>
      </c>
      <c r="D2">
        <v>130</v>
      </c>
      <c r="E2">
        <v>3504</v>
      </c>
      <c r="F2">
        <v>12</v>
      </c>
      <c r="G2">
        <v>70</v>
      </c>
      <c r="H2" t="s">
        <v>1637</v>
      </c>
      <c r="I2" t="s">
        <v>979</v>
      </c>
      <c r="J2" t="s">
        <v>980</v>
      </c>
      <c r="K2" t="s">
        <v>981</v>
      </c>
      <c r="L2" t="b">
        <f>Data_Completeness(MileageData[[#This Row],[MPG]:[Acceleration]])</f>
        <v>1</v>
      </c>
    </row>
    <row r="3" spans="1:12" x14ac:dyDescent="0.25">
      <c r="A3">
        <v>15</v>
      </c>
      <c r="B3">
        <v>8</v>
      </c>
      <c r="C3">
        <v>350</v>
      </c>
      <c r="D3">
        <v>165</v>
      </c>
      <c r="E3">
        <v>3693</v>
      </c>
      <c r="F3">
        <v>11.5</v>
      </c>
      <c r="G3">
        <v>70</v>
      </c>
      <c r="H3" t="s">
        <v>1637</v>
      </c>
      <c r="I3" t="s">
        <v>982</v>
      </c>
      <c r="J3" t="s">
        <v>983</v>
      </c>
      <c r="K3" t="s">
        <v>984</v>
      </c>
      <c r="L3" t="b">
        <f>Data_Completeness(MileageData[[#This Row],[MPG]:[Acceleration]])</f>
        <v>1</v>
      </c>
    </row>
    <row r="4" spans="1:12" x14ac:dyDescent="0.25">
      <c r="A4">
        <v>18</v>
      </c>
      <c r="B4">
        <v>8</v>
      </c>
      <c r="C4">
        <v>318</v>
      </c>
      <c r="D4">
        <v>150</v>
      </c>
      <c r="E4">
        <v>3436</v>
      </c>
      <c r="F4">
        <v>11</v>
      </c>
      <c r="G4">
        <v>70</v>
      </c>
      <c r="H4" t="s">
        <v>1637</v>
      </c>
      <c r="I4" t="s">
        <v>985</v>
      </c>
      <c r="J4" t="s">
        <v>986</v>
      </c>
      <c r="K4" t="s">
        <v>987</v>
      </c>
      <c r="L4" t="b">
        <f>Data_Completeness(MileageData[[#This Row],[MPG]:[Acceleration]])</f>
        <v>1</v>
      </c>
    </row>
    <row r="5" spans="1:12" x14ac:dyDescent="0.25">
      <c r="A5">
        <v>16</v>
      </c>
      <c r="B5">
        <v>8</v>
      </c>
      <c r="C5">
        <v>304</v>
      </c>
      <c r="D5">
        <v>150</v>
      </c>
      <c r="E5">
        <v>3433</v>
      </c>
      <c r="F5">
        <v>12</v>
      </c>
      <c r="G5">
        <v>70</v>
      </c>
      <c r="H5" t="s">
        <v>1637</v>
      </c>
      <c r="I5" t="s">
        <v>988</v>
      </c>
      <c r="J5" t="s">
        <v>989</v>
      </c>
      <c r="K5" t="s">
        <v>990</v>
      </c>
      <c r="L5" t="b">
        <f>Data_Completeness(MileageData[[#This Row],[MPG]:[Acceleration]])</f>
        <v>1</v>
      </c>
    </row>
    <row r="6" spans="1:12" x14ac:dyDescent="0.25">
      <c r="A6">
        <v>17</v>
      </c>
      <c r="B6">
        <v>8</v>
      </c>
      <c r="C6">
        <v>302</v>
      </c>
      <c r="D6">
        <v>140</v>
      </c>
      <c r="E6">
        <v>3449</v>
      </c>
      <c r="F6">
        <v>10.5</v>
      </c>
      <c r="G6">
        <v>70</v>
      </c>
      <c r="H6" t="s">
        <v>1637</v>
      </c>
      <c r="I6" t="s">
        <v>991</v>
      </c>
      <c r="J6" t="s">
        <v>992</v>
      </c>
      <c r="K6" t="s">
        <v>993</v>
      </c>
      <c r="L6" t="b">
        <f>Data_Completeness(MileageData[[#This Row],[MPG]:[Acceleration]])</f>
        <v>1</v>
      </c>
    </row>
    <row r="7" spans="1:12" x14ac:dyDescent="0.25">
      <c r="A7">
        <v>15</v>
      </c>
      <c r="B7">
        <v>8</v>
      </c>
      <c r="C7">
        <v>429</v>
      </c>
      <c r="D7">
        <v>198</v>
      </c>
      <c r="E7">
        <v>4341</v>
      </c>
      <c r="F7">
        <v>10</v>
      </c>
      <c r="G7">
        <v>70</v>
      </c>
      <c r="H7" t="s">
        <v>1637</v>
      </c>
      <c r="I7" t="s">
        <v>994</v>
      </c>
      <c r="J7" t="s">
        <v>992</v>
      </c>
      <c r="K7" t="s">
        <v>995</v>
      </c>
      <c r="L7" t="b">
        <f>Data_Completeness(MileageData[[#This Row],[MPG]:[Acceleration]])</f>
        <v>1</v>
      </c>
    </row>
    <row r="8" spans="1:12" x14ac:dyDescent="0.25">
      <c r="A8">
        <v>14</v>
      </c>
      <c r="B8">
        <v>8</v>
      </c>
      <c r="C8">
        <v>454</v>
      </c>
      <c r="D8">
        <v>220</v>
      </c>
      <c r="E8">
        <v>4354</v>
      </c>
      <c r="F8">
        <v>9</v>
      </c>
      <c r="G8">
        <v>70</v>
      </c>
      <c r="H8" t="s">
        <v>1637</v>
      </c>
      <c r="I8" t="s">
        <v>996</v>
      </c>
      <c r="J8" t="s">
        <v>980</v>
      </c>
      <c r="K8" t="s">
        <v>997</v>
      </c>
      <c r="L8" t="b">
        <f>Data_Completeness(MileageData[[#This Row],[MPG]:[Acceleration]])</f>
        <v>1</v>
      </c>
    </row>
    <row r="9" spans="1:12" x14ac:dyDescent="0.25">
      <c r="A9">
        <v>14</v>
      </c>
      <c r="B9">
        <v>8</v>
      </c>
      <c r="C9">
        <v>440</v>
      </c>
      <c r="D9">
        <v>215</v>
      </c>
      <c r="E9">
        <v>4312</v>
      </c>
      <c r="F9">
        <v>8.5</v>
      </c>
      <c r="G9">
        <v>70</v>
      </c>
      <c r="H9" t="s">
        <v>1637</v>
      </c>
      <c r="I9" t="s">
        <v>998</v>
      </c>
      <c r="J9" t="s">
        <v>986</v>
      </c>
      <c r="K9" t="s">
        <v>999</v>
      </c>
      <c r="L9" t="b">
        <f>Data_Completeness(MileageData[[#This Row],[MPG]:[Acceleration]])</f>
        <v>1</v>
      </c>
    </row>
    <row r="10" spans="1:12" x14ac:dyDescent="0.25">
      <c r="A10">
        <v>14</v>
      </c>
      <c r="B10">
        <v>8</v>
      </c>
      <c r="C10">
        <v>455</v>
      </c>
      <c r="D10">
        <v>225</v>
      </c>
      <c r="E10">
        <v>4425</v>
      </c>
      <c r="F10">
        <v>10</v>
      </c>
      <c r="G10">
        <v>70</v>
      </c>
      <c r="H10" t="s">
        <v>1637</v>
      </c>
      <c r="I10" t="s">
        <v>1000</v>
      </c>
      <c r="J10" t="s">
        <v>1001</v>
      </c>
      <c r="K10" t="s">
        <v>1002</v>
      </c>
      <c r="L10" t="b">
        <f>Data_Completeness(MileageData[[#This Row],[MPG]:[Acceleration]])</f>
        <v>1</v>
      </c>
    </row>
    <row r="11" spans="1:12" x14ac:dyDescent="0.25">
      <c r="A11">
        <v>15</v>
      </c>
      <c r="B11">
        <v>8</v>
      </c>
      <c r="C11">
        <v>390</v>
      </c>
      <c r="D11">
        <v>190</v>
      </c>
      <c r="E11">
        <v>3850</v>
      </c>
      <c r="F11">
        <v>8.5</v>
      </c>
      <c r="G11">
        <v>70</v>
      </c>
      <c r="H11" t="s">
        <v>1637</v>
      </c>
      <c r="I11" t="s">
        <v>1003</v>
      </c>
      <c r="J11" t="s">
        <v>989</v>
      </c>
      <c r="K11" t="s">
        <v>1004</v>
      </c>
      <c r="L11" t="b">
        <f>Data_Completeness(MileageData[[#This Row],[MPG]:[Acceleration]])</f>
        <v>1</v>
      </c>
    </row>
    <row r="12" spans="1:12" x14ac:dyDescent="0.25">
      <c r="B12">
        <v>4</v>
      </c>
      <c r="C12">
        <v>133</v>
      </c>
      <c r="D12">
        <v>115</v>
      </c>
      <c r="E12">
        <v>3090</v>
      </c>
      <c r="F12">
        <v>17.5</v>
      </c>
      <c r="G12">
        <v>70</v>
      </c>
      <c r="H12" t="s">
        <v>1638</v>
      </c>
      <c r="I12" t="s">
        <v>1005</v>
      </c>
      <c r="J12" t="s">
        <v>1006</v>
      </c>
      <c r="K12" t="s">
        <v>1007</v>
      </c>
      <c r="L12" t="b">
        <f>Data_Completeness(MileageData[[#This Row],[MPG]:[Acceleration]])</f>
        <v>0</v>
      </c>
    </row>
    <row r="13" spans="1:12" x14ac:dyDescent="0.25">
      <c r="B13">
        <v>8</v>
      </c>
      <c r="C13">
        <v>350</v>
      </c>
      <c r="D13">
        <v>165</v>
      </c>
      <c r="E13">
        <v>4142</v>
      </c>
      <c r="F13">
        <v>11.5</v>
      </c>
      <c r="G13">
        <v>70</v>
      </c>
      <c r="H13" t="s">
        <v>1637</v>
      </c>
      <c r="I13" t="s">
        <v>1008</v>
      </c>
      <c r="J13" t="s">
        <v>980</v>
      </c>
      <c r="K13" t="s">
        <v>1009</v>
      </c>
      <c r="L13" t="b">
        <f>Data_Completeness(MileageData[[#This Row],[MPG]:[Acceleration]])</f>
        <v>0</v>
      </c>
    </row>
    <row r="14" spans="1:12" x14ac:dyDescent="0.25">
      <c r="B14">
        <v>8</v>
      </c>
      <c r="C14">
        <v>351</v>
      </c>
      <c r="D14">
        <v>153</v>
      </c>
      <c r="E14">
        <v>4034</v>
      </c>
      <c r="F14">
        <v>11</v>
      </c>
      <c r="G14">
        <v>70</v>
      </c>
      <c r="H14" t="s">
        <v>1637</v>
      </c>
      <c r="I14" t="s">
        <v>1010</v>
      </c>
      <c r="J14" t="s">
        <v>992</v>
      </c>
      <c r="K14" t="s">
        <v>1011</v>
      </c>
      <c r="L14" t="b">
        <f>Data_Completeness(MileageData[[#This Row],[MPG]:[Acceleration]])</f>
        <v>0</v>
      </c>
    </row>
    <row r="15" spans="1:12" x14ac:dyDescent="0.25">
      <c r="B15">
        <v>8</v>
      </c>
      <c r="C15">
        <v>383</v>
      </c>
      <c r="D15">
        <v>175</v>
      </c>
      <c r="E15">
        <v>4166</v>
      </c>
      <c r="F15">
        <v>10.5</v>
      </c>
      <c r="G15">
        <v>70</v>
      </c>
      <c r="H15" t="s">
        <v>1637</v>
      </c>
      <c r="I15" t="s">
        <v>1012</v>
      </c>
      <c r="J15" t="s">
        <v>986</v>
      </c>
      <c r="K15" t="s">
        <v>1013</v>
      </c>
      <c r="L15" t="b">
        <f>Data_Completeness(MileageData[[#This Row],[MPG]:[Acceleration]])</f>
        <v>0</v>
      </c>
    </row>
    <row r="16" spans="1:12" x14ac:dyDescent="0.25">
      <c r="B16">
        <v>8</v>
      </c>
      <c r="C16">
        <v>360</v>
      </c>
      <c r="D16">
        <v>175</v>
      </c>
      <c r="E16">
        <v>3850</v>
      </c>
      <c r="F16">
        <v>11</v>
      </c>
      <c r="G16">
        <v>70</v>
      </c>
      <c r="H16" t="s">
        <v>1637</v>
      </c>
      <c r="I16" t="s">
        <v>1014</v>
      </c>
      <c r="J16" t="s">
        <v>989</v>
      </c>
      <c r="K16" t="s">
        <v>1015</v>
      </c>
      <c r="L16" t="b">
        <f>Data_Completeness(MileageData[[#This Row],[MPG]:[Acceleration]])</f>
        <v>0</v>
      </c>
    </row>
    <row r="17" spans="1:12" x14ac:dyDescent="0.25">
      <c r="A17">
        <v>15</v>
      </c>
      <c r="B17">
        <v>8</v>
      </c>
      <c r="C17">
        <v>383</v>
      </c>
      <c r="D17">
        <v>170</v>
      </c>
      <c r="E17">
        <v>3563</v>
      </c>
      <c r="F17">
        <v>10</v>
      </c>
      <c r="G17">
        <v>70</v>
      </c>
      <c r="H17" t="s">
        <v>1637</v>
      </c>
      <c r="I17" t="s">
        <v>1016</v>
      </c>
      <c r="J17" t="s">
        <v>1017</v>
      </c>
      <c r="K17" t="s">
        <v>1018</v>
      </c>
      <c r="L17" t="b">
        <f>Data_Completeness(MileageData[[#This Row],[MPG]:[Acceleration]])</f>
        <v>1</v>
      </c>
    </row>
    <row r="18" spans="1:12" x14ac:dyDescent="0.25">
      <c r="A18">
        <v>14</v>
      </c>
      <c r="B18">
        <v>8</v>
      </c>
      <c r="C18">
        <v>340</v>
      </c>
      <c r="D18">
        <v>160</v>
      </c>
      <c r="E18">
        <v>3609</v>
      </c>
      <c r="F18">
        <v>8</v>
      </c>
      <c r="G18">
        <v>70</v>
      </c>
      <c r="H18" t="s">
        <v>1637</v>
      </c>
      <c r="I18" t="s">
        <v>1019</v>
      </c>
      <c r="J18" t="s">
        <v>986</v>
      </c>
      <c r="K18" s="34" t="s">
        <v>1628</v>
      </c>
      <c r="L18" t="b">
        <f>Data_Completeness(MileageData[[#This Row],[MPG]:[Acceleration]])</f>
        <v>1</v>
      </c>
    </row>
    <row r="19" spans="1:12" x14ac:dyDescent="0.25">
      <c r="B19">
        <v>8</v>
      </c>
      <c r="C19">
        <v>302</v>
      </c>
      <c r="D19">
        <v>140</v>
      </c>
      <c r="E19">
        <v>3353</v>
      </c>
      <c r="F19">
        <v>8</v>
      </c>
      <c r="G19">
        <v>70</v>
      </c>
      <c r="H19" t="s">
        <v>1637</v>
      </c>
      <c r="I19" t="s">
        <v>1020</v>
      </c>
      <c r="J19" t="s">
        <v>992</v>
      </c>
      <c r="K19" t="s">
        <v>1021</v>
      </c>
      <c r="L19" t="b">
        <f>Data_Completeness(MileageData[[#This Row],[MPG]:[Acceleration]])</f>
        <v>0</v>
      </c>
    </row>
    <row r="20" spans="1:12" x14ac:dyDescent="0.25">
      <c r="A20">
        <v>15</v>
      </c>
      <c r="B20">
        <v>8</v>
      </c>
      <c r="C20">
        <v>400</v>
      </c>
      <c r="D20">
        <v>150</v>
      </c>
      <c r="E20">
        <v>3761</v>
      </c>
      <c r="F20">
        <v>9.5</v>
      </c>
      <c r="G20">
        <v>70</v>
      </c>
      <c r="H20" t="s">
        <v>1637</v>
      </c>
      <c r="I20" t="s">
        <v>1022</v>
      </c>
      <c r="J20" t="s">
        <v>980</v>
      </c>
      <c r="K20" t="s">
        <v>1023</v>
      </c>
      <c r="L20" t="b">
        <f>Data_Completeness(MileageData[[#This Row],[MPG]:[Acceleration]])</f>
        <v>1</v>
      </c>
    </row>
    <row r="21" spans="1:12" x14ac:dyDescent="0.25">
      <c r="A21">
        <v>14</v>
      </c>
      <c r="B21">
        <v>8</v>
      </c>
      <c r="C21">
        <v>455</v>
      </c>
      <c r="D21">
        <v>225</v>
      </c>
      <c r="E21">
        <v>3086</v>
      </c>
      <c r="F21">
        <v>10</v>
      </c>
      <c r="G21">
        <v>70</v>
      </c>
      <c r="H21" t="s">
        <v>1637</v>
      </c>
      <c r="I21" t="s">
        <v>1024</v>
      </c>
      <c r="J21" t="s">
        <v>983</v>
      </c>
      <c r="K21" t="s">
        <v>1025</v>
      </c>
      <c r="L21" t="b">
        <f>Data_Completeness(MileageData[[#This Row],[MPG]:[Acceleration]])</f>
        <v>1</v>
      </c>
    </row>
    <row r="22" spans="1:12" x14ac:dyDescent="0.25">
      <c r="A22">
        <v>24</v>
      </c>
      <c r="B22">
        <v>4</v>
      </c>
      <c r="C22">
        <v>113</v>
      </c>
      <c r="D22">
        <v>95</v>
      </c>
      <c r="E22">
        <v>2372</v>
      </c>
      <c r="F22">
        <v>15</v>
      </c>
      <c r="G22">
        <v>70</v>
      </c>
      <c r="H22" t="s">
        <v>1639</v>
      </c>
      <c r="I22" t="s">
        <v>1026</v>
      </c>
      <c r="J22" t="s">
        <v>1027</v>
      </c>
      <c r="K22" t="s">
        <v>1028</v>
      </c>
      <c r="L22" t="b">
        <f>Data_Completeness(MileageData[[#This Row],[MPG]:[Acceleration]])</f>
        <v>1</v>
      </c>
    </row>
    <row r="23" spans="1:12" x14ac:dyDescent="0.25">
      <c r="A23">
        <v>22</v>
      </c>
      <c r="B23">
        <v>6</v>
      </c>
      <c r="C23">
        <v>198</v>
      </c>
      <c r="D23">
        <v>95</v>
      </c>
      <c r="E23">
        <v>2833</v>
      </c>
      <c r="F23">
        <v>15.5</v>
      </c>
      <c r="G23">
        <v>70</v>
      </c>
      <c r="H23" t="s">
        <v>1637</v>
      </c>
      <c r="I23" t="s">
        <v>1029</v>
      </c>
      <c r="J23" t="s">
        <v>986</v>
      </c>
      <c r="K23" t="s">
        <v>1030</v>
      </c>
      <c r="L23" t="b">
        <f>Data_Completeness(MileageData[[#This Row],[MPG]:[Acceleration]])</f>
        <v>1</v>
      </c>
    </row>
    <row r="24" spans="1:12" x14ac:dyDescent="0.25">
      <c r="A24">
        <v>18</v>
      </c>
      <c r="B24">
        <v>6</v>
      </c>
      <c r="C24">
        <v>199</v>
      </c>
      <c r="D24">
        <v>97</v>
      </c>
      <c r="E24">
        <v>2774</v>
      </c>
      <c r="F24">
        <v>15.5</v>
      </c>
      <c r="G24">
        <v>70</v>
      </c>
      <c r="H24" t="s">
        <v>1637</v>
      </c>
      <c r="I24" t="s">
        <v>1031</v>
      </c>
      <c r="J24" t="s">
        <v>989</v>
      </c>
      <c r="K24" t="s">
        <v>1032</v>
      </c>
      <c r="L24" t="b">
        <f>Data_Completeness(MileageData[[#This Row],[MPG]:[Acceleration]])</f>
        <v>1</v>
      </c>
    </row>
    <row r="25" spans="1:12" x14ac:dyDescent="0.25">
      <c r="A25">
        <v>21</v>
      </c>
      <c r="B25">
        <v>6</v>
      </c>
      <c r="C25">
        <v>200</v>
      </c>
      <c r="D25">
        <v>85</v>
      </c>
      <c r="E25">
        <v>2587</v>
      </c>
      <c r="F25">
        <v>16</v>
      </c>
      <c r="G25">
        <v>70</v>
      </c>
      <c r="H25" t="s">
        <v>1637</v>
      </c>
      <c r="I25" t="s">
        <v>1033</v>
      </c>
      <c r="J25" t="s">
        <v>992</v>
      </c>
      <c r="K25" t="s">
        <v>1034</v>
      </c>
      <c r="L25" t="b">
        <f>Data_Completeness(MileageData[[#This Row],[MPG]:[Acceleration]])</f>
        <v>1</v>
      </c>
    </row>
    <row r="26" spans="1:12" x14ac:dyDescent="0.25">
      <c r="A26">
        <v>27</v>
      </c>
      <c r="B26">
        <v>4</v>
      </c>
      <c r="C26">
        <v>97</v>
      </c>
      <c r="D26">
        <v>88</v>
      </c>
      <c r="E26">
        <v>2130</v>
      </c>
      <c r="F26">
        <v>14.5</v>
      </c>
      <c r="G26">
        <v>70</v>
      </c>
      <c r="H26" t="s">
        <v>1639</v>
      </c>
      <c r="I26" t="s">
        <v>1035</v>
      </c>
      <c r="J26" t="s">
        <v>1036</v>
      </c>
      <c r="K26" t="s">
        <v>1037</v>
      </c>
      <c r="L26" t="b">
        <f>Data_Completeness(MileageData[[#This Row],[MPG]:[Acceleration]])</f>
        <v>1</v>
      </c>
    </row>
    <row r="27" spans="1:12" x14ac:dyDescent="0.25">
      <c r="A27">
        <v>26</v>
      </c>
      <c r="B27">
        <v>4</v>
      </c>
      <c r="C27">
        <v>97</v>
      </c>
      <c r="D27">
        <v>46</v>
      </c>
      <c r="E27">
        <v>1835</v>
      </c>
      <c r="F27">
        <v>20.5</v>
      </c>
      <c r="G27">
        <v>70</v>
      </c>
      <c r="H27" t="s">
        <v>1638</v>
      </c>
      <c r="I27" t="s">
        <v>1038</v>
      </c>
      <c r="J27" t="s">
        <v>1039</v>
      </c>
      <c r="K27" t="s">
        <v>1040</v>
      </c>
      <c r="L27" t="b">
        <f>Data_Completeness(MileageData[[#This Row],[MPG]:[Acceleration]])</f>
        <v>1</v>
      </c>
    </row>
    <row r="28" spans="1:12" x14ac:dyDescent="0.25">
      <c r="A28">
        <v>25</v>
      </c>
      <c r="B28">
        <v>4</v>
      </c>
      <c r="C28">
        <v>110</v>
      </c>
      <c r="D28">
        <v>87</v>
      </c>
      <c r="E28">
        <v>2672</v>
      </c>
      <c r="F28">
        <v>17.5</v>
      </c>
      <c r="G28">
        <v>70</v>
      </c>
      <c r="H28" t="s">
        <v>1638</v>
      </c>
      <c r="I28" t="s">
        <v>1041</v>
      </c>
      <c r="J28" t="s">
        <v>1042</v>
      </c>
      <c r="K28">
        <v>504</v>
      </c>
      <c r="L28" t="b">
        <f>Data_Completeness(MileageData[[#This Row],[MPG]:[Acceleration]])</f>
        <v>1</v>
      </c>
    </row>
    <row r="29" spans="1:12" x14ac:dyDescent="0.25">
      <c r="A29">
        <v>24</v>
      </c>
      <c r="B29">
        <v>4</v>
      </c>
      <c r="C29">
        <v>107</v>
      </c>
      <c r="D29">
        <v>90</v>
      </c>
      <c r="E29">
        <v>2430</v>
      </c>
      <c r="F29">
        <v>14.5</v>
      </c>
      <c r="G29">
        <v>70</v>
      </c>
      <c r="H29" t="s">
        <v>1638</v>
      </c>
      <c r="I29" t="s">
        <v>1043</v>
      </c>
      <c r="J29" t="s">
        <v>1044</v>
      </c>
      <c r="K29" t="s">
        <v>1045</v>
      </c>
      <c r="L29" t="b">
        <f>Data_Completeness(MileageData[[#This Row],[MPG]:[Acceleration]])</f>
        <v>1</v>
      </c>
    </row>
    <row r="30" spans="1:12" x14ac:dyDescent="0.25">
      <c r="A30">
        <v>25</v>
      </c>
      <c r="B30">
        <v>4</v>
      </c>
      <c r="C30">
        <v>104</v>
      </c>
      <c r="D30">
        <v>95</v>
      </c>
      <c r="E30">
        <v>2375</v>
      </c>
      <c r="F30">
        <v>17.5</v>
      </c>
      <c r="G30">
        <v>70</v>
      </c>
      <c r="H30" t="s">
        <v>1638</v>
      </c>
      <c r="I30" t="s">
        <v>1046</v>
      </c>
      <c r="J30" t="s">
        <v>1047</v>
      </c>
      <c r="K30" t="s">
        <v>1048</v>
      </c>
      <c r="L30" t="b">
        <f>Data_Completeness(MileageData[[#This Row],[MPG]:[Acceleration]])</f>
        <v>1</v>
      </c>
    </row>
    <row r="31" spans="1:12" x14ac:dyDescent="0.25">
      <c r="A31">
        <v>26</v>
      </c>
      <c r="B31">
        <v>4</v>
      </c>
      <c r="C31">
        <v>121</v>
      </c>
      <c r="D31">
        <v>113</v>
      </c>
      <c r="E31">
        <v>2234</v>
      </c>
      <c r="F31">
        <v>12.5</v>
      </c>
      <c r="G31">
        <v>70</v>
      </c>
      <c r="H31" t="s">
        <v>1638</v>
      </c>
      <c r="I31" t="s">
        <v>1049</v>
      </c>
      <c r="J31" t="s">
        <v>1050</v>
      </c>
      <c r="K31">
        <v>2002</v>
      </c>
      <c r="L31" t="b">
        <f>Data_Completeness(MileageData[[#This Row],[MPG]:[Acceleration]])</f>
        <v>1</v>
      </c>
    </row>
    <row r="32" spans="1:12" x14ac:dyDescent="0.25">
      <c r="A32">
        <v>21</v>
      </c>
      <c r="B32">
        <v>6</v>
      </c>
      <c r="C32">
        <v>199</v>
      </c>
      <c r="D32">
        <v>90</v>
      </c>
      <c r="E32">
        <v>2648</v>
      </c>
      <c r="F32">
        <v>15</v>
      </c>
      <c r="G32">
        <v>70</v>
      </c>
      <c r="H32" t="s">
        <v>1637</v>
      </c>
      <c r="I32" t="s">
        <v>1051</v>
      </c>
      <c r="J32" t="s">
        <v>989</v>
      </c>
      <c r="K32" t="s">
        <v>1052</v>
      </c>
      <c r="L32" t="b">
        <f>Data_Completeness(MileageData[[#This Row],[MPG]:[Acceleration]])</f>
        <v>1</v>
      </c>
    </row>
    <row r="33" spans="1:12" x14ac:dyDescent="0.25">
      <c r="A33">
        <v>10</v>
      </c>
      <c r="B33">
        <v>8</v>
      </c>
      <c r="C33">
        <v>360</v>
      </c>
      <c r="D33">
        <v>215</v>
      </c>
      <c r="E33">
        <v>4615</v>
      </c>
      <c r="F33">
        <v>14</v>
      </c>
      <c r="G33">
        <v>70</v>
      </c>
      <c r="H33" t="s">
        <v>1637</v>
      </c>
      <c r="I33" t="s">
        <v>1053</v>
      </c>
      <c r="J33" t="s">
        <v>992</v>
      </c>
      <c r="K33" t="s">
        <v>1054</v>
      </c>
      <c r="L33" t="b">
        <f>Data_Completeness(MileageData[[#This Row],[MPG]:[Acceleration]])</f>
        <v>1</v>
      </c>
    </row>
    <row r="34" spans="1:12" x14ac:dyDescent="0.25">
      <c r="A34">
        <v>10</v>
      </c>
      <c r="B34">
        <v>8</v>
      </c>
      <c r="C34">
        <v>307</v>
      </c>
      <c r="D34">
        <v>200</v>
      </c>
      <c r="E34">
        <v>4376</v>
      </c>
      <c r="F34">
        <v>15</v>
      </c>
      <c r="G34">
        <v>70</v>
      </c>
      <c r="H34" t="s">
        <v>1637</v>
      </c>
      <c r="I34" t="s">
        <v>1055</v>
      </c>
      <c r="J34" t="s">
        <v>1056</v>
      </c>
      <c r="K34" t="s">
        <v>1057</v>
      </c>
      <c r="L34" t="b">
        <f>Data_Completeness(MileageData[[#This Row],[MPG]:[Acceleration]])</f>
        <v>1</v>
      </c>
    </row>
    <row r="35" spans="1:12" x14ac:dyDescent="0.25">
      <c r="A35">
        <v>11</v>
      </c>
      <c r="B35">
        <v>8</v>
      </c>
      <c r="C35">
        <v>318</v>
      </c>
      <c r="D35">
        <v>210</v>
      </c>
      <c r="E35">
        <v>4382</v>
      </c>
      <c r="F35">
        <v>13.5</v>
      </c>
      <c r="G35">
        <v>70</v>
      </c>
      <c r="H35" t="s">
        <v>1637</v>
      </c>
      <c r="I35" t="s">
        <v>1058</v>
      </c>
      <c r="J35" t="s">
        <v>1017</v>
      </c>
      <c r="K35" t="s">
        <v>1059</v>
      </c>
      <c r="L35" t="b">
        <f>Data_Completeness(MileageData[[#This Row],[MPG]:[Acceleration]])</f>
        <v>1</v>
      </c>
    </row>
    <row r="36" spans="1:12" x14ac:dyDescent="0.25">
      <c r="A36">
        <v>9</v>
      </c>
      <c r="B36">
        <v>8</v>
      </c>
      <c r="C36">
        <v>304</v>
      </c>
      <c r="D36">
        <v>193</v>
      </c>
      <c r="E36">
        <v>4732</v>
      </c>
      <c r="F36">
        <v>18.5</v>
      </c>
      <c r="G36">
        <v>70</v>
      </c>
      <c r="H36" t="s">
        <v>1637</v>
      </c>
      <c r="I36" t="s">
        <v>1060</v>
      </c>
      <c r="J36" t="s">
        <v>1061</v>
      </c>
      <c r="K36" t="s">
        <v>1062</v>
      </c>
      <c r="L36" t="b">
        <f>Data_Completeness(MileageData[[#This Row],[MPG]:[Acceleration]])</f>
        <v>1</v>
      </c>
    </row>
    <row r="37" spans="1:12" x14ac:dyDescent="0.25">
      <c r="A37">
        <v>27</v>
      </c>
      <c r="B37">
        <v>4</v>
      </c>
      <c r="C37">
        <v>97</v>
      </c>
      <c r="D37">
        <v>88</v>
      </c>
      <c r="E37">
        <v>2130</v>
      </c>
      <c r="F37">
        <v>14.5</v>
      </c>
      <c r="G37">
        <v>71</v>
      </c>
      <c r="H37" t="s">
        <v>1639</v>
      </c>
      <c r="I37" t="s">
        <v>1035</v>
      </c>
      <c r="J37" t="s">
        <v>1036</v>
      </c>
      <c r="K37" t="s">
        <v>1037</v>
      </c>
      <c r="L37" t="b">
        <f>Data_Completeness(MileageData[[#This Row],[MPG]:[Acceleration]])</f>
        <v>1</v>
      </c>
    </row>
    <row r="38" spans="1:12" x14ac:dyDescent="0.25">
      <c r="A38">
        <v>28</v>
      </c>
      <c r="B38">
        <v>4</v>
      </c>
      <c r="C38">
        <v>140</v>
      </c>
      <c r="D38">
        <v>90</v>
      </c>
      <c r="E38">
        <v>2264</v>
      </c>
      <c r="F38">
        <v>15.5</v>
      </c>
      <c r="G38">
        <v>71</v>
      </c>
      <c r="H38" t="s">
        <v>1637</v>
      </c>
      <c r="I38" t="s">
        <v>1063</v>
      </c>
      <c r="J38" t="s">
        <v>980</v>
      </c>
      <c r="K38" t="s">
        <v>1064</v>
      </c>
      <c r="L38" t="b">
        <f>Data_Completeness(MileageData[[#This Row],[MPG]:[Acceleration]])</f>
        <v>1</v>
      </c>
    </row>
    <row r="39" spans="1:12" x14ac:dyDescent="0.25">
      <c r="A39">
        <v>25</v>
      </c>
      <c r="B39">
        <v>4</v>
      </c>
      <c r="C39">
        <v>113</v>
      </c>
      <c r="D39">
        <v>95</v>
      </c>
      <c r="E39">
        <v>2228</v>
      </c>
      <c r="F39">
        <v>14</v>
      </c>
      <c r="G39">
        <v>71</v>
      </c>
      <c r="H39" t="s">
        <v>1639</v>
      </c>
      <c r="I39" t="s">
        <v>1065</v>
      </c>
      <c r="J39" t="s">
        <v>1027</v>
      </c>
      <c r="K39" t="s">
        <v>1066</v>
      </c>
      <c r="L39" t="b">
        <f>Data_Completeness(MileageData[[#This Row],[MPG]:[Acceleration]])</f>
        <v>1</v>
      </c>
    </row>
    <row r="40" spans="1:12" x14ac:dyDescent="0.25">
      <c r="A40">
        <v>25</v>
      </c>
      <c r="B40">
        <v>4</v>
      </c>
      <c r="C40">
        <v>98</v>
      </c>
      <c r="E40">
        <v>2046</v>
      </c>
      <c r="F40">
        <v>19</v>
      </c>
      <c r="G40">
        <v>71</v>
      </c>
      <c r="H40" t="s">
        <v>1637</v>
      </c>
      <c r="I40" t="s">
        <v>1067</v>
      </c>
      <c r="J40" t="s">
        <v>992</v>
      </c>
      <c r="K40" t="s">
        <v>1068</v>
      </c>
      <c r="L40" t="b">
        <f>Data_Completeness(MileageData[[#This Row],[MPG]:[Acceleration]])</f>
        <v>0</v>
      </c>
    </row>
    <row r="41" spans="1:12" x14ac:dyDescent="0.25">
      <c r="B41">
        <v>4</v>
      </c>
      <c r="C41">
        <v>97</v>
      </c>
      <c r="D41">
        <v>48</v>
      </c>
      <c r="E41">
        <v>1978</v>
      </c>
      <c r="F41">
        <v>20</v>
      </c>
      <c r="G41">
        <v>71</v>
      </c>
      <c r="H41" t="s">
        <v>1638</v>
      </c>
      <c r="I41" t="s">
        <v>1069</v>
      </c>
      <c r="J41" t="s">
        <v>1039</v>
      </c>
      <c r="K41" t="s">
        <v>1070</v>
      </c>
      <c r="L41" t="b">
        <f>Data_Completeness(MileageData[[#This Row],[MPG]:[Acceleration]])</f>
        <v>0</v>
      </c>
    </row>
    <row r="42" spans="1:12" x14ac:dyDescent="0.25">
      <c r="A42">
        <v>19</v>
      </c>
      <c r="B42">
        <v>6</v>
      </c>
      <c r="C42">
        <v>232</v>
      </c>
      <c r="D42">
        <v>100</v>
      </c>
      <c r="E42">
        <v>2634</v>
      </c>
      <c r="F42">
        <v>13</v>
      </c>
      <c r="G42">
        <v>71</v>
      </c>
      <c r="H42" t="s">
        <v>1637</v>
      </c>
      <c r="I42" t="s">
        <v>1051</v>
      </c>
      <c r="J42" t="s">
        <v>989</v>
      </c>
      <c r="K42" t="s">
        <v>1052</v>
      </c>
      <c r="L42" t="b">
        <f>Data_Completeness(MileageData[[#This Row],[MPG]:[Acceleration]])</f>
        <v>1</v>
      </c>
    </row>
    <row r="43" spans="1:12" x14ac:dyDescent="0.25">
      <c r="A43">
        <v>16</v>
      </c>
      <c r="B43">
        <v>6</v>
      </c>
      <c r="C43">
        <v>225</v>
      </c>
      <c r="D43">
        <v>105</v>
      </c>
      <c r="E43">
        <v>3439</v>
      </c>
      <c r="F43">
        <v>15.5</v>
      </c>
      <c r="G43">
        <v>71</v>
      </c>
      <c r="H43" t="s">
        <v>1637</v>
      </c>
      <c r="I43" t="s">
        <v>1071</v>
      </c>
      <c r="J43" t="s">
        <v>986</v>
      </c>
      <c r="K43" t="s">
        <v>1072</v>
      </c>
      <c r="L43" t="b">
        <f>Data_Completeness(MileageData[[#This Row],[MPG]:[Acceleration]])</f>
        <v>1</v>
      </c>
    </row>
    <row r="44" spans="1:12" x14ac:dyDescent="0.25">
      <c r="A44">
        <v>17</v>
      </c>
      <c r="B44">
        <v>6</v>
      </c>
      <c r="C44">
        <v>250</v>
      </c>
      <c r="D44">
        <v>100</v>
      </c>
      <c r="E44">
        <v>3329</v>
      </c>
      <c r="F44">
        <v>15.5</v>
      </c>
      <c r="G44">
        <v>71</v>
      </c>
      <c r="H44" t="s">
        <v>1637</v>
      </c>
      <c r="I44" t="s">
        <v>979</v>
      </c>
      <c r="J44" t="s">
        <v>980</v>
      </c>
      <c r="K44" t="s">
        <v>981</v>
      </c>
      <c r="L44" t="b">
        <f>Data_Completeness(MileageData[[#This Row],[MPG]:[Acceleration]])</f>
        <v>1</v>
      </c>
    </row>
    <row r="45" spans="1:12" x14ac:dyDescent="0.25">
      <c r="A45">
        <v>19</v>
      </c>
      <c r="B45">
        <v>6</v>
      </c>
      <c r="C45">
        <v>250</v>
      </c>
      <c r="D45">
        <v>88</v>
      </c>
      <c r="E45">
        <v>3302</v>
      </c>
      <c r="F45">
        <v>15.5</v>
      </c>
      <c r="G45">
        <v>71</v>
      </c>
      <c r="H45" t="s">
        <v>1637</v>
      </c>
      <c r="I45" t="s">
        <v>1073</v>
      </c>
      <c r="J45" t="s">
        <v>992</v>
      </c>
      <c r="K45" t="s">
        <v>1074</v>
      </c>
      <c r="L45" t="b">
        <f>Data_Completeness(MileageData[[#This Row],[MPG]:[Acceleration]])</f>
        <v>1</v>
      </c>
    </row>
    <row r="46" spans="1:12" x14ac:dyDescent="0.25">
      <c r="A46">
        <v>18</v>
      </c>
      <c r="B46">
        <v>6</v>
      </c>
      <c r="C46">
        <v>232</v>
      </c>
      <c r="D46">
        <v>100</v>
      </c>
      <c r="E46">
        <v>3288</v>
      </c>
      <c r="F46">
        <v>15.5</v>
      </c>
      <c r="G46">
        <v>71</v>
      </c>
      <c r="H46" t="s">
        <v>1637</v>
      </c>
      <c r="I46" t="s">
        <v>1075</v>
      </c>
      <c r="J46" t="s">
        <v>989</v>
      </c>
      <c r="K46" t="s">
        <v>1076</v>
      </c>
      <c r="L46" t="b">
        <f>Data_Completeness(MileageData[[#This Row],[MPG]:[Acceleration]])</f>
        <v>1</v>
      </c>
    </row>
    <row r="47" spans="1:12" x14ac:dyDescent="0.25">
      <c r="A47">
        <v>14</v>
      </c>
      <c r="B47">
        <v>8</v>
      </c>
      <c r="C47">
        <v>350</v>
      </c>
      <c r="D47">
        <v>165</v>
      </c>
      <c r="E47">
        <v>4209</v>
      </c>
      <c r="F47">
        <v>12</v>
      </c>
      <c r="G47">
        <v>71</v>
      </c>
      <c r="H47" t="s">
        <v>1637</v>
      </c>
      <c r="I47" t="s">
        <v>996</v>
      </c>
      <c r="J47" t="s">
        <v>980</v>
      </c>
      <c r="K47" t="s">
        <v>997</v>
      </c>
      <c r="L47" t="b">
        <f>Data_Completeness(MileageData[[#This Row],[MPG]:[Acceleration]])</f>
        <v>1</v>
      </c>
    </row>
    <row r="48" spans="1:12" x14ac:dyDescent="0.25">
      <c r="A48">
        <v>14</v>
      </c>
      <c r="B48">
        <v>8</v>
      </c>
      <c r="C48">
        <v>400</v>
      </c>
      <c r="D48">
        <v>175</v>
      </c>
      <c r="E48">
        <v>4464</v>
      </c>
      <c r="F48">
        <v>11.5</v>
      </c>
      <c r="G48">
        <v>71</v>
      </c>
      <c r="H48" t="s">
        <v>1637</v>
      </c>
      <c r="I48" t="s">
        <v>1077</v>
      </c>
      <c r="J48" t="s">
        <v>1001</v>
      </c>
      <c r="K48" t="s">
        <v>1078</v>
      </c>
      <c r="L48" t="b">
        <f>Data_Completeness(MileageData[[#This Row],[MPG]:[Acceleration]])</f>
        <v>1</v>
      </c>
    </row>
    <row r="49" spans="1:12" x14ac:dyDescent="0.25">
      <c r="A49">
        <v>14</v>
      </c>
      <c r="B49">
        <v>8</v>
      </c>
      <c r="C49">
        <v>351</v>
      </c>
      <c r="D49">
        <v>153</v>
      </c>
      <c r="E49">
        <v>4154</v>
      </c>
      <c r="F49">
        <v>13.5</v>
      </c>
      <c r="G49">
        <v>71</v>
      </c>
      <c r="H49" t="s">
        <v>1637</v>
      </c>
      <c r="I49" t="s">
        <v>994</v>
      </c>
      <c r="J49" t="s">
        <v>992</v>
      </c>
      <c r="K49" t="s">
        <v>995</v>
      </c>
      <c r="L49" t="b">
        <f>Data_Completeness(MileageData[[#This Row],[MPG]:[Acceleration]])</f>
        <v>1</v>
      </c>
    </row>
    <row r="50" spans="1:12" x14ac:dyDescent="0.25">
      <c r="A50">
        <v>14</v>
      </c>
      <c r="B50">
        <v>8</v>
      </c>
      <c r="C50">
        <v>318</v>
      </c>
      <c r="D50">
        <v>150</v>
      </c>
      <c r="E50">
        <v>4096</v>
      </c>
      <c r="F50">
        <v>13</v>
      </c>
      <c r="G50">
        <v>71</v>
      </c>
      <c r="H50" t="s">
        <v>1637</v>
      </c>
      <c r="I50" t="s">
        <v>998</v>
      </c>
      <c r="J50" t="s">
        <v>986</v>
      </c>
      <c r="K50" t="s">
        <v>999</v>
      </c>
      <c r="L50" t="b">
        <f>Data_Completeness(MileageData[[#This Row],[MPG]:[Acceleration]])</f>
        <v>1</v>
      </c>
    </row>
    <row r="51" spans="1:12" x14ac:dyDescent="0.25">
      <c r="A51">
        <v>12</v>
      </c>
      <c r="B51">
        <v>8</v>
      </c>
      <c r="C51">
        <v>383</v>
      </c>
      <c r="D51">
        <v>180</v>
      </c>
      <c r="E51">
        <v>4955</v>
      </c>
      <c r="F51">
        <v>11.5</v>
      </c>
      <c r="G51">
        <v>71</v>
      </c>
      <c r="H51" t="s">
        <v>1637</v>
      </c>
      <c r="I51" t="s">
        <v>1079</v>
      </c>
      <c r="J51" t="s">
        <v>1017</v>
      </c>
      <c r="K51" t="s">
        <v>1080</v>
      </c>
      <c r="L51" t="b">
        <f>Data_Completeness(MileageData[[#This Row],[MPG]:[Acceleration]])</f>
        <v>1</v>
      </c>
    </row>
    <row r="52" spans="1:12" x14ac:dyDescent="0.25">
      <c r="A52">
        <v>13</v>
      </c>
      <c r="B52">
        <v>8</v>
      </c>
      <c r="C52">
        <v>400</v>
      </c>
      <c r="D52">
        <v>170</v>
      </c>
      <c r="E52">
        <v>4746</v>
      </c>
      <c r="F52">
        <v>12</v>
      </c>
      <c r="G52">
        <v>71</v>
      </c>
      <c r="H52" t="s">
        <v>1637</v>
      </c>
      <c r="I52" t="s">
        <v>1081</v>
      </c>
      <c r="J52" t="s">
        <v>992</v>
      </c>
      <c r="K52" t="s">
        <v>1082</v>
      </c>
      <c r="L52" t="b">
        <f>Data_Completeness(MileageData[[#This Row],[MPG]:[Acceleration]])</f>
        <v>1</v>
      </c>
    </row>
    <row r="53" spans="1:12" x14ac:dyDescent="0.25">
      <c r="A53">
        <v>13</v>
      </c>
      <c r="B53">
        <v>8</v>
      </c>
      <c r="C53">
        <v>400</v>
      </c>
      <c r="D53">
        <v>175</v>
      </c>
      <c r="E53">
        <v>5140</v>
      </c>
      <c r="F53">
        <v>12</v>
      </c>
      <c r="G53">
        <v>71</v>
      </c>
      <c r="H53" t="s">
        <v>1637</v>
      </c>
      <c r="I53" t="s">
        <v>1083</v>
      </c>
      <c r="J53" t="s">
        <v>1001</v>
      </c>
      <c r="K53" t="s">
        <v>1084</v>
      </c>
      <c r="L53" t="b">
        <f>Data_Completeness(MileageData[[#This Row],[MPG]:[Acceleration]])</f>
        <v>1</v>
      </c>
    </row>
    <row r="54" spans="1:12" x14ac:dyDescent="0.25">
      <c r="A54">
        <v>18</v>
      </c>
      <c r="B54">
        <v>6</v>
      </c>
      <c r="C54">
        <v>258</v>
      </c>
      <c r="D54">
        <v>110</v>
      </c>
      <c r="E54">
        <v>2962</v>
      </c>
      <c r="F54">
        <v>13.5</v>
      </c>
      <c r="G54">
        <v>71</v>
      </c>
      <c r="H54" t="s">
        <v>1637</v>
      </c>
      <c r="I54" t="s">
        <v>1085</v>
      </c>
      <c r="J54" t="s">
        <v>989</v>
      </c>
      <c r="K54" t="s">
        <v>1086</v>
      </c>
      <c r="L54" t="b">
        <f>Data_Completeness(MileageData[[#This Row],[MPG]:[Acceleration]])</f>
        <v>1</v>
      </c>
    </row>
    <row r="55" spans="1:12" x14ac:dyDescent="0.25">
      <c r="A55">
        <v>22</v>
      </c>
      <c r="B55">
        <v>4</v>
      </c>
      <c r="C55">
        <v>140</v>
      </c>
      <c r="D55">
        <v>72</v>
      </c>
      <c r="E55">
        <v>2408</v>
      </c>
      <c r="F55">
        <v>19</v>
      </c>
      <c r="G55">
        <v>71</v>
      </c>
      <c r="H55" t="s">
        <v>1637</v>
      </c>
      <c r="I55" t="s">
        <v>1087</v>
      </c>
      <c r="J55" t="s">
        <v>980</v>
      </c>
      <c r="K55" t="s">
        <v>1088</v>
      </c>
      <c r="L55" t="b">
        <f>Data_Completeness(MileageData[[#This Row],[MPG]:[Acceleration]])</f>
        <v>1</v>
      </c>
    </row>
    <row r="56" spans="1:12" x14ac:dyDescent="0.25">
      <c r="A56">
        <v>19</v>
      </c>
      <c r="B56">
        <v>6</v>
      </c>
      <c r="C56">
        <v>250</v>
      </c>
      <c r="D56">
        <v>100</v>
      </c>
      <c r="E56">
        <v>3282</v>
      </c>
      <c r="F56">
        <v>15</v>
      </c>
      <c r="G56">
        <v>71</v>
      </c>
      <c r="H56" t="s">
        <v>1637</v>
      </c>
      <c r="I56" t="s">
        <v>1089</v>
      </c>
      <c r="J56" t="s">
        <v>1001</v>
      </c>
      <c r="K56" t="s">
        <v>1090</v>
      </c>
      <c r="L56" t="b">
        <f>Data_Completeness(MileageData[[#This Row],[MPG]:[Acceleration]])</f>
        <v>1</v>
      </c>
    </row>
    <row r="57" spans="1:12" x14ac:dyDescent="0.25">
      <c r="A57">
        <v>18</v>
      </c>
      <c r="B57">
        <v>6</v>
      </c>
      <c r="C57">
        <v>250</v>
      </c>
      <c r="D57">
        <v>88</v>
      </c>
      <c r="E57">
        <v>3139</v>
      </c>
      <c r="F57">
        <v>14.5</v>
      </c>
      <c r="G57">
        <v>71</v>
      </c>
      <c r="H57" t="s">
        <v>1637</v>
      </c>
      <c r="I57" t="s">
        <v>1091</v>
      </c>
      <c r="J57" t="s">
        <v>992</v>
      </c>
      <c r="K57" t="s">
        <v>1092</v>
      </c>
      <c r="L57" t="b">
        <f>Data_Completeness(MileageData[[#This Row],[MPG]:[Acceleration]])</f>
        <v>1</v>
      </c>
    </row>
    <row r="58" spans="1:12" x14ac:dyDescent="0.25">
      <c r="A58">
        <v>23</v>
      </c>
      <c r="B58">
        <v>4</v>
      </c>
      <c r="C58">
        <v>122</v>
      </c>
      <c r="D58">
        <v>86</v>
      </c>
      <c r="E58">
        <v>2220</v>
      </c>
      <c r="F58">
        <v>14</v>
      </c>
      <c r="G58">
        <v>71</v>
      </c>
      <c r="H58" t="s">
        <v>1637</v>
      </c>
      <c r="I58" t="s">
        <v>1093</v>
      </c>
      <c r="J58" t="s">
        <v>1094</v>
      </c>
      <c r="K58" t="s">
        <v>1095</v>
      </c>
      <c r="L58" t="b">
        <f>Data_Completeness(MileageData[[#This Row],[MPG]:[Acceleration]])</f>
        <v>1</v>
      </c>
    </row>
    <row r="59" spans="1:12" x14ac:dyDescent="0.25">
      <c r="A59">
        <v>28</v>
      </c>
      <c r="B59">
        <v>4</v>
      </c>
      <c r="C59">
        <v>116</v>
      </c>
      <c r="D59">
        <v>90</v>
      </c>
      <c r="E59">
        <v>2123</v>
      </c>
      <c r="F59">
        <v>14</v>
      </c>
      <c r="G59">
        <v>71</v>
      </c>
      <c r="H59" t="s">
        <v>1638</v>
      </c>
      <c r="I59" t="s">
        <v>1096</v>
      </c>
      <c r="J59" t="s">
        <v>1097</v>
      </c>
      <c r="K59">
        <v>1900</v>
      </c>
      <c r="L59" t="b">
        <f>Data_Completeness(MileageData[[#This Row],[MPG]:[Acceleration]])</f>
        <v>1</v>
      </c>
    </row>
    <row r="60" spans="1:12" x14ac:dyDescent="0.25">
      <c r="A60">
        <v>30</v>
      </c>
      <c r="B60">
        <v>4</v>
      </c>
      <c r="C60">
        <v>79</v>
      </c>
      <c r="D60">
        <v>70</v>
      </c>
      <c r="E60">
        <v>2074</v>
      </c>
      <c r="F60">
        <v>19.5</v>
      </c>
      <c r="G60">
        <v>71</v>
      </c>
      <c r="H60" t="s">
        <v>1638</v>
      </c>
      <c r="I60" t="s">
        <v>1098</v>
      </c>
      <c r="J60" t="s">
        <v>1042</v>
      </c>
      <c r="K60">
        <v>304</v>
      </c>
      <c r="L60" t="b">
        <f>Data_Completeness(MileageData[[#This Row],[MPG]:[Acceleration]])</f>
        <v>1</v>
      </c>
    </row>
    <row r="61" spans="1:12" x14ac:dyDescent="0.25">
      <c r="A61">
        <v>30</v>
      </c>
      <c r="B61">
        <v>4</v>
      </c>
      <c r="C61">
        <v>88</v>
      </c>
      <c r="D61">
        <v>76</v>
      </c>
      <c r="E61">
        <v>2065</v>
      </c>
      <c r="F61">
        <v>14.5</v>
      </c>
      <c r="G61">
        <v>71</v>
      </c>
      <c r="H61" t="s">
        <v>1638</v>
      </c>
      <c r="I61" t="s">
        <v>1099</v>
      </c>
      <c r="J61" t="s">
        <v>1100</v>
      </c>
      <c r="K61" t="s">
        <v>1101</v>
      </c>
      <c r="L61" t="b">
        <f>Data_Completeness(MileageData[[#This Row],[MPG]:[Acceleration]])</f>
        <v>1</v>
      </c>
    </row>
    <row r="62" spans="1:12" x14ac:dyDescent="0.25">
      <c r="A62">
        <v>31</v>
      </c>
      <c r="B62">
        <v>4</v>
      </c>
      <c r="C62">
        <v>71</v>
      </c>
      <c r="D62">
        <v>65</v>
      </c>
      <c r="E62">
        <v>1773</v>
      </c>
      <c r="F62">
        <v>19</v>
      </c>
      <c r="G62">
        <v>71</v>
      </c>
      <c r="H62" t="s">
        <v>1639</v>
      </c>
      <c r="I62" t="s">
        <v>1102</v>
      </c>
      <c r="J62" t="s">
        <v>1027</v>
      </c>
      <c r="K62" t="s">
        <v>1103</v>
      </c>
      <c r="L62" t="b">
        <f>Data_Completeness(MileageData[[#This Row],[MPG]:[Acceleration]])</f>
        <v>1</v>
      </c>
    </row>
    <row r="63" spans="1:12" x14ac:dyDescent="0.25">
      <c r="A63">
        <v>35</v>
      </c>
      <c r="B63">
        <v>4</v>
      </c>
      <c r="C63">
        <v>72</v>
      </c>
      <c r="D63">
        <v>69</v>
      </c>
      <c r="E63">
        <v>1613</v>
      </c>
      <c r="F63">
        <v>18</v>
      </c>
      <c r="G63">
        <v>71</v>
      </c>
      <c r="H63" t="s">
        <v>1639</v>
      </c>
      <c r="I63" t="s">
        <v>1104</v>
      </c>
      <c r="J63" t="s">
        <v>1036</v>
      </c>
      <c r="K63">
        <v>1200</v>
      </c>
      <c r="L63" t="b">
        <f>Data_Completeness(MileageData[[#This Row],[MPG]:[Acceleration]])</f>
        <v>1</v>
      </c>
    </row>
    <row r="64" spans="1:12" x14ac:dyDescent="0.25">
      <c r="A64">
        <v>27</v>
      </c>
      <c r="B64">
        <v>4</v>
      </c>
      <c r="C64">
        <v>97</v>
      </c>
      <c r="D64">
        <v>60</v>
      </c>
      <c r="E64">
        <v>1834</v>
      </c>
      <c r="F64">
        <v>19</v>
      </c>
      <c r="G64">
        <v>71</v>
      </c>
      <c r="H64" t="s">
        <v>1638</v>
      </c>
      <c r="I64" t="s">
        <v>1105</v>
      </c>
      <c r="J64" t="s">
        <v>1039</v>
      </c>
      <c r="K64" t="s">
        <v>1106</v>
      </c>
      <c r="L64" t="b">
        <f>Data_Completeness(MileageData[[#This Row],[MPG]:[Acceleration]])</f>
        <v>1</v>
      </c>
    </row>
    <row r="65" spans="1:12" x14ac:dyDescent="0.25">
      <c r="A65">
        <v>26</v>
      </c>
      <c r="B65">
        <v>4</v>
      </c>
      <c r="C65">
        <v>91</v>
      </c>
      <c r="D65">
        <v>70</v>
      </c>
      <c r="E65">
        <v>1955</v>
      </c>
      <c r="F65">
        <v>20.5</v>
      </c>
      <c r="G65">
        <v>71</v>
      </c>
      <c r="H65" t="s">
        <v>1637</v>
      </c>
      <c r="I65" t="s">
        <v>1107</v>
      </c>
      <c r="J65" t="s">
        <v>986</v>
      </c>
      <c r="K65" t="s">
        <v>1108</v>
      </c>
      <c r="L65" t="b">
        <f>Data_Completeness(MileageData[[#This Row],[MPG]:[Acceleration]])</f>
        <v>1</v>
      </c>
    </row>
    <row r="66" spans="1:12" x14ac:dyDescent="0.25">
      <c r="A66">
        <v>24</v>
      </c>
      <c r="B66">
        <v>4</v>
      </c>
      <c r="C66">
        <v>113</v>
      </c>
      <c r="D66">
        <v>95</v>
      </c>
      <c r="E66">
        <v>2278</v>
      </c>
      <c r="F66">
        <v>15.5</v>
      </c>
      <c r="G66">
        <v>72</v>
      </c>
      <c r="H66" t="s">
        <v>1639</v>
      </c>
      <c r="I66" t="s">
        <v>1109</v>
      </c>
      <c r="J66" t="s">
        <v>1027</v>
      </c>
      <c r="K66" t="s">
        <v>1110</v>
      </c>
      <c r="L66" t="b">
        <f>Data_Completeness(MileageData[[#This Row],[MPG]:[Acceleration]])</f>
        <v>1</v>
      </c>
    </row>
    <row r="67" spans="1:12" x14ac:dyDescent="0.25">
      <c r="A67">
        <v>25</v>
      </c>
      <c r="B67">
        <v>4</v>
      </c>
      <c r="C67">
        <v>97.5</v>
      </c>
      <c r="D67">
        <v>80</v>
      </c>
      <c r="E67">
        <v>2126</v>
      </c>
      <c r="F67">
        <v>17</v>
      </c>
      <c r="G67">
        <v>72</v>
      </c>
      <c r="H67" t="s">
        <v>1637</v>
      </c>
      <c r="I67" t="s">
        <v>1111</v>
      </c>
      <c r="J67" t="s">
        <v>1017</v>
      </c>
      <c r="K67" t="s">
        <v>1112</v>
      </c>
      <c r="L67" t="b">
        <f>Data_Completeness(MileageData[[#This Row],[MPG]:[Acceleration]])</f>
        <v>1</v>
      </c>
    </row>
    <row r="68" spans="1:12" x14ac:dyDescent="0.25">
      <c r="A68">
        <v>23</v>
      </c>
      <c r="B68">
        <v>4</v>
      </c>
      <c r="C68">
        <v>97</v>
      </c>
      <c r="D68">
        <v>54</v>
      </c>
      <c r="E68">
        <v>2254</v>
      </c>
      <c r="F68">
        <v>23.5</v>
      </c>
      <c r="G68">
        <v>72</v>
      </c>
      <c r="H68" t="s">
        <v>1638</v>
      </c>
      <c r="I68" t="s">
        <v>1113</v>
      </c>
      <c r="J68" t="s">
        <v>1039</v>
      </c>
      <c r="K68" t="s">
        <v>1114</v>
      </c>
      <c r="L68" t="b">
        <f>Data_Completeness(MileageData[[#This Row],[MPG]:[Acceleration]])</f>
        <v>1</v>
      </c>
    </row>
    <row r="69" spans="1:12" x14ac:dyDescent="0.25">
      <c r="A69">
        <v>20</v>
      </c>
      <c r="B69">
        <v>4</v>
      </c>
      <c r="C69">
        <v>140</v>
      </c>
      <c r="D69">
        <v>90</v>
      </c>
      <c r="E69">
        <v>2408</v>
      </c>
      <c r="F69">
        <v>19.5</v>
      </c>
      <c r="G69">
        <v>72</v>
      </c>
      <c r="H69" t="s">
        <v>1637</v>
      </c>
      <c r="I69" t="s">
        <v>1115</v>
      </c>
      <c r="J69" t="s">
        <v>980</v>
      </c>
      <c r="K69" t="s">
        <v>1116</v>
      </c>
      <c r="L69" t="b">
        <f>Data_Completeness(MileageData[[#This Row],[MPG]:[Acceleration]])</f>
        <v>1</v>
      </c>
    </row>
    <row r="70" spans="1:12" x14ac:dyDescent="0.25">
      <c r="A70">
        <v>21</v>
      </c>
      <c r="B70">
        <v>4</v>
      </c>
      <c r="C70">
        <v>122</v>
      </c>
      <c r="D70">
        <v>86</v>
      </c>
      <c r="E70">
        <v>2226</v>
      </c>
      <c r="F70">
        <v>16.5</v>
      </c>
      <c r="G70">
        <v>72</v>
      </c>
      <c r="H70" t="s">
        <v>1637</v>
      </c>
      <c r="I70" t="s">
        <v>1117</v>
      </c>
      <c r="J70" t="s">
        <v>992</v>
      </c>
      <c r="K70" t="s">
        <v>1118</v>
      </c>
      <c r="L70" t="b">
        <f>Data_Completeness(MileageData[[#This Row],[MPG]:[Acceleration]])</f>
        <v>1</v>
      </c>
    </row>
    <row r="71" spans="1:12" x14ac:dyDescent="0.25">
      <c r="A71">
        <v>13</v>
      </c>
      <c r="B71">
        <v>8</v>
      </c>
      <c r="C71">
        <v>350</v>
      </c>
      <c r="D71">
        <v>165</v>
      </c>
      <c r="E71">
        <v>4274</v>
      </c>
      <c r="F71">
        <v>12</v>
      </c>
      <c r="G71">
        <v>72</v>
      </c>
      <c r="H71" t="s">
        <v>1637</v>
      </c>
      <c r="I71" t="s">
        <v>996</v>
      </c>
      <c r="J71" t="s">
        <v>980</v>
      </c>
      <c r="K71" t="s">
        <v>997</v>
      </c>
      <c r="L71" t="b">
        <f>Data_Completeness(MileageData[[#This Row],[MPG]:[Acceleration]])</f>
        <v>1</v>
      </c>
    </row>
    <row r="72" spans="1:12" x14ac:dyDescent="0.25">
      <c r="A72">
        <v>14</v>
      </c>
      <c r="B72">
        <v>8</v>
      </c>
      <c r="C72">
        <v>400</v>
      </c>
      <c r="D72">
        <v>175</v>
      </c>
      <c r="E72">
        <v>4385</v>
      </c>
      <c r="F72">
        <v>12</v>
      </c>
      <c r="G72">
        <v>72</v>
      </c>
      <c r="H72" t="s">
        <v>1637</v>
      </c>
      <c r="I72" t="s">
        <v>1000</v>
      </c>
      <c r="J72" t="s">
        <v>1001</v>
      </c>
      <c r="K72" t="s">
        <v>1002</v>
      </c>
      <c r="L72" t="b">
        <f>Data_Completeness(MileageData[[#This Row],[MPG]:[Acceleration]])</f>
        <v>1</v>
      </c>
    </row>
    <row r="73" spans="1:12" x14ac:dyDescent="0.25">
      <c r="A73">
        <v>15</v>
      </c>
      <c r="B73">
        <v>8</v>
      </c>
      <c r="C73">
        <v>318</v>
      </c>
      <c r="D73">
        <v>150</v>
      </c>
      <c r="E73">
        <v>4135</v>
      </c>
      <c r="F73">
        <v>13.5</v>
      </c>
      <c r="G73">
        <v>72</v>
      </c>
      <c r="H73" t="s">
        <v>1637</v>
      </c>
      <c r="I73" t="s">
        <v>998</v>
      </c>
      <c r="J73" t="s">
        <v>986</v>
      </c>
      <c r="K73" t="s">
        <v>999</v>
      </c>
      <c r="L73" t="b">
        <f>Data_Completeness(MileageData[[#This Row],[MPG]:[Acceleration]])</f>
        <v>1</v>
      </c>
    </row>
    <row r="74" spans="1:12" x14ac:dyDescent="0.25">
      <c r="A74">
        <v>14</v>
      </c>
      <c r="B74">
        <v>8</v>
      </c>
      <c r="C74">
        <v>351</v>
      </c>
      <c r="D74">
        <v>153</v>
      </c>
      <c r="E74">
        <v>4129</v>
      </c>
      <c r="F74">
        <v>13</v>
      </c>
      <c r="G74">
        <v>72</v>
      </c>
      <c r="H74" t="s">
        <v>1637</v>
      </c>
      <c r="I74" t="s">
        <v>994</v>
      </c>
      <c r="J74" t="s">
        <v>992</v>
      </c>
      <c r="K74" t="s">
        <v>995</v>
      </c>
      <c r="L74" t="b">
        <f>Data_Completeness(MileageData[[#This Row],[MPG]:[Acceleration]])</f>
        <v>1</v>
      </c>
    </row>
    <row r="75" spans="1:12" x14ac:dyDescent="0.25">
      <c r="A75">
        <v>17</v>
      </c>
      <c r="B75">
        <v>8</v>
      </c>
      <c r="C75">
        <v>304</v>
      </c>
      <c r="D75">
        <v>150</v>
      </c>
      <c r="E75">
        <v>3672</v>
      </c>
      <c r="F75">
        <v>11.5</v>
      </c>
      <c r="G75">
        <v>72</v>
      </c>
      <c r="H75" t="s">
        <v>1637</v>
      </c>
      <c r="I75" t="s">
        <v>1119</v>
      </c>
      <c r="J75" t="s">
        <v>989</v>
      </c>
      <c r="K75" t="s">
        <v>1120</v>
      </c>
      <c r="L75" t="b">
        <f>Data_Completeness(MileageData[[#This Row],[MPG]:[Acceleration]])</f>
        <v>1</v>
      </c>
    </row>
    <row r="76" spans="1:12" x14ac:dyDescent="0.25">
      <c r="A76">
        <v>11</v>
      </c>
      <c r="B76">
        <v>8</v>
      </c>
      <c r="C76">
        <v>429</v>
      </c>
      <c r="D76">
        <v>208</v>
      </c>
      <c r="E76">
        <v>4633</v>
      </c>
      <c r="F76">
        <v>11</v>
      </c>
      <c r="G76">
        <v>72</v>
      </c>
      <c r="H76" t="s">
        <v>1637</v>
      </c>
      <c r="I76" t="s">
        <v>1121</v>
      </c>
      <c r="J76" t="s">
        <v>1094</v>
      </c>
      <c r="K76" t="s">
        <v>1122</v>
      </c>
      <c r="L76" t="b">
        <f>Data_Completeness(MileageData[[#This Row],[MPG]:[Acceleration]])</f>
        <v>1</v>
      </c>
    </row>
    <row r="77" spans="1:12" x14ac:dyDescent="0.25">
      <c r="A77">
        <v>13</v>
      </c>
      <c r="B77">
        <v>8</v>
      </c>
      <c r="C77">
        <v>350</v>
      </c>
      <c r="D77">
        <v>155</v>
      </c>
      <c r="E77">
        <v>4502</v>
      </c>
      <c r="F77">
        <v>13.5</v>
      </c>
      <c r="G77">
        <v>72</v>
      </c>
      <c r="H77" t="s">
        <v>1637</v>
      </c>
      <c r="I77" t="s">
        <v>1123</v>
      </c>
      <c r="J77" t="s">
        <v>983</v>
      </c>
      <c r="K77" t="s">
        <v>1124</v>
      </c>
      <c r="L77" t="b">
        <f>Data_Completeness(MileageData[[#This Row],[MPG]:[Acceleration]])</f>
        <v>1</v>
      </c>
    </row>
    <row r="78" spans="1:12" x14ac:dyDescent="0.25">
      <c r="A78">
        <v>12</v>
      </c>
      <c r="B78">
        <v>8</v>
      </c>
      <c r="C78">
        <v>350</v>
      </c>
      <c r="D78">
        <v>160</v>
      </c>
      <c r="E78">
        <v>4456</v>
      </c>
      <c r="F78">
        <v>13.5</v>
      </c>
      <c r="G78">
        <v>72</v>
      </c>
      <c r="H78" t="s">
        <v>1637</v>
      </c>
      <c r="I78" t="s">
        <v>1125</v>
      </c>
      <c r="J78" t="s">
        <v>1126</v>
      </c>
      <c r="K78" t="s">
        <v>1127</v>
      </c>
      <c r="L78" t="b">
        <f>Data_Completeness(MileageData[[#This Row],[MPG]:[Acceleration]])</f>
        <v>1</v>
      </c>
    </row>
    <row r="79" spans="1:12" x14ac:dyDescent="0.25">
      <c r="A79">
        <v>13</v>
      </c>
      <c r="B79">
        <v>8</v>
      </c>
      <c r="C79">
        <v>400</v>
      </c>
      <c r="D79">
        <v>190</v>
      </c>
      <c r="E79">
        <v>4422</v>
      </c>
      <c r="F79">
        <v>12.5</v>
      </c>
      <c r="G79">
        <v>72</v>
      </c>
      <c r="H79" t="s">
        <v>1637</v>
      </c>
      <c r="I79" t="s">
        <v>1128</v>
      </c>
      <c r="J79" t="s">
        <v>1129</v>
      </c>
      <c r="K79" t="s">
        <v>1130</v>
      </c>
      <c r="L79" t="b">
        <f>Data_Completeness(MileageData[[#This Row],[MPG]:[Acceleration]])</f>
        <v>1</v>
      </c>
    </row>
    <row r="80" spans="1:12" x14ac:dyDescent="0.25">
      <c r="A80">
        <v>19</v>
      </c>
      <c r="B80">
        <v>3</v>
      </c>
      <c r="C80">
        <v>70</v>
      </c>
      <c r="D80">
        <v>97</v>
      </c>
      <c r="E80">
        <v>2330</v>
      </c>
      <c r="F80">
        <v>13.5</v>
      </c>
      <c r="G80">
        <v>72</v>
      </c>
      <c r="H80" t="s">
        <v>1639</v>
      </c>
      <c r="I80" t="s">
        <v>1131</v>
      </c>
      <c r="J80" t="s">
        <v>1132</v>
      </c>
      <c r="K80" t="s">
        <v>1133</v>
      </c>
      <c r="L80" t="b">
        <f>Data_Completeness(MileageData[[#This Row],[MPG]:[Acceleration]])</f>
        <v>1</v>
      </c>
    </row>
    <row r="81" spans="1:12" x14ac:dyDescent="0.25">
      <c r="A81">
        <v>15</v>
      </c>
      <c r="B81">
        <v>8</v>
      </c>
      <c r="C81">
        <v>304</v>
      </c>
      <c r="D81">
        <v>150</v>
      </c>
      <c r="E81">
        <v>3892</v>
      </c>
      <c r="F81">
        <v>12.5</v>
      </c>
      <c r="G81">
        <v>72</v>
      </c>
      <c r="H81" t="s">
        <v>1637</v>
      </c>
      <c r="I81" t="s">
        <v>1134</v>
      </c>
      <c r="J81" t="s">
        <v>989</v>
      </c>
      <c r="K81" t="s">
        <v>1135</v>
      </c>
      <c r="L81" t="b">
        <f>Data_Completeness(MileageData[[#This Row],[MPG]:[Acceleration]])</f>
        <v>1</v>
      </c>
    </row>
    <row r="82" spans="1:12" x14ac:dyDescent="0.25">
      <c r="A82">
        <v>13</v>
      </c>
      <c r="B82">
        <v>8</v>
      </c>
      <c r="C82">
        <v>307</v>
      </c>
      <c r="D82">
        <v>130</v>
      </c>
      <c r="E82">
        <v>4098</v>
      </c>
      <c r="F82">
        <v>14</v>
      </c>
      <c r="G82">
        <v>72</v>
      </c>
      <c r="H82" t="s">
        <v>1637</v>
      </c>
      <c r="I82" t="s">
        <v>1008</v>
      </c>
      <c r="J82" t="s">
        <v>980</v>
      </c>
      <c r="K82" t="s">
        <v>1009</v>
      </c>
      <c r="L82" t="b">
        <f>Data_Completeness(MileageData[[#This Row],[MPG]:[Acceleration]])</f>
        <v>1</v>
      </c>
    </row>
    <row r="83" spans="1:12" x14ac:dyDescent="0.25">
      <c r="A83">
        <v>13</v>
      </c>
      <c r="B83">
        <v>8</v>
      </c>
      <c r="C83">
        <v>302</v>
      </c>
      <c r="D83">
        <v>140</v>
      </c>
      <c r="E83">
        <v>4294</v>
      </c>
      <c r="F83">
        <v>16</v>
      </c>
      <c r="G83">
        <v>72</v>
      </c>
      <c r="H83" t="s">
        <v>1637</v>
      </c>
      <c r="I83" t="s">
        <v>1136</v>
      </c>
      <c r="J83" t="s">
        <v>992</v>
      </c>
      <c r="K83" t="s">
        <v>1137</v>
      </c>
      <c r="L83" t="b">
        <f>Data_Completeness(MileageData[[#This Row],[MPG]:[Acceleration]])</f>
        <v>1</v>
      </c>
    </row>
    <row r="84" spans="1:12" x14ac:dyDescent="0.25">
      <c r="A84">
        <v>14</v>
      </c>
      <c r="B84">
        <v>8</v>
      </c>
      <c r="C84">
        <v>318</v>
      </c>
      <c r="D84">
        <v>150</v>
      </c>
      <c r="E84">
        <v>4077</v>
      </c>
      <c r="F84">
        <v>14</v>
      </c>
      <c r="G84">
        <v>72</v>
      </c>
      <c r="H84" t="s">
        <v>1637</v>
      </c>
      <c r="I84" t="s">
        <v>1138</v>
      </c>
      <c r="J84" t="s">
        <v>986</v>
      </c>
      <c r="K84" t="s">
        <v>1139</v>
      </c>
      <c r="L84" t="b">
        <f>Data_Completeness(MileageData[[#This Row],[MPG]:[Acceleration]])</f>
        <v>1</v>
      </c>
    </row>
    <row r="85" spans="1:12" x14ac:dyDescent="0.25">
      <c r="A85">
        <v>18</v>
      </c>
      <c r="B85">
        <v>4</v>
      </c>
      <c r="C85">
        <v>121</v>
      </c>
      <c r="D85">
        <v>112</v>
      </c>
      <c r="E85">
        <v>2933</v>
      </c>
      <c r="F85">
        <v>14.5</v>
      </c>
      <c r="G85">
        <v>72</v>
      </c>
      <c r="H85" t="s">
        <v>1638</v>
      </c>
      <c r="I85" t="s">
        <v>1140</v>
      </c>
      <c r="J85" t="s">
        <v>1141</v>
      </c>
      <c r="K85" t="s">
        <v>1142</v>
      </c>
      <c r="L85" t="b">
        <f>Data_Completeness(MileageData[[#This Row],[MPG]:[Acceleration]])</f>
        <v>1</v>
      </c>
    </row>
    <row r="86" spans="1:12" x14ac:dyDescent="0.25">
      <c r="A86">
        <v>22</v>
      </c>
      <c r="B86">
        <v>4</v>
      </c>
      <c r="C86">
        <v>121</v>
      </c>
      <c r="D86">
        <v>76</v>
      </c>
      <c r="E86">
        <v>2511</v>
      </c>
      <c r="F86">
        <v>18</v>
      </c>
      <c r="G86">
        <v>72</v>
      </c>
      <c r="H86" t="s">
        <v>1638</v>
      </c>
      <c r="I86" t="s">
        <v>1143</v>
      </c>
      <c r="J86" t="s">
        <v>1039</v>
      </c>
      <c r="K86" t="s">
        <v>1144</v>
      </c>
      <c r="L86" t="b">
        <f>Data_Completeness(MileageData[[#This Row],[MPG]:[Acceleration]])</f>
        <v>1</v>
      </c>
    </row>
    <row r="87" spans="1:12" x14ac:dyDescent="0.25">
      <c r="A87">
        <v>21</v>
      </c>
      <c r="B87">
        <v>4</v>
      </c>
      <c r="C87">
        <v>120</v>
      </c>
      <c r="D87">
        <v>87</v>
      </c>
      <c r="E87">
        <v>2979</v>
      </c>
      <c r="F87">
        <v>19.5</v>
      </c>
      <c r="G87">
        <v>72</v>
      </c>
      <c r="H87" t="s">
        <v>1638</v>
      </c>
      <c r="I87" t="s">
        <v>1145</v>
      </c>
      <c r="J87" t="s">
        <v>1042</v>
      </c>
      <c r="K87" t="s">
        <v>1146</v>
      </c>
      <c r="L87" t="b">
        <f>Data_Completeness(MileageData[[#This Row],[MPG]:[Acceleration]])</f>
        <v>1</v>
      </c>
    </row>
    <row r="88" spans="1:12" x14ac:dyDescent="0.25">
      <c r="A88">
        <v>26</v>
      </c>
      <c r="B88">
        <v>4</v>
      </c>
      <c r="C88">
        <v>96</v>
      </c>
      <c r="D88">
        <v>69</v>
      </c>
      <c r="E88">
        <v>2189</v>
      </c>
      <c r="F88">
        <v>18</v>
      </c>
      <c r="G88">
        <v>72</v>
      </c>
      <c r="H88" t="s">
        <v>1638</v>
      </c>
      <c r="I88" t="s">
        <v>1147</v>
      </c>
      <c r="J88" t="s">
        <v>1148</v>
      </c>
      <c r="K88" t="s">
        <v>1149</v>
      </c>
      <c r="L88" t="b">
        <f>Data_Completeness(MileageData[[#This Row],[MPG]:[Acceleration]])</f>
        <v>1</v>
      </c>
    </row>
    <row r="89" spans="1:12" x14ac:dyDescent="0.25">
      <c r="A89">
        <v>22</v>
      </c>
      <c r="B89">
        <v>4</v>
      </c>
      <c r="C89">
        <v>122</v>
      </c>
      <c r="D89">
        <v>86</v>
      </c>
      <c r="E89">
        <v>2395</v>
      </c>
      <c r="F89">
        <v>16</v>
      </c>
      <c r="G89">
        <v>72</v>
      </c>
      <c r="H89" t="s">
        <v>1637</v>
      </c>
      <c r="I89" t="s">
        <v>1150</v>
      </c>
      <c r="J89" t="s">
        <v>992</v>
      </c>
      <c r="K89" t="s">
        <v>1151</v>
      </c>
      <c r="L89" t="b">
        <f>Data_Completeness(MileageData[[#This Row],[MPG]:[Acceleration]])</f>
        <v>1</v>
      </c>
    </row>
    <row r="90" spans="1:12" x14ac:dyDescent="0.25">
      <c r="A90">
        <v>28</v>
      </c>
      <c r="B90">
        <v>4</v>
      </c>
      <c r="C90">
        <v>97</v>
      </c>
      <c r="D90">
        <v>92</v>
      </c>
      <c r="E90">
        <v>2288</v>
      </c>
      <c r="F90">
        <v>17</v>
      </c>
      <c r="G90">
        <v>72</v>
      </c>
      <c r="H90" t="s">
        <v>1639</v>
      </c>
      <c r="I90" t="s">
        <v>1152</v>
      </c>
      <c r="J90" t="s">
        <v>1036</v>
      </c>
      <c r="K90" t="s">
        <v>1153</v>
      </c>
      <c r="L90" t="b">
        <f>Data_Completeness(MileageData[[#This Row],[MPG]:[Acceleration]])</f>
        <v>1</v>
      </c>
    </row>
    <row r="91" spans="1:12" x14ac:dyDescent="0.25">
      <c r="A91">
        <v>23</v>
      </c>
      <c r="B91">
        <v>4</v>
      </c>
      <c r="C91">
        <v>120</v>
      </c>
      <c r="D91">
        <v>97</v>
      </c>
      <c r="E91">
        <v>2506</v>
      </c>
      <c r="F91">
        <v>14.5</v>
      </c>
      <c r="G91">
        <v>72</v>
      </c>
      <c r="H91" t="s">
        <v>1639</v>
      </c>
      <c r="I91" t="s">
        <v>1154</v>
      </c>
      <c r="J91" t="s">
        <v>1155</v>
      </c>
      <c r="K91" t="s">
        <v>1156</v>
      </c>
      <c r="L91" t="b">
        <f>Data_Completeness(MileageData[[#This Row],[MPG]:[Acceleration]])</f>
        <v>1</v>
      </c>
    </row>
    <row r="92" spans="1:12" x14ac:dyDescent="0.25">
      <c r="A92">
        <v>28</v>
      </c>
      <c r="B92">
        <v>4</v>
      </c>
      <c r="C92">
        <v>98</v>
      </c>
      <c r="D92">
        <v>80</v>
      </c>
      <c r="E92">
        <v>2164</v>
      </c>
      <c r="F92">
        <v>15</v>
      </c>
      <c r="G92">
        <v>72</v>
      </c>
      <c r="H92" t="s">
        <v>1637</v>
      </c>
      <c r="I92" t="s">
        <v>1157</v>
      </c>
      <c r="J92" t="s">
        <v>1017</v>
      </c>
      <c r="K92" t="s">
        <v>1158</v>
      </c>
      <c r="L92" t="b">
        <f>Data_Completeness(MileageData[[#This Row],[MPG]:[Acceleration]])</f>
        <v>1</v>
      </c>
    </row>
    <row r="93" spans="1:12" x14ac:dyDescent="0.25">
      <c r="A93">
        <v>27</v>
      </c>
      <c r="B93">
        <v>4</v>
      </c>
      <c r="C93">
        <v>97</v>
      </c>
      <c r="D93">
        <v>88</v>
      </c>
      <c r="E93">
        <v>2100</v>
      </c>
      <c r="F93">
        <v>16.5</v>
      </c>
      <c r="G93">
        <v>72</v>
      </c>
      <c r="H93" t="s">
        <v>1639</v>
      </c>
      <c r="I93" t="s">
        <v>1159</v>
      </c>
      <c r="J93" t="s">
        <v>1027</v>
      </c>
      <c r="K93" t="s">
        <v>1160</v>
      </c>
      <c r="L93" t="b">
        <f>Data_Completeness(MileageData[[#This Row],[MPG]:[Acceleration]])</f>
        <v>1</v>
      </c>
    </row>
    <row r="94" spans="1:12" x14ac:dyDescent="0.25">
      <c r="A94">
        <v>13</v>
      </c>
      <c r="B94">
        <v>8</v>
      </c>
      <c r="C94">
        <v>350</v>
      </c>
      <c r="D94">
        <v>175</v>
      </c>
      <c r="E94">
        <v>4100</v>
      </c>
      <c r="F94">
        <v>13</v>
      </c>
      <c r="G94">
        <v>73</v>
      </c>
      <c r="H94" t="s">
        <v>1637</v>
      </c>
      <c r="I94" t="s">
        <v>1161</v>
      </c>
      <c r="J94" t="s">
        <v>983</v>
      </c>
      <c r="K94" t="s">
        <v>1162</v>
      </c>
      <c r="L94" t="b">
        <f>Data_Completeness(MileageData[[#This Row],[MPG]:[Acceleration]])</f>
        <v>1</v>
      </c>
    </row>
    <row r="95" spans="1:12" x14ac:dyDescent="0.25">
      <c r="A95">
        <v>14</v>
      </c>
      <c r="B95">
        <v>8</v>
      </c>
      <c r="C95">
        <v>304</v>
      </c>
      <c r="D95">
        <v>150</v>
      </c>
      <c r="E95">
        <v>3672</v>
      </c>
      <c r="F95">
        <v>11.5</v>
      </c>
      <c r="G95">
        <v>73</v>
      </c>
      <c r="H95" t="s">
        <v>1637</v>
      </c>
      <c r="I95" t="s">
        <v>1075</v>
      </c>
      <c r="J95" t="s">
        <v>989</v>
      </c>
      <c r="K95" t="s">
        <v>1076</v>
      </c>
      <c r="L95" t="b">
        <f>Data_Completeness(MileageData[[#This Row],[MPG]:[Acceleration]])</f>
        <v>1</v>
      </c>
    </row>
    <row r="96" spans="1:12" x14ac:dyDescent="0.25">
      <c r="A96">
        <v>13</v>
      </c>
      <c r="B96">
        <v>8</v>
      </c>
      <c r="C96">
        <v>350</v>
      </c>
      <c r="D96">
        <v>145</v>
      </c>
      <c r="E96">
        <v>3988</v>
      </c>
      <c r="F96">
        <v>13</v>
      </c>
      <c r="G96">
        <v>73</v>
      </c>
      <c r="H96" t="s">
        <v>1637</v>
      </c>
      <c r="I96" t="s">
        <v>1163</v>
      </c>
      <c r="J96" t="s">
        <v>980</v>
      </c>
      <c r="K96" t="s">
        <v>1164</v>
      </c>
      <c r="L96" t="b">
        <f>Data_Completeness(MileageData[[#This Row],[MPG]:[Acceleration]])</f>
        <v>1</v>
      </c>
    </row>
    <row r="97" spans="1:12" x14ac:dyDescent="0.25">
      <c r="A97">
        <v>14</v>
      </c>
      <c r="B97">
        <v>8</v>
      </c>
      <c r="C97">
        <v>302</v>
      </c>
      <c r="D97">
        <v>137</v>
      </c>
      <c r="E97">
        <v>4042</v>
      </c>
      <c r="F97">
        <v>14.5</v>
      </c>
      <c r="G97">
        <v>73</v>
      </c>
      <c r="H97" t="s">
        <v>1637</v>
      </c>
      <c r="I97" t="s">
        <v>1165</v>
      </c>
      <c r="J97" t="s">
        <v>992</v>
      </c>
      <c r="K97" t="s">
        <v>1166</v>
      </c>
      <c r="L97" t="b">
        <f>Data_Completeness(MileageData[[#This Row],[MPG]:[Acceleration]])</f>
        <v>1</v>
      </c>
    </row>
    <row r="98" spans="1:12" x14ac:dyDescent="0.25">
      <c r="A98">
        <v>15</v>
      </c>
      <c r="B98">
        <v>8</v>
      </c>
      <c r="C98">
        <v>318</v>
      </c>
      <c r="D98">
        <v>150</v>
      </c>
      <c r="E98">
        <v>3777</v>
      </c>
      <c r="F98">
        <v>12.5</v>
      </c>
      <c r="G98">
        <v>73</v>
      </c>
      <c r="H98" t="s">
        <v>1637</v>
      </c>
      <c r="I98" t="s">
        <v>1167</v>
      </c>
      <c r="J98" t="s">
        <v>1017</v>
      </c>
      <c r="K98" t="s">
        <v>1168</v>
      </c>
      <c r="L98" t="b">
        <f>Data_Completeness(MileageData[[#This Row],[MPG]:[Acceleration]])</f>
        <v>1</v>
      </c>
    </row>
    <row r="99" spans="1:12" x14ac:dyDescent="0.25">
      <c r="A99">
        <v>12</v>
      </c>
      <c r="B99">
        <v>8</v>
      </c>
      <c r="C99">
        <v>429</v>
      </c>
      <c r="D99">
        <v>198</v>
      </c>
      <c r="E99">
        <v>4952</v>
      </c>
      <c r="F99">
        <v>11.5</v>
      </c>
      <c r="G99">
        <v>73</v>
      </c>
      <c r="H99" t="s">
        <v>1637</v>
      </c>
      <c r="I99" t="s">
        <v>1169</v>
      </c>
      <c r="J99" t="s">
        <v>1094</v>
      </c>
      <c r="K99" t="s">
        <v>1170</v>
      </c>
      <c r="L99" t="b">
        <f>Data_Completeness(MileageData[[#This Row],[MPG]:[Acceleration]])</f>
        <v>1</v>
      </c>
    </row>
    <row r="100" spans="1:12" x14ac:dyDescent="0.25">
      <c r="A100">
        <v>13</v>
      </c>
      <c r="B100">
        <v>8</v>
      </c>
      <c r="C100">
        <v>400</v>
      </c>
      <c r="D100">
        <v>150</v>
      </c>
      <c r="E100">
        <v>4464</v>
      </c>
      <c r="F100">
        <v>12</v>
      </c>
      <c r="G100">
        <v>73</v>
      </c>
      <c r="H100" t="s">
        <v>1637</v>
      </c>
      <c r="I100" t="s">
        <v>1171</v>
      </c>
      <c r="J100" t="s">
        <v>980</v>
      </c>
      <c r="K100" t="s">
        <v>1172</v>
      </c>
      <c r="L100" t="b">
        <f>Data_Completeness(MileageData[[#This Row],[MPG]:[Acceleration]])</f>
        <v>1</v>
      </c>
    </row>
    <row r="101" spans="1:12" x14ac:dyDescent="0.25">
      <c r="A101">
        <v>13</v>
      </c>
      <c r="B101">
        <v>8</v>
      </c>
      <c r="C101">
        <v>351</v>
      </c>
      <c r="D101">
        <v>158</v>
      </c>
      <c r="E101">
        <v>4363</v>
      </c>
      <c r="F101">
        <v>13</v>
      </c>
      <c r="G101">
        <v>73</v>
      </c>
      <c r="H101" t="s">
        <v>1637</v>
      </c>
      <c r="I101" t="s">
        <v>1173</v>
      </c>
      <c r="J101" t="s">
        <v>992</v>
      </c>
      <c r="K101" t="s">
        <v>1174</v>
      </c>
      <c r="L101" t="b">
        <f>Data_Completeness(MileageData[[#This Row],[MPG]:[Acceleration]])</f>
        <v>1</v>
      </c>
    </row>
    <row r="102" spans="1:12" x14ac:dyDescent="0.25">
      <c r="A102">
        <v>14</v>
      </c>
      <c r="B102">
        <v>8</v>
      </c>
      <c r="C102">
        <v>318</v>
      </c>
      <c r="D102">
        <v>150</v>
      </c>
      <c r="E102">
        <v>4237</v>
      </c>
      <c r="F102">
        <v>14.5</v>
      </c>
      <c r="G102">
        <v>73</v>
      </c>
      <c r="H102" t="s">
        <v>1637</v>
      </c>
      <c r="I102" t="s">
        <v>1175</v>
      </c>
      <c r="J102" t="s">
        <v>986</v>
      </c>
      <c r="K102" t="s">
        <v>1176</v>
      </c>
      <c r="L102" t="b">
        <f>Data_Completeness(MileageData[[#This Row],[MPG]:[Acceleration]])</f>
        <v>1</v>
      </c>
    </row>
    <row r="103" spans="1:12" x14ac:dyDescent="0.25">
      <c r="A103">
        <v>13</v>
      </c>
      <c r="B103">
        <v>8</v>
      </c>
      <c r="C103">
        <v>440</v>
      </c>
      <c r="D103">
        <v>215</v>
      </c>
      <c r="E103">
        <v>4735</v>
      </c>
      <c r="F103">
        <v>11</v>
      </c>
      <c r="G103">
        <v>73</v>
      </c>
      <c r="H103" t="s">
        <v>1637</v>
      </c>
      <c r="I103" t="s">
        <v>1177</v>
      </c>
      <c r="J103" t="s">
        <v>1129</v>
      </c>
      <c r="K103" t="s">
        <v>1178</v>
      </c>
      <c r="L103" t="b">
        <f>Data_Completeness(MileageData[[#This Row],[MPG]:[Acceleration]])</f>
        <v>1</v>
      </c>
    </row>
    <row r="104" spans="1:12" x14ac:dyDescent="0.25">
      <c r="A104">
        <v>12</v>
      </c>
      <c r="B104">
        <v>8</v>
      </c>
      <c r="C104">
        <v>455</v>
      </c>
      <c r="D104">
        <v>225</v>
      </c>
      <c r="E104">
        <v>4951</v>
      </c>
      <c r="F104">
        <v>11</v>
      </c>
      <c r="G104">
        <v>73</v>
      </c>
      <c r="H104" t="s">
        <v>1637</v>
      </c>
      <c r="I104" t="s">
        <v>1179</v>
      </c>
      <c r="J104" t="s">
        <v>983</v>
      </c>
      <c r="K104" t="s">
        <v>1180</v>
      </c>
      <c r="L104" t="b">
        <f>Data_Completeness(MileageData[[#This Row],[MPG]:[Acceleration]])</f>
        <v>1</v>
      </c>
    </row>
    <row r="105" spans="1:12" x14ac:dyDescent="0.25">
      <c r="A105">
        <v>13</v>
      </c>
      <c r="B105">
        <v>8</v>
      </c>
      <c r="C105">
        <v>360</v>
      </c>
      <c r="D105">
        <v>175</v>
      </c>
      <c r="E105">
        <v>3821</v>
      </c>
      <c r="F105">
        <v>11</v>
      </c>
      <c r="G105">
        <v>73</v>
      </c>
      <c r="H105" t="s">
        <v>1637</v>
      </c>
      <c r="I105" t="s">
        <v>1181</v>
      </c>
      <c r="J105" t="s">
        <v>989</v>
      </c>
      <c r="K105" t="s">
        <v>1182</v>
      </c>
      <c r="L105" t="b">
        <f>Data_Completeness(MileageData[[#This Row],[MPG]:[Acceleration]])</f>
        <v>1</v>
      </c>
    </row>
    <row r="106" spans="1:12" x14ac:dyDescent="0.25">
      <c r="A106">
        <v>18</v>
      </c>
      <c r="B106">
        <v>6</v>
      </c>
      <c r="C106">
        <v>225</v>
      </c>
      <c r="D106">
        <v>105</v>
      </c>
      <c r="E106">
        <v>3121</v>
      </c>
      <c r="F106">
        <v>16.5</v>
      </c>
      <c r="G106">
        <v>73</v>
      </c>
      <c r="H106" t="s">
        <v>1637</v>
      </c>
      <c r="I106" t="s">
        <v>1183</v>
      </c>
      <c r="J106" t="s">
        <v>986</v>
      </c>
      <c r="K106" t="s">
        <v>1184</v>
      </c>
      <c r="L106" t="b">
        <f>Data_Completeness(MileageData[[#This Row],[MPG]:[Acceleration]])</f>
        <v>1</v>
      </c>
    </row>
    <row r="107" spans="1:12" x14ac:dyDescent="0.25">
      <c r="A107">
        <v>16</v>
      </c>
      <c r="B107">
        <v>6</v>
      </c>
      <c r="C107">
        <v>250</v>
      </c>
      <c r="D107">
        <v>100</v>
      </c>
      <c r="E107">
        <v>3278</v>
      </c>
      <c r="F107">
        <v>18</v>
      </c>
      <c r="G107">
        <v>73</v>
      </c>
      <c r="H107" t="s">
        <v>1637</v>
      </c>
      <c r="I107" t="s">
        <v>1185</v>
      </c>
      <c r="J107" t="s">
        <v>980</v>
      </c>
      <c r="K107" t="s">
        <v>1186</v>
      </c>
      <c r="L107" t="b">
        <f>Data_Completeness(MileageData[[#This Row],[MPG]:[Acceleration]])</f>
        <v>1</v>
      </c>
    </row>
    <row r="108" spans="1:12" x14ac:dyDescent="0.25">
      <c r="A108">
        <v>18</v>
      </c>
      <c r="B108">
        <v>6</v>
      </c>
      <c r="C108">
        <v>232</v>
      </c>
      <c r="D108">
        <v>100</v>
      </c>
      <c r="E108">
        <v>2945</v>
      </c>
      <c r="F108">
        <v>16</v>
      </c>
      <c r="G108">
        <v>73</v>
      </c>
      <c r="H108" t="s">
        <v>1637</v>
      </c>
      <c r="I108" t="s">
        <v>1031</v>
      </c>
      <c r="J108" t="s">
        <v>989</v>
      </c>
      <c r="K108" t="s">
        <v>1032</v>
      </c>
      <c r="L108" t="b">
        <f>Data_Completeness(MileageData[[#This Row],[MPG]:[Acceleration]])</f>
        <v>1</v>
      </c>
    </row>
    <row r="109" spans="1:12" x14ac:dyDescent="0.25">
      <c r="A109">
        <v>18</v>
      </c>
      <c r="B109">
        <v>6</v>
      </c>
      <c r="C109">
        <v>250</v>
      </c>
      <c r="D109">
        <v>88</v>
      </c>
      <c r="E109">
        <v>3021</v>
      </c>
      <c r="F109">
        <v>16.5</v>
      </c>
      <c r="G109">
        <v>73</v>
      </c>
      <c r="H109" t="s">
        <v>1637</v>
      </c>
      <c r="I109" t="s">
        <v>1033</v>
      </c>
      <c r="J109" t="s">
        <v>992</v>
      </c>
      <c r="K109" t="s">
        <v>1034</v>
      </c>
      <c r="L109" t="b">
        <f>Data_Completeness(MileageData[[#This Row],[MPG]:[Acceleration]])</f>
        <v>1</v>
      </c>
    </row>
    <row r="110" spans="1:12" x14ac:dyDescent="0.25">
      <c r="A110">
        <v>23</v>
      </c>
      <c r="B110">
        <v>6</v>
      </c>
      <c r="C110">
        <v>198</v>
      </c>
      <c r="D110">
        <v>95</v>
      </c>
      <c r="E110">
        <v>2904</v>
      </c>
      <c r="F110">
        <v>16</v>
      </c>
      <c r="G110">
        <v>73</v>
      </c>
      <c r="H110" t="s">
        <v>1637</v>
      </c>
      <c r="I110" t="s">
        <v>1029</v>
      </c>
      <c r="J110" t="s">
        <v>986</v>
      </c>
      <c r="K110" t="s">
        <v>1030</v>
      </c>
      <c r="L110" t="b">
        <f>Data_Completeness(MileageData[[#This Row],[MPG]:[Acceleration]])</f>
        <v>1</v>
      </c>
    </row>
    <row r="111" spans="1:12" x14ac:dyDescent="0.25">
      <c r="A111">
        <v>26</v>
      </c>
      <c r="B111">
        <v>4</v>
      </c>
      <c r="C111">
        <v>97</v>
      </c>
      <c r="D111">
        <v>46</v>
      </c>
      <c r="E111">
        <v>1950</v>
      </c>
      <c r="F111">
        <v>21</v>
      </c>
      <c r="G111">
        <v>73</v>
      </c>
      <c r="H111" t="s">
        <v>1638</v>
      </c>
      <c r="I111" t="s">
        <v>1187</v>
      </c>
      <c r="J111" t="s">
        <v>1039</v>
      </c>
      <c r="K111" t="s">
        <v>1188</v>
      </c>
      <c r="L111" t="b">
        <f>Data_Completeness(MileageData[[#This Row],[MPG]:[Acceleration]])</f>
        <v>1</v>
      </c>
    </row>
    <row r="112" spans="1:12" x14ac:dyDescent="0.25">
      <c r="A112">
        <v>11</v>
      </c>
      <c r="B112">
        <v>8</v>
      </c>
      <c r="C112">
        <v>400</v>
      </c>
      <c r="D112">
        <v>150</v>
      </c>
      <c r="E112">
        <v>4997</v>
      </c>
      <c r="F112">
        <v>14</v>
      </c>
      <c r="G112">
        <v>73</v>
      </c>
      <c r="H112" t="s">
        <v>1637</v>
      </c>
      <c r="I112" t="s">
        <v>996</v>
      </c>
      <c r="J112" t="s">
        <v>980</v>
      </c>
      <c r="K112" t="s">
        <v>997</v>
      </c>
      <c r="L112" t="b">
        <f>Data_Completeness(MileageData[[#This Row],[MPG]:[Acceleration]])</f>
        <v>1</v>
      </c>
    </row>
    <row r="113" spans="1:12" x14ac:dyDescent="0.25">
      <c r="A113">
        <v>12</v>
      </c>
      <c r="B113">
        <v>8</v>
      </c>
      <c r="C113">
        <v>400</v>
      </c>
      <c r="D113">
        <v>167</v>
      </c>
      <c r="E113">
        <v>4906</v>
      </c>
      <c r="F113">
        <v>12.5</v>
      </c>
      <c r="G113">
        <v>73</v>
      </c>
      <c r="H113" t="s">
        <v>1637</v>
      </c>
      <c r="I113" t="s">
        <v>1189</v>
      </c>
      <c r="J113" t="s">
        <v>992</v>
      </c>
      <c r="K113" t="s">
        <v>1190</v>
      </c>
      <c r="L113" t="b">
        <f>Data_Completeness(MileageData[[#This Row],[MPG]:[Acceleration]])</f>
        <v>1</v>
      </c>
    </row>
    <row r="114" spans="1:12" x14ac:dyDescent="0.25">
      <c r="A114">
        <v>13</v>
      </c>
      <c r="B114">
        <v>8</v>
      </c>
      <c r="C114">
        <v>360</v>
      </c>
      <c r="D114">
        <v>170</v>
      </c>
      <c r="E114">
        <v>4654</v>
      </c>
      <c r="F114">
        <v>13</v>
      </c>
      <c r="G114">
        <v>73</v>
      </c>
      <c r="H114" t="s">
        <v>1637</v>
      </c>
      <c r="I114" t="s">
        <v>1191</v>
      </c>
      <c r="J114" t="s">
        <v>986</v>
      </c>
      <c r="K114" t="s">
        <v>1192</v>
      </c>
      <c r="L114" t="b">
        <f>Data_Completeness(MileageData[[#This Row],[MPG]:[Acceleration]])</f>
        <v>1</v>
      </c>
    </row>
    <row r="115" spans="1:12" x14ac:dyDescent="0.25">
      <c r="A115">
        <v>12</v>
      </c>
      <c r="B115">
        <v>8</v>
      </c>
      <c r="C115">
        <v>350</v>
      </c>
      <c r="D115">
        <v>180</v>
      </c>
      <c r="E115">
        <v>4499</v>
      </c>
      <c r="F115">
        <v>12.5</v>
      </c>
      <c r="G115">
        <v>73</v>
      </c>
      <c r="H115" t="s">
        <v>1637</v>
      </c>
      <c r="I115" t="s">
        <v>1193</v>
      </c>
      <c r="J115" t="s">
        <v>1126</v>
      </c>
      <c r="K115" t="s">
        <v>1194</v>
      </c>
      <c r="L115" t="b">
        <f>Data_Completeness(MileageData[[#This Row],[MPG]:[Acceleration]])</f>
        <v>1</v>
      </c>
    </row>
    <row r="116" spans="1:12" x14ac:dyDescent="0.25">
      <c r="A116">
        <v>18</v>
      </c>
      <c r="B116">
        <v>6</v>
      </c>
      <c r="C116">
        <v>232</v>
      </c>
      <c r="D116">
        <v>100</v>
      </c>
      <c r="E116">
        <v>2789</v>
      </c>
      <c r="F116">
        <v>15</v>
      </c>
      <c r="G116">
        <v>73</v>
      </c>
      <c r="H116" t="s">
        <v>1637</v>
      </c>
      <c r="I116" t="s">
        <v>1051</v>
      </c>
      <c r="J116" t="s">
        <v>989</v>
      </c>
      <c r="K116" t="s">
        <v>1052</v>
      </c>
      <c r="L116" t="b">
        <f>Data_Completeness(MileageData[[#This Row],[MPG]:[Acceleration]])</f>
        <v>1</v>
      </c>
    </row>
    <row r="117" spans="1:12" x14ac:dyDescent="0.25">
      <c r="A117">
        <v>20</v>
      </c>
      <c r="B117">
        <v>4</v>
      </c>
      <c r="C117">
        <v>97</v>
      </c>
      <c r="D117">
        <v>88</v>
      </c>
      <c r="E117">
        <v>2279</v>
      </c>
      <c r="F117">
        <v>19</v>
      </c>
      <c r="G117">
        <v>73</v>
      </c>
      <c r="H117" t="s">
        <v>1639</v>
      </c>
      <c r="I117" t="s">
        <v>1195</v>
      </c>
      <c r="J117" t="s">
        <v>1027</v>
      </c>
      <c r="K117" t="s">
        <v>1196</v>
      </c>
      <c r="L117" t="b">
        <f>Data_Completeness(MileageData[[#This Row],[MPG]:[Acceleration]])</f>
        <v>1</v>
      </c>
    </row>
    <row r="118" spans="1:12" x14ac:dyDescent="0.25">
      <c r="A118">
        <v>21</v>
      </c>
      <c r="B118">
        <v>4</v>
      </c>
      <c r="C118">
        <v>140</v>
      </c>
      <c r="D118">
        <v>72</v>
      </c>
      <c r="E118">
        <v>2401</v>
      </c>
      <c r="F118">
        <v>19.5</v>
      </c>
      <c r="G118">
        <v>73</v>
      </c>
      <c r="H118" t="s">
        <v>1637</v>
      </c>
      <c r="I118" t="s">
        <v>1115</v>
      </c>
      <c r="J118" t="s">
        <v>980</v>
      </c>
      <c r="K118" t="s">
        <v>1116</v>
      </c>
      <c r="L118" t="b">
        <f>Data_Completeness(MileageData[[#This Row],[MPG]:[Acceleration]])</f>
        <v>1</v>
      </c>
    </row>
    <row r="119" spans="1:12" x14ac:dyDescent="0.25">
      <c r="A119">
        <v>22</v>
      </c>
      <c r="B119">
        <v>4</v>
      </c>
      <c r="C119">
        <v>108</v>
      </c>
      <c r="D119">
        <v>94</v>
      </c>
      <c r="E119">
        <v>2379</v>
      </c>
      <c r="F119">
        <v>16.5</v>
      </c>
      <c r="G119">
        <v>73</v>
      </c>
      <c r="H119" t="s">
        <v>1639</v>
      </c>
      <c r="I119" t="s">
        <v>1197</v>
      </c>
      <c r="J119" t="s">
        <v>1036</v>
      </c>
      <c r="K119">
        <v>610</v>
      </c>
      <c r="L119" t="b">
        <f>Data_Completeness(MileageData[[#This Row],[MPG]:[Acceleration]])</f>
        <v>1</v>
      </c>
    </row>
    <row r="120" spans="1:12" x14ac:dyDescent="0.25">
      <c r="A120">
        <v>18</v>
      </c>
      <c r="B120">
        <v>3</v>
      </c>
      <c r="C120">
        <v>70</v>
      </c>
      <c r="D120">
        <v>90</v>
      </c>
      <c r="E120">
        <v>2124</v>
      </c>
      <c r="F120">
        <v>13.5</v>
      </c>
      <c r="G120">
        <v>73</v>
      </c>
      <c r="H120" t="s">
        <v>1639</v>
      </c>
      <c r="I120" t="s">
        <v>1198</v>
      </c>
      <c r="J120" t="s">
        <v>1199</v>
      </c>
      <c r="K120" t="s">
        <v>1200</v>
      </c>
      <c r="L120" t="b">
        <f>Data_Completeness(MileageData[[#This Row],[MPG]:[Acceleration]])</f>
        <v>1</v>
      </c>
    </row>
    <row r="121" spans="1:12" x14ac:dyDescent="0.25">
      <c r="A121">
        <v>19</v>
      </c>
      <c r="B121">
        <v>4</v>
      </c>
      <c r="C121">
        <v>122</v>
      </c>
      <c r="D121">
        <v>85</v>
      </c>
      <c r="E121">
        <v>2310</v>
      </c>
      <c r="F121">
        <v>18.5</v>
      </c>
      <c r="G121">
        <v>73</v>
      </c>
      <c r="H121" t="s">
        <v>1637</v>
      </c>
      <c r="I121" t="s">
        <v>1067</v>
      </c>
      <c r="J121" t="s">
        <v>992</v>
      </c>
      <c r="K121" t="s">
        <v>1068</v>
      </c>
      <c r="L121" t="b">
        <f>Data_Completeness(MileageData[[#This Row],[MPG]:[Acceleration]])</f>
        <v>1</v>
      </c>
    </row>
    <row r="122" spans="1:12" x14ac:dyDescent="0.25">
      <c r="A122">
        <v>21</v>
      </c>
      <c r="B122">
        <v>6</v>
      </c>
      <c r="C122">
        <v>155</v>
      </c>
      <c r="D122">
        <v>107</v>
      </c>
      <c r="E122">
        <v>2472</v>
      </c>
      <c r="F122">
        <v>14</v>
      </c>
      <c r="G122">
        <v>73</v>
      </c>
      <c r="H122" t="s">
        <v>1637</v>
      </c>
      <c r="I122" t="s">
        <v>1201</v>
      </c>
      <c r="J122" t="s">
        <v>1094</v>
      </c>
      <c r="K122" t="s">
        <v>1202</v>
      </c>
      <c r="L122" t="b">
        <f>Data_Completeness(MileageData[[#This Row],[MPG]:[Acceleration]])</f>
        <v>1</v>
      </c>
    </row>
    <row r="123" spans="1:12" x14ac:dyDescent="0.25">
      <c r="A123">
        <v>26</v>
      </c>
      <c r="B123">
        <v>4</v>
      </c>
      <c r="C123">
        <v>98</v>
      </c>
      <c r="D123">
        <v>90</v>
      </c>
      <c r="E123">
        <v>2265</v>
      </c>
      <c r="F123">
        <v>15.5</v>
      </c>
      <c r="G123">
        <v>73</v>
      </c>
      <c r="H123" t="s">
        <v>1638</v>
      </c>
      <c r="I123" t="s">
        <v>1203</v>
      </c>
      <c r="J123" t="s">
        <v>1100</v>
      </c>
      <c r="K123" t="s">
        <v>1204</v>
      </c>
      <c r="L123" t="b">
        <f>Data_Completeness(MileageData[[#This Row],[MPG]:[Acceleration]])</f>
        <v>1</v>
      </c>
    </row>
    <row r="124" spans="1:12" x14ac:dyDescent="0.25">
      <c r="A124">
        <v>15</v>
      </c>
      <c r="B124">
        <v>8</v>
      </c>
      <c r="C124">
        <v>350</v>
      </c>
      <c r="D124">
        <v>145</v>
      </c>
      <c r="E124">
        <v>4082</v>
      </c>
      <c r="F124">
        <v>13</v>
      </c>
      <c r="G124">
        <v>73</v>
      </c>
      <c r="H124" t="s">
        <v>1637</v>
      </c>
      <c r="I124" t="s">
        <v>1205</v>
      </c>
      <c r="J124" t="s">
        <v>980</v>
      </c>
      <c r="K124" t="s">
        <v>1206</v>
      </c>
      <c r="L124" t="b">
        <f>Data_Completeness(MileageData[[#This Row],[MPG]:[Acceleration]])</f>
        <v>1</v>
      </c>
    </row>
    <row r="125" spans="1:12" x14ac:dyDescent="0.25">
      <c r="A125">
        <v>16</v>
      </c>
      <c r="B125">
        <v>8</v>
      </c>
      <c r="C125">
        <v>400</v>
      </c>
      <c r="D125">
        <v>230</v>
      </c>
      <c r="E125">
        <v>4278</v>
      </c>
      <c r="F125">
        <v>9.5</v>
      </c>
      <c r="G125">
        <v>73</v>
      </c>
      <c r="H125" t="s">
        <v>1637</v>
      </c>
      <c r="I125" t="s">
        <v>1207</v>
      </c>
      <c r="J125" t="s">
        <v>1001</v>
      </c>
      <c r="K125" t="s">
        <v>1208</v>
      </c>
      <c r="L125" t="b">
        <f>Data_Completeness(MileageData[[#This Row],[MPG]:[Acceleration]])</f>
        <v>1</v>
      </c>
    </row>
    <row r="126" spans="1:12" x14ac:dyDescent="0.25">
      <c r="A126">
        <v>29</v>
      </c>
      <c r="B126">
        <v>4</v>
      </c>
      <c r="C126">
        <v>68</v>
      </c>
      <c r="D126">
        <v>49</v>
      </c>
      <c r="E126">
        <v>1867</v>
      </c>
      <c r="F126">
        <v>19.5</v>
      </c>
      <c r="G126">
        <v>73</v>
      </c>
      <c r="H126" t="s">
        <v>1638</v>
      </c>
      <c r="I126" t="s">
        <v>1209</v>
      </c>
      <c r="J126" t="s">
        <v>1100</v>
      </c>
      <c r="K126">
        <v>128</v>
      </c>
      <c r="L126" t="b">
        <f>Data_Completeness(MileageData[[#This Row],[MPG]:[Acceleration]])</f>
        <v>1</v>
      </c>
    </row>
    <row r="127" spans="1:12" x14ac:dyDescent="0.25">
      <c r="A127">
        <v>24</v>
      </c>
      <c r="B127">
        <v>4</v>
      </c>
      <c r="C127">
        <v>116</v>
      </c>
      <c r="D127">
        <v>75</v>
      </c>
      <c r="E127">
        <v>2158</v>
      </c>
      <c r="F127">
        <v>15.5</v>
      </c>
      <c r="G127">
        <v>73</v>
      </c>
      <c r="H127" t="s">
        <v>1638</v>
      </c>
      <c r="I127" t="s">
        <v>1210</v>
      </c>
      <c r="J127" t="s">
        <v>1097</v>
      </c>
      <c r="K127" t="s">
        <v>1211</v>
      </c>
      <c r="L127" t="b">
        <f>Data_Completeness(MileageData[[#This Row],[MPG]:[Acceleration]])</f>
        <v>1</v>
      </c>
    </row>
    <row r="128" spans="1:12" x14ac:dyDescent="0.25">
      <c r="A128">
        <v>20</v>
      </c>
      <c r="B128">
        <v>4</v>
      </c>
      <c r="C128">
        <v>114</v>
      </c>
      <c r="D128">
        <v>91</v>
      </c>
      <c r="E128">
        <v>2582</v>
      </c>
      <c r="F128">
        <v>14</v>
      </c>
      <c r="G128">
        <v>73</v>
      </c>
      <c r="H128" t="s">
        <v>1638</v>
      </c>
      <c r="I128" t="s">
        <v>1212</v>
      </c>
      <c r="J128" t="s">
        <v>1044</v>
      </c>
      <c r="K128" t="s">
        <v>1213</v>
      </c>
      <c r="L128" t="b">
        <f>Data_Completeness(MileageData[[#This Row],[MPG]:[Acceleration]])</f>
        <v>1</v>
      </c>
    </row>
    <row r="129" spans="1:12" x14ac:dyDescent="0.25">
      <c r="A129">
        <v>19</v>
      </c>
      <c r="B129">
        <v>4</v>
      </c>
      <c r="C129">
        <v>121</v>
      </c>
      <c r="D129">
        <v>112</v>
      </c>
      <c r="E129">
        <v>2868</v>
      </c>
      <c r="F129">
        <v>15.5</v>
      </c>
      <c r="G129">
        <v>73</v>
      </c>
      <c r="H129" t="s">
        <v>1638</v>
      </c>
      <c r="I129" t="s">
        <v>1214</v>
      </c>
      <c r="J129" t="s">
        <v>1141</v>
      </c>
      <c r="K129" t="s">
        <v>1215</v>
      </c>
      <c r="L129" t="b">
        <f>Data_Completeness(MileageData[[#This Row],[MPG]:[Acceleration]])</f>
        <v>1</v>
      </c>
    </row>
    <row r="130" spans="1:12" x14ac:dyDescent="0.25">
      <c r="A130">
        <v>15</v>
      </c>
      <c r="B130">
        <v>8</v>
      </c>
      <c r="C130">
        <v>318</v>
      </c>
      <c r="D130">
        <v>150</v>
      </c>
      <c r="E130">
        <v>3399</v>
      </c>
      <c r="F130">
        <v>11</v>
      </c>
      <c r="G130">
        <v>73</v>
      </c>
      <c r="H130" t="s">
        <v>1637</v>
      </c>
      <c r="I130" t="s">
        <v>1216</v>
      </c>
      <c r="J130" t="s">
        <v>1017</v>
      </c>
      <c r="K130" t="s">
        <v>1217</v>
      </c>
      <c r="L130" t="b">
        <f>Data_Completeness(MileageData[[#This Row],[MPG]:[Acceleration]])</f>
        <v>1</v>
      </c>
    </row>
    <row r="131" spans="1:12" x14ac:dyDescent="0.25">
      <c r="A131">
        <v>24</v>
      </c>
      <c r="B131">
        <v>4</v>
      </c>
      <c r="C131">
        <v>121</v>
      </c>
      <c r="D131">
        <v>110</v>
      </c>
      <c r="E131">
        <v>2660</v>
      </c>
      <c r="F131">
        <v>14</v>
      </c>
      <c r="G131">
        <v>73</v>
      </c>
      <c r="H131" t="s">
        <v>1638</v>
      </c>
      <c r="I131" t="s">
        <v>1218</v>
      </c>
      <c r="J131" t="s">
        <v>1047</v>
      </c>
      <c r="K131" t="s">
        <v>1219</v>
      </c>
      <c r="L131" t="b">
        <f>Data_Completeness(MileageData[[#This Row],[MPG]:[Acceleration]])</f>
        <v>1</v>
      </c>
    </row>
    <row r="132" spans="1:12" x14ac:dyDescent="0.25">
      <c r="A132">
        <v>20</v>
      </c>
      <c r="B132">
        <v>6</v>
      </c>
      <c r="C132">
        <v>156</v>
      </c>
      <c r="D132">
        <v>122</v>
      </c>
      <c r="E132">
        <v>2807</v>
      </c>
      <c r="F132">
        <v>13.5</v>
      </c>
      <c r="G132">
        <v>73</v>
      </c>
      <c r="H132" t="s">
        <v>1639</v>
      </c>
      <c r="I132" t="s">
        <v>1220</v>
      </c>
      <c r="J132" t="s">
        <v>1027</v>
      </c>
      <c r="K132" t="s">
        <v>1221</v>
      </c>
      <c r="L132" t="b">
        <f>Data_Completeness(MileageData[[#This Row],[MPG]:[Acceleration]])</f>
        <v>1</v>
      </c>
    </row>
    <row r="133" spans="1:12" x14ac:dyDescent="0.25">
      <c r="A133">
        <v>11</v>
      </c>
      <c r="B133">
        <v>8</v>
      </c>
      <c r="C133">
        <v>350</v>
      </c>
      <c r="D133">
        <v>180</v>
      </c>
      <c r="E133">
        <v>3664</v>
      </c>
      <c r="F133">
        <v>11</v>
      </c>
      <c r="G133">
        <v>73</v>
      </c>
      <c r="H133" t="s">
        <v>1637</v>
      </c>
      <c r="I133" t="s">
        <v>1222</v>
      </c>
      <c r="J133" t="s">
        <v>1126</v>
      </c>
      <c r="K133" t="s">
        <v>1223</v>
      </c>
      <c r="L133" t="b">
        <f>Data_Completeness(MileageData[[#This Row],[MPG]:[Acceleration]])</f>
        <v>1</v>
      </c>
    </row>
    <row r="134" spans="1:12" x14ac:dyDescent="0.25">
      <c r="A134">
        <v>20</v>
      </c>
      <c r="B134">
        <v>6</v>
      </c>
      <c r="C134">
        <v>198</v>
      </c>
      <c r="D134">
        <v>95</v>
      </c>
      <c r="E134">
        <v>3102</v>
      </c>
      <c r="F134">
        <v>16.5</v>
      </c>
      <c r="G134">
        <v>74</v>
      </c>
      <c r="H134" t="s">
        <v>1637</v>
      </c>
      <c r="I134" t="s">
        <v>1029</v>
      </c>
      <c r="J134" t="s">
        <v>986</v>
      </c>
      <c r="K134" t="s">
        <v>1030</v>
      </c>
      <c r="L134" t="b">
        <f>Data_Completeness(MileageData[[#This Row],[MPG]:[Acceleration]])</f>
        <v>1</v>
      </c>
    </row>
    <row r="135" spans="1:12" x14ac:dyDescent="0.25">
      <c r="A135">
        <v>21</v>
      </c>
      <c r="B135">
        <v>6</v>
      </c>
      <c r="C135">
        <v>200</v>
      </c>
      <c r="E135">
        <v>2875</v>
      </c>
      <c r="F135">
        <v>17</v>
      </c>
      <c r="G135">
        <v>74</v>
      </c>
      <c r="H135" t="s">
        <v>1637</v>
      </c>
      <c r="I135" t="s">
        <v>1033</v>
      </c>
      <c r="J135" t="s">
        <v>992</v>
      </c>
      <c r="K135" t="s">
        <v>1034</v>
      </c>
      <c r="L135" t="b">
        <f>Data_Completeness(MileageData[[#This Row],[MPG]:[Acceleration]])</f>
        <v>0</v>
      </c>
    </row>
    <row r="136" spans="1:12" x14ac:dyDescent="0.25">
      <c r="A136">
        <v>19</v>
      </c>
      <c r="B136">
        <v>6</v>
      </c>
      <c r="C136">
        <v>232</v>
      </c>
      <c r="D136">
        <v>100</v>
      </c>
      <c r="E136">
        <v>2901</v>
      </c>
      <c r="F136">
        <v>16</v>
      </c>
      <c r="G136">
        <v>74</v>
      </c>
      <c r="H136" t="s">
        <v>1637</v>
      </c>
      <c r="I136" t="s">
        <v>1031</v>
      </c>
      <c r="J136" t="s">
        <v>989</v>
      </c>
      <c r="K136" t="s">
        <v>1032</v>
      </c>
      <c r="L136" t="b">
        <f>Data_Completeness(MileageData[[#This Row],[MPG]:[Acceleration]])</f>
        <v>1</v>
      </c>
    </row>
    <row r="137" spans="1:12" x14ac:dyDescent="0.25">
      <c r="A137">
        <v>15</v>
      </c>
      <c r="B137">
        <v>6</v>
      </c>
      <c r="C137">
        <v>250</v>
      </c>
      <c r="D137">
        <v>100</v>
      </c>
      <c r="E137">
        <v>3336</v>
      </c>
      <c r="F137">
        <v>17</v>
      </c>
      <c r="G137">
        <v>74</v>
      </c>
      <c r="H137" t="s">
        <v>1637</v>
      </c>
      <c r="I137" t="s">
        <v>1224</v>
      </c>
      <c r="J137" t="s">
        <v>980</v>
      </c>
      <c r="K137" t="s">
        <v>1225</v>
      </c>
      <c r="L137" t="b">
        <f>Data_Completeness(MileageData[[#This Row],[MPG]:[Acceleration]])</f>
        <v>1</v>
      </c>
    </row>
    <row r="138" spans="1:12" x14ac:dyDescent="0.25">
      <c r="A138">
        <v>31</v>
      </c>
      <c r="B138">
        <v>4</v>
      </c>
      <c r="C138">
        <v>79</v>
      </c>
      <c r="D138">
        <v>67</v>
      </c>
      <c r="E138">
        <v>1950</v>
      </c>
      <c r="F138">
        <v>19</v>
      </c>
      <c r="G138">
        <v>74</v>
      </c>
      <c r="H138" t="s">
        <v>1639</v>
      </c>
      <c r="I138" t="s">
        <v>1226</v>
      </c>
      <c r="J138" t="s">
        <v>1036</v>
      </c>
      <c r="K138" t="s">
        <v>1227</v>
      </c>
      <c r="L138" t="b">
        <f>Data_Completeness(MileageData[[#This Row],[MPG]:[Acceleration]])</f>
        <v>1</v>
      </c>
    </row>
    <row r="139" spans="1:12" x14ac:dyDescent="0.25">
      <c r="A139">
        <v>26</v>
      </c>
      <c r="B139">
        <v>4</v>
      </c>
      <c r="C139">
        <v>122</v>
      </c>
      <c r="D139">
        <v>80</v>
      </c>
      <c r="E139">
        <v>2451</v>
      </c>
      <c r="F139">
        <v>16.5</v>
      </c>
      <c r="G139">
        <v>74</v>
      </c>
      <c r="H139" t="s">
        <v>1637</v>
      </c>
      <c r="I139" t="s">
        <v>1067</v>
      </c>
      <c r="J139" t="s">
        <v>992</v>
      </c>
      <c r="K139" t="s">
        <v>1068</v>
      </c>
      <c r="L139" t="b">
        <f>Data_Completeness(MileageData[[#This Row],[MPG]:[Acceleration]])</f>
        <v>1</v>
      </c>
    </row>
    <row r="140" spans="1:12" x14ac:dyDescent="0.25">
      <c r="A140">
        <v>32</v>
      </c>
      <c r="B140">
        <v>4</v>
      </c>
      <c r="C140">
        <v>71</v>
      </c>
      <c r="D140">
        <v>65</v>
      </c>
      <c r="E140">
        <v>1836</v>
      </c>
      <c r="F140">
        <v>21</v>
      </c>
      <c r="G140">
        <v>74</v>
      </c>
      <c r="H140" t="s">
        <v>1639</v>
      </c>
      <c r="I140" t="s">
        <v>1102</v>
      </c>
      <c r="J140" t="s">
        <v>1027</v>
      </c>
      <c r="K140" t="s">
        <v>1103</v>
      </c>
      <c r="L140" t="b">
        <f>Data_Completeness(MileageData[[#This Row],[MPG]:[Acceleration]])</f>
        <v>1</v>
      </c>
    </row>
    <row r="141" spans="1:12" x14ac:dyDescent="0.25">
      <c r="A141">
        <v>25</v>
      </c>
      <c r="B141">
        <v>4</v>
      </c>
      <c r="C141">
        <v>140</v>
      </c>
      <c r="D141">
        <v>75</v>
      </c>
      <c r="E141">
        <v>2542</v>
      </c>
      <c r="F141">
        <v>17</v>
      </c>
      <c r="G141">
        <v>74</v>
      </c>
      <c r="H141" t="s">
        <v>1637</v>
      </c>
      <c r="I141" t="s">
        <v>1115</v>
      </c>
      <c r="J141" t="s">
        <v>980</v>
      </c>
      <c r="K141" t="s">
        <v>1116</v>
      </c>
      <c r="L141" t="b">
        <f>Data_Completeness(MileageData[[#This Row],[MPG]:[Acceleration]])</f>
        <v>1</v>
      </c>
    </row>
    <row r="142" spans="1:12" x14ac:dyDescent="0.25">
      <c r="A142">
        <v>16</v>
      </c>
      <c r="B142">
        <v>6</v>
      </c>
      <c r="C142">
        <v>250</v>
      </c>
      <c r="D142">
        <v>100</v>
      </c>
      <c r="E142">
        <v>3781</v>
      </c>
      <c r="F142">
        <v>17</v>
      </c>
      <c r="G142">
        <v>74</v>
      </c>
      <c r="H142" t="s">
        <v>1637</v>
      </c>
      <c r="I142" t="s">
        <v>1228</v>
      </c>
      <c r="J142" t="s">
        <v>980</v>
      </c>
      <c r="K142" t="s">
        <v>1229</v>
      </c>
      <c r="L142" t="b">
        <f>Data_Completeness(MileageData[[#This Row],[MPG]:[Acceleration]])</f>
        <v>1</v>
      </c>
    </row>
    <row r="143" spans="1:12" x14ac:dyDescent="0.25">
      <c r="A143">
        <v>16</v>
      </c>
      <c r="B143">
        <v>6</v>
      </c>
      <c r="C143">
        <v>258</v>
      </c>
      <c r="D143">
        <v>110</v>
      </c>
      <c r="E143">
        <v>3632</v>
      </c>
      <c r="F143">
        <v>18</v>
      </c>
      <c r="G143">
        <v>74</v>
      </c>
      <c r="H143" t="s">
        <v>1637</v>
      </c>
      <c r="I143" t="s">
        <v>1075</v>
      </c>
      <c r="J143" t="s">
        <v>989</v>
      </c>
      <c r="K143" t="s">
        <v>1076</v>
      </c>
      <c r="L143" t="b">
        <f>Data_Completeness(MileageData[[#This Row],[MPG]:[Acceleration]])</f>
        <v>1</v>
      </c>
    </row>
    <row r="144" spans="1:12" x14ac:dyDescent="0.25">
      <c r="A144">
        <v>18</v>
      </c>
      <c r="B144">
        <v>6</v>
      </c>
      <c r="C144">
        <v>225</v>
      </c>
      <c r="D144">
        <v>105</v>
      </c>
      <c r="E144">
        <v>3613</v>
      </c>
      <c r="F144">
        <v>16.5</v>
      </c>
      <c r="G144">
        <v>74</v>
      </c>
      <c r="H144" t="s">
        <v>1637</v>
      </c>
      <c r="I144" t="s">
        <v>1230</v>
      </c>
      <c r="J144" t="s">
        <v>986</v>
      </c>
      <c r="K144" t="s">
        <v>1231</v>
      </c>
      <c r="L144" t="b">
        <f>Data_Completeness(MileageData[[#This Row],[MPG]:[Acceleration]])</f>
        <v>1</v>
      </c>
    </row>
    <row r="145" spans="1:12" x14ac:dyDescent="0.25">
      <c r="A145">
        <v>16</v>
      </c>
      <c r="B145">
        <v>8</v>
      </c>
      <c r="C145">
        <v>302</v>
      </c>
      <c r="D145">
        <v>140</v>
      </c>
      <c r="E145">
        <v>4141</v>
      </c>
      <c r="F145">
        <v>14</v>
      </c>
      <c r="G145">
        <v>74</v>
      </c>
      <c r="H145" t="s">
        <v>1637</v>
      </c>
      <c r="I145" t="s">
        <v>1165</v>
      </c>
      <c r="J145" t="s">
        <v>992</v>
      </c>
      <c r="K145" t="s">
        <v>1166</v>
      </c>
      <c r="L145" t="b">
        <f>Data_Completeness(MileageData[[#This Row],[MPG]:[Acceleration]])</f>
        <v>1</v>
      </c>
    </row>
    <row r="146" spans="1:12" x14ac:dyDescent="0.25">
      <c r="A146">
        <v>13</v>
      </c>
      <c r="B146">
        <v>8</v>
      </c>
      <c r="C146">
        <v>350</v>
      </c>
      <c r="D146">
        <v>150</v>
      </c>
      <c r="E146">
        <v>4699</v>
      </c>
      <c r="F146">
        <v>14.5</v>
      </c>
      <c r="G146">
        <v>74</v>
      </c>
      <c r="H146" t="s">
        <v>1637</v>
      </c>
      <c r="I146" t="s">
        <v>1232</v>
      </c>
      <c r="J146" t="s">
        <v>983</v>
      </c>
      <c r="K146" t="s">
        <v>1233</v>
      </c>
      <c r="L146" t="b">
        <f>Data_Completeness(MileageData[[#This Row],[MPG]:[Acceleration]])</f>
        <v>1</v>
      </c>
    </row>
    <row r="147" spans="1:12" x14ac:dyDescent="0.25">
      <c r="A147">
        <v>14</v>
      </c>
      <c r="B147">
        <v>8</v>
      </c>
      <c r="C147">
        <v>318</v>
      </c>
      <c r="D147">
        <v>150</v>
      </c>
      <c r="E147">
        <v>4457</v>
      </c>
      <c r="F147">
        <v>13.5</v>
      </c>
      <c r="G147">
        <v>74</v>
      </c>
      <c r="H147" t="s">
        <v>1637</v>
      </c>
      <c r="I147" t="s">
        <v>1234</v>
      </c>
      <c r="J147" t="s">
        <v>1017</v>
      </c>
      <c r="K147" t="s">
        <v>1235</v>
      </c>
      <c r="L147" t="b">
        <f>Data_Completeness(MileageData[[#This Row],[MPG]:[Acceleration]])</f>
        <v>1</v>
      </c>
    </row>
    <row r="148" spans="1:12" x14ac:dyDescent="0.25">
      <c r="A148">
        <v>14</v>
      </c>
      <c r="B148">
        <v>8</v>
      </c>
      <c r="C148">
        <v>302</v>
      </c>
      <c r="D148">
        <v>140</v>
      </c>
      <c r="E148">
        <v>4638</v>
      </c>
      <c r="F148">
        <v>16</v>
      </c>
      <c r="G148">
        <v>74</v>
      </c>
      <c r="H148" t="s">
        <v>1637</v>
      </c>
      <c r="I148" t="s">
        <v>1136</v>
      </c>
      <c r="J148" t="s">
        <v>992</v>
      </c>
      <c r="K148" t="s">
        <v>1137</v>
      </c>
      <c r="L148" t="b">
        <f>Data_Completeness(MileageData[[#This Row],[MPG]:[Acceleration]])</f>
        <v>1</v>
      </c>
    </row>
    <row r="149" spans="1:12" x14ac:dyDescent="0.25">
      <c r="A149">
        <v>14</v>
      </c>
      <c r="B149">
        <v>8</v>
      </c>
      <c r="C149">
        <v>304</v>
      </c>
      <c r="D149">
        <v>150</v>
      </c>
      <c r="E149">
        <v>4257</v>
      </c>
      <c r="F149">
        <v>15.5</v>
      </c>
      <c r="G149">
        <v>74</v>
      </c>
      <c r="H149" t="s">
        <v>1637</v>
      </c>
      <c r="I149" t="s">
        <v>1134</v>
      </c>
      <c r="J149" t="s">
        <v>989</v>
      </c>
      <c r="K149" t="s">
        <v>1135</v>
      </c>
      <c r="L149" t="b">
        <f>Data_Completeness(MileageData[[#This Row],[MPG]:[Acceleration]])</f>
        <v>1</v>
      </c>
    </row>
    <row r="150" spans="1:12" x14ac:dyDescent="0.25">
      <c r="A150">
        <v>29</v>
      </c>
      <c r="B150">
        <v>4</v>
      </c>
      <c r="C150">
        <v>98</v>
      </c>
      <c r="D150">
        <v>83</v>
      </c>
      <c r="E150">
        <v>2219</v>
      </c>
      <c r="F150">
        <v>16.5</v>
      </c>
      <c r="G150">
        <v>74</v>
      </c>
      <c r="H150" t="s">
        <v>1638</v>
      </c>
      <c r="I150" t="s">
        <v>1236</v>
      </c>
      <c r="J150" t="s">
        <v>1044</v>
      </c>
      <c r="K150" t="s">
        <v>1237</v>
      </c>
      <c r="L150" t="b">
        <f>Data_Completeness(MileageData[[#This Row],[MPG]:[Acceleration]])</f>
        <v>1</v>
      </c>
    </row>
    <row r="151" spans="1:12" x14ac:dyDescent="0.25">
      <c r="A151">
        <v>26</v>
      </c>
      <c r="B151">
        <v>4</v>
      </c>
      <c r="C151">
        <v>79</v>
      </c>
      <c r="D151">
        <v>67</v>
      </c>
      <c r="E151">
        <v>1963</v>
      </c>
      <c r="F151">
        <v>15.5</v>
      </c>
      <c r="G151">
        <v>74</v>
      </c>
      <c r="H151" t="s">
        <v>1638</v>
      </c>
      <c r="I151" t="s">
        <v>1238</v>
      </c>
      <c r="J151" t="s">
        <v>1039</v>
      </c>
      <c r="K151" t="s">
        <v>1239</v>
      </c>
      <c r="L151" t="b">
        <f>Data_Completeness(MileageData[[#This Row],[MPG]:[Acceleration]])</f>
        <v>1</v>
      </c>
    </row>
    <row r="152" spans="1:12" x14ac:dyDescent="0.25">
      <c r="A152">
        <v>26</v>
      </c>
      <c r="B152">
        <v>4</v>
      </c>
      <c r="C152">
        <v>97</v>
      </c>
      <c r="D152">
        <v>78</v>
      </c>
      <c r="E152">
        <v>2300</v>
      </c>
      <c r="F152">
        <v>14.5</v>
      </c>
      <c r="G152">
        <v>74</v>
      </c>
      <c r="H152" t="s">
        <v>1638</v>
      </c>
      <c r="I152" t="s">
        <v>1210</v>
      </c>
      <c r="J152" t="s">
        <v>1097</v>
      </c>
      <c r="K152" t="s">
        <v>1211</v>
      </c>
      <c r="L152" t="b">
        <f>Data_Completeness(MileageData[[#This Row],[MPG]:[Acceleration]])</f>
        <v>1</v>
      </c>
    </row>
    <row r="153" spans="1:12" x14ac:dyDescent="0.25">
      <c r="A153">
        <v>31</v>
      </c>
      <c r="B153">
        <v>4</v>
      </c>
      <c r="C153">
        <v>76</v>
      </c>
      <c r="D153">
        <v>52</v>
      </c>
      <c r="E153">
        <v>1649</v>
      </c>
      <c r="F153">
        <v>16.5</v>
      </c>
      <c r="G153">
        <v>74</v>
      </c>
      <c r="H153" t="s">
        <v>1639</v>
      </c>
      <c r="I153" t="s">
        <v>1065</v>
      </c>
      <c r="J153" t="s">
        <v>1027</v>
      </c>
      <c r="K153" t="s">
        <v>1066</v>
      </c>
      <c r="L153" t="b">
        <f>Data_Completeness(MileageData[[#This Row],[MPG]:[Acceleration]])</f>
        <v>1</v>
      </c>
    </row>
    <row r="154" spans="1:12" x14ac:dyDescent="0.25">
      <c r="A154">
        <v>32</v>
      </c>
      <c r="B154">
        <v>4</v>
      </c>
      <c r="C154">
        <v>83</v>
      </c>
      <c r="D154">
        <v>61</v>
      </c>
      <c r="E154">
        <v>2003</v>
      </c>
      <c r="F154">
        <v>19</v>
      </c>
      <c r="G154">
        <v>74</v>
      </c>
      <c r="H154" t="s">
        <v>1639</v>
      </c>
      <c r="I154" t="s">
        <v>1240</v>
      </c>
      <c r="J154" t="s">
        <v>1036</v>
      </c>
      <c r="K154">
        <v>710</v>
      </c>
      <c r="L154" t="b">
        <f>Data_Completeness(MileageData[[#This Row],[MPG]:[Acceleration]])</f>
        <v>1</v>
      </c>
    </row>
    <row r="155" spans="1:12" x14ac:dyDescent="0.25">
      <c r="A155">
        <v>28</v>
      </c>
      <c r="B155">
        <v>4</v>
      </c>
      <c r="C155">
        <v>90</v>
      </c>
      <c r="D155">
        <v>75</v>
      </c>
      <c r="E155">
        <v>2125</v>
      </c>
      <c r="F155">
        <v>14.5</v>
      </c>
      <c r="G155">
        <v>74</v>
      </c>
      <c r="H155" t="s">
        <v>1637</v>
      </c>
      <c r="I155" t="s">
        <v>1241</v>
      </c>
      <c r="J155" t="s">
        <v>1017</v>
      </c>
      <c r="K155" t="s">
        <v>1242</v>
      </c>
      <c r="L155" t="b">
        <f>Data_Completeness(MileageData[[#This Row],[MPG]:[Acceleration]])</f>
        <v>1</v>
      </c>
    </row>
    <row r="156" spans="1:12" x14ac:dyDescent="0.25">
      <c r="A156">
        <v>24</v>
      </c>
      <c r="B156">
        <v>4</v>
      </c>
      <c r="C156">
        <v>90</v>
      </c>
      <c r="D156">
        <v>75</v>
      </c>
      <c r="E156">
        <v>2108</v>
      </c>
      <c r="F156">
        <v>15.5</v>
      </c>
      <c r="G156">
        <v>74</v>
      </c>
      <c r="H156" t="s">
        <v>1638</v>
      </c>
      <c r="I156" t="s">
        <v>1209</v>
      </c>
      <c r="J156" t="s">
        <v>1100</v>
      </c>
      <c r="K156">
        <v>128</v>
      </c>
      <c r="L156" t="b">
        <f>Data_Completeness(MileageData[[#This Row],[MPG]:[Acceleration]])</f>
        <v>1</v>
      </c>
    </row>
    <row r="157" spans="1:12" x14ac:dyDescent="0.25">
      <c r="A157">
        <v>26</v>
      </c>
      <c r="B157">
        <v>4</v>
      </c>
      <c r="C157">
        <v>116</v>
      </c>
      <c r="D157">
        <v>75</v>
      </c>
      <c r="E157">
        <v>2246</v>
      </c>
      <c r="F157">
        <v>14</v>
      </c>
      <c r="G157">
        <v>74</v>
      </c>
      <c r="H157" t="s">
        <v>1638</v>
      </c>
      <c r="I157" t="s">
        <v>1243</v>
      </c>
      <c r="J157" t="s">
        <v>1100</v>
      </c>
      <c r="K157" t="s">
        <v>1244</v>
      </c>
      <c r="L157" t="b">
        <f>Data_Completeness(MileageData[[#This Row],[MPG]:[Acceleration]])</f>
        <v>1</v>
      </c>
    </row>
    <row r="158" spans="1:12" x14ac:dyDescent="0.25">
      <c r="A158">
        <v>24</v>
      </c>
      <c r="B158">
        <v>4</v>
      </c>
      <c r="C158">
        <v>120</v>
      </c>
      <c r="D158">
        <v>97</v>
      </c>
      <c r="E158">
        <v>2489</v>
      </c>
      <c r="F158">
        <v>15</v>
      </c>
      <c r="G158">
        <v>74</v>
      </c>
      <c r="H158" t="s">
        <v>1639</v>
      </c>
      <c r="I158" t="s">
        <v>1245</v>
      </c>
      <c r="J158" t="s">
        <v>1246</v>
      </c>
      <c r="K158" t="s">
        <v>1247</v>
      </c>
      <c r="L158" t="b">
        <f>Data_Completeness(MileageData[[#This Row],[MPG]:[Acceleration]])</f>
        <v>1</v>
      </c>
    </row>
    <row r="159" spans="1:12" x14ac:dyDescent="0.25">
      <c r="A159">
        <v>26</v>
      </c>
      <c r="B159">
        <v>4</v>
      </c>
      <c r="C159">
        <v>108</v>
      </c>
      <c r="D159">
        <v>93</v>
      </c>
      <c r="E159">
        <v>2391</v>
      </c>
      <c r="F159">
        <v>15.5</v>
      </c>
      <c r="G159">
        <v>74</v>
      </c>
      <c r="H159" t="s">
        <v>1639</v>
      </c>
      <c r="I159" t="s">
        <v>1248</v>
      </c>
      <c r="J159" t="e">
        <v>#VALUE!</v>
      </c>
      <c r="K159" t="e">
        <v>#VALUE!</v>
      </c>
      <c r="L159" t="b">
        <f>Data_Completeness(MileageData[[#This Row],[MPG]:[Acceleration]])</f>
        <v>1</v>
      </c>
    </row>
    <row r="160" spans="1:12" x14ac:dyDescent="0.25">
      <c r="A160">
        <v>31</v>
      </c>
      <c r="B160">
        <v>4</v>
      </c>
      <c r="C160">
        <v>79</v>
      </c>
      <c r="D160">
        <v>67</v>
      </c>
      <c r="E160">
        <v>2000</v>
      </c>
      <c r="F160">
        <v>16</v>
      </c>
      <c r="G160">
        <v>74</v>
      </c>
      <c r="H160" t="s">
        <v>1638</v>
      </c>
      <c r="I160" t="s">
        <v>1249</v>
      </c>
      <c r="J160" t="s">
        <v>1100</v>
      </c>
      <c r="K160" t="s">
        <v>1250</v>
      </c>
      <c r="L160" t="b">
        <f>Data_Completeness(MileageData[[#This Row],[MPG]:[Acceleration]])</f>
        <v>1</v>
      </c>
    </row>
    <row r="161" spans="1:12" x14ac:dyDescent="0.25">
      <c r="A161">
        <v>19</v>
      </c>
      <c r="B161">
        <v>6</v>
      </c>
      <c r="C161">
        <v>225</v>
      </c>
      <c r="D161">
        <v>95</v>
      </c>
      <c r="E161">
        <v>3264</v>
      </c>
      <c r="F161">
        <v>16</v>
      </c>
      <c r="G161">
        <v>75</v>
      </c>
      <c r="H161" t="s">
        <v>1637</v>
      </c>
      <c r="I161" t="s">
        <v>1251</v>
      </c>
      <c r="J161" t="s">
        <v>986</v>
      </c>
      <c r="K161" t="s">
        <v>1252</v>
      </c>
      <c r="L161" t="b">
        <f>Data_Completeness(MileageData[[#This Row],[MPG]:[Acceleration]])</f>
        <v>1</v>
      </c>
    </row>
    <row r="162" spans="1:12" x14ac:dyDescent="0.25">
      <c r="A162">
        <v>18</v>
      </c>
      <c r="B162">
        <v>6</v>
      </c>
      <c r="C162">
        <v>250</v>
      </c>
      <c r="D162">
        <v>105</v>
      </c>
      <c r="E162">
        <v>3459</v>
      </c>
      <c r="F162">
        <v>16</v>
      </c>
      <c r="G162">
        <v>75</v>
      </c>
      <c r="H162" t="s">
        <v>1637</v>
      </c>
      <c r="I162" t="s">
        <v>1224</v>
      </c>
      <c r="J162" t="s">
        <v>980</v>
      </c>
      <c r="K162" t="s">
        <v>1225</v>
      </c>
      <c r="L162" t="b">
        <f>Data_Completeness(MileageData[[#This Row],[MPG]:[Acceleration]])</f>
        <v>1</v>
      </c>
    </row>
    <row r="163" spans="1:12" x14ac:dyDescent="0.25">
      <c r="A163">
        <v>15</v>
      </c>
      <c r="B163">
        <v>6</v>
      </c>
      <c r="C163">
        <v>250</v>
      </c>
      <c r="D163">
        <v>72</v>
      </c>
      <c r="E163">
        <v>3432</v>
      </c>
      <c r="F163">
        <v>21</v>
      </c>
      <c r="G163">
        <v>75</v>
      </c>
      <c r="H163" t="s">
        <v>1637</v>
      </c>
      <c r="I163" t="s">
        <v>1253</v>
      </c>
      <c r="J163" t="s">
        <v>1094</v>
      </c>
      <c r="K163" t="s">
        <v>1254</v>
      </c>
      <c r="L163" t="b">
        <f>Data_Completeness(MileageData[[#This Row],[MPG]:[Acceleration]])</f>
        <v>1</v>
      </c>
    </row>
    <row r="164" spans="1:12" x14ac:dyDescent="0.25">
      <c r="A164">
        <v>15</v>
      </c>
      <c r="B164">
        <v>6</v>
      </c>
      <c r="C164">
        <v>250</v>
      </c>
      <c r="D164">
        <v>72</v>
      </c>
      <c r="E164">
        <v>3158</v>
      </c>
      <c r="F164">
        <v>19.5</v>
      </c>
      <c r="G164">
        <v>75</v>
      </c>
      <c r="H164" t="s">
        <v>1637</v>
      </c>
      <c r="I164" t="s">
        <v>1033</v>
      </c>
      <c r="J164" t="s">
        <v>992</v>
      </c>
      <c r="K164" t="s">
        <v>1034</v>
      </c>
      <c r="L164" t="b">
        <f>Data_Completeness(MileageData[[#This Row],[MPG]:[Acceleration]])</f>
        <v>1</v>
      </c>
    </row>
    <row r="165" spans="1:12" x14ac:dyDescent="0.25">
      <c r="A165">
        <v>16</v>
      </c>
      <c r="B165">
        <v>8</v>
      </c>
      <c r="C165">
        <v>400</v>
      </c>
      <c r="D165">
        <v>170</v>
      </c>
      <c r="E165">
        <v>4668</v>
      </c>
      <c r="F165">
        <v>11.5</v>
      </c>
      <c r="G165">
        <v>75</v>
      </c>
      <c r="H165" t="s">
        <v>1637</v>
      </c>
      <c r="I165" t="s">
        <v>1000</v>
      </c>
      <c r="J165" t="s">
        <v>1001</v>
      </c>
      <c r="K165" t="s">
        <v>1002</v>
      </c>
      <c r="L165" t="b">
        <f>Data_Completeness(MileageData[[#This Row],[MPG]:[Acceleration]])</f>
        <v>1</v>
      </c>
    </row>
    <row r="166" spans="1:12" x14ac:dyDescent="0.25">
      <c r="A166">
        <v>15</v>
      </c>
      <c r="B166">
        <v>8</v>
      </c>
      <c r="C166">
        <v>350</v>
      </c>
      <c r="D166">
        <v>145</v>
      </c>
      <c r="E166">
        <v>4440</v>
      </c>
      <c r="F166">
        <v>14</v>
      </c>
      <c r="G166">
        <v>75</v>
      </c>
      <c r="H166" t="s">
        <v>1637</v>
      </c>
      <c r="I166" t="s">
        <v>1255</v>
      </c>
      <c r="J166" t="s">
        <v>980</v>
      </c>
      <c r="K166" t="s">
        <v>1256</v>
      </c>
      <c r="L166" t="b">
        <f>Data_Completeness(MileageData[[#This Row],[MPG]:[Acceleration]])</f>
        <v>1</v>
      </c>
    </row>
    <row r="167" spans="1:12" x14ac:dyDescent="0.25">
      <c r="A167">
        <v>16</v>
      </c>
      <c r="B167">
        <v>8</v>
      </c>
      <c r="C167">
        <v>318</v>
      </c>
      <c r="D167">
        <v>150</v>
      </c>
      <c r="E167">
        <v>4498</v>
      </c>
      <c r="F167">
        <v>14.5</v>
      </c>
      <c r="G167">
        <v>75</v>
      </c>
      <c r="H167" t="s">
        <v>1637</v>
      </c>
      <c r="I167" t="s">
        <v>1257</v>
      </c>
      <c r="J167" t="s">
        <v>986</v>
      </c>
      <c r="K167" t="s">
        <v>1258</v>
      </c>
      <c r="L167" t="b">
        <f>Data_Completeness(MileageData[[#This Row],[MPG]:[Acceleration]])</f>
        <v>1</v>
      </c>
    </row>
    <row r="168" spans="1:12" x14ac:dyDescent="0.25">
      <c r="A168">
        <v>14</v>
      </c>
      <c r="B168">
        <v>8</v>
      </c>
      <c r="C168">
        <v>351</v>
      </c>
      <c r="D168">
        <v>148</v>
      </c>
      <c r="E168">
        <v>4657</v>
      </c>
      <c r="F168">
        <v>13.5</v>
      </c>
      <c r="G168">
        <v>75</v>
      </c>
      <c r="H168" t="s">
        <v>1637</v>
      </c>
      <c r="I168" t="s">
        <v>1173</v>
      </c>
      <c r="J168" t="s">
        <v>992</v>
      </c>
      <c r="K168" t="s">
        <v>1174</v>
      </c>
      <c r="L168" t="b">
        <f>Data_Completeness(MileageData[[#This Row],[MPG]:[Acceleration]])</f>
        <v>1</v>
      </c>
    </row>
    <row r="169" spans="1:12" x14ac:dyDescent="0.25">
      <c r="A169">
        <v>17</v>
      </c>
      <c r="B169">
        <v>6</v>
      </c>
      <c r="C169">
        <v>231</v>
      </c>
      <c r="D169">
        <v>110</v>
      </c>
      <c r="E169">
        <v>3907</v>
      </c>
      <c r="F169">
        <v>21</v>
      </c>
      <c r="G169">
        <v>75</v>
      </c>
      <c r="H169" t="s">
        <v>1637</v>
      </c>
      <c r="I169" t="s">
        <v>1259</v>
      </c>
      <c r="J169" t="s">
        <v>983</v>
      </c>
      <c r="K169" t="s">
        <v>1260</v>
      </c>
      <c r="L169" t="b">
        <f>Data_Completeness(MileageData[[#This Row],[MPG]:[Acceleration]])</f>
        <v>1</v>
      </c>
    </row>
    <row r="170" spans="1:12" x14ac:dyDescent="0.25">
      <c r="A170">
        <v>16</v>
      </c>
      <c r="B170">
        <v>6</v>
      </c>
      <c r="C170">
        <v>250</v>
      </c>
      <c r="D170">
        <v>105</v>
      </c>
      <c r="E170">
        <v>3897</v>
      </c>
      <c r="F170">
        <v>18.5</v>
      </c>
      <c r="G170">
        <v>75</v>
      </c>
      <c r="H170" t="s">
        <v>1637</v>
      </c>
      <c r="I170" t="s">
        <v>1261</v>
      </c>
      <c r="J170" t="s">
        <v>1262</v>
      </c>
      <c r="K170" t="s">
        <v>981</v>
      </c>
      <c r="L170" t="b">
        <f>Data_Completeness(MileageData[[#This Row],[MPG]:[Acceleration]])</f>
        <v>1</v>
      </c>
    </row>
    <row r="171" spans="1:12" x14ac:dyDescent="0.25">
      <c r="A171">
        <v>15</v>
      </c>
      <c r="B171">
        <v>6</v>
      </c>
      <c r="C171">
        <v>258</v>
      </c>
      <c r="D171">
        <v>110</v>
      </c>
      <c r="E171">
        <v>3730</v>
      </c>
      <c r="F171">
        <v>19</v>
      </c>
      <c r="G171">
        <v>75</v>
      </c>
      <c r="H171" t="s">
        <v>1637</v>
      </c>
      <c r="I171" t="s">
        <v>1075</v>
      </c>
      <c r="J171" t="s">
        <v>989</v>
      </c>
      <c r="K171" t="s">
        <v>1076</v>
      </c>
      <c r="L171" t="b">
        <f>Data_Completeness(MileageData[[#This Row],[MPG]:[Acceleration]])</f>
        <v>1</v>
      </c>
    </row>
    <row r="172" spans="1:12" x14ac:dyDescent="0.25">
      <c r="A172">
        <v>18</v>
      </c>
      <c r="B172">
        <v>6</v>
      </c>
      <c r="C172">
        <v>225</v>
      </c>
      <c r="D172">
        <v>95</v>
      </c>
      <c r="E172">
        <v>3785</v>
      </c>
      <c r="F172">
        <v>19</v>
      </c>
      <c r="G172">
        <v>75</v>
      </c>
      <c r="H172" t="s">
        <v>1637</v>
      </c>
      <c r="I172" t="s">
        <v>1263</v>
      </c>
      <c r="J172" t="s">
        <v>986</v>
      </c>
      <c r="K172" t="s">
        <v>1264</v>
      </c>
      <c r="L172" t="b">
        <f>Data_Completeness(MileageData[[#This Row],[MPG]:[Acceleration]])</f>
        <v>1</v>
      </c>
    </row>
    <row r="173" spans="1:12" x14ac:dyDescent="0.25">
      <c r="A173">
        <v>21</v>
      </c>
      <c r="B173">
        <v>6</v>
      </c>
      <c r="C173">
        <v>231</v>
      </c>
      <c r="D173">
        <v>110</v>
      </c>
      <c r="E173">
        <v>3039</v>
      </c>
      <c r="F173">
        <v>15</v>
      </c>
      <c r="G173">
        <v>75</v>
      </c>
      <c r="H173" t="s">
        <v>1637</v>
      </c>
      <c r="I173" t="s">
        <v>1265</v>
      </c>
      <c r="J173" t="s">
        <v>983</v>
      </c>
      <c r="K173" t="s">
        <v>1266</v>
      </c>
      <c r="L173" t="b">
        <f>Data_Completeness(MileageData[[#This Row],[MPG]:[Acceleration]])</f>
        <v>1</v>
      </c>
    </row>
    <row r="174" spans="1:12" x14ac:dyDescent="0.25">
      <c r="A174">
        <v>20</v>
      </c>
      <c r="B174">
        <v>8</v>
      </c>
      <c r="C174">
        <v>262</v>
      </c>
      <c r="D174">
        <v>110</v>
      </c>
      <c r="E174">
        <v>3221</v>
      </c>
      <c r="F174">
        <v>13.5</v>
      </c>
      <c r="G174">
        <v>75</v>
      </c>
      <c r="H174" t="s">
        <v>1637</v>
      </c>
      <c r="I174" t="s">
        <v>1267</v>
      </c>
      <c r="J174" t="s">
        <v>980</v>
      </c>
      <c r="K174" t="s">
        <v>1268</v>
      </c>
      <c r="L174" t="b">
        <f>Data_Completeness(MileageData[[#This Row],[MPG]:[Acceleration]])</f>
        <v>1</v>
      </c>
    </row>
    <row r="175" spans="1:12" x14ac:dyDescent="0.25">
      <c r="A175">
        <v>13</v>
      </c>
      <c r="B175">
        <v>8</v>
      </c>
      <c r="C175">
        <v>302</v>
      </c>
      <c r="D175">
        <v>129</v>
      </c>
      <c r="E175">
        <v>3169</v>
      </c>
      <c r="F175">
        <v>12</v>
      </c>
      <c r="G175">
        <v>75</v>
      </c>
      <c r="H175" t="s">
        <v>1637</v>
      </c>
      <c r="I175" t="s">
        <v>1269</v>
      </c>
      <c r="J175" t="s">
        <v>992</v>
      </c>
      <c r="K175" t="s">
        <v>1270</v>
      </c>
      <c r="L175" t="b">
        <f>Data_Completeness(MileageData[[#This Row],[MPG]:[Acceleration]])</f>
        <v>1</v>
      </c>
    </row>
    <row r="176" spans="1:12" x14ac:dyDescent="0.25">
      <c r="A176">
        <v>29</v>
      </c>
      <c r="B176">
        <v>4</v>
      </c>
      <c r="C176">
        <v>97</v>
      </c>
      <c r="D176">
        <v>75</v>
      </c>
      <c r="E176">
        <v>2171</v>
      </c>
      <c r="F176">
        <v>16</v>
      </c>
      <c r="G176">
        <v>75</v>
      </c>
      <c r="H176" t="s">
        <v>1639</v>
      </c>
      <c r="I176" t="s">
        <v>1271</v>
      </c>
      <c r="J176" t="s">
        <v>1027</v>
      </c>
      <c r="K176" t="s">
        <v>1272</v>
      </c>
      <c r="L176" t="b">
        <f>Data_Completeness(MileageData[[#This Row],[MPG]:[Acceleration]])</f>
        <v>1</v>
      </c>
    </row>
    <row r="177" spans="1:12" x14ac:dyDescent="0.25">
      <c r="A177">
        <v>23</v>
      </c>
      <c r="B177">
        <v>4</v>
      </c>
      <c r="C177">
        <v>140</v>
      </c>
      <c r="D177">
        <v>83</v>
      </c>
      <c r="E177">
        <v>2639</v>
      </c>
      <c r="F177">
        <v>17</v>
      </c>
      <c r="G177">
        <v>75</v>
      </c>
      <c r="H177" t="s">
        <v>1637</v>
      </c>
      <c r="I177" t="s">
        <v>1067</v>
      </c>
      <c r="J177" t="s">
        <v>992</v>
      </c>
      <c r="K177" t="s">
        <v>1068</v>
      </c>
      <c r="L177" t="b">
        <f>Data_Completeness(MileageData[[#This Row],[MPG]:[Acceleration]])</f>
        <v>1</v>
      </c>
    </row>
    <row r="178" spans="1:12" x14ac:dyDescent="0.25">
      <c r="A178">
        <v>20</v>
      </c>
      <c r="B178">
        <v>6</v>
      </c>
      <c r="C178">
        <v>232</v>
      </c>
      <c r="D178">
        <v>100</v>
      </c>
      <c r="E178">
        <v>2914</v>
      </c>
      <c r="F178">
        <v>16</v>
      </c>
      <c r="G178">
        <v>75</v>
      </c>
      <c r="H178" t="s">
        <v>1637</v>
      </c>
      <c r="I178" t="s">
        <v>1051</v>
      </c>
      <c r="J178" t="s">
        <v>989</v>
      </c>
      <c r="K178" t="s">
        <v>1052</v>
      </c>
      <c r="L178" t="b">
        <f>Data_Completeness(MileageData[[#This Row],[MPG]:[Acceleration]])</f>
        <v>1</v>
      </c>
    </row>
    <row r="179" spans="1:12" x14ac:dyDescent="0.25">
      <c r="A179">
        <v>23</v>
      </c>
      <c r="B179">
        <v>4</v>
      </c>
      <c r="C179">
        <v>140</v>
      </c>
      <c r="D179">
        <v>78</v>
      </c>
      <c r="E179">
        <v>2592</v>
      </c>
      <c r="F179">
        <v>18.5</v>
      </c>
      <c r="G179">
        <v>75</v>
      </c>
      <c r="H179" t="s">
        <v>1637</v>
      </c>
      <c r="I179" t="s">
        <v>1273</v>
      </c>
      <c r="J179" t="s">
        <v>1001</v>
      </c>
      <c r="K179" t="s">
        <v>1274</v>
      </c>
      <c r="L179" t="b">
        <f>Data_Completeness(MileageData[[#This Row],[MPG]:[Acceleration]])</f>
        <v>1</v>
      </c>
    </row>
    <row r="180" spans="1:12" x14ac:dyDescent="0.25">
      <c r="A180">
        <v>24</v>
      </c>
      <c r="B180">
        <v>4</v>
      </c>
      <c r="C180">
        <v>134</v>
      </c>
      <c r="D180">
        <v>96</v>
      </c>
      <c r="E180">
        <v>2702</v>
      </c>
      <c r="F180">
        <v>13.5</v>
      </c>
      <c r="G180">
        <v>75</v>
      </c>
      <c r="H180" t="s">
        <v>1639</v>
      </c>
      <c r="I180" t="s">
        <v>1065</v>
      </c>
      <c r="J180" t="s">
        <v>1027</v>
      </c>
      <c r="K180" t="s">
        <v>1066</v>
      </c>
      <c r="L180" t="b">
        <f>Data_Completeness(MileageData[[#This Row],[MPG]:[Acceleration]])</f>
        <v>1</v>
      </c>
    </row>
    <row r="181" spans="1:12" x14ac:dyDescent="0.25">
      <c r="A181">
        <v>25</v>
      </c>
      <c r="B181">
        <v>4</v>
      </c>
      <c r="C181">
        <v>90</v>
      </c>
      <c r="D181">
        <v>71</v>
      </c>
      <c r="E181">
        <v>2223</v>
      </c>
      <c r="F181">
        <v>16.5</v>
      </c>
      <c r="G181">
        <v>75</v>
      </c>
      <c r="H181" t="s">
        <v>1638</v>
      </c>
      <c r="I181" t="s">
        <v>1238</v>
      </c>
      <c r="J181" t="s">
        <v>1039</v>
      </c>
      <c r="K181" t="s">
        <v>1239</v>
      </c>
      <c r="L181" t="b">
        <f>Data_Completeness(MileageData[[#This Row],[MPG]:[Acceleration]])</f>
        <v>1</v>
      </c>
    </row>
    <row r="182" spans="1:12" x14ac:dyDescent="0.25">
      <c r="A182">
        <v>24</v>
      </c>
      <c r="B182">
        <v>4</v>
      </c>
      <c r="C182">
        <v>119</v>
      </c>
      <c r="D182">
        <v>97</v>
      </c>
      <c r="E182">
        <v>2545</v>
      </c>
      <c r="F182">
        <v>17</v>
      </c>
      <c r="G182">
        <v>75</v>
      </c>
      <c r="H182" t="s">
        <v>1639</v>
      </c>
      <c r="I182" t="s">
        <v>1240</v>
      </c>
      <c r="J182" t="s">
        <v>1036</v>
      </c>
      <c r="K182">
        <v>710</v>
      </c>
      <c r="L182" t="b">
        <f>Data_Completeness(MileageData[[#This Row],[MPG]:[Acceleration]])</f>
        <v>1</v>
      </c>
    </row>
    <row r="183" spans="1:12" x14ac:dyDescent="0.25">
      <c r="A183">
        <v>18</v>
      </c>
      <c r="B183">
        <v>6</v>
      </c>
      <c r="C183">
        <v>171</v>
      </c>
      <c r="D183">
        <v>97</v>
      </c>
      <c r="E183">
        <v>2984</v>
      </c>
      <c r="F183">
        <v>14.5</v>
      </c>
      <c r="G183">
        <v>75</v>
      </c>
      <c r="H183" t="s">
        <v>1637</v>
      </c>
      <c r="I183" t="s">
        <v>1067</v>
      </c>
      <c r="J183" t="s">
        <v>992</v>
      </c>
      <c r="K183" t="s">
        <v>1068</v>
      </c>
      <c r="L183" t="b">
        <f>Data_Completeness(MileageData[[#This Row],[MPG]:[Acceleration]])</f>
        <v>1</v>
      </c>
    </row>
    <row r="184" spans="1:12" x14ac:dyDescent="0.25">
      <c r="A184">
        <v>29</v>
      </c>
      <c r="B184">
        <v>4</v>
      </c>
      <c r="C184">
        <v>90</v>
      </c>
      <c r="D184">
        <v>70</v>
      </c>
      <c r="E184">
        <v>1937</v>
      </c>
      <c r="F184">
        <v>14</v>
      </c>
      <c r="G184">
        <v>75</v>
      </c>
      <c r="H184" t="s">
        <v>1638</v>
      </c>
      <c r="I184" t="s">
        <v>1275</v>
      </c>
      <c r="J184" t="s">
        <v>1039</v>
      </c>
      <c r="K184" t="s">
        <v>1276</v>
      </c>
      <c r="L184" t="b">
        <f>Data_Completeness(MileageData[[#This Row],[MPG]:[Acceleration]])</f>
        <v>1</v>
      </c>
    </row>
    <row r="185" spans="1:12" x14ac:dyDescent="0.25">
      <c r="A185">
        <v>19</v>
      </c>
      <c r="B185">
        <v>6</v>
      </c>
      <c r="C185">
        <v>232</v>
      </c>
      <c r="D185">
        <v>90</v>
      </c>
      <c r="E185">
        <v>3211</v>
      </c>
      <c r="F185">
        <v>17</v>
      </c>
      <c r="G185">
        <v>75</v>
      </c>
      <c r="H185" t="s">
        <v>1637</v>
      </c>
      <c r="I185" t="s">
        <v>1277</v>
      </c>
      <c r="J185" t="s">
        <v>989</v>
      </c>
      <c r="K185" t="s">
        <v>1278</v>
      </c>
      <c r="L185" t="b">
        <f>Data_Completeness(MileageData[[#This Row],[MPG]:[Acceleration]])</f>
        <v>1</v>
      </c>
    </row>
    <row r="186" spans="1:12" x14ac:dyDescent="0.25">
      <c r="A186">
        <v>23</v>
      </c>
      <c r="B186">
        <v>4</v>
      </c>
      <c r="C186">
        <v>115</v>
      </c>
      <c r="D186">
        <v>95</v>
      </c>
      <c r="E186">
        <v>2694</v>
      </c>
      <c r="F186">
        <v>15</v>
      </c>
      <c r="G186">
        <v>75</v>
      </c>
      <c r="H186" t="s">
        <v>1638</v>
      </c>
      <c r="I186" t="s">
        <v>1212</v>
      </c>
      <c r="J186" t="s">
        <v>1044</v>
      </c>
      <c r="K186" t="s">
        <v>1213</v>
      </c>
      <c r="L186" t="b">
        <f>Data_Completeness(MileageData[[#This Row],[MPG]:[Acceleration]])</f>
        <v>1</v>
      </c>
    </row>
    <row r="187" spans="1:12" x14ac:dyDescent="0.25">
      <c r="A187">
        <v>23</v>
      </c>
      <c r="B187">
        <v>4</v>
      </c>
      <c r="C187">
        <v>120</v>
      </c>
      <c r="D187">
        <v>88</v>
      </c>
      <c r="E187">
        <v>2957</v>
      </c>
      <c r="F187">
        <v>17</v>
      </c>
      <c r="G187">
        <v>75</v>
      </c>
      <c r="H187" t="s">
        <v>1638</v>
      </c>
      <c r="I187" t="s">
        <v>1041</v>
      </c>
      <c r="J187" t="s">
        <v>1042</v>
      </c>
      <c r="K187">
        <v>504</v>
      </c>
      <c r="L187" t="b">
        <f>Data_Completeness(MileageData[[#This Row],[MPG]:[Acceleration]])</f>
        <v>1</v>
      </c>
    </row>
    <row r="188" spans="1:12" x14ac:dyDescent="0.25">
      <c r="A188">
        <v>22</v>
      </c>
      <c r="B188">
        <v>4</v>
      </c>
      <c r="C188">
        <v>121</v>
      </c>
      <c r="D188">
        <v>98</v>
      </c>
      <c r="E188">
        <v>2945</v>
      </c>
      <c r="F188">
        <v>14.5</v>
      </c>
      <c r="G188">
        <v>75</v>
      </c>
      <c r="H188" t="s">
        <v>1638</v>
      </c>
      <c r="I188" t="s">
        <v>1279</v>
      </c>
      <c r="J188" t="s">
        <v>1141</v>
      </c>
      <c r="K188" t="s">
        <v>1280</v>
      </c>
      <c r="L188" t="b">
        <f>Data_Completeness(MileageData[[#This Row],[MPG]:[Acceleration]])</f>
        <v>1</v>
      </c>
    </row>
    <row r="189" spans="1:12" x14ac:dyDescent="0.25">
      <c r="A189">
        <v>25</v>
      </c>
      <c r="B189">
        <v>4</v>
      </c>
      <c r="C189">
        <v>121</v>
      </c>
      <c r="D189">
        <v>115</v>
      </c>
      <c r="E189">
        <v>2671</v>
      </c>
      <c r="F189">
        <v>13.5</v>
      </c>
      <c r="G189">
        <v>75</v>
      </c>
      <c r="H189" t="s">
        <v>1638</v>
      </c>
      <c r="I189" t="s">
        <v>1218</v>
      </c>
      <c r="J189" t="s">
        <v>1047</v>
      </c>
      <c r="K189" t="s">
        <v>1219</v>
      </c>
      <c r="L189" t="b">
        <f>Data_Completeness(MileageData[[#This Row],[MPG]:[Acceleration]])</f>
        <v>1</v>
      </c>
    </row>
    <row r="190" spans="1:12" x14ac:dyDescent="0.25">
      <c r="A190">
        <v>33</v>
      </c>
      <c r="B190">
        <v>4</v>
      </c>
      <c r="C190">
        <v>91</v>
      </c>
      <c r="D190">
        <v>53</v>
      </c>
      <c r="E190">
        <v>1795</v>
      </c>
      <c r="F190">
        <v>17.5</v>
      </c>
      <c r="G190">
        <v>75</v>
      </c>
      <c r="H190" t="s">
        <v>1639</v>
      </c>
      <c r="I190" t="s">
        <v>1281</v>
      </c>
      <c r="J190" t="s">
        <v>1246</v>
      </c>
      <c r="K190" t="s">
        <v>1282</v>
      </c>
      <c r="L190" t="b">
        <f>Data_Completeness(MileageData[[#This Row],[MPG]:[Acceleration]])</f>
        <v>1</v>
      </c>
    </row>
    <row r="191" spans="1:12" x14ac:dyDescent="0.25">
      <c r="A191">
        <v>28</v>
      </c>
      <c r="B191">
        <v>4</v>
      </c>
      <c r="C191">
        <v>107</v>
      </c>
      <c r="D191">
        <v>86</v>
      </c>
      <c r="E191">
        <v>2464</v>
      </c>
      <c r="F191">
        <v>15.5</v>
      </c>
      <c r="G191">
        <v>76</v>
      </c>
      <c r="H191" t="s">
        <v>1638</v>
      </c>
      <c r="I191" t="s">
        <v>1283</v>
      </c>
      <c r="J191" t="s">
        <v>1100</v>
      </c>
      <c r="K191">
        <v>131</v>
      </c>
      <c r="L191" t="b">
        <f>Data_Completeness(MileageData[[#This Row],[MPG]:[Acceleration]])</f>
        <v>1</v>
      </c>
    </row>
    <row r="192" spans="1:12" x14ac:dyDescent="0.25">
      <c r="A192">
        <v>25</v>
      </c>
      <c r="B192">
        <v>4</v>
      </c>
      <c r="C192">
        <v>116</v>
      </c>
      <c r="D192">
        <v>81</v>
      </c>
      <c r="E192">
        <v>2220</v>
      </c>
      <c r="F192">
        <v>16.899999999999999</v>
      </c>
      <c r="G192">
        <v>76</v>
      </c>
      <c r="H192" t="s">
        <v>1638</v>
      </c>
      <c r="I192" t="s">
        <v>1096</v>
      </c>
      <c r="J192" t="s">
        <v>1097</v>
      </c>
      <c r="K192">
        <v>1900</v>
      </c>
      <c r="L192" t="b">
        <f>Data_Completeness(MileageData[[#This Row],[MPG]:[Acceleration]])</f>
        <v>1</v>
      </c>
    </row>
    <row r="193" spans="1:12" x14ac:dyDescent="0.25">
      <c r="A193">
        <v>25</v>
      </c>
      <c r="B193">
        <v>4</v>
      </c>
      <c r="C193">
        <v>140</v>
      </c>
      <c r="D193">
        <v>92</v>
      </c>
      <c r="E193">
        <v>2572</v>
      </c>
      <c r="F193">
        <v>14.9</v>
      </c>
      <c r="G193">
        <v>76</v>
      </c>
      <c r="H193" t="s">
        <v>1637</v>
      </c>
      <c r="I193" t="s">
        <v>1284</v>
      </c>
      <c r="J193" t="s">
        <v>1285</v>
      </c>
      <c r="K193" t="s">
        <v>1286</v>
      </c>
      <c r="L193" t="b">
        <f>Data_Completeness(MileageData[[#This Row],[MPG]:[Acceleration]])</f>
        <v>1</v>
      </c>
    </row>
    <row r="194" spans="1:12" x14ac:dyDescent="0.25">
      <c r="A194">
        <v>26</v>
      </c>
      <c r="B194">
        <v>4</v>
      </c>
      <c r="C194">
        <v>98</v>
      </c>
      <c r="D194">
        <v>79</v>
      </c>
      <c r="E194">
        <v>2255</v>
      </c>
      <c r="F194">
        <v>17.7</v>
      </c>
      <c r="G194">
        <v>76</v>
      </c>
      <c r="H194" t="s">
        <v>1637</v>
      </c>
      <c r="I194" t="s">
        <v>1241</v>
      </c>
      <c r="J194" t="s">
        <v>1017</v>
      </c>
      <c r="K194" t="s">
        <v>1242</v>
      </c>
      <c r="L194" t="b">
        <f>Data_Completeness(MileageData[[#This Row],[MPG]:[Acceleration]])</f>
        <v>1</v>
      </c>
    </row>
    <row r="195" spans="1:12" x14ac:dyDescent="0.25">
      <c r="A195">
        <v>27</v>
      </c>
      <c r="B195">
        <v>4</v>
      </c>
      <c r="C195">
        <v>101</v>
      </c>
      <c r="D195">
        <v>83</v>
      </c>
      <c r="E195">
        <v>2202</v>
      </c>
      <c r="F195">
        <v>15.3</v>
      </c>
      <c r="G195">
        <v>76</v>
      </c>
      <c r="H195" t="s">
        <v>1638</v>
      </c>
      <c r="I195" t="s">
        <v>1287</v>
      </c>
      <c r="J195" t="s">
        <v>1148</v>
      </c>
      <c r="K195" t="s">
        <v>1288</v>
      </c>
      <c r="L195" t="b">
        <f>Data_Completeness(MileageData[[#This Row],[MPG]:[Acceleration]])</f>
        <v>1</v>
      </c>
    </row>
    <row r="196" spans="1:12" x14ac:dyDescent="0.25">
      <c r="A196">
        <v>17.5</v>
      </c>
      <c r="B196">
        <v>8</v>
      </c>
      <c r="C196">
        <v>305</v>
      </c>
      <c r="D196">
        <v>140</v>
      </c>
      <c r="E196">
        <v>4215</v>
      </c>
      <c r="F196">
        <v>13</v>
      </c>
      <c r="G196">
        <v>76</v>
      </c>
      <c r="H196" t="s">
        <v>1637</v>
      </c>
      <c r="I196" t="s">
        <v>1228</v>
      </c>
      <c r="J196" t="s">
        <v>980</v>
      </c>
      <c r="K196" t="s">
        <v>1229</v>
      </c>
      <c r="L196" t="b">
        <f>Data_Completeness(MileageData[[#This Row],[MPG]:[Acceleration]])</f>
        <v>1</v>
      </c>
    </row>
    <row r="197" spans="1:12" x14ac:dyDescent="0.25">
      <c r="A197">
        <v>16</v>
      </c>
      <c r="B197">
        <v>8</v>
      </c>
      <c r="C197">
        <v>318</v>
      </c>
      <c r="D197">
        <v>150</v>
      </c>
      <c r="E197">
        <v>4190</v>
      </c>
      <c r="F197">
        <v>13</v>
      </c>
      <c r="G197">
        <v>76</v>
      </c>
      <c r="H197" t="s">
        <v>1637</v>
      </c>
      <c r="I197" t="s">
        <v>1289</v>
      </c>
      <c r="J197" t="s">
        <v>1017</v>
      </c>
      <c r="K197" t="s">
        <v>1290</v>
      </c>
      <c r="L197" t="b">
        <f>Data_Completeness(MileageData[[#This Row],[MPG]:[Acceleration]])</f>
        <v>1</v>
      </c>
    </row>
    <row r="198" spans="1:12" x14ac:dyDescent="0.25">
      <c r="A198">
        <v>15.5</v>
      </c>
      <c r="B198">
        <v>8</v>
      </c>
      <c r="C198">
        <v>304</v>
      </c>
      <c r="D198">
        <v>120</v>
      </c>
      <c r="E198">
        <v>3962</v>
      </c>
      <c r="F198">
        <v>13.9</v>
      </c>
      <c r="G198">
        <v>76</v>
      </c>
      <c r="H198" t="s">
        <v>1637</v>
      </c>
      <c r="I198" t="s">
        <v>1075</v>
      </c>
      <c r="J198" t="s">
        <v>989</v>
      </c>
      <c r="K198" t="s">
        <v>1076</v>
      </c>
      <c r="L198" t="b">
        <f>Data_Completeness(MileageData[[#This Row],[MPG]:[Acceleration]])</f>
        <v>1</v>
      </c>
    </row>
    <row r="199" spans="1:12" x14ac:dyDescent="0.25">
      <c r="A199">
        <v>14.5</v>
      </c>
      <c r="B199">
        <v>8</v>
      </c>
      <c r="C199">
        <v>351</v>
      </c>
      <c r="D199">
        <v>152</v>
      </c>
      <c r="E199">
        <v>4215</v>
      </c>
      <c r="F199">
        <v>12.8</v>
      </c>
      <c r="G199">
        <v>76</v>
      </c>
      <c r="H199" t="s">
        <v>1637</v>
      </c>
      <c r="I199" t="s">
        <v>1165</v>
      </c>
      <c r="J199" t="s">
        <v>992</v>
      </c>
      <c r="K199" t="s">
        <v>1166</v>
      </c>
      <c r="L199" t="b">
        <f>Data_Completeness(MileageData[[#This Row],[MPG]:[Acceleration]])</f>
        <v>1</v>
      </c>
    </row>
    <row r="200" spans="1:12" x14ac:dyDescent="0.25">
      <c r="A200">
        <v>22</v>
      </c>
      <c r="B200">
        <v>6</v>
      </c>
      <c r="C200">
        <v>225</v>
      </c>
      <c r="D200">
        <v>100</v>
      </c>
      <c r="E200">
        <v>3233</v>
      </c>
      <c r="F200">
        <v>15.4</v>
      </c>
      <c r="G200">
        <v>76</v>
      </c>
      <c r="H200" t="s">
        <v>1637</v>
      </c>
      <c r="I200" t="s">
        <v>1183</v>
      </c>
      <c r="J200" t="s">
        <v>986</v>
      </c>
      <c r="K200" t="s">
        <v>1184</v>
      </c>
      <c r="L200" t="b">
        <f>Data_Completeness(MileageData[[#This Row],[MPG]:[Acceleration]])</f>
        <v>1</v>
      </c>
    </row>
    <row r="201" spans="1:12" x14ac:dyDescent="0.25">
      <c r="A201">
        <v>22</v>
      </c>
      <c r="B201">
        <v>6</v>
      </c>
      <c r="C201">
        <v>250</v>
      </c>
      <c r="D201">
        <v>105</v>
      </c>
      <c r="E201">
        <v>3353</v>
      </c>
      <c r="F201">
        <v>14.5</v>
      </c>
      <c r="G201">
        <v>76</v>
      </c>
      <c r="H201" t="s">
        <v>1637</v>
      </c>
      <c r="I201" t="s">
        <v>1224</v>
      </c>
      <c r="J201" t="s">
        <v>980</v>
      </c>
      <c r="K201" t="s">
        <v>1225</v>
      </c>
      <c r="L201" t="b">
        <f>Data_Completeness(MileageData[[#This Row],[MPG]:[Acceleration]])</f>
        <v>1</v>
      </c>
    </row>
    <row r="202" spans="1:12" x14ac:dyDescent="0.25">
      <c r="A202">
        <v>24</v>
      </c>
      <c r="B202">
        <v>6</v>
      </c>
      <c r="C202">
        <v>200</v>
      </c>
      <c r="D202">
        <v>81</v>
      </c>
      <c r="E202">
        <v>3012</v>
      </c>
      <c r="F202">
        <v>17.600000000000001</v>
      </c>
      <c r="G202">
        <v>76</v>
      </c>
      <c r="H202" t="s">
        <v>1637</v>
      </c>
      <c r="I202" t="s">
        <v>1033</v>
      </c>
      <c r="J202" t="s">
        <v>992</v>
      </c>
      <c r="K202" t="s">
        <v>1034</v>
      </c>
      <c r="L202" t="b">
        <f>Data_Completeness(MileageData[[#This Row],[MPG]:[Acceleration]])</f>
        <v>1</v>
      </c>
    </row>
    <row r="203" spans="1:12" x14ac:dyDescent="0.25">
      <c r="A203">
        <v>22.5</v>
      </c>
      <c r="B203">
        <v>6</v>
      </c>
      <c r="C203">
        <v>232</v>
      </c>
      <c r="D203">
        <v>90</v>
      </c>
      <c r="E203">
        <v>3085</v>
      </c>
      <c r="F203">
        <v>17.600000000000001</v>
      </c>
      <c r="G203">
        <v>76</v>
      </c>
      <c r="H203" t="s">
        <v>1637</v>
      </c>
      <c r="I203" t="s">
        <v>1031</v>
      </c>
      <c r="J203" t="s">
        <v>989</v>
      </c>
      <c r="K203" t="s">
        <v>1032</v>
      </c>
      <c r="L203" t="b">
        <f>Data_Completeness(MileageData[[#This Row],[MPG]:[Acceleration]])</f>
        <v>1</v>
      </c>
    </row>
    <row r="204" spans="1:12" x14ac:dyDescent="0.25">
      <c r="A204">
        <v>29</v>
      </c>
      <c r="B204">
        <v>4</v>
      </c>
      <c r="C204">
        <v>85</v>
      </c>
      <c r="D204">
        <v>52</v>
      </c>
      <c r="E204">
        <v>2035</v>
      </c>
      <c r="F204">
        <v>22.2</v>
      </c>
      <c r="G204">
        <v>76</v>
      </c>
      <c r="H204" t="s">
        <v>1637</v>
      </c>
      <c r="I204" t="s">
        <v>1291</v>
      </c>
      <c r="J204" t="s">
        <v>980</v>
      </c>
      <c r="K204" t="s">
        <v>1292</v>
      </c>
      <c r="L204" t="b">
        <f>Data_Completeness(MileageData[[#This Row],[MPG]:[Acceleration]])</f>
        <v>1</v>
      </c>
    </row>
    <row r="205" spans="1:12" x14ac:dyDescent="0.25">
      <c r="A205">
        <v>24.5</v>
      </c>
      <c r="B205">
        <v>4</v>
      </c>
      <c r="C205">
        <v>98</v>
      </c>
      <c r="D205">
        <v>60</v>
      </c>
      <c r="E205">
        <v>2164</v>
      </c>
      <c r="F205">
        <v>22.1</v>
      </c>
      <c r="G205">
        <v>76</v>
      </c>
      <c r="H205" t="s">
        <v>1637</v>
      </c>
      <c r="I205" t="s">
        <v>1293</v>
      </c>
      <c r="J205" t="s">
        <v>980</v>
      </c>
      <c r="K205" t="s">
        <v>1294</v>
      </c>
      <c r="L205" t="b">
        <f>Data_Completeness(MileageData[[#This Row],[MPG]:[Acceleration]])</f>
        <v>1</v>
      </c>
    </row>
    <row r="206" spans="1:12" x14ac:dyDescent="0.25">
      <c r="A206">
        <v>29</v>
      </c>
      <c r="B206">
        <v>4</v>
      </c>
      <c r="C206">
        <v>90</v>
      </c>
      <c r="D206">
        <v>70</v>
      </c>
      <c r="E206">
        <v>1937</v>
      </c>
      <c r="F206">
        <v>14.2</v>
      </c>
      <c r="G206">
        <v>76</v>
      </c>
      <c r="H206" t="s">
        <v>1638</v>
      </c>
      <c r="I206" t="s">
        <v>1295</v>
      </c>
      <c r="J206" t="s">
        <v>1296</v>
      </c>
      <c r="K206" t="s">
        <v>1276</v>
      </c>
      <c r="L206" t="b">
        <f>Data_Completeness(MileageData[[#This Row],[MPG]:[Acceleration]])</f>
        <v>1</v>
      </c>
    </row>
    <row r="207" spans="1:12" x14ac:dyDescent="0.25">
      <c r="A207">
        <v>33</v>
      </c>
      <c r="B207">
        <v>4</v>
      </c>
      <c r="C207">
        <v>91</v>
      </c>
      <c r="D207">
        <v>53</v>
      </c>
      <c r="E207">
        <v>1795</v>
      </c>
      <c r="F207">
        <v>17.399999999999999</v>
      </c>
      <c r="G207">
        <v>76</v>
      </c>
      <c r="H207" t="s">
        <v>1639</v>
      </c>
      <c r="I207" t="s">
        <v>1245</v>
      </c>
      <c r="J207" t="s">
        <v>1246</v>
      </c>
      <c r="K207" t="s">
        <v>1247</v>
      </c>
      <c r="L207" t="b">
        <f>Data_Completeness(MileageData[[#This Row],[MPG]:[Acceleration]])</f>
        <v>1</v>
      </c>
    </row>
    <row r="208" spans="1:12" x14ac:dyDescent="0.25">
      <c r="A208">
        <v>20</v>
      </c>
      <c r="B208">
        <v>6</v>
      </c>
      <c r="C208">
        <v>225</v>
      </c>
      <c r="D208">
        <v>100</v>
      </c>
      <c r="E208">
        <v>3651</v>
      </c>
      <c r="F208">
        <v>17.7</v>
      </c>
      <c r="G208">
        <v>76</v>
      </c>
      <c r="H208" t="s">
        <v>1637</v>
      </c>
      <c r="I208" t="s">
        <v>1297</v>
      </c>
      <c r="J208" t="s">
        <v>1017</v>
      </c>
      <c r="K208" t="s">
        <v>1298</v>
      </c>
      <c r="L208" t="b">
        <f>Data_Completeness(MileageData[[#This Row],[MPG]:[Acceleration]])</f>
        <v>1</v>
      </c>
    </row>
    <row r="209" spans="1:12" x14ac:dyDescent="0.25">
      <c r="A209">
        <v>18</v>
      </c>
      <c r="B209">
        <v>6</v>
      </c>
      <c r="C209">
        <v>250</v>
      </c>
      <c r="D209">
        <v>78</v>
      </c>
      <c r="E209">
        <v>3574</v>
      </c>
      <c r="F209">
        <v>21</v>
      </c>
      <c r="G209">
        <v>76</v>
      </c>
      <c r="H209" t="s">
        <v>1637</v>
      </c>
      <c r="I209" t="s">
        <v>1299</v>
      </c>
      <c r="J209" t="s">
        <v>992</v>
      </c>
      <c r="K209" t="s">
        <v>1300</v>
      </c>
      <c r="L209" t="b">
        <f>Data_Completeness(MileageData[[#This Row],[MPG]:[Acceleration]])</f>
        <v>1</v>
      </c>
    </row>
    <row r="210" spans="1:12" x14ac:dyDescent="0.25">
      <c r="A210">
        <v>18.5</v>
      </c>
      <c r="B210">
        <v>6</v>
      </c>
      <c r="C210">
        <v>250</v>
      </c>
      <c r="D210">
        <v>110</v>
      </c>
      <c r="E210">
        <v>3645</v>
      </c>
      <c r="F210">
        <v>16.2</v>
      </c>
      <c r="G210">
        <v>76</v>
      </c>
      <c r="H210" t="s">
        <v>1637</v>
      </c>
      <c r="I210" t="s">
        <v>1301</v>
      </c>
      <c r="J210" t="s">
        <v>1001</v>
      </c>
      <c r="K210" t="s">
        <v>1302</v>
      </c>
      <c r="L210" t="b">
        <f>Data_Completeness(MileageData[[#This Row],[MPG]:[Acceleration]])</f>
        <v>1</v>
      </c>
    </row>
    <row r="211" spans="1:12" x14ac:dyDescent="0.25">
      <c r="A211">
        <v>17.5</v>
      </c>
      <c r="B211">
        <v>6</v>
      </c>
      <c r="C211">
        <v>258</v>
      </c>
      <c r="D211">
        <v>95</v>
      </c>
      <c r="E211">
        <v>3193</v>
      </c>
      <c r="F211">
        <v>17.8</v>
      </c>
      <c r="G211">
        <v>76</v>
      </c>
      <c r="H211" t="s">
        <v>1637</v>
      </c>
      <c r="I211" t="s">
        <v>1303</v>
      </c>
      <c r="J211" t="s">
        <v>989</v>
      </c>
      <c r="K211" t="s">
        <v>1304</v>
      </c>
      <c r="L211" t="b">
        <f>Data_Completeness(MileageData[[#This Row],[MPG]:[Acceleration]])</f>
        <v>1</v>
      </c>
    </row>
    <row r="212" spans="1:12" x14ac:dyDescent="0.25">
      <c r="A212">
        <v>29.5</v>
      </c>
      <c r="B212">
        <v>4</v>
      </c>
      <c r="C212">
        <v>97</v>
      </c>
      <c r="D212">
        <v>71</v>
      </c>
      <c r="E212">
        <v>1825</v>
      </c>
      <c r="F212">
        <v>12.2</v>
      </c>
      <c r="G212">
        <v>76</v>
      </c>
      <c r="H212" t="s">
        <v>1638</v>
      </c>
      <c r="I212" t="s">
        <v>1275</v>
      </c>
      <c r="J212" t="s">
        <v>1039</v>
      </c>
      <c r="K212" t="s">
        <v>1276</v>
      </c>
      <c r="L212" t="b">
        <f>Data_Completeness(MileageData[[#This Row],[MPG]:[Acceleration]])</f>
        <v>1</v>
      </c>
    </row>
    <row r="213" spans="1:12" x14ac:dyDescent="0.25">
      <c r="A213">
        <v>32</v>
      </c>
      <c r="B213">
        <v>4</v>
      </c>
      <c r="C213">
        <v>85</v>
      </c>
      <c r="D213">
        <v>70</v>
      </c>
      <c r="E213">
        <v>1990</v>
      </c>
      <c r="F213">
        <v>17</v>
      </c>
      <c r="G213">
        <v>76</v>
      </c>
      <c r="H213" t="s">
        <v>1639</v>
      </c>
      <c r="I213" t="s">
        <v>1305</v>
      </c>
      <c r="J213" t="s">
        <v>1036</v>
      </c>
      <c r="K213" t="s">
        <v>1306</v>
      </c>
      <c r="L213" t="b">
        <f>Data_Completeness(MileageData[[#This Row],[MPG]:[Acceleration]])</f>
        <v>1</v>
      </c>
    </row>
    <row r="214" spans="1:12" x14ac:dyDescent="0.25">
      <c r="A214">
        <v>28</v>
      </c>
      <c r="B214">
        <v>4</v>
      </c>
      <c r="C214">
        <v>97</v>
      </c>
      <c r="D214">
        <v>75</v>
      </c>
      <c r="E214">
        <v>2155</v>
      </c>
      <c r="F214">
        <v>16.399999999999999</v>
      </c>
      <c r="G214">
        <v>76</v>
      </c>
      <c r="H214" t="s">
        <v>1639</v>
      </c>
      <c r="I214" t="s">
        <v>1271</v>
      </c>
      <c r="J214" t="s">
        <v>1027</v>
      </c>
      <c r="K214" t="s">
        <v>1272</v>
      </c>
      <c r="L214" t="b">
        <f>Data_Completeness(MileageData[[#This Row],[MPG]:[Acceleration]])</f>
        <v>1</v>
      </c>
    </row>
    <row r="215" spans="1:12" x14ac:dyDescent="0.25">
      <c r="A215">
        <v>26.5</v>
      </c>
      <c r="B215">
        <v>4</v>
      </c>
      <c r="C215">
        <v>140</v>
      </c>
      <c r="D215">
        <v>72</v>
      </c>
      <c r="E215">
        <v>2565</v>
      </c>
      <c r="F215">
        <v>13.6</v>
      </c>
      <c r="G215">
        <v>76</v>
      </c>
      <c r="H215" t="s">
        <v>1637</v>
      </c>
      <c r="I215" t="s">
        <v>1067</v>
      </c>
      <c r="J215" t="s">
        <v>992</v>
      </c>
      <c r="K215" t="s">
        <v>1068</v>
      </c>
      <c r="L215" t="b">
        <f>Data_Completeness(MileageData[[#This Row],[MPG]:[Acceleration]])</f>
        <v>1</v>
      </c>
    </row>
    <row r="216" spans="1:12" x14ac:dyDescent="0.25">
      <c r="A216">
        <v>20</v>
      </c>
      <c r="B216">
        <v>4</v>
      </c>
      <c r="C216">
        <v>130</v>
      </c>
      <c r="D216">
        <v>102</v>
      </c>
      <c r="E216">
        <v>3150</v>
      </c>
      <c r="F216">
        <v>15.7</v>
      </c>
      <c r="G216">
        <v>76</v>
      </c>
      <c r="H216" t="s">
        <v>1638</v>
      </c>
      <c r="I216" t="s">
        <v>1307</v>
      </c>
      <c r="J216" t="s">
        <v>1141</v>
      </c>
      <c r="K216">
        <v>245</v>
      </c>
      <c r="L216" t="b">
        <f>Data_Completeness(MileageData[[#This Row],[MPG]:[Acceleration]])</f>
        <v>1</v>
      </c>
    </row>
    <row r="217" spans="1:12" x14ac:dyDescent="0.25">
      <c r="A217">
        <v>13</v>
      </c>
      <c r="B217">
        <v>8</v>
      </c>
      <c r="C217">
        <v>318</v>
      </c>
      <c r="D217">
        <v>150</v>
      </c>
      <c r="E217">
        <v>3940</v>
      </c>
      <c r="F217">
        <v>13.2</v>
      </c>
      <c r="G217">
        <v>76</v>
      </c>
      <c r="H217" t="s">
        <v>1637</v>
      </c>
      <c r="I217" t="s">
        <v>1308</v>
      </c>
      <c r="J217" t="s">
        <v>986</v>
      </c>
      <c r="K217" t="s">
        <v>1309</v>
      </c>
      <c r="L217" t="b">
        <f>Data_Completeness(MileageData[[#This Row],[MPG]:[Acceleration]])</f>
        <v>1</v>
      </c>
    </row>
    <row r="218" spans="1:12" x14ac:dyDescent="0.25">
      <c r="A218">
        <v>19</v>
      </c>
      <c r="B218">
        <v>4</v>
      </c>
      <c r="C218">
        <v>120</v>
      </c>
      <c r="D218">
        <v>88</v>
      </c>
      <c r="E218">
        <v>3270</v>
      </c>
      <c r="F218">
        <v>21.9</v>
      </c>
      <c r="G218">
        <v>76</v>
      </c>
      <c r="H218" t="s">
        <v>1638</v>
      </c>
      <c r="I218" t="s">
        <v>1041</v>
      </c>
      <c r="J218" t="s">
        <v>1042</v>
      </c>
      <c r="K218">
        <v>504</v>
      </c>
      <c r="L218" t="b">
        <f>Data_Completeness(MileageData[[#This Row],[MPG]:[Acceleration]])</f>
        <v>1</v>
      </c>
    </row>
    <row r="219" spans="1:12" x14ac:dyDescent="0.25">
      <c r="A219">
        <v>19</v>
      </c>
      <c r="B219">
        <v>6</v>
      </c>
      <c r="C219">
        <v>156</v>
      </c>
      <c r="D219">
        <v>108</v>
      </c>
      <c r="E219">
        <v>2930</v>
      </c>
      <c r="F219">
        <v>15.5</v>
      </c>
      <c r="G219">
        <v>76</v>
      </c>
      <c r="H219" t="s">
        <v>1639</v>
      </c>
      <c r="I219" t="s">
        <v>1220</v>
      </c>
      <c r="J219" t="s">
        <v>1027</v>
      </c>
      <c r="K219" t="s">
        <v>1221</v>
      </c>
      <c r="L219" t="b">
        <f>Data_Completeness(MileageData[[#This Row],[MPG]:[Acceleration]])</f>
        <v>1</v>
      </c>
    </row>
    <row r="220" spans="1:12" x14ac:dyDescent="0.25">
      <c r="A220">
        <v>16.5</v>
      </c>
      <c r="B220">
        <v>6</v>
      </c>
      <c r="C220">
        <v>168</v>
      </c>
      <c r="D220">
        <v>120</v>
      </c>
      <c r="E220">
        <v>3820</v>
      </c>
      <c r="F220">
        <v>16.7</v>
      </c>
      <c r="G220">
        <v>76</v>
      </c>
      <c r="H220" t="s">
        <v>1638</v>
      </c>
      <c r="I220" t="s">
        <v>1310</v>
      </c>
      <c r="J220" t="s">
        <v>1311</v>
      </c>
      <c r="K220" t="s">
        <v>1312</v>
      </c>
      <c r="L220" t="b">
        <f>Data_Completeness(MileageData[[#This Row],[MPG]:[Acceleration]])</f>
        <v>1</v>
      </c>
    </row>
    <row r="221" spans="1:12" x14ac:dyDescent="0.25">
      <c r="A221">
        <v>16.5</v>
      </c>
      <c r="B221">
        <v>8</v>
      </c>
      <c r="C221">
        <v>350</v>
      </c>
      <c r="D221">
        <v>180</v>
      </c>
      <c r="E221">
        <v>4380</v>
      </c>
      <c r="F221">
        <v>12.1</v>
      </c>
      <c r="G221">
        <v>76</v>
      </c>
      <c r="H221" t="s">
        <v>1637</v>
      </c>
      <c r="I221" t="s">
        <v>1313</v>
      </c>
      <c r="J221" t="s">
        <v>1314</v>
      </c>
      <c r="K221" t="s">
        <v>1315</v>
      </c>
      <c r="L221" t="b">
        <f>Data_Completeness(MileageData[[#This Row],[MPG]:[Acceleration]])</f>
        <v>1</v>
      </c>
    </row>
    <row r="222" spans="1:12" x14ac:dyDescent="0.25">
      <c r="A222">
        <v>13</v>
      </c>
      <c r="B222">
        <v>8</v>
      </c>
      <c r="C222">
        <v>350</v>
      </c>
      <c r="D222">
        <v>145</v>
      </c>
      <c r="E222">
        <v>4055</v>
      </c>
      <c r="F222">
        <v>12</v>
      </c>
      <c r="G222">
        <v>76</v>
      </c>
      <c r="H222" t="s">
        <v>1637</v>
      </c>
      <c r="I222" t="s">
        <v>1316</v>
      </c>
      <c r="J222" t="s">
        <v>1056</v>
      </c>
      <c r="K222" t="s">
        <v>1317</v>
      </c>
      <c r="L222" t="b">
        <f>Data_Completeness(MileageData[[#This Row],[MPG]:[Acceleration]])</f>
        <v>1</v>
      </c>
    </row>
    <row r="223" spans="1:12" x14ac:dyDescent="0.25">
      <c r="A223">
        <v>13</v>
      </c>
      <c r="B223">
        <v>8</v>
      </c>
      <c r="C223">
        <v>302</v>
      </c>
      <c r="D223">
        <v>130</v>
      </c>
      <c r="E223">
        <v>3870</v>
      </c>
      <c r="F223">
        <v>15</v>
      </c>
      <c r="G223">
        <v>76</v>
      </c>
      <c r="H223" t="s">
        <v>1637</v>
      </c>
      <c r="I223" t="s">
        <v>1318</v>
      </c>
      <c r="J223" t="s">
        <v>992</v>
      </c>
      <c r="K223" t="s">
        <v>1319</v>
      </c>
      <c r="L223" t="b">
        <f>Data_Completeness(MileageData[[#This Row],[MPG]:[Acceleration]])</f>
        <v>1</v>
      </c>
    </row>
    <row r="224" spans="1:12" x14ac:dyDescent="0.25">
      <c r="A224">
        <v>13</v>
      </c>
      <c r="B224">
        <v>8</v>
      </c>
      <c r="C224">
        <v>318</v>
      </c>
      <c r="D224">
        <v>150</v>
      </c>
      <c r="E224">
        <v>3755</v>
      </c>
      <c r="F224">
        <v>14</v>
      </c>
      <c r="G224">
        <v>76</v>
      </c>
      <c r="H224" t="s">
        <v>1637</v>
      </c>
      <c r="I224" t="s">
        <v>1320</v>
      </c>
      <c r="J224" t="s">
        <v>1017</v>
      </c>
      <c r="K224" t="s">
        <v>1321</v>
      </c>
      <c r="L224" t="b">
        <f>Data_Completeness(MileageData[[#This Row],[MPG]:[Acceleration]])</f>
        <v>1</v>
      </c>
    </row>
    <row r="225" spans="1:12" x14ac:dyDescent="0.25">
      <c r="A225">
        <v>31.5</v>
      </c>
      <c r="B225">
        <v>4</v>
      </c>
      <c r="C225">
        <v>98</v>
      </c>
      <c r="D225">
        <v>68</v>
      </c>
      <c r="E225">
        <v>2045</v>
      </c>
      <c r="F225">
        <v>18.5</v>
      </c>
      <c r="G225">
        <v>77</v>
      </c>
      <c r="H225" t="s">
        <v>1639</v>
      </c>
      <c r="I225" t="s">
        <v>1322</v>
      </c>
      <c r="J225" t="s">
        <v>1246</v>
      </c>
      <c r="K225" t="s">
        <v>1323</v>
      </c>
      <c r="L225" t="b">
        <f>Data_Completeness(MileageData[[#This Row],[MPG]:[Acceleration]])</f>
        <v>1</v>
      </c>
    </row>
    <row r="226" spans="1:12" x14ac:dyDescent="0.25">
      <c r="A226">
        <v>30</v>
      </c>
      <c r="B226">
        <v>4</v>
      </c>
      <c r="C226">
        <v>111</v>
      </c>
      <c r="D226">
        <v>80</v>
      </c>
      <c r="E226">
        <v>2155</v>
      </c>
      <c r="F226">
        <v>14.8</v>
      </c>
      <c r="G226">
        <v>77</v>
      </c>
      <c r="H226" t="s">
        <v>1637</v>
      </c>
      <c r="I226" t="s">
        <v>1324</v>
      </c>
      <c r="J226" t="s">
        <v>983</v>
      </c>
      <c r="K226" t="s">
        <v>1325</v>
      </c>
      <c r="L226" t="b">
        <f>Data_Completeness(MileageData[[#This Row],[MPG]:[Acceleration]])</f>
        <v>1</v>
      </c>
    </row>
    <row r="227" spans="1:12" x14ac:dyDescent="0.25">
      <c r="A227">
        <v>36</v>
      </c>
      <c r="B227">
        <v>4</v>
      </c>
      <c r="C227">
        <v>79</v>
      </c>
      <c r="D227">
        <v>58</v>
      </c>
      <c r="E227">
        <v>1825</v>
      </c>
      <c r="F227">
        <v>18.600000000000001</v>
      </c>
      <c r="G227">
        <v>77</v>
      </c>
      <c r="H227" t="s">
        <v>1638</v>
      </c>
      <c r="I227" t="s">
        <v>1326</v>
      </c>
      <c r="J227" t="s">
        <v>1148</v>
      </c>
      <c r="K227" t="s">
        <v>1327</v>
      </c>
      <c r="L227" t="b">
        <f>Data_Completeness(MileageData[[#This Row],[MPG]:[Acceleration]])</f>
        <v>1</v>
      </c>
    </row>
    <row r="228" spans="1:12" x14ac:dyDescent="0.25">
      <c r="A228">
        <v>25.5</v>
      </c>
      <c r="B228">
        <v>4</v>
      </c>
      <c r="C228">
        <v>122</v>
      </c>
      <c r="D228">
        <v>96</v>
      </c>
      <c r="E228">
        <v>2300</v>
      </c>
      <c r="F228">
        <v>15.5</v>
      </c>
      <c r="G228">
        <v>77</v>
      </c>
      <c r="H228" t="s">
        <v>1637</v>
      </c>
      <c r="I228" t="s">
        <v>1328</v>
      </c>
      <c r="J228" t="s">
        <v>986</v>
      </c>
      <c r="K228" t="s">
        <v>1329</v>
      </c>
      <c r="L228" t="b">
        <f>Data_Completeness(MileageData[[#This Row],[MPG]:[Acceleration]])</f>
        <v>1</v>
      </c>
    </row>
    <row r="229" spans="1:12" x14ac:dyDescent="0.25">
      <c r="A229">
        <v>33.5</v>
      </c>
      <c r="B229">
        <v>4</v>
      </c>
      <c r="C229">
        <v>85</v>
      </c>
      <c r="D229">
        <v>70</v>
      </c>
      <c r="E229">
        <v>1945</v>
      </c>
      <c r="F229">
        <v>16.8</v>
      </c>
      <c r="G229">
        <v>77</v>
      </c>
      <c r="H229" t="s">
        <v>1639</v>
      </c>
      <c r="I229" t="s">
        <v>1330</v>
      </c>
      <c r="J229" t="s">
        <v>1036</v>
      </c>
      <c r="K229" t="s">
        <v>1331</v>
      </c>
      <c r="L229" t="b">
        <f>Data_Completeness(MileageData[[#This Row],[MPG]:[Acceleration]])</f>
        <v>1</v>
      </c>
    </row>
    <row r="230" spans="1:12" x14ac:dyDescent="0.25">
      <c r="A230">
        <v>17.5</v>
      </c>
      <c r="B230">
        <v>8</v>
      </c>
      <c r="C230">
        <v>305</v>
      </c>
      <c r="D230">
        <v>145</v>
      </c>
      <c r="E230">
        <v>3880</v>
      </c>
      <c r="F230">
        <v>12.5</v>
      </c>
      <c r="G230">
        <v>77</v>
      </c>
      <c r="H230" t="s">
        <v>1637</v>
      </c>
      <c r="I230" t="s">
        <v>1171</v>
      </c>
      <c r="J230" t="s">
        <v>980</v>
      </c>
      <c r="K230" t="s">
        <v>1172</v>
      </c>
      <c r="L230" t="b">
        <f>Data_Completeness(MileageData[[#This Row],[MPG]:[Acceleration]])</f>
        <v>1</v>
      </c>
    </row>
    <row r="231" spans="1:12" x14ac:dyDescent="0.25">
      <c r="A231">
        <v>17</v>
      </c>
      <c r="B231">
        <v>8</v>
      </c>
      <c r="C231">
        <v>260</v>
      </c>
      <c r="D231">
        <v>110</v>
      </c>
      <c r="E231">
        <v>4060</v>
      </c>
      <c r="F231">
        <v>19</v>
      </c>
      <c r="G231">
        <v>77</v>
      </c>
      <c r="H231" t="s">
        <v>1637</v>
      </c>
      <c r="I231" t="s">
        <v>1332</v>
      </c>
      <c r="J231" t="s">
        <v>1126</v>
      </c>
      <c r="K231" t="s">
        <v>1333</v>
      </c>
      <c r="L231" t="b">
        <f>Data_Completeness(MileageData[[#This Row],[MPG]:[Acceleration]])</f>
        <v>1</v>
      </c>
    </row>
    <row r="232" spans="1:12" x14ac:dyDescent="0.25">
      <c r="A232">
        <v>15.5</v>
      </c>
      <c r="B232">
        <v>8</v>
      </c>
      <c r="C232">
        <v>318</v>
      </c>
      <c r="D232">
        <v>145</v>
      </c>
      <c r="E232">
        <v>4140</v>
      </c>
      <c r="F232">
        <v>13.7</v>
      </c>
      <c r="G232">
        <v>77</v>
      </c>
      <c r="H232" t="s">
        <v>1637</v>
      </c>
      <c r="I232" t="s">
        <v>1334</v>
      </c>
      <c r="J232" t="s">
        <v>1017</v>
      </c>
      <c r="K232" t="s">
        <v>1335</v>
      </c>
      <c r="L232" t="b">
        <f>Data_Completeness(MileageData[[#This Row],[MPG]:[Acceleration]])</f>
        <v>1</v>
      </c>
    </row>
    <row r="233" spans="1:12" x14ac:dyDescent="0.25">
      <c r="A233">
        <v>15</v>
      </c>
      <c r="B233">
        <v>8</v>
      </c>
      <c r="C233">
        <v>302</v>
      </c>
      <c r="D233">
        <v>130</v>
      </c>
      <c r="E233">
        <v>4295</v>
      </c>
      <c r="F233">
        <v>14.9</v>
      </c>
      <c r="G233">
        <v>77</v>
      </c>
      <c r="H233" t="s">
        <v>1637</v>
      </c>
      <c r="I233" t="s">
        <v>1336</v>
      </c>
      <c r="J233" t="s">
        <v>1094</v>
      </c>
      <c r="K233" t="s">
        <v>1337</v>
      </c>
      <c r="L233" t="b">
        <f>Data_Completeness(MileageData[[#This Row],[MPG]:[Acceleration]])</f>
        <v>1</v>
      </c>
    </row>
    <row r="234" spans="1:12" x14ac:dyDescent="0.25">
      <c r="A234">
        <v>17.5</v>
      </c>
      <c r="B234">
        <v>6</v>
      </c>
      <c r="C234">
        <v>250</v>
      </c>
      <c r="D234">
        <v>110</v>
      </c>
      <c r="E234">
        <v>3520</v>
      </c>
      <c r="F234">
        <v>16.399999999999999</v>
      </c>
      <c r="G234">
        <v>77</v>
      </c>
      <c r="H234" t="s">
        <v>1637</v>
      </c>
      <c r="I234" t="s">
        <v>1338</v>
      </c>
      <c r="J234" t="s">
        <v>980</v>
      </c>
      <c r="K234" t="s">
        <v>1339</v>
      </c>
      <c r="L234" t="b">
        <f>Data_Completeness(MileageData[[#This Row],[MPG]:[Acceleration]])</f>
        <v>1</v>
      </c>
    </row>
    <row r="235" spans="1:12" x14ac:dyDescent="0.25">
      <c r="A235">
        <v>20.5</v>
      </c>
      <c r="B235">
        <v>6</v>
      </c>
      <c r="C235">
        <v>231</v>
      </c>
      <c r="D235">
        <v>105</v>
      </c>
      <c r="E235">
        <v>3425</v>
      </c>
      <c r="F235">
        <v>16.899999999999999</v>
      </c>
      <c r="G235">
        <v>77</v>
      </c>
      <c r="H235" t="s">
        <v>1637</v>
      </c>
      <c r="I235" t="s">
        <v>1340</v>
      </c>
      <c r="J235" t="s">
        <v>983</v>
      </c>
      <c r="K235" t="s">
        <v>1341</v>
      </c>
      <c r="L235" t="b">
        <f>Data_Completeness(MileageData[[#This Row],[MPG]:[Acceleration]])</f>
        <v>1</v>
      </c>
    </row>
    <row r="236" spans="1:12" x14ac:dyDescent="0.25">
      <c r="A236">
        <v>19</v>
      </c>
      <c r="B236">
        <v>6</v>
      </c>
      <c r="C236">
        <v>225</v>
      </c>
      <c r="D236">
        <v>100</v>
      </c>
      <c r="E236">
        <v>3630</v>
      </c>
      <c r="F236">
        <v>17.7</v>
      </c>
      <c r="G236">
        <v>77</v>
      </c>
      <c r="H236" t="s">
        <v>1637</v>
      </c>
      <c r="I236" t="s">
        <v>1342</v>
      </c>
      <c r="J236" t="s">
        <v>986</v>
      </c>
      <c r="K236" t="s">
        <v>1343</v>
      </c>
      <c r="L236" t="b">
        <f>Data_Completeness(MileageData[[#This Row],[MPG]:[Acceleration]])</f>
        <v>1</v>
      </c>
    </row>
    <row r="237" spans="1:12" x14ac:dyDescent="0.25">
      <c r="A237">
        <v>18.5</v>
      </c>
      <c r="B237">
        <v>6</v>
      </c>
      <c r="C237">
        <v>250</v>
      </c>
      <c r="D237">
        <v>98</v>
      </c>
      <c r="E237">
        <v>3525</v>
      </c>
      <c r="F237">
        <v>19</v>
      </c>
      <c r="G237">
        <v>77</v>
      </c>
      <c r="H237" t="s">
        <v>1637</v>
      </c>
      <c r="I237" t="s">
        <v>1344</v>
      </c>
      <c r="J237" t="s">
        <v>992</v>
      </c>
      <c r="K237" t="s">
        <v>1345</v>
      </c>
      <c r="L237" t="b">
        <f>Data_Completeness(MileageData[[#This Row],[MPG]:[Acceleration]])</f>
        <v>1</v>
      </c>
    </row>
    <row r="238" spans="1:12" x14ac:dyDescent="0.25">
      <c r="A238">
        <v>16</v>
      </c>
      <c r="B238">
        <v>8</v>
      </c>
      <c r="C238">
        <v>400</v>
      </c>
      <c r="D238">
        <v>180</v>
      </c>
      <c r="E238">
        <v>4220</v>
      </c>
      <c r="F238">
        <v>11.1</v>
      </c>
      <c r="G238">
        <v>77</v>
      </c>
      <c r="H238" t="s">
        <v>1637</v>
      </c>
      <c r="I238" t="s">
        <v>1346</v>
      </c>
      <c r="J238" t="s">
        <v>1001</v>
      </c>
      <c r="K238" t="s">
        <v>1347</v>
      </c>
      <c r="L238" t="b">
        <f>Data_Completeness(MileageData[[#This Row],[MPG]:[Acceleration]])</f>
        <v>1</v>
      </c>
    </row>
    <row r="239" spans="1:12" x14ac:dyDescent="0.25">
      <c r="A239">
        <v>15.5</v>
      </c>
      <c r="B239">
        <v>8</v>
      </c>
      <c r="C239">
        <v>350</v>
      </c>
      <c r="D239">
        <v>170</v>
      </c>
      <c r="E239">
        <v>4165</v>
      </c>
      <c r="F239">
        <v>11.4</v>
      </c>
      <c r="G239">
        <v>77</v>
      </c>
      <c r="H239" t="s">
        <v>1637</v>
      </c>
      <c r="I239" t="s">
        <v>1348</v>
      </c>
      <c r="J239" t="s">
        <v>980</v>
      </c>
      <c r="K239" t="s">
        <v>1349</v>
      </c>
      <c r="L239" t="b">
        <f>Data_Completeness(MileageData[[#This Row],[MPG]:[Acceleration]])</f>
        <v>1</v>
      </c>
    </row>
    <row r="240" spans="1:12" x14ac:dyDescent="0.25">
      <c r="A240">
        <v>15.5</v>
      </c>
      <c r="B240">
        <v>8</v>
      </c>
      <c r="C240">
        <v>400</v>
      </c>
      <c r="D240">
        <v>190</v>
      </c>
      <c r="E240">
        <v>4325</v>
      </c>
      <c r="F240">
        <v>12.2</v>
      </c>
      <c r="G240">
        <v>77</v>
      </c>
      <c r="H240" t="s">
        <v>1637</v>
      </c>
      <c r="I240" t="s">
        <v>1350</v>
      </c>
      <c r="J240" t="s">
        <v>1129</v>
      </c>
      <c r="K240" t="s">
        <v>1351</v>
      </c>
      <c r="L240" t="b">
        <f>Data_Completeness(MileageData[[#This Row],[MPG]:[Acceleration]])</f>
        <v>1</v>
      </c>
    </row>
    <row r="241" spans="1:12" x14ac:dyDescent="0.25">
      <c r="A241">
        <v>16</v>
      </c>
      <c r="B241">
        <v>8</v>
      </c>
      <c r="C241">
        <v>351</v>
      </c>
      <c r="D241">
        <v>149</v>
      </c>
      <c r="E241">
        <v>4335</v>
      </c>
      <c r="F241">
        <v>14.5</v>
      </c>
      <c r="G241">
        <v>77</v>
      </c>
      <c r="H241" t="s">
        <v>1637</v>
      </c>
      <c r="I241" t="s">
        <v>1352</v>
      </c>
      <c r="J241" t="s">
        <v>992</v>
      </c>
      <c r="K241" t="s">
        <v>1353</v>
      </c>
      <c r="L241" t="b">
        <f>Data_Completeness(MileageData[[#This Row],[MPG]:[Acceleration]])</f>
        <v>1</v>
      </c>
    </row>
    <row r="242" spans="1:12" x14ac:dyDescent="0.25">
      <c r="A242">
        <v>29</v>
      </c>
      <c r="B242">
        <v>4</v>
      </c>
      <c r="C242">
        <v>97</v>
      </c>
      <c r="D242">
        <v>78</v>
      </c>
      <c r="E242">
        <v>1940</v>
      </c>
      <c r="F242">
        <v>14.5</v>
      </c>
      <c r="G242">
        <v>77</v>
      </c>
      <c r="H242" t="s">
        <v>1638</v>
      </c>
      <c r="I242" t="s">
        <v>1354</v>
      </c>
      <c r="J242" t="s">
        <v>1039</v>
      </c>
      <c r="K242" t="s">
        <v>1355</v>
      </c>
      <c r="L242" t="b">
        <f>Data_Completeness(MileageData[[#This Row],[MPG]:[Acceleration]])</f>
        <v>1</v>
      </c>
    </row>
    <row r="243" spans="1:12" x14ac:dyDescent="0.25">
      <c r="A243">
        <v>24.5</v>
      </c>
      <c r="B243">
        <v>4</v>
      </c>
      <c r="C243">
        <v>151</v>
      </c>
      <c r="D243">
        <v>88</v>
      </c>
      <c r="E243">
        <v>2740</v>
      </c>
      <c r="F243">
        <v>16</v>
      </c>
      <c r="G243">
        <v>77</v>
      </c>
      <c r="H243" t="s">
        <v>1637</v>
      </c>
      <c r="I243" t="s">
        <v>1356</v>
      </c>
      <c r="J243" t="s">
        <v>1001</v>
      </c>
      <c r="K243" t="s">
        <v>1357</v>
      </c>
      <c r="L243" t="b">
        <f>Data_Completeness(MileageData[[#This Row],[MPG]:[Acceleration]])</f>
        <v>1</v>
      </c>
    </row>
    <row r="244" spans="1:12" x14ac:dyDescent="0.25">
      <c r="A244">
        <v>26</v>
      </c>
      <c r="B244">
        <v>4</v>
      </c>
      <c r="C244">
        <v>97</v>
      </c>
      <c r="D244">
        <v>75</v>
      </c>
      <c r="E244">
        <v>2265</v>
      </c>
      <c r="F244">
        <v>18.2</v>
      </c>
      <c r="G244">
        <v>77</v>
      </c>
      <c r="H244" t="s">
        <v>1639</v>
      </c>
      <c r="I244" t="s">
        <v>1358</v>
      </c>
      <c r="J244" t="s">
        <v>1027</v>
      </c>
      <c r="K244" t="s">
        <v>1359</v>
      </c>
      <c r="L244" t="b">
        <f>Data_Completeness(MileageData[[#This Row],[MPG]:[Acceleration]])</f>
        <v>1</v>
      </c>
    </row>
    <row r="245" spans="1:12" x14ac:dyDescent="0.25">
      <c r="A245">
        <v>25.5</v>
      </c>
      <c r="B245">
        <v>4</v>
      </c>
      <c r="C245">
        <v>140</v>
      </c>
      <c r="D245">
        <v>89</v>
      </c>
      <c r="E245">
        <v>2755</v>
      </c>
      <c r="F245">
        <v>15.8</v>
      </c>
      <c r="G245">
        <v>77</v>
      </c>
      <c r="H245" t="s">
        <v>1637</v>
      </c>
      <c r="I245" t="s">
        <v>1360</v>
      </c>
      <c r="J245" t="s">
        <v>992</v>
      </c>
      <c r="K245" t="s">
        <v>1361</v>
      </c>
      <c r="L245" t="b">
        <f>Data_Completeness(MileageData[[#This Row],[MPG]:[Acceleration]])</f>
        <v>1</v>
      </c>
    </row>
    <row r="246" spans="1:12" x14ac:dyDescent="0.25">
      <c r="A246">
        <v>30.5</v>
      </c>
      <c r="B246">
        <v>4</v>
      </c>
      <c r="C246">
        <v>98</v>
      </c>
      <c r="D246">
        <v>63</v>
      </c>
      <c r="E246">
        <v>2051</v>
      </c>
      <c r="F246">
        <v>17</v>
      </c>
      <c r="G246">
        <v>77</v>
      </c>
      <c r="H246" t="s">
        <v>1637</v>
      </c>
      <c r="I246" t="s">
        <v>1291</v>
      </c>
      <c r="J246" t="s">
        <v>980</v>
      </c>
      <c r="K246" t="s">
        <v>1292</v>
      </c>
      <c r="L246" t="b">
        <f>Data_Completeness(MileageData[[#This Row],[MPG]:[Acceleration]])</f>
        <v>1</v>
      </c>
    </row>
    <row r="247" spans="1:12" x14ac:dyDescent="0.25">
      <c r="A247">
        <v>33.5</v>
      </c>
      <c r="B247">
        <v>4</v>
      </c>
      <c r="C247">
        <v>98</v>
      </c>
      <c r="D247">
        <v>83</v>
      </c>
      <c r="E247">
        <v>2075</v>
      </c>
      <c r="F247">
        <v>15.9</v>
      </c>
      <c r="G247">
        <v>77</v>
      </c>
      <c r="H247" t="s">
        <v>1637</v>
      </c>
      <c r="I247" t="s">
        <v>1362</v>
      </c>
      <c r="J247" t="s">
        <v>1017</v>
      </c>
      <c r="K247" t="s">
        <v>1363</v>
      </c>
      <c r="L247" t="b">
        <f>Data_Completeness(MileageData[[#This Row],[MPG]:[Acceleration]])</f>
        <v>1</v>
      </c>
    </row>
    <row r="248" spans="1:12" x14ac:dyDescent="0.25">
      <c r="A248">
        <v>30</v>
      </c>
      <c r="B248">
        <v>4</v>
      </c>
      <c r="C248">
        <v>97</v>
      </c>
      <c r="D248">
        <v>67</v>
      </c>
      <c r="E248">
        <v>1985</v>
      </c>
      <c r="F248">
        <v>16.399999999999999</v>
      </c>
      <c r="G248">
        <v>77</v>
      </c>
      <c r="H248" t="s">
        <v>1639</v>
      </c>
      <c r="I248" t="s">
        <v>1364</v>
      </c>
      <c r="J248" t="s">
        <v>1248</v>
      </c>
      <c r="K248" t="s">
        <v>1365</v>
      </c>
      <c r="L248" t="b">
        <f>Data_Completeness(MileageData[[#This Row],[MPG]:[Acceleration]])</f>
        <v>1</v>
      </c>
    </row>
    <row r="249" spans="1:12" x14ac:dyDescent="0.25">
      <c r="A249">
        <v>30.5</v>
      </c>
      <c r="B249">
        <v>4</v>
      </c>
      <c r="C249">
        <v>97</v>
      </c>
      <c r="D249">
        <v>78</v>
      </c>
      <c r="E249">
        <v>2190</v>
      </c>
      <c r="F249">
        <v>14.1</v>
      </c>
      <c r="G249">
        <v>77</v>
      </c>
      <c r="H249" t="s">
        <v>1638</v>
      </c>
      <c r="I249" t="s">
        <v>1238</v>
      </c>
      <c r="J249" t="s">
        <v>1039</v>
      </c>
      <c r="K249" t="s">
        <v>1239</v>
      </c>
      <c r="L249" t="b">
        <f>Data_Completeness(MileageData[[#This Row],[MPG]:[Acceleration]])</f>
        <v>1</v>
      </c>
    </row>
    <row r="250" spans="1:12" x14ac:dyDescent="0.25">
      <c r="A250">
        <v>22</v>
      </c>
      <c r="B250">
        <v>6</v>
      </c>
      <c r="C250">
        <v>146</v>
      </c>
      <c r="D250">
        <v>97</v>
      </c>
      <c r="E250">
        <v>2815</v>
      </c>
      <c r="F250">
        <v>14.5</v>
      </c>
      <c r="G250">
        <v>77</v>
      </c>
      <c r="H250" t="s">
        <v>1639</v>
      </c>
      <c r="I250" t="s">
        <v>1366</v>
      </c>
      <c r="J250" t="s">
        <v>1036</v>
      </c>
      <c r="K250">
        <v>810</v>
      </c>
      <c r="L250" t="b">
        <f>Data_Completeness(MileageData[[#This Row],[MPG]:[Acceleration]])</f>
        <v>1</v>
      </c>
    </row>
    <row r="251" spans="1:12" x14ac:dyDescent="0.25">
      <c r="A251">
        <v>21.5</v>
      </c>
      <c r="B251">
        <v>4</v>
      </c>
      <c r="C251">
        <v>121</v>
      </c>
      <c r="D251">
        <v>110</v>
      </c>
      <c r="E251">
        <v>2600</v>
      </c>
      <c r="F251">
        <v>12.8</v>
      </c>
      <c r="G251">
        <v>77</v>
      </c>
      <c r="H251" t="s">
        <v>1638</v>
      </c>
      <c r="I251" t="s">
        <v>1367</v>
      </c>
      <c r="J251" t="s">
        <v>1050</v>
      </c>
      <c r="K251" t="s">
        <v>1368</v>
      </c>
      <c r="L251" t="b">
        <f>Data_Completeness(MileageData[[#This Row],[MPG]:[Acceleration]])</f>
        <v>1</v>
      </c>
    </row>
    <row r="252" spans="1:12" x14ac:dyDescent="0.25">
      <c r="A252">
        <v>21.5</v>
      </c>
      <c r="B252">
        <v>3</v>
      </c>
      <c r="C252">
        <v>80</v>
      </c>
      <c r="D252">
        <v>110</v>
      </c>
      <c r="E252">
        <v>2720</v>
      </c>
      <c r="F252">
        <v>13.5</v>
      </c>
      <c r="G252">
        <v>77</v>
      </c>
      <c r="H252" t="s">
        <v>1639</v>
      </c>
      <c r="I252" t="s">
        <v>1369</v>
      </c>
      <c r="J252" t="s">
        <v>1132</v>
      </c>
      <c r="K252" t="s">
        <v>1370</v>
      </c>
      <c r="L252" t="b">
        <f>Data_Completeness(MileageData[[#This Row],[MPG]:[Acceleration]])</f>
        <v>1</v>
      </c>
    </row>
    <row r="253" spans="1:12" x14ac:dyDescent="0.25">
      <c r="A253">
        <v>43.1</v>
      </c>
      <c r="B253">
        <v>4</v>
      </c>
      <c r="C253">
        <v>90</v>
      </c>
      <c r="D253">
        <v>48</v>
      </c>
      <c r="E253">
        <v>1985</v>
      </c>
      <c r="F253">
        <v>21.5</v>
      </c>
      <c r="G253">
        <v>78</v>
      </c>
      <c r="H253" t="s">
        <v>1638</v>
      </c>
      <c r="I253" t="s">
        <v>1371</v>
      </c>
      <c r="J253" t="s">
        <v>1039</v>
      </c>
      <c r="K253" t="s">
        <v>1372</v>
      </c>
      <c r="L253" t="b">
        <f>Data_Completeness(MileageData[[#This Row],[MPG]:[Acceleration]])</f>
        <v>1</v>
      </c>
    </row>
    <row r="254" spans="1:12" x14ac:dyDescent="0.25">
      <c r="A254">
        <v>36.1</v>
      </c>
      <c r="B254">
        <v>4</v>
      </c>
      <c r="C254">
        <v>98</v>
      </c>
      <c r="D254">
        <v>66</v>
      </c>
      <c r="E254">
        <v>1800</v>
      </c>
      <c r="F254">
        <v>14.4</v>
      </c>
      <c r="G254">
        <v>78</v>
      </c>
      <c r="H254" t="s">
        <v>1637</v>
      </c>
      <c r="I254" t="s">
        <v>1373</v>
      </c>
      <c r="J254" t="s">
        <v>992</v>
      </c>
      <c r="K254" t="s">
        <v>1374</v>
      </c>
      <c r="L254" t="b">
        <f>Data_Completeness(MileageData[[#This Row],[MPG]:[Acceleration]])</f>
        <v>1</v>
      </c>
    </row>
    <row r="255" spans="1:12" x14ac:dyDescent="0.25">
      <c r="A255">
        <v>32.799999999999997</v>
      </c>
      <c r="B255">
        <v>4</v>
      </c>
      <c r="C255">
        <v>78</v>
      </c>
      <c r="D255">
        <v>52</v>
      </c>
      <c r="E255">
        <v>1985</v>
      </c>
      <c r="F255">
        <v>19.399999999999999</v>
      </c>
      <c r="G255">
        <v>78</v>
      </c>
      <c r="H255" t="s">
        <v>1639</v>
      </c>
      <c r="I255" t="s">
        <v>1375</v>
      </c>
      <c r="J255" t="s">
        <v>1132</v>
      </c>
      <c r="K255" t="s">
        <v>1376</v>
      </c>
      <c r="L255" t="b">
        <f>Data_Completeness(MileageData[[#This Row],[MPG]:[Acceleration]])</f>
        <v>1</v>
      </c>
    </row>
    <row r="256" spans="1:12" x14ac:dyDescent="0.25">
      <c r="A256">
        <v>39.4</v>
      </c>
      <c r="B256">
        <v>4</v>
      </c>
      <c r="C256">
        <v>85</v>
      </c>
      <c r="D256">
        <v>70</v>
      </c>
      <c r="E256">
        <v>2070</v>
      </c>
      <c r="F256">
        <v>18.600000000000001</v>
      </c>
      <c r="G256">
        <v>78</v>
      </c>
      <c r="H256" t="s">
        <v>1639</v>
      </c>
      <c r="I256" t="s">
        <v>1377</v>
      </c>
      <c r="J256" t="s">
        <v>1036</v>
      </c>
      <c r="K256" t="s">
        <v>1378</v>
      </c>
      <c r="L256" t="b">
        <f>Data_Completeness(MileageData[[#This Row],[MPG]:[Acceleration]])</f>
        <v>1</v>
      </c>
    </row>
    <row r="257" spans="1:12" x14ac:dyDescent="0.25">
      <c r="A257">
        <v>36.1</v>
      </c>
      <c r="B257">
        <v>4</v>
      </c>
      <c r="C257">
        <v>91</v>
      </c>
      <c r="D257">
        <v>60</v>
      </c>
      <c r="E257">
        <v>1800</v>
      </c>
      <c r="F257">
        <v>16.399999999999999</v>
      </c>
      <c r="G257">
        <v>78</v>
      </c>
      <c r="H257" t="s">
        <v>1639</v>
      </c>
      <c r="I257" t="s">
        <v>1281</v>
      </c>
      <c r="J257" t="s">
        <v>1246</v>
      </c>
      <c r="K257" t="s">
        <v>1282</v>
      </c>
      <c r="L257" t="b">
        <f>Data_Completeness(MileageData[[#This Row],[MPG]:[Acceleration]])</f>
        <v>1</v>
      </c>
    </row>
    <row r="258" spans="1:12" x14ac:dyDescent="0.25">
      <c r="A258">
        <v>19.899999999999999</v>
      </c>
      <c r="B258">
        <v>8</v>
      </c>
      <c r="C258">
        <v>260</v>
      </c>
      <c r="D258">
        <v>110</v>
      </c>
      <c r="E258">
        <v>3365</v>
      </c>
      <c r="F258">
        <v>15.5</v>
      </c>
      <c r="G258">
        <v>78</v>
      </c>
      <c r="H258" t="s">
        <v>1637</v>
      </c>
      <c r="I258" t="s">
        <v>1379</v>
      </c>
      <c r="J258" t="s">
        <v>1126</v>
      </c>
      <c r="K258" t="s">
        <v>1380</v>
      </c>
      <c r="L258" t="b">
        <f>Data_Completeness(MileageData[[#This Row],[MPG]:[Acceleration]])</f>
        <v>1</v>
      </c>
    </row>
    <row r="259" spans="1:12" x14ac:dyDescent="0.25">
      <c r="A259">
        <v>19.399999999999999</v>
      </c>
      <c r="B259">
        <v>8</v>
      </c>
      <c r="C259">
        <v>318</v>
      </c>
      <c r="D259">
        <v>140</v>
      </c>
      <c r="E259">
        <v>3735</v>
      </c>
      <c r="F259">
        <v>13.2</v>
      </c>
      <c r="G259">
        <v>78</v>
      </c>
      <c r="H259" t="s">
        <v>1637</v>
      </c>
      <c r="I259" t="s">
        <v>1381</v>
      </c>
      <c r="J259" t="s">
        <v>1017</v>
      </c>
      <c r="K259" t="s">
        <v>1382</v>
      </c>
      <c r="L259" t="b">
        <f>Data_Completeness(MileageData[[#This Row],[MPG]:[Acceleration]])</f>
        <v>1</v>
      </c>
    </row>
    <row r="260" spans="1:12" x14ac:dyDescent="0.25">
      <c r="A260">
        <v>20.2</v>
      </c>
      <c r="B260">
        <v>8</v>
      </c>
      <c r="C260">
        <v>302</v>
      </c>
      <c r="D260">
        <v>139</v>
      </c>
      <c r="E260">
        <v>3570</v>
      </c>
      <c r="F260">
        <v>12.8</v>
      </c>
      <c r="G260">
        <v>78</v>
      </c>
      <c r="H260" t="s">
        <v>1637</v>
      </c>
      <c r="I260" t="s">
        <v>1383</v>
      </c>
      <c r="J260" t="s">
        <v>1094</v>
      </c>
      <c r="K260" t="s">
        <v>1384</v>
      </c>
      <c r="L260" t="b">
        <f>Data_Completeness(MileageData[[#This Row],[MPG]:[Acceleration]])</f>
        <v>1</v>
      </c>
    </row>
    <row r="261" spans="1:12" x14ac:dyDescent="0.25">
      <c r="A261">
        <v>19.2</v>
      </c>
      <c r="B261">
        <v>6</v>
      </c>
      <c r="C261">
        <v>231</v>
      </c>
      <c r="D261">
        <v>105</v>
      </c>
      <c r="E261">
        <v>3535</v>
      </c>
      <c r="F261">
        <v>19.2</v>
      </c>
      <c r="G261">
        <v>78</v>
      </c>
      <c r="H261" t="s">
        <v>1637</v>
      </c>
      <c r="I261" t="s">
        <v>1385</v>
      </c>
      <c r="J261" t="s">
        <v>1001</v>
      </c>
      <c r="K261" t="s">
        <v>1386</v>
      </c>
      <c r="L261" t="b">
        <f>Data_Completeness(MileageData[[#This Row],[MPG]:[Acceleration]])</f>
        <v>1</v>
      </c>
    </row>
    <row r="262" spans="1:12" x14ac:dyDescent="0.25">
      <c r="A262">
        <v>20.5</v>
      </c>
      <c r="B262">
        <v>6</v>
      </c>
      <c r="C262">
        <v>200</v>
      </c>
      <c r="D262">
        <v>95</v>
      </c>
      <c r="E262">
        <v>3155</v>
      </c>
      <c r="F262">
        <v>18.2</v>
      </c>
      <c r="G262">
        <v>78</v>
      </c>
      <c r="H262" t="s">
        <v>1637</v>
      </c>
      <c r="I262" t="s">
        <v>1163</v>
      </c>
      <c r="J262" t="s">
        <v>980</v>
      </c>
      <c r="K262" t="s">
        <v>1164</v>
      </c>
      <c r="L262" t="b">
        <f>Data_Completeness(MileageData[[#This Row],[MPG]:[Acceleration]])</f>
        <v>1</v>
      </c>
    </row>
    <row r="263" spans="1:12" x14ac:dyDescent="0.25">
      <c r="A263">
        <v>20.2</v>
      </c>
      <c r="B263">
        <v>6</v>
      </c>
      <c r="C263">
        <v>200</v>
      </c>
      <c r="D263">
        <v>85</v>
      </c>
      <c r="E263">
        <v>2965</v>
      </c>
      <c r="F263">
        <v>15.8</v>
      </c>
      <c r="G263">
        <v>78</v>
      </c>
      <c r="H263" t="s">
        <v>1637</v>
      </c>
      <c r="I263" t="s">
        <v>1387</v>
      </c>
      <c r="J263" t="s">
        <v>992</v>
      </c>
      <c r="K263" t="s">
        <v>1388</v>
      </c>
      <c r="L263" t="b">
        <f>Data_Completeness(MileageData[[#This Row],[MPG]:[Acceleration]])</f>
        <v>1</v>
      </c>
    </row>
    <row r="264" spans="1:12" x14ac:dyDescent="0.25">
      <c r="A264">
        <v>25.1</v>
      </c>
      <c r="B264">
        <v>4</v>
      </c>
      <c r="C264">
        <v>140</v>
      </c>
      <c r="D264">
        <v>88</v>
      </c>
      <c r="E264">
        <v>2720</v>
      </c>
      <c r="F264">
        <v>15.4</v>
      </c>
      <c r="G264">
        <v>78</v>
      </c>
      <c r="H264" t="s">
        <v>1637</v>
      </c>
      <c r="I264" t="s">
        <v>1389</v>
      </c>
      <c r="J264" t="s">
        <v>992</v>
      </c>
      <c r="K264" t="s">
        <v>1390</v>
      </c>
      <c r="L264" t="b">
        <f>Data_Completeness(MileageData[[#This Row],[MPG]:[Acceleration]])</f>
        <v>1</v>
      </c>
    </row>
    <row r="265" spans="1:12" x14ac:dyDescent="0.25">
      <c r="A265">
        <v>20.5</v>
      </c>
      <c r="B265">
        <v>6</v>
      </c>
      <c r="C265">
        <v>225</v>
      </c>
      <c r="D265">
        <v>100</v>
      </c>
      <c r="E265">
        <v>3430</v>
      </c>
      <c r="F265">
        <v>17.2</v>
      </c>
      <c r="G265">
        <v>78</v>
      </c>
      <c r="H265" t="s">
        <v>1637</v>
      </c>
      <c r="I265" t="s">
        <v>1391</v>
      </c>
      <c r="J265" t="s">
        <v>986</v>
      </c>
      <c r="K265" t="s">
        <v>1392</v>
      </c>
      <c r="L265" t="b">
        <f>Data_Completeness(MileageData[[#This Row],[MPG]:[Acceleration]])</f>
        <v>1</v>
      </c>
    </row>
    <row r="266" spans="1:12" x14ac:dyDescent="0.25">
      <c r="A266">
        <v>19.399999999999999</v>
      </c>
      <c r="B266">
        <v>6</v>
      </c>
      <c r="C266">
        <v>232</v>
      </c>
      <c r="D266">
        <v>90</v>
      </c>
      <c r="E266">
        <v>3210</v>
      </c>
      <c r="F266">
        <v>17.2</v>
      </c>
      <c r="G266">
        <v>78</v>
      </c>
      <c r="H266" t="s">
        <v>1637</v>
      </c>
      <c r="I266" t="s">
        <v>1393</v>
      </c>
      <c r="J266" t="s">
        <v>989</v>
      </c>
      <c r="K266" t="s">
        <v>1394</v>
      </c>
      <c r="L266" t="b">
        <f>Data_Completeness(MileageData[[#This Row],[MPG]:[Acceleration]])</f>
        <v>1</v>
      </c>
    </row>
    <row r="267" spans="1:12" x14ac:dyDescent="0.25">
      <c r="A267">
        <v>20.6</v>
      </c>
      <c r="B267">
        <v>6</v>
      </c>
      <c r="C267">
        <v>231</v>
      </c>
      <c r="D267">
        <v>105</v>
      </c>
      <c r="E267">
        <v>3380</v>
      </c>
      <c r="F267">
        <v>15.8</v>
      </c>
      <c r="G267">
        <v>78</v>
      </c>
      <c r="H267" t="s">
        <v>1637</v>
      </c>
      <c r="I267" t="s">
        <v>1395</v>
      </c>
      <c r="J267" t="s">
        <v>983</v>
      </c>
      <c r="K267" t="s">
        <v>1396</v>
      </c>
      <c r="L267" t="b">
        <f>Data_Completeness(MileageData[[#This Row],[MPG]:[Acceleration]])</f>
        <v>1</v>
      </c>
    </row>
    <row r="268" spans="1:12" x14ac:dyDescent="0.25">
      <c r="A268">
        <v>20.8</v>
      </c>
      <c r="B268">
        <v>6</v>
      </c>
      <c r="C268">
        <v>200</v>
      </c>
      <c r="D268">
        <v>85</v>
      </c>
      <c r="E268">
        <v>3070</v>
      </c>
      <c r="F268">
        <v>16.7</v>
      </c>
      <c r="G268">
        <v>78</v>
      </c>
      <c r="H268" t="s">
        <v>1637</v>
      </c>
      <c r="I268" t="s">
        <v>1397</v>
      </c>
      <c r="J268" t="s">
        <v>1094</v>
      </c>
      <c r="K268" t="s">
        <v>1398</v>
      </c>
      <c r="L268" t="b">
        <f>Data_Completeness(MileageData[[#This Row],[MPG]:[Acceleration]])</f>
        <v>1</v>
      </c>
    </row>
    <row r="269" spans="1:12" x14ac:dyDescent="0.25">
      <c r="A269">
        <v>18.600000000000001</v>
      </c>
      <c r="B269">
        <v>6</v>
      </c>
      <c r="C269">
        <v>225</v>
      </c>
      <c r="D269">
        <v>110</v>
      </c>
      <c r="E269">
        <v>3620</v>
      </c>
      <c r="F269">
        <v>18.7</v>
      </c>
      <c r="G269">
        <v>78</v>
      </c>
      <c r="H269" t="s">
        <v>1637</v>
      </c>
      <c r="I269" t="s">
        <v>1399</v>
      </c>
      <c r="J269" t="s">
        <v>1017</v>
      </c>
      <c r="K269" t="s">
        <v>1400</v>
      </c>
      <c r="L269" t="b">
        <f>Data_Completeness(MileageData[[#This Row],[MPG]:[Acceleration]])</f>
        <v>1</v>
      </c>
    </row>
    <row r="270" spans="1:12" x14ac:dyDescent="0.25">
      <c r="A270">
        <v>18.100000000000001</v>
      </c>
      <c r="B270">
        <v>6</v>
      </c>
      <c r="C270">
        <v>258</v>
      </c>
      <c r="D270">
        <v>120</v>
      </c>
      <c r="E270">
        <v>3410</v>
      </c>
      <c r="F270">
        <v>15.1</v>
      </c>
      <c r="G270">
        <v>78</v>
      </c>
      <c r="H270" t="s">
        <v>1637</v>
      </c>
      <c r="I270" t="s">
        <v>1401</v>
      </c>
      <c r="J270" t="s">
        <v>989</v>
      </c>
      <c r="K270" t="s">
        <v>1402</v>
      </c>
      <c r="L270" t="b">
        <f>Data_Completeness(MileageData[[#This Row],[MPG]:[Acceleration]])</f>
        <v>1</v>
      </c>
    </row>
    <row r="271" spans="1:12" x14ac:dyDescent="0.25">
      <c r="A271">
        <v>19.2</v>
      </c>
      <c r="B271">
        <v>8</v>
      </c>
      <c r="C271">
        <v>305</v>
      </c>
      <c r="D271">
        <v>145</v>
      </c>
      <c r="E271">
        <v>3425</v>
      </c>
      <c r="F271">
        <v>13.2</v>
      </c>
      <c r="G271">
        <v>78</v>
      </c>
      <c r="H271" t="s">
        <v>1637</v>
      </c>
      <c r="I271" t="s">
        <v>1348</v>
      </c>
      <c r="J271" t="s">
        <v>980</v>
      </c>
      <c r="K271" t="s">
        <v>1349</v>
      </c>
      <c r="L271" t="b">
        <f>Data_Completeness(MileageData[[#This Row],[MPG]:[Acceleration]])</f>
        <v>1</v>
      </c>
    </row>
    <row r="272" spans="1:12" x14ac:dyDescent="0.25">
      <c r="A272">
        <v>17.7</v>
      </c>
      <c r="B272">
        <v>6</v>
      </c>
      <c r="C272">
        <v>231</v>
      </c>
      <c r="D272">
        <v>165</v>
      </c>
      <c r="E272">
        <v>3445</v>
      </c>
      <c r="F272">
        <v>13.4</v>
      </c>
      <c r="G272">
        <v>78</v>
      </c>
      <c r="H272" t="s">
        <v>1637</v>
      </c>
      <c r="I272" t="s">
        <v>1403</v>
      </c>
      <c r="J272" t="s">
        <v>983</v>
      </c>
      <c r="K272" t="s">
        <v>1404</v>
      </c>
      <c r="L272" t="b">
        <f>Data_Completeness(MileageData[[#This Row],[MPG]:[Acceleration]])</f>
        <v>1</v>
      </c>
    </row>
    <row r="273" spans="1:12" x14ac:dyDescent="0.25">
      <c r="A273">
        <v>18.100000000000001</v>
      </c>
      <c r="B273">
        <v>8</v>
      </c>
      <c r="C273">
        <v>302</v>
      </c>
      <c r="D273">
        <v>139</v>
      </c>
      <c r="E273">
        <v>3205</v>
      </c>
      <c r="F273">
        <v>11.2</v>
      </c>
      <c r="G273">
        <v>78</v>
      </c>
      <c r="H273" t="s">
        <v>1637</v>
      </c>
      <c r="I273" t="s">
        <v>1405</v>
      </c>
      <c r="J273" t="s">
        <v>992</v>
      </c>
      <c r="K273" t="s">
        <v>1406</v>
      </c>
      <c r="L273" t="b">
        <f>Data_Completeness(MileageData[[#This Row],[MPG]:[Acceleration]])</f>
        <v>1</v>
      </c>
    </row>
    <row r="274" spans="1:12" x14ac:dyDescent="0.25">
      <c r="A274">
        <v>17.5</v>
      </c>
      <c r="B274">
        <v>8</v>
      </c>
      <c r="C274">
        <v>318</v>
      </c>
      <c r="D274">
        <v>140</v>
      </c>
      <c r="E274">
        <v>4080</v>
      </c>
      <c r="F274">
        <v>13.7</v>
      </c>
      <c r="G274">
        <v>78</v>
      </c>
      <c r="H274" t="s">
        <v>1637</v>
      </c>
      <c r="I274" t="s">
        <v>1407</v>
      </c>
      <c r="J274" t="s">
        <v>1017</v>
      </c>
      <c r="K274" t="s">
        <v>1408</v>
      </c>
      <c r="L274" t="b">
        <f>Data_Completeness(MileageData[[#This Row],[MPG]:[Acceleration]])</f>
        <v>1</v>
      </c>
    </row>
    <row r="275" spans="1:12" x14ac:dyDescent="0.25">
      <c r="A275">
        <v>30</v>
      </c>
      <c r="B275">
        <v>4</v>
      </c>
      <c r="C275">
        <v>98</v>
      </c>
      <c r="D275">
        <v>68</v>
      </c>
      <c r="E275">
        <v>2155</v>
      </c>
      <c r="F275">
        <v>16.5</v>
      </c>
      <c r="G275">
        <v>78</v>
      </c>
      <c r="H275" t="s">
        <v>1637</v>
      </c>
      <c r="I275" t="s">
        <v>1291</v>
      </c>
      <c r="J275" t="s">
        <v>980</v>
      </c>
      <c r="K275" t="s">
        <v>1292</v>
      </c>
      <c r="L275" t="b">
        <f>Data_Completeness(MileageData[[#This Row],[MPG]:[Acceleration]])</f>
        <v>1</v>
      </c>
    </row>
    <row r="276" spans="1:12" x14ac:dyDescent="0.25">
      <c r="A276">
        <v>27.5</v>
      </c>
      <c r="B276">
        <v>4</v>
      </c>
      <c r="C276">
        <v>134</v>
      </c>
      <c r="D276">
        <v>95</v>
      </c>
      <c r="E276">
        <v>2560</v>
      </c>
      <c r="F276">
        <v>14.2</v>
      </c>
      <c r="G276">
        <v>78</v>
      </c>
      <c r="H276" t="s">
        <v>1639</v>
      </c>
      <c r="I276" t="s">
        <v>1065</v>
      </c>
      <c r="J276" t="s">
        <v>1027</v>
      </c>
      <c r="K276" t="s">
        <v>1066</v>
      </c>
      <c r="L276" t="b">
        <f>Data_Completeness(MileageData[[#This Row],[MPG]:[Acceleration]])</f>
        <v>1</v>
      </c>
    </row>
    <row r="277" spans="1:12" x14ac:dyDescent="0.25">
      <c r="A277">
        <v>27.2</v>
      </c>
      <c r="B277">
        <v>4</v>
      </c>
      <c r="C277">
        <v>119</v>
      </c>
      <c r="D277">
        <v>97</v>
      </c>
      <c r="E277">
        <v>2300</v>
      </c>
      <c r="F277">
        <v>14.7</v>
      </c>
      <c r="G277">
        <v>78</v>
      </c>
      <c r="H277" t="s">
        <v>1639</v>
      </c>
      <c r="I277" t="s">
        <v>1409</v>
      </c>
      <c r="J277" t="s">
        <v>1036</v>
      </c>
      <c r="K277">
        <v>510</v>
      </c>
      <c r="L277" t="b">
        <f>Data_Completeness(MileageData[[#This Row],[MPG]:[Acceleration]])</f>
        <v>1</v>
      </c>
    </row>
    <row r="278" spans="1:12" x14ac:dyDescent="0.25">
      <c r="A278">
        <v>30.9</v>
      </c>
      <c r="B278">
        <v>4</v>
      </c>
      <c r="C278">
        <v>105</v>
      </c>
      <c r="D278">
        <v>75</v>
      </c>
      <c r="E278">
        <v>2230</v>
      </c>
      <c r="F278">
        <v>14.5</v>
      </c>
      <c r="G278">
        <v>78</v>
      </c>
      <c r="H278" t="s">
        <v>1637</v>
      </c>
      <c r="I278" t="s">
        <v>1410</v>
      </c>
      <c r="J278" t="s">
        <v>1017</v>
      </c>
      <c r="K278" t="s">
        <v>1411</v>
      </c>
      <c r="L278" t="b">
        <f>Data_Completeness(MileageData[[#This Row],[MPG]:[Acceleration]])</f>
        <v>1</v>
      </c>
    </row>
    <row r="279" spans="1:12" x14ac:dyDescent="0.25">
      <c r="A279">
        <v>21.1</v>
      </c>
      <c r="B279">
        <v>4</v>
      </c>
      <c r="C279">
        <v>134</v>
      </c>
      <c r="D279">
        <v>95</v>
      </c>
      <c r="E279">
        <v>2515</v>
      </c>
      <c r="F279">
        <v>14.8</v>
      </c>
      <c r="G279">
        <v>78</v>
      </c>
      <c r="H279" t="s">
        <v>1639</v>
      </c>
      <c r="I279" t="s">
        <v>1412</v>
      </c>
      <c r="J279" t="s">
        <v>1027</v>
      </c>
      <c r="K279" t="s">
        <v>1413</v>
      </c>
      <c r="L279" t="b">
        <f>Data_Completeness(MileageData[[#This Row],[MPG]:[Acceleration]])</f>
        <v>1</v>
      </c>
    </row>
    <row r="280" spans="1:12" x14ac:dyDescent="0.25">
      <c r="A280">
        <v>23.2</v>
      </c>
      <c r="B280">
        <v>4</v>
      </c>
      <c r="C280">
        <v>156</v>
      </c>
      <c r="D280">
        <v>105</v>
      </c>
      <c r="E280">
        <v>2745</v>
      </c>
      <c r="F280">
        <v>16.7</v>
      </c>
      <c r="G280">
        <v>78</v>
      </c>
      <c r="H280" t="s">
        <v>1637</v>
      </c>
      <c r="I280" t="s">
        <v>1414</v>
      </c>
      <c r="J280" t="s">
        <v>986</v>
      </c>
      <c r="K280" t="s">
        <v>1415</v>
      </c>
      <c r="L280" t="b">
        <f>Data_Completeness(MileageData[[#This Row],[MPG]:[Acceleration]])</f>
        <v>1</v>
      </c>
    </row>
    <row r="281" spans="1:12" x14ac:dyDescent="0.25">
      <c r="A281">
        <v>23.8</v>
      </c>
      <c r="B281">
        <v>4</v>
      </c>
      <c r="C281">
        <v>151</v>
      </c>
      <c r="D281">
        <v>85</v>
      </c>
      <c r="E281">
        <v>2855</v>
      </c>
      <c r="F281">
        <v>17.600000000000001</v>
      </c>
      <c r="G281">
        <v>78</v>
      </c>
      <c r="H281" t="s">
        <v>1637</v>
      </c>
      <c r="I281" t="s">
        <v>1416</v>
      </c>
      <c r="J281" t="s">
        <v>1126</v>
      </c>
      <c r="K281" t="s">
        <v>1417</v>
      </c>
      <c r="L281" t="b">
        <f>Data_Completeness(MileageData[[#This Row],[MPG]:[Acceleration]])</f>
        <v>1</v>
      </c>
    </row>
    <row r="282" spans="1:12" x14ac:dyDescent="0.25">
      <c r="A282">
        <v>23.9</v>
      </c>
      <c r="B282">
        <v>4</v>
      </c>
      <c r="C282">
        <v>119</v>
      </c>
      <c r="D282">
        <v>97</v>
      </c>
      <c r="E282">
        <v>2405</v>
      </c>
      <c r="F282">
        <v>14.9</v>
      </c>
      <c r="G282">
        <v>78</v>
      </c>
      <c r="H282" t="s">
        <v>1639</v>
      </c>
      <c r="I282" t="s">
        <v>1418</v>
      </c>
      <c r="J282" t="s">
        <v>1036</v>
      </c>
      <c r="K282" t="s">
        <v>1419</v>
      </c>
      <c r="L282" t="b">
        <f>Data_Completeness(MileageData[[#This Row],[MPG]:[Acceleration]])</f>
        <v>1</v>
      </c>
    </row>
    <row r="283" spans="1:12" x14ac:dyDescent="0.25">
      <c r="A283">
        <v>20.3</v>
      </c>
      <c r="B283">
        <v>5</v>
      </c>
      <c r="C283">
        <v>131</v>
      </c>
      <c r="D283">
        <v>103</v>
      </c>
      <c r="E283">
        <v>2830</v>
      </c>
      <c r="F283">
        <v>15.9</v>
      </c>
      <c r="G283">
        <v>78</v>
      </c>
      <c r="H283" t="s">
        <v>1638</v>
      </c>
      <c r="I283" t="s">
        <v>1420</v>
      </c>
      <c r="J283" t="s">
        <v>1044</v>
      </c>
      <c r="K283">
        <v>5000</v>
      </c>
      <c r="L283" t="b">
        <f>Data_Completeness(MileageData[[#This Row],[MPG]:[Acceleration]])</f>
        <v>1</v>
      </c>
    </row>
    <row r="284" spans="1:12" x14ac:dyDescent="0.25">
      <c r="A284">
        <v>17</v>
      </c>
      <c r="B284">
        <v>6</v>
      </c>
      <c r="C284">
        <v>163</v>
      </c>
      <c r="D284">
        <v>125</v>
      </c>
      <c r="E284">
        <v>3140</v>
      </c>
      <c r="F284">
        <v>13.6</v>
      </c>
      <c r="G284">
        <v>78</v>
      </c>
      <c r="H284" t="s">
        <v>1638</v>
      </c>
      <c r="I284" t="s">
        <v>1421</v>
      </c>
      <c r="J284" t="s">
        <v>1141</v>
      </c>
      <c r="K284" t="s">
        <v>1422</v>
      </c>
      <c r="L284" t="b">
        <f>Data_Completeness(MileageData[[#This Row],[MPG]:[Acceleration]])</f>
        <v>1</v>
      </c>
    </row>
    <row r="285" spans="1:12" x14ac:dyDescent="0.25">
      <c r="A285">
        <v>21.6</v>
      </c>
      <c r="B285">
        <v>4</v>
      </c>
      <c r="C285">
        <v>121</v>
      </c>
      <c r="D285">
        <v>115</v>
      </c>
      <c r="E285">
        <v>2795</v>
      </c>
      <c r="F285">
        <v>15.7</v>
      </c>
      <c r="G285">
        <v>78</v>
      </c>
      <c r="H285" t="s">
        <v>1638</v>
      </c>
      <c r="I285" t="s">
        <v>1423</v>
      </c>
      <c r="J285" t="s">
        <v>1047</v>
      </c>
      <c r="K285" t="s">
        <v>1424</v>
      </c>
      <c r="L285" t="b">
        <f>Data_Completeness(MileageData[[#This Row],[MPG]:[Acceleration]])</f>
        <v>1</v>
      </c>
    </row>
    <row r="286" spans="1:12" x14ac:dyDescent="0.25">
      <c r="A286">
        <v>16.2</v>
      </c>
      <c r="B286">
        <v>6</v>
      </c>
      <c r="C286">
        <v>163</v>
      </c>
      <c r="D286">
        <v>133</v>
      </c>
      <c r="E286">
        <v>3410</v>
      </c>
      <c r="F286">
        <v>15.8</v>
      </c>
      <c r="G286">
        <v>78</v>
      </c>
      <c r="H286" t="s">
        <v>1638</v>
      </c>
      <c r="I286" t="s">
        <v>1425</v>
      </c>
      <c r="J286" t="s">
        <v>1042</v>
      </c>
      <c r="K286" t="s">
        <v>1426</v>
      </c>
      <c r="L286" t="b">
        <f>Data_Completeness(MileageData[[#This Row],[MPG]:[Acceleration]])</f>
        <v>1</v>
      </c>
    </row>
    <row r="287" spans="1:12" x14ac:dyDescent="0.25">
      <c r="A287">
        <v>31.5</v>
      </c>
      <c r="B287">
        <v>4</v>
      </c>
      <c r="C287">
        <v>89</v>
      </c>
      <c r="D287">
        <v>71</v>
      </c>
      <c r="E287">
        <v>1990</v>
      </c>
      <c r="F287">
        <v>14.9</v>
      </c>
      <c r="G287">
        <v>78</v>
      </c>
      <c r="H287" t="s">
        <v>1638</v>
      </c>
      <c r="I287" t="s">
        <v>1427</v>
      </c>
      <c r="J287" t="s">
        <v>1039</v>
      </c>
      <c r="K287" t="s">
        <v>1428</v>
      </c>
      <c r="L287" t="b">
        <f>Data_Completeness(MileageData[[#This Row],[MPG]:[Acceleration]])</f>
        <v>1</v>
      </c>
    </row>
    <row r="288" spans="1:12" x14ac:dyDescent="0.25">
      <c r="A288">
        <v>29.5</v>
      </c>
      <c r="B288">
        <v>4</v>
      </c>
      <c r="C288">
        <v>98</v>
      </c>
      <c r="D288">
        <v>68</v>
      </c>
      <c r="E288">
        <v>2135</v>
      </c>
      <c r="F288">
        <v>16.600000000000001</v>
      </c>
      <c r="G288">
        <v>78</v>
      </c>
      <c r="H288" t="s">
        <v>1639</v>
      </c>
      <c r="I288" t="s">
        <v>1429</v>
      </c>
      <c r="J288" t="s">
        <v>1246</v>
      </c>
      <c r="K288" t="s">
        <v>1430</v>
      </c>
      <c r="L288" t="b">
        <f>Data_Completeness(MileageData[[#This Row],[MPG]:[Acceleration]])</f>
        <v>1</v>
      </c>
    </row>
    <row r="289" spans="1:12" x14ac:dyDescent="0.25">
      <c r="A289">
        <v>21.5</v>
      </c>
      <c r="B289">
        <v>6</v>
      </c>
      <c r="C289">
        <v>231</v>
      </c>
      <c r="D289">
        <v>115</v>
      </c>
      <c r="E289">
        <v>3245</v>
      </c>
      <c r="F289">
        <v>15.4</v>
      </c>
      <c r="G289">
        <v>79</v>
      </c>
      <c r="H289" t="s">
        <v>1637</v>
      </c>
      <c r="I289" t="s">
        <v>1431</v>
      </c>
      <c r="J289" t="s">
        <v>1001</v>
      </c>
      <c r="K289" t="s">
        <v>1432</v>
      </c>
      <c r="L289" t="b">
        <f>Data_Completeness(MileageData[[#This Row],[MPG]:[Acceleration]])</f>
        <v>1</v>
      </c>
    </row>
    <row r="290" spans="1:12" x14ac:dyDescent="0.25">
      <c r="A290">
        <v>19.8</v>
      </c>
      <c r="B290">
        <v>6</v>
      </c>
      <c r="C290">
        <v>200</v>
      </c>
      <c r="D290">
        <v>85</v>
      </c>
      <c r="E290">
        <v>2990</v>
      </c>
      <c r="F290">
        <v>18.2</v>
      </c>
      <c r="G290">
        <v>79</v>
      </c>
      <c r="H290" t="s">
        <v>1637</v>
      </c>
      <c r="I290" t="s">
        <v>1433</v>
      </c>
      <c r="J290" t="s">
        <v>1094</v>
      </c>
      <c r="K290" t="s">
        <v>1434</v>
      </c>
      <c r="L290" t="b">
        <f>Data_Completeness(MileageData[[#This Row],[MPG]:[Acceleration]])</f>
        <v>1</v>
      </c>
    </row>
    <row r="291" spans="1:12" x14ac:dyDescent="0.25">
      <c r="A291">
        <v>22.3</v>
      </c>
      <c r="B291">
        <v>4</v>
      </c>
      <c r="C291">
        <v>140</v>
      </c>
      <c r="D291">
        <v>88</v>
      </c>
      <c r="E291">
        <v>2890</v>
      </c>
      <c r="F291">
        <v>17.3</v>
      </c>
      <c r="G291">
        <v>79</v>
      </c>
      <c r="H291" t="s">
        <v>1637</v>
      </c>
      <c r="I291" t="s">
        <v>1435</v>
      </c>
      <c r="J291" t="s">
        <v>992</v>
      </c>
      <c r="K291" t="s">
        <v>1436</v>
      </c>
      <c r="L291" t="b">
        <f>Data_Completeness(MileageData[[#This Row],[MPG]:[Acceleration]])</f>
        <v>1</v>
      </c>
    </row>
    <row r="292" spans="1:12" x14ac:dyDescent="0.25">
      <c r="A292">
        <v>20.2</v>
      </c>
      <c r="B292">
        <v>6</v>
      </c>
      <c r="C292">
        <v>232</v>
      </c>
      <c r="D292">
        <v>90</v>
      </c>
      <c r="E292">
        <v>3265</v>
      </c>
      <c r="F292">
        <v>18.2</v>
      </c>
      <c r="G292">
        <v>79</v>
      </c>
      <c r="H292" t="s">
        <v>1637</v>
      </c>
      <c r="I292" t="s">
        <v>1437</v>
      </c>
      <c r="J292" t="s">
        <v>989</v>
      </c>
      <c r="K292" t="s">
        <v>1438</v>
      </c>
      <c r="L292" t="b">
        <f>Data_Completeness(MileageData[[#This Row],[MPG]:[Acceleration]])</f>
        <v>1</v>
      </c>
    </row>
    <row r="293" spans="1:12" x14ac:dyDescent="0.25">
      <c r="A293">
        <v>20.6</v>
      </c>
      <c r="B293">
        <v>6</v>
      </c>
      <c r="C293">
        <v>225</v>
      </c>
      <c r="D293">
        <v>110</v>
      </c>
      <c r="E293">
        <v>3360</v>
      </c>
      <c r="F293">
        <v>16.600000000000001</v>
      </c>
      <c r="G293">
        <v>79</v>
      </c>
      <c r="H293" t="s">
        <v>1637</v>
      </c>
      <c r="I293" t="s">
        <v>1439</v>
      </c>
      <c r="J293" t="s">
        <v>1017</v>
      </c>
      <c r="K293" t="s">
        <v>1440</v>
      </c>
      <c r="L293" t="b">
        <f>Data_Completeness(MileageData[[#This Row],[MPG]:[Acceleration]])</f>
        <v>1</v>
      </c>
    </row>
    <row r="294" spans="1:12" x14ac:dyDescent="0.25">
      <c r="A294">
        <v>17</v>
      </c>
      <c r="B294">
        <v>8</v>
      </c>
      <c r="C294">
        <v>305</v>
      </c>
      <c r="D294">
        <v>130</v>
      </c>
      <c r="E294">
        <v>3840</v>
      </c>
      <c r="F294">
        <v>15.4</v>
      </c>
      <c r="G294">
        <v>79</v>
      </c>
      <c r="H294" t="s">
        <v>1637</v>
      </c>
      <c r="I294" t="s">
        <v>1171</v>
      </c>
      <c r="J294" t="s">
        <v>980</v>
      </c>
      <c r="K294" t="s">
        <v>1172</v>
      </c>
      <c r="L294" t="b">
        <f>Data_Completeness(MileageData[[#This Row],[MPG]:[Acceleration]])</f>
        <v>1</v>
      </c>
    </row>
    <row r="295" spans="1:12" x14ac:dyDescent="0.25">
      <c r="A295">
        <v>17.600000000000001</v>
      </c>
      <c r="B295">
        <v>8</v>
      </c>
      <c r="C295">
        <v>302</v>
      </c>
      <c r="D295">
        <v>129</v>
      </c>
      <c r="E295">
        <v>3725</v>
      </c>
      <c r="F295">
        <v>13.4</v>
      </c>
      <c r="G295">
        <v>79</v>
      </c>
      <c r="H295" t="s">
        <v>1637</v>
      </c>
      <c r="I295" t="s">
        <v>1441</v>
      </c>
      <c r="J295" t="s">
        <v>992</v>
      </c>
      <c r="K295" t="s">
        <v>1442</v>
      </c>
      <c r="L295" t="b">
        <f>Data_Completeness(MileageData[[#This Row],[MPG]:[Acceleration]])</f>
        <v>1</v>
      </c>
    </row>
    <row r="296" spans="1:12" x14ac:dyDescent="0.25">
      <c r="A296">
        <v>16.5</v>
      </c>
      <c r="B296">
        <v>8</v>
      </c>
      <c r="C296">
        <v>351</v>
      </c>
      <c r="D296">
        <v>138</v>
      </c>
      <c r="E296">
        <v>3955</v>
      </c>
      <c r="F296">
        <v>13.2</v>
      </c>
      <c r="G296">
        <v>79</v>
      </c>
      <c r="H296" t="s">
        <v>1637</v>
      </c>
      <c r="I296" t="s">
        <v>1443</v>
      </c>
      <c r="J296" t="s">
        <v>1094</v>
      </c>
      <c r="K296" t="s">
        <v>1444</v>
      </c>
      <c r="L296" t="b">
        <f>Data_Completeness(MileageData[[#This Row],[MPG]:[Acceleration]])</f>
        <v>1</v>
      </c>
    </row>
    <row r="297" spans="1:12" x14ac:dyDescent="0.25">
      <c r="A297">
        <v>18.2</v>
      </c>
      <c r="B297">
        <v>8</v>
      </c>
      <c r="C297">
        <v>318</v>
      </c>
      <c r="D297">
        <v>135</v>
      </c>
      <c r="E297">
        <v>3830</v>
      </c>
      <c r="F297">
        <v>15.2</v>
      </c>
      <c r="G297">
        <v>79</v>
      </c>
      <c r="H297" t="s">
        <v>1637</v>
      </c>
      <c r="I297" t="s">
        <v>1445</v>
      </c>
      <c r="J297" t="s">
        <v>1017</v>
      </c>
      <c r="K297" t="s">
        <v>1446</v>
      </c>
      <c r="L297" t="b">
        <f>Data_Completeness(MileageData[[#This Row],[MPG]:[Acceleration]])</f>
        <v>1</v>
      </c>
    </row>
    <row r="298" spans="1:12" x14ac:dyDescent="0.25">
      <c r="A298">
        <v>16.899999999999999</v>
      </c>
      <c r="B298">
        <v>8</v>
      </c>
      <c r="C298">
        <v>350</v>
      </c>
      <c r="D298">
        <v>155</v>
      </c>
      <c r="E298">
        <v>4360</v>
      </c>
      <c r="F298">
        <v>14.9</v>
      </c>
      <c r="G298">
        <v>79</v>
      </c>
      <c r="H298" t="s">
        <v>1637</v>
      </c>
      <c r="I298" t="s">
        <v>1024</v>
      </c>
      <c r="J298" t="s">
        <v>983</v>
      </c>
      <c r="K298" t="s">
        <v>1025</v>
      </c>
      <c r="L298" t="b">
        <f>Data_Completeness(MileageData[[#This Row],[MPG]:[Acceleration]])</f>
        <v>1</v>
      </c>
    </row>
    <row r="299" spans="1:12" x14ac:dyDescent="0.25">
      <c r="A299">
        <v>15.5</v>
      </c>
      <c r="B299">
        <v>8</v>
      </c>
      <c r="C299">
        <v>351</v>
      </c>
      <c r="D299">
        <v>142</v>
      </c>
      <c r="E299">
        <v>4054</v>
      </c>
      <c r="F299">
        <v>14.3</v>
      </c>
      <c r="G299">
        <v>79</v>
      </c>
      <c r="H299" t="s">
        <v>1637</v>
      </c>
      <c r="I299" t="s">
        <v>1081</v>
      </c>
      <c r="J299" t="s">
        <v>992</v>
      </c>
      <c r="K299" t="s">
        <v>1082</v>
      </c>
      <c r="L299" t="b">
        <f>Data_Completeness(MileageData[[#This Row],[MPG]:[Acceleration]])</f>
        <v>1</v>
      </c>
    </row>
    <row r="300" spans="1:12" x14ac:dyDescent="0.25">
      <c r="A300">
        <v>19.2</v>
      </c>
      <c r="B300">
        <v>8</v>
      </c>
      <c r="C300">
        <v>267</v>
      </c>
      <c r="D300">
        <v>125</v>
      </c>
      <c r="E300">
        <v>3605</v>
      </c>
      <c r="F300">
        <v>15</v>
      </c>
      <c r="G300">
        <v>79</v>
      </c>
      <c r="H300" t="s">
        <v>1637</v>
      </c>
      <c r="I300" t="s">
        <v>1447</v>
      </c>
      <c r="J300" t="s">
        <v>980</v>
      </c>
      <c r="K300" t="s">
        <v>1448</v>
      </c>
      <c r="L300" t="b">
        <f>Data_Completeness(MileageData[[#This Row],[MPG]:[Acceleration]])</f>
        <v>1</v>
      </c>
    </row>
    <row r="301" spans="1:12" x14ac:dyDescent="0.25">
      <c r="A301">
        <v>18.5</v>
      </c>
      <c r="B301">
        <v>8</v>
      </c>
      <c r="C301">
        <v>360</v>
      </c>
      <c r="D301">
        <v>150</v>
      </c>
      <c r="E301">
        <v>3940</v>
      </c>
      <c r="F301">
        <v>13</v>
      </c>
      <c r="G301">
        <v>79</v>
      </c>
      <c r="H301" t="s">
        <v>1637</v>
      </c>
      <c r="I301" t="s">
        <v>1449</v>
      </c>
      <c r="J301" t="s">
        <v>1129</v>
      </c>
      <c r="K301" t="s">
        <v>1450</v>
      </c>
      <c r="L301" t="b">
        <f>Data_Completeness(MileageData[[#This Row],[MPG]:[Acceleration]])</f>
        <v>1</v>
      </c>
    </row>
    <row r="302" spans="1:12" x14ac:dyDescent="0.25">
      <c r="A302">
        <v>31.9</v>
      </c>
      <c r="B302">
        <v>4</v>
      </c>
      <c r="C302">
        <v>89</v>
      </c>
      <c r="D302">
        <v>71</v>
      </c>
      <c r="E302">
        <v>1925</v>
      </c>
      <c r="F302">
        <v>14</v>
      </c>
      <c r="G302">
        <v>79</v>
      </c>
      <c r="H302" t="s">
        <v>1638</v>
      </c>
      <c r="I302" t="s">
        <v>1451</v>
      </c>
      <c r="J302" t="s">
        <v>1296</v>
      </c>
      <c r="K302" t="s">
        <v>1355</v>
      </c>
      <c r="L302" t="b">
        <f>Data_Completeness(MileageData[[#This Row],[MPG]:[Acceleration]])</f>
        <v>1</v>
      </c>
    </row>
    <row r="303" spans="1:12" x14ac:dyDescent="0.25">
      <c r="A303">
        <v>34.1</v>
      </c>
      <c r="B303">
        <v>4</v>
      </c>
      <c r="C303">
        <v>86</v>
      </c>
      <c r="D303">
        <v>65</v>
      </c>
      <c r="E303">
        <v>1975</v>
      </c>
      <c r="F303">
        <v>15.2</v>
      </c>
      <c r="G303">
        <v>79</v>
      </c>
      <c r="H303" t="s">
        <v>1639</v>
      </c>
      <c r="I303" t="s">
        <v>1452</v>
      </c>
      <c r="J303" t="s">
        <v>1199</v>
      </c>
      <c r="K303" t="s">
        <v>1376</v>
      </c>
      <c r="L303" t="b">
        <f>Data_Completeness(MileageData[[#This Row],[MPG]:[Acceleration]])</f>
        <v>1</v>
      </c>
    </row>
    <row r="304" spans="1:12" x14ac:dyDescent="0.25">
      <c r="A304">
        <v>35.700000000000003</v>
      </c>
      <c r="B304">
        <v>4</v>
      </c>
      <c r="C304">
        <v>98</v>
      </c>
      <c r="D304">
        <v>80</v>
      </c>
      <c r="E304">
        <v>1915</v>
      </c>
      <c r="F304">
        <v>14.4</v>
      </c>
      <c r="G304">
        <v>79</v>
      </c>
      <c r="H304" t="s">
        <v>1637</v>
      </c>
      <c r="I304" t="s">
        <v>1453</v>
      </c>
      <c r="J304" t="s">
        <v>1017</v>
      </c>
      <c r="K304" t="s">
        <v>1454</v>
      </c>
      <c r="L304" t="b">
        <f>Data_Completeness(MileageData[[#This Row],[MPG]:[Acceleration]])</f>
        <v>1</v>
      </c>
    </row>
    <row r="305" spans="1:12" x14ac:dyDescent="0.25">
      <c r="A305">
        <v>27.4</v>
      </c>
      <c r="B305">
        <v>4</v>
      </c>
      <c r="C305">
        <v>121</v>
      </c>
      <c r="D305">
        <v>80</v>
      </c>
      <c r="E305">
        <v>2670</v>
      </c>
      <c r="F305">
        <v>15</v>
      </c>
      <c r="G305">
        <v>79</v>
      </c>
      <c r="H305" t="s">
        <v>1637</v>
      </c>
      <c r="I305" t="s">
        <v>1455</v>
      </c>
      <c r="J305" t="s">
        <v>989</v>
      </c>
      <c r="K305" t="s">
        <v>1456</v>
      </c>
      <c r="L305" t="b">
        <f>Data_Completeness(MileageData[[#This Row],[MPG]:[Acceleration]])</f>
        <v>1</v>
      </c>
    </row>
    <row r="306" spans="1:12" x14ac:dyDescent="0.25">
      <c r="A306">
        <v>25.4</v>
      </c>
      <c r="B306">
        <v>5</v>
      </c>
      <c r="C306">
        <v>183</v>
      </c>
      <c r="D306">
        <v>77</v>
      </c>
      <c r="E306">
        <v>3530</v>
      </c>
      <c r="F306">
        <v>20.100000000000001</v>
      </c>
      <c r="G306">
        <v>79</v>
      </c>
      <c r="H306" t="s">
        <v>1638</v>
      </c>
      <c r="I306" t="s">
        <v>1457</v>
      </c>
      <c r="J306" t="s">
        <v>1458</v>
      </c>
      <c r="K306" t="s">
        <v>1459</v>
      </c>
      <c r="L306" t="b">
        <f>Data_Completeness(MileageData[[#This Row],[MPG]:[Acceleration]])</f>
        <v>1</v>
      </c>
    </row>
    <row r="307" spans="1:12" x14ac:dyDescent="0.25">
      <c r="A307">
        <v>23</v>
      </c>
      <c r="B307">
        <v>8</v>
      </c>
      <c r="C307">
        <v>350</v>
      </c>
      <c r="D307">
        <v>125</v>
      </c>
      <c r="E307">
        <v>3900</v>
      </c>
      <c r="F307">
        <v>17.399999999999999</v>
      </c>
      <c r="G307">
        <v>79</v>
      </c>
      <c r="H307" t="s">
        <v>1637</v>
      </c>
      <c r="I307" t="s">
        <v>1460</v>
      </c>
      <c r="J307" t="s">
        <v>1314</v>
      </c>
      <c r="K307" t="s">
        <v>1461</v>
      </c>
      <c r="L307" t="b">
        <f>Data_Completeness(MileageData[[#This Row],[MPG]:[Acceleration]])</f>
        <v>1</v>
      </c>
    </row>
    <row r="308" spans="1:12" x14ac:dyDescent="0.25">
      <c r="A308">
        <v>27.2</v>
      </c>
      <c r="B308">
        <v>4</v>
      </c>
      <c r="C308">
        <v>141</v>
      </c>
      <c r="D308">
        <v>71</v>
      </c>
      <c r="E308">
        <v>3190</v>
      </c>
      <c r="F308">
        <v>24.8</v>
      </c>
      <c r="G308">
        <v>79</v>
      </c>
      <c r="H308" t="s">
        <v>1638</v>
      </c>
      <c r="I308" t="s">
        <v>1041</v>
      </c>
      <c r="J308" t="s">
        <v>1042</v>
      </c>
      <c r="K308">
        <v>504</v>
      </c>
      <c r="L308" t="b">
        <f>Data_Completeness(MileageData[[#This Row],[MPG]:[Acceleration]])</f>
        <v>1</v>
      </c>
    </row>
    <row r="309" spans="1:12" x14ac:dyDescent="0.25">
      <c r="A309">
        <v>23.9</v>
      </c>
      <c r="B309">
        <v>8</v>
      </c>
      <c r="C309">
        <v>260</v>
      </c>
      <c r="D309">
        <v>90</v>
      </c>
      <c r="E309">
        <v>3420</v>
      </c>
      <c r="F309">
        <v>22.2</v>
      </c>
      <c r="G309">
        <v>79</v>
      </c>
      <c r="H309" t="s">
        <v>1637</v>
      </c>
      <c r="I309" t="s">
        <v>1379</v>
      </c>
      <c r="J309" t="s">
        <v>1126</v>
      </c>
      <c r="K309" t="s">
        <v>1380</v>
      </c>
      <c r="L309" t="b">
        <f>Data_Completeness(MileageData[[#This Row],[MPG]:[Acceleration]])</f>
        <v>1</v>
      </c>
    </row>
    <row r="310" spans="1:12" x14ac:dyDescent="0.25">
      <c r="A310">
        <v>34.200000000000003</v>
      </c>
      <c r="B310">
        <v>4</v>
      </c>
      <c r="C310">
        <v>105</v>
      </c>
      <c r="D310">
        <v>70</v>
      </c>
      <c r="E310">
        <v>2200</v>
      </c>
      <c r="F310">
        <v>13.2</v>
      </c>
      <c r="G310">
        <v>79</v>
      </c>
      <c r="H310" t="s">
        <v>1637</v>
      </c>
      <c r="I310" t="s">
        <v>1462</v>
      </c>
      <c r="J310" t="s">
        <v>986</v>
      </c>
      <c r="K310" t="s">
        <v>1463</v>
      </c>
      <c r="L310" t="b">
        <f>Data_Completeness(MileageData[[#This Row],[MPG]:[Acceleration]])</f>
        <v>1</v>
      </c>
    </row>
    <row r="311" spans="1:12" x14ac:dyDescent="0.25">
      <c r="A311">
        <v>34.5</v>
      </c>
      <c r="B311">
        <v>4</v>
      </c>
      <c r="C311">
        <v>105</v>
      </c>
      <c r="D311">
        <v>70</v>
      </c>
      <c r="E311">
        <v>2150</v>
      </c>
      <c r="F311">
        <v>14.9</v>
      </c>
      <c r="G311">
        <v>79</v>
      </c>
      <c r="H311" t="s">
        <v>1637</v>
      </c>
      <c r="I311" t="s">
        <v>1464</v>
      </c>
      <c r="J311" t="s">
        <v>986</v>
      </c>
      <c r="K311" t="s">
        <v>1465</v>
      </c>
      <c r="L311" t="b">
        <f>Data_Completeness(MileageData[[#This Row],[MPG]:[Acceleration]])</f>
        <v>1</v>
      </c>
    </row>
    <row r="312" spans="1:12" x14ac:dyDescent="0.25">
      <c r="A312">
        <v>31.8</v>
      </c>
      <c r="B312">
        <v>4</v>
      </c>
      <c r="C312">
        <v>85</v>
      </c>
      <c r="D312">
        <v>65</v>
      </c>
      <c r="E312">
        <v>2020</v>
      </c>
      <c r="F312">
        <v>19.2</v>
      </c>
      <c r="G312">
        <v>79</v>
      </c>
      <c r="H312" t="s">
        <v>1639</v>
      </c>
      <c r="I312" t="s">
        <v>1466</v>
      </c>
      <c r="J312" t="s">
        <v>1036</v>
      </c>
      <c r="K312">
        <v>210</v>
      </c>
      <c r="L312" t="b">
        <f>Data_Completeness(MileageData[[#This Row],[MPG]:[Acceleration]])</f>
        <v>1</v>
      </c>
    </row>
    <row r="313" spans="1:12" x14ac:dyDescent="0.25">
      <c r="A313">
        <v>37.299999999999997</v>
      </c>
      <c r="B313">
        <v>4</v>
      </c>
      <c r="C313">
        <v>91</v>
      </c>
      <c r="D313">
        <v>69</v>
      </c>
      <c r="E313">
        <v>2130</v>
      </c>
      <c r="F313">
        <v>14.7</v>
      </c>
      <c r="G313">
        <v>79</v>
      </c>
      <c r="H313" t="s">
        <v>1638</v>
      </c>
      <c r="I313" t="s">
        <v>1467</v>
      </c>
      <c r="J313" t="s">
        <v>1100</v>
      </c>
      <c r="K313" t="s">
        <v>1468</v>
      </c>
      <c r="L313" t="b">
        <f>Data_Completeness(MileageData[[#This Row],[MPG]:[Acceleration]])</f>
        <v>1</v>
      </c>
    </row>
    <row r="314" spans="1:12" x14ac:dyDescent="0.25">
      <c r="A314">
        <v>28.4</v>
      </c>
      <c r="B314">
        <v>4</v>
      </c>
      <c r="C314">
        <v>151</v>
      </c>
      <c r="D314">
        <v>90</v>
      </c>
      <c r="E314">
        <v>2670</v>
      </c>
      <c r="F314">
        <v>16</v>
      </c>
      <c r="G314">
        <v>79</v>
      </c>
      <c r="H314" t="s">
        <v>1637</v>
      </c>
      <c r="I314" t="s">
        <v>1469</v>
      </c>
      <c r="J314" t="s">
        <v>983</v>
      </c>
      <c r="K314" t="s">
        <v>1470</v>
      </c>
      <c r="L314" t="b">
        <f>Data_Completeness(MileageData[[#This Row],[MPG]:[Acceleration]])</f>
        <v>1</v>
      </c>
    </row>
    <row r="315" spans="1:12" x14ac:dyDescent="0.25">
      <c r="A315">
        <v>28.8</v>
      </c>
      <c r="B315">
        <v>6</v>
      </c>
      <c r="C315">
        <v>173</v>
      </c>
      <c r="D315">
        <v>115</v>
      </c>
      <c r="E315">
        <v>2595</v>
      </c>
      <c r="F315">
        <v>11.3</v>
      </c>
      <c r="G315">
        <v>79</v>
      </c>
      <c r="H315" t="s">
        <v>1637</v>
      </c>
      <c r="I315" t="s">
        <v>1471</v>
      </c>
      <c r="J315" t="s">
        <v>980</v>
      </c>
      <c r="K315" t="s">
        <v>1472</v>
      </c>
      <c r="L315" t="b">
        <f>Data_Completeness(MileageData[[#This Row],[MPG]:[Acceleration]])</f>
        <v>1</v>
      </c>
    </row>
    <row r="316" spans="1:12" x14ac:dyDescent="0.25">
      <c r="A316">
        <v>26.8</v>
      </c>
      <c r="B316">
        <v>6</v>
      </c>
      <c r="C316">
        <v>173</v>
      </c>
      <c r="D316">
        <v>115</v>
      </c>
      <c r="E316">
        <v>2700</v>
      </c>
      <c r="F316">
        <v>12.9</v>
      </c>
      <c r="G316">
        <v>79</v>
      </c>
      <c r="H316" t="s">
        <v>1637</v>
      </c>
      <c r="I316" t="s">
        <v>1473</v>
      </c>
      <c r="J316" t="s">
        <v>1126</v>
      </c>
      <c r="K316" t="s">
        <v>1474</v>
      </c>
      <c r="L316" t="b">
        <f>Data_Completeness(MileageData[[#This Row],[MPG]:[Acceleration]])</f>
        <v>1</v>
      </c>
    </row>
    <row r="317" spans="1:12" x14ac:dyDescent="0.25">
      <c r="A317">
        <v>33.5</v>
      </c>
      <c r="B317">
        <v>4</v>
      </c>
      <c r="C317">
        <v>151</v>
      </c>
      <c r="D317">
        <v>90</v>
      </c>
      <c r="E317">
        <v>2556</v>
      </c>
      <c r="F317">
        <v>13.2</v>
      </c>
      <c r="G317">
        <v>79</v>
      </c>
      <c r="H317" t="s">
        <v>1637</v>
      </c>
      <c r="I317" t="s">
        <v>1475</v>
      </c>
      <c r="J317" t="s">
        <v>1001</v>
      </c>
      <c r="K317" t="s">
        <v>1476</v>
      </c>
      <c r="L317" t="b">
        <f>Data_Completeness(MileageData[[#This Row],[MPG]:[Acceleration]])</f>
        <v>1</v>
      </c>
    </row>
    <row r="318" spans="1:12" x14ac:dyDescent="0.25">
      <c r="A318">
        <v>41.5</v>
      </c>
      <c r="B318">
        <v>4</v>
      </c>
      <c r="C318">
        <v>98</v>
      </c>
      <c r="D318">
        <v>76</v>
      </c>
      <c r="E318">
        <v>2144</v>
      </c>
      <c r="F318">
        <v>14.7</v>
      </c>
      <c r="G318">
        <v>80</v>
      </c>
      <c r="H318" t="s">
        <v>1638</v>
      </c>
      <c r="I318" t="s">
        <v>1295</v>
      </c>
      <c r="J318" t="s">
        <v>1296</v>
      </c>
      <c r="K318" t="s">
        <v>1276</v>
      </c>
      <c r="L318" t="b">
        <f>Data_Completeness(MileageData[[#This Row],[MPG]:[Acceleration]])</f>
        <v>1</v>
      </c>
    </row>
    <row r="319" spans="1:12" x14ac:dyDescent="0.25">
      <c r="A319">
        <v>38.1</v>
      </c>
      <c r="B319">
        <v>4</v>
      </c>
      <c r="C319">
        <v>89</v>
      </c>
      <c r="D319">
        <v>60</v>
      </c>
      <c r="E319">
        <v>1968</v>
      </c>
      <c r="F319">
        <v>18.8</v>
      </c>
      <c r="G319">
        <v>80</v>
      </c>
      <c r="H319" t="s">
        <v>1639</v>
      </c>
      <c r="I319" t="s">
        <v>1477</v>
      </c>
      <c r="J319" t="s">
        <v>1027</v>
      </c>
      <c r="K319" t="s">
        <v>1478</v>
      </c>
      <c r="L319" t="b">
        <f>Data_Completeness(MileageData[[#This Row],[MPG]:[Acceleration]])</f>
        <v>1</v>
      </c>
    </row>
    <row r="320" spans="1:12" x14ac:dyDescent="0.25">
      <c r="A320">
        <v>32.1</v>
      </c>
      <c r="B320">
        <v>4</v>
      </c>
      <c r="C320">
        <v>98</v>
      </c>
      <c r="D320">
        <v>70</v>
      </c>
      <c r="E320">
        <v>2120</v>
      </c>
      <c r="F320">
        <v>15.5</v>
      </c>
      <c r="G320">
        <v>80</v>
      </c>
      <c r="H320" t="s">
        <v>1637</v>
      </c>
      <c r="I320" t="s">
        <v>1291</v>
      </c>
      <c r="J320" t="s">
        <v>980</v>
      </c>
      <c r="K320" t="s">
        <v>1292</v>
      </c>
      <c r="L320" t="b">
        <f>Data_Completeness(MileageData[[#This Row],[MPG]:[Acceleration]])</f>
        <v>1</v>
      </c>
    </row>
    <row r="321" spans="1:12" x14ac:dyDescent="0.25">
      <c r="A321">
        <v>37.200000000000003</v>
      </c>
      <c r="B321">
        <v>4</v>
      </c>
      <c r="C321">
        <v>86</v>
      </c>
      <c r="D321">
        <v>65</v>
      </c>
      <c r="E321">
        <v>2019</v>
      </c>
      <c r="F321">
        <v>16.399999999999999</v>
      </c>
      <c r="G321">
        <v>80</v>
      </c>
      <c r="H321" t="s">
        <v>1639</v>
      </c>
      <c r="I321" t="s">
        <v>1479</v>
      </c>
      <c r="J321" t="s">
        <v>1036</v>
      </c>
      <c r="K321">
        <v>310</v>
      </c>
      <c r="L321" t="b">
        <f>Data_Completeness(MileageData[[#This Row],[MPG]:[Acceleration]])</f>
        <v>1</v>
      </c>
    </row>
    <row r="322" spans="1:12" x14ac:dyDescent="0.25">
      <c r="A322">
        <v>28</v>
      </c>
      <c r="B322">
        <v>4</v>
      </c>
      <c r="C322">
        <v>151</v>
      </c>
      <c r="D322">
        <v>90</v>
      </c>
      <c r="E322">
        <v>2678</v>
      </c>
      <c r="F322">
        <v>16.5</v>
      </c>
      <c r="G322">
        <v>80</v>
      </c>
      <c r="H322" t="s">
        <v>1637</v>
      </c>
      <c r="I322" t="s">
        <v>1471</v>
      </c>
      <c r="J322" t="s">
        <v>980</v>
      </c>
      <c r="K322" t="s">
        <v>1472</v>
      </c>
      <c r="L322" t="b">
        <f>Data_Completeness(MileageData[[#This Row],[MPG]:[Acceleration]])</f>
        <v>1</v>
      </c>
    </row>
    <row r="323" spans="1:12" x14ac:dyDescent="0.25">
      <c r="A323">
        <v>26.4</v>
      </c>
      <c r="B323">
        <v>4</v>
      </c>
      <c r="C323">
        <v>140</v>
      </c>
      <c r="D323">
        <v>88</v>
      </c>
      <c r="E323">
        <v>2870</v>
      </c>
      <c r="F323">
        <v>18.100000000000001</v>
      </c>
      <c r="G323">
        <v>80</v>
      </c>
      <c r="H323" t="s">
        <v>1637</v>
      </c>
      <c r="I323" t="s">
        <v>1480</v>
      </c>
      <c r="J323" t="s">
        <v>992</v>
      </c>
      <c r="K323" t="s">
        <v>1481</v>
      </c>
      <c r="L323" t="b">
        <f>Data_Completeness(MileageData[[#This Row],[MPG]:[Acceleration]])</f>
        <v>1</v>
      </c>
    </row>
    <row r="324" spans="1:12" x14ac:dyDescent="0.25">
      <c r="A324">
        <v>24.3</v>
      </c>
      <c r="B324">
        <v>4</v>
      </c>
      <c r="C324">
        <v>151</v>
      </c>
      <c r="D324">
        <v>90</v>
      </c>
      <c r="E324">
        <v>3003</v>
      </c>
      <c r="F324">
        <v>20.100000000000001</v>
      </c>
      <c r="G324">
        <v>80</v>
      </c>
      <c r="H324" t="s">
        <v>1637</v>
      </c>
      <c r="I324" t="s">
        <v>1393</v>
      </c>
      <c r="J324" t="s">
        <v>989</v>
      </c>
      <c r="K324" t="s">
        <v>1394</v>
      </c>
      <c r="L324" t="b">
        <f>Data_Completeness(MileageData[[#This Row],[MPG]:[Acceleration]])</f>
        <v>1</v>
      </c>
    </row>
    <row r="325" spans="1:12" x14ac:dyDescent="0.25">
      <c r="A325">
        <v>19.100000000000001</v>
      </c>
      <c r="B325">
        <v>6</v>
      </c>
      <c r="C325">
        <v>225</v>
      </c>
      <c r="D325">
        <v>90</v>
      </c>
      <c r="E325">
        <v>3381</v>
      </c>
      <c r="F325">
        <v>18.7</v>
      </c>
      <c r="G325">
        <v>80</v>
      </c>
      <c r="H325" t="s">
        <v>1637</v>
      </c>
      <c r="I325" t="s">
        <v>1399</v>
      </c>
      <c r="J325" t="s">
        <v>1017</v>
      </c>
      <c r="K325" t="s">
        <v>1400</v>
      </c>
      <c r="L325" t="b">
        <f>Data_Completeness(MileageData[[#This Row],[MPG]:[Acceleration]])</f>
        <v>1</v>
      </c>
    </row>
    <row r="326" spans="1:12" x14ac:dyDescent="0.25">
      <c r="A326">
        <v>34.299999999999997</v>
      </c>
      <c r="B326">
        <v>4</v>
      </c>
      <c r="C326">
        <v>97</v>
      </c>
      <c r="D326">
        <v>78</v>
      </c>
      <c r="E326">
        <v>2188</v>
      </c>
      <c r="F326">
        <v>15.8</v>
      </c>
      <c r="G326">
        <v>80</v>
      </c>
      <c r="H326" t="s">
        <v>1638</v>
      </c>
      <c r="I326" t="s">
        <v>1482</v>
      </c>
      <c r="J326" t="s">
        <v>1044</v>
      </c>
      <c r="K326">
        <v>4000</v>
      </c>
      <c r="L326" t="b">
        <f>Data_Completeness(MileageData[[#This Row],[MPG]:[Acceleration]])</f>
        <v>1</v>
      </c>
    </row>
    <row r="327" spans="1:12" x14ac:dyDescent="0.25">
      <c r="A327">
        <v>29.8</v>
      </c>
      <c r="B327">
        <v>4</v>
      </c>
      <c r="C327">
        <v>134</v>
      </c>
      <c r="D327">
        <v>90</v>
      </c>
      <c r="E327">
        <v>2711</v>
      </c>
      <c r="F327">
        <v>15.5</v>
      </c>
      <c r="G327">
        <v>80</v>
      </c>
      <c r="H327" t="s">
        <v>1639</v>
      </c>
      <c r="I327" t="s">
        <v>1483</v>
      </c>
      <c r="J327" t="s">
        <v>1027</v>
      </c>
      <c r="K327" t="s">
        <v>1484</v>
      </c>
      <c r="L327" t="b">
        <f>Data_Completeness(MileageData[[#This Row],[MPG]:[Acceleration]])</f>
        <v>1</v>
      </c>
    </row>
    <row r="328" spans="1:12" x14ac:dyDescent="0.25">
      <c r="A328">
        <v>31.3</v>
      </c>
      <c r="B328">
        <v>4</v>
      </c>
      <c r="C328">
        <v>120</v>
      </c>
      <c r="D328">
        <v>75</v>
      </c>
      <c r="E328">
        <v>2542</v>
      </c>
      <c r="F328">
        <v>17.5</v>
      </c>
      <c r="G328">
        <v>80</v>
      </c>
      <c r="H328" t="s">
        <v>1639</v>
      </c>
      <c r="I328" t="s">
        <v>1485</v>
      </c>
      <c r="J328" t="s">
        <v>1132</v>
      </c>
      <c r="K328">
        <v>626</v>
      </c>
      <c r="L328" t="b">
        <f>Data_Completeness(MileageData[[#This Row],[MPG]:[Acceleration]])</f>
        <v>1</v>
      </c>
    </row>
    <row r="329" spans="1:12" x14ac:dyDescent="0.25">
      <c r="A329">
        <v>37</v>
      </c>
      <c r="B329">
        <v>4</v>
      </c>
      <c r="C329">
        <v>119</v>
      </c>
      <c r="D329">
        <v>92</v>
      </c>
      <c r="E329">
        <v>2434</v>
      </c>
      <c r="F329">
        <v>15</v>
      </c>
      <c r="G329">
        <v>80</v>
      </c>
      <c r="H329" t="s">
        <v>1639</v>
      </c>
      <c r="I329" t="s">
        <v>1486</v>
      </c>
      <c r="J329" t="s">
        <v>1036</v>
      </c>
      <c r="K329" t="s">
        <v>1487</v>
      </c>
      <c r="L329" t="b">
        <f>Data_Completeness(MileageData[[#This Row],[MPG]:[Acceleration]])</f>
        <v>1</v>
      </c>
    </row>
    <row r="330" spans="1:12" x14ac:dyDescent="0.25">
      <c r="A330">
        <v>32.200000000000003</v>
      </c>
      <c r="B330">
        <v>4</v>
      </c>
      <c r="C330">
        <v>108</v>
      </c>
      <c r="D330">
        <v>75</v>
      </c>
      <c r="E330">
        <v>2265</v>
      </c>
      <c r="F330">
        <v>15.2</v>
      </c>
      <c r="G330">
        <v>80</v>
      </c>
      <c r="H330" t="s">
        <v>1639</v>
      </c>
      <c r="I330" t="s">
        <v>1271</v>
      </c>
      <c r="J330" t="s">
        <v>1027</v>
      </c>
      <c r="K330" t="s">
        <v>1272</v>
      </c>
      <c r="L330" t="b">
        <f>Data_Completeness(MileageData[[#This Row],[MPG]:[Acceleration]])</f>
        <v>1</v>
      </c>
    </row>
    <row r="331" spans="1:12" x14ac:dyDescent="0.25">
      <c r="A331">
        <v>46.6</v>
      </c>
      <c r="B331">
        <v>4</v>
      </c>
      <c r="C331">
        <v>86</v>
      </c>
      <c r="D331">
        <v>65</v>
      </c>
      <c r="E331">
        <v>2110</v>
      </c>
      <c r="F331">
        <v>17.899999999999999</v>
      </c>
      <c r="G331">
        <v>80</v>
      </c>
      <c r="H331" t="s">
        <v>1639</v>
      </c>
      <c r="I331" t="s">
        <v>1488</v>
      </c>
      <c r="J331" t="s">
        <v>1132</v>
      </c>
      <c r="K331" t="s">
        <v>1489</v>
      </c>
      <c r="L331" t="b">
        <f>Data_Completeness(MileageData[[#This Row],[MPG]:[Acceleration]])</f>
        <v>1</v>
      </c>
    </row>
    <row r="332" spans="1:12" x14ac:dyDescent="0.25">
      <c r="A332">
        <v>27.9</v>
      </c>
      <c r="B332">
        <v>4</v>
      </c>
      <c r="C332">
        <v>156</v>
      </c>
      <c r="D332">
        <v>105</v>
      </c>
      <c r="E332">
        <v>2800</v>
      </c>
      <c r="F332">
        <v>14.4</v>
      </c>
      <c r="G332">
        <v>80</v>
      </c>
      <c r="H332" t="s">
        <v>1637</v>
      </c>
      <c r="I332" t="s">
        <v>1241</v>
      </c>
      <c r="J332" t="s">
        <v>1017</v>
      </c>
      <c r="K332" t="s">
        <v>1242</v>
      </c>
      <c r="L332" t="b">
        <f>Data_Completeness(MileageData[[#This Row],[MPG]:[Acceleration]])</f>
        <v>1</v>
      </c>
    </row>
    <row r="333" spans="1:12" x14ac:dyDescent="0.25">
      <c r="A333">
        <v>40.799999999999997</v>
      </c>
      <c r="B333">
        <v>4</v>
      </c>
      <c r="C333">
        <v>85</v>
      </c>
      <c r="D333">
        <v>65</v>
      </c>
      <c r="E333">
        <v>2110</v>
      </c>
      <c r="F333">
        <v>19.2</v>
      </c>
      <c r="G333">
        <v>80</v>
      </c>
      <c r="H333" t="s">
        <v>1639</v>
      </c>
      <c r="I333" t="s">
        <v>1466</v>
      </c>
      <c r="J333" t="s">
        <v>1036</v>
      </c>
      <c r="K333">
        <v>210</v>
      </c>
      <c r="L333" t="b">
        <f>Data_Completeness(MileageData[[#This Row],[MPG]:[Acceleration]])</f>
        <v>1</v>
      </c>
    </row>
    <row r="334" spans="1:12" x14ac:dyDescent="0.25">
      <c r="A334">
        <v>44.3</v>
      </c>
      <c r="B334">
        <v>4</v>
      </c>
      <c r="C334">
        <v>90</v>
      </c>
      <c r="D334">
        <v>48</v>
      </c>
      <c r="E334">
        <v>2085</v>
      </c>
      <c r="F334">
        <v>21.7</v>
      </c>
      <c r="G334">
        <v>80</v>
      </c>
      <c r="H334" t="s">
        <v>1638</v>
      </c>
      <c r="I334" t="s">
        <v>1490</v>
      </c>
      <c r="J334" t="s">
        <v>1296</v>
      </c>
      <c r="K334" t="s">
        <v>1491</v>
      </c>
      <c r="L334" t="b">
        <f>Data_Completeness(MileageData[[#This Row],[MPG]:[Acceleration]])</f>
        <v>1</v>
      </c>
    </row>
    <row r="335" spans="1:12" x14ac:dyDescent="0.25">
      <c r="A335">
        <v>43.4</v>
      </c>
      <c r="B335">
        <v>4</v>
      </c>
      <c r="C335">
        <v>90</v>
      </c>
      <c r="D335">
        <v>48</v>
      </c>
      <c r="E335">
        <v>2335</v>
      </c>
      <c r="F335">
        <v>23.7</v>
      </c>
      <c r="G335">
        <v>80</v>
      </c>
      <c r="H335" t="s">
        <v>1638</v>
      </c>
      <c r="I335" t="s">
        <v>1492</v>
      </c>
      <c r="J335" t="s">
        <v>1296</v>
      </c>
      <c r="K335" t="s">
        <v>1493</v>
      </c>
      <c r="L335" t="b">
        <f>Data_Completeness(MileageData[[#This Row],[MPG]:[Acceleration]])</f>
        <v>1</v>
      </c>
    </row>
    <row r="336" spans="1:12" x14ac:dyDescent="0.25">
      <c r="A336">
        <v>36.4</v>
      </c>
      <c r="B336">
        <v>5</v>
      </c>
      <c r="C336">
        <v>121</v>
      </c>
      <c r="D336">
        <v>67</v>
      </c>
      <c r="E336">
        <v>2950</v>
      </c>
      <c r="F336">
        <v>19.899999999999999</v>
      </c>
      <c r="G336">
        <v>80</v>
      </c>
      <c r="H336" t="s">
        <v>1638</v>
      </c>
      <c r="I336" t="s">
        <v>1494</v>
      </c>
      <c r="J336" t="s">
        <v>1044</v>
      </c>
      <c r="K336" t="s">
        <v>1495</v>
      </c>
      <c r="L336" t="b">
        <f>Data_Completeness(MileageData[[#This Row],[MPG]:[Acceleration]])</f>
        <v>1</v>
      </c>
    </row>
    <row r="337" spans="1:12" x14ac:dyDescent="0.25">
      <c r="A337">
        <v>30</v>
      </c>
      <c r="B337">
        <v>4</v>
      </c>
      <c r="C337">
        <v>146</v>
      </c>
      <c r="D337">
        <v>67</v>
      </c>
      <c r="E337">
        <v>3250</v>
      </c>
      <c r="F337">
        <v>21.8</v>
      </c>
      <c r="G337">
        <v>80</v>
      </c>
      <c r="H337" t="s">
        <v>1638</v>
      </c>
      <c r="I337" t="s">
        <v>1496</v>
      </c>
      <c r="J337" t="s">
        <v>1311</v>
      </c>
      <c r="K337" t="s">
        <v>1497</v>
      </c>
      <c r="L337" t="b">
        <f>Data_Completeness(MileageData[[#This Row],[MPG]:[Acceleration]])</f>
        <v>1</v>
      </c>
    </row>
    <row r="338" spans="1:12" x14ac:dyDescent="0.25">
      <c r="A338">
        <v>44.6</v>
      </c>
      <c r="B338">
        <v>4</v>
      </c>
      <c r="C338">
        <v>91</v>
      </c>
      <c r="D338">
        <v>67</v>
      </c>
      <c r="E338">
        <v>1850</v>
      </c>
      <c r="F338">
        <v>13.8</v>
      </c>
      <c r="G338">
        <v>80</v>
      </c>
      <c r="H338" t="s">
        <v>1639</v>
      </c>
      <c r="I338" t="s">
        <v>1498</v>
      </c>
      <c r="J338" t="s">
        <v>1246</v>
      </c>
      <c r="K338" t="s">
        <v>1499</v>
      </c>
      <c r="L338" t="b">
        <f>Data_Completeness(MileageData[[#This Row],[MPG]:[Acceleration]])</f>
        <v>1</v>
      </c>
    </row>
    <row r="339" spans="1:12" x14ac:dyDescent="0.25">
      <c r="A339">
        <v>40.9</v>
      </c>
      <c r="B339">
        <v>4</v>
      </c>
      <c r="C339">
        <v>85</v>
      </c>
      <c r="E339">
        <v>1835</v>
      </c>
      <c r="F339">
        <v>17.3</v>
      </c>
      <c r="G339">
        <v>80</v>
      </c>
      <c r="H339" t="s">
        <v>1638</v>
      </c>
      <c r="I339" t="s">
        <v>1500</v>
      </c>
      <c r="J339" t="s">
        <v>1148</v>
      </c>
      <c r="K339" t="s">
        <v>1501</v>
      </c>
      <c r="L339" t="b">
        <f>Data_Completeness(MileageData[[#This Row],[MPG]:[Acceleration]])</f>
        <v>0</v>
      </c>
    </row>
    <row r="340" spans="1:12" x14ac:dyDescent="0.25">
      <c r="A340">
        <v>33.799999999999997</v>
      </c>
      <c r="B340">
        <v>4</v>
      </c>
      <c r="C340">
        <v>97</v>
      </c>
      <c r="D340">
        <v>67</v>
      </c>
      <c r="E340">
        <v>2145</v>
      </c>
      <c r="F340">
        <v>18</v>
      </c>
      <c r="G340">
        <v>80</v>
      </c>
      <c r="H340" t="s">
        <v>1639</v>
      </c>
      <c r="I340" t="s">
        <v>1364</v>
      </c>
      <c r="J340" t="s">
        <v>1248</v>
      </c>
      <c r="K340" t="s">
        <v>1365</v>
      </c>
      <c r="L340" t="b">
        <f>Data_Completeness(MileageData[[#This Row],[MPG]:[Acceleration]])</f>
        <v>1</v>
      </c>
    </row>
    <row r="341" spans="1:12" x14ac:dyDescent="0.25">
      <c r="A341">
        <v>29.8</v>
      </c>
      <c r="B341">
        <v>4</v>
      </c>
      <c r="C341">
        <v>89</v>
      </c>
      <c r="D341">
        <v>62</v>
      </c>
      <c r="E341">
        <v>1845</v>
      </c>
      <c r="F341">
        <v>15.3</v>
      </c>
      <c r="G341">
        <v>80</v>
      </c>
      <c r="H341" t="s">
        <v>1638</v>
      </c>
      <c r="I341" t="s">
        <v>1502</v>
      </c>
      <c r="J341" t="s">
        <v>1503</v>
      </c>
      <c r="K341" t="s">
        <v>1276</v>
      </c>
      <c r="L341" t="b">
        <f>Data_Completeness(MileageData[[#This Row],[MPG]:[Acceleration]])</f>
        <v>1</v>
      </c>
    </row>
    <row r="342" spans="1:12" x14ac:dyDescent="0.25">
      <c r="A342">
        <v>32.700000000000003</v>
      </c>
      <c r="B342">
        <v>6</v>
      </c>
      <c r="C342">
        <v>168</v>
      </c>
      <c r="D342">
        <v>132</v>
      </c>
      <c r="E342">
        <v>2910</v>
      </c>
      <c r="F342">
        <v>11.4</v>
      </c>
      <c r="G342">
        <v>80</v>
      </c>
      <c r="H342" t="s">
        <v>1639</v>
      </c>
      <c r="I342" t="s">
        <v>1504</v>
      </c>
      <c r="J342" t="s">
        <v>1036</v>
      </c>
      <c r="K342" t="s">
        <v>1505</v>
      </c>
      <c r="L342" t="b">
        <f>Data_Completeness(MileageData[[#This Row],[MPG]:[Acceleration]])</f>
        <v>1</v>
      </c>
    </row>
    <row r="343" spans="1:12" x14ac:dyDescent="0.25">
      <c r="A343">
        <v>23.7</v>
      </c>
      <c r="B343">
        <v>3</v>
      </c>
      <c r="C343">
        <v>70</v>
      </c>
      <c r="D343">
        <v>100</v>
      </c>
      <c r="E343">
        <v>2420</v>
      </c>
      <c r="F343">
        <v>12.5</v>
      </c>
      <c r="G343">
        <v>80</v>
      </c>
      <c r="H343" t="s">
        <v>1639</v>
      </c>
      <c r="I343" t="s">
        <v>1506</v>
      </c>
      <c r="J343" t="s">
        <v>1132</v>
      </c>
      <c r="K343" t="s">
        <v>1507</v>
      </c>
      <c r="L343" t="b">
        <f>Data_Completeness(MileageData[[#This Row],[MPG]:[Acceleration]])</f>
        <v>1</v>
      </c>
    </row>
    <row r="344" spans="1:12" x14ac:dyDescent="0.25">
      <c r="A344">
        <v>35</v>
      </c>
      <c r="B344">
        <v>4</v>
      </c>
      <c r="C344">
        <v>122</v>
      </c>
      <c r="D344">
        <v>88</v>
      </c>
      <c r="E344">
        <v>2500</v>
      </c>
      <c r="F344">
        <v>15.1</v>
      </c>
      <c r="G344">
        <v>80</v>
      </c>
      <c r="H344" t="s">
        <v>1638</v>
      </c>
      <c r="I344" t="s">
        <v>1508</v>
      </c>
      <c r="J344" t="s">
        <v>1509</v>
      </c>
      <c r="K344" t="s">
        <v>1510</v>
      </c>
      <c r="L344" t="b">
        <f>Data_Completeness(MileageData[[#This Row],[MPG]:[Acceleration]])</f>
        <v>1</v>
      </c>
    </row>
    <row r="345" spans="1:12" x14ac:dyDescent="0.25">
      <c r="A345">
        <v>23.6</v>
      </c>
      <c r="B345">
        <v>4</v>
      </c>
      <c r="C345">
        <v>140</v>
      </c>
      <c r="E345">
        <v>2905</v>
      </c>
      <c r="F345">
        <v>14.3</v>
      </c>
      <c r="G345">
        <v>80</v>
      </c>
      <c r="H345" t="s">
        <v>1637</v>
      </c>
      <c r="I345" t="s">
        <v>1511</v>
      </c>
      <c r="J345" t="s">
        <v>992</v>
      </c>
      <c r="K345" t="s">
        <v>1512</v>
      </c>
      <c r="L345" t="b">
        <f>Data_Completeness(MileageData[[#This Row],[MPG]:[Acceleration]])</f>
        <v>0</v>
      </c>
    </row>
    <row r="346" spans="1:12" x14ac:dyDescent="0.25">
      <c r="A346">
        <v>32.4</v>
      </c>
      <c r="B346">
        <v>4</v>
      </c>
      <c r="C346">
        <v>107</v>
      </c>
      <c r="D346">
        <v>72</v>
      </c>
      <c r="E346">
        <v>2290</v>
      </c>
      <c r="F346">
        <v>17</v>
      </c>
      <c r="G346">
        <v>80</v>
      </c>
      <c r="H346" t="s">
        <v>1639</v>
      </c>
      <c r="I346" t="s">
        <v>1513</v>
      </c>
      <c r="J346" t="s">
        <v>1246</v>
      </c>
      <c r="K346" t="s">
        <v>1514</v>
      </c>
      <c r="L346" t="b">
        <f>Data_Completeness(MileageData[[#This Row],[MPG]:[Acceleration]])</f>
        <v>1</v>
      </c>
    </row>
    <row r="347" spans="1:12" x14ac:dyDescent="0.25">
      <c r="A347">
        <v>27.2</v>
      </c>
      <c r="B347">
        <v>4</v>
      </c>
      <c r="C347">
        <v>135</v>
      </c>
      <c r="D347">
        <v>84</v>
      </c>
      <c r="E347">
        <v>2490</v>
      </c>
      <c r="F347">
        <v>15.7</v>
      </c>
      <c r="G347">
        <v>81</v>
      </c>
      <c r="H347" t="s">
        <v>1637</v>
      </c>
      <c r="I347" t="s">
        <v>1515</v>
      </c>
      <c r="J347" t="s">
        <v>986</v>
      </c>
      <c r="K347" t="s">
        <v>1516</v>
      </c>
      <c r="L347" t="b">
        <f>Data_Completeness(MileageData[[#This Row],[MPG]:[Acceleration]])</f>
        <v>1</v>
      </c>
    </row>
    <row r="348" spans="1:12" x14ac:dyDescent="0.25">
      <c r="A348">
        <v>26.6</v>
      </c>
      <c r="B348">
        <v>4</v>
      </c>
      <c r="C348">
        <v>151</v>
      </c>
      <c r="D348">
        <v>84</v>
      </c>
      <c r="E348">
        <v>2635</v>
      </c>
      <c r="F348">
        <v>16.399999999999999</v>
      </c>
      <c r="G348">
        <v>81</v>
      </c>
      <c r="H348" t="s">
        <v>1637</v>
      </c>
      <c r="I348" t="s">
        <v>1340</v>
      </c>
      <c r="J348" t="s">
        <v>983</v>
      </c>
      <c r="K348" t="s">
        <v>1341</v>
      </c>
      <c r="L348" t="b">
        <f>Data_Completeness(MileageData[[#This Row],[MPG]:[Acceleration]])</f>
        <v>1</v>
      </c>
    </row>
    <row r="349" spans="1:12" x14ac:dyDescent="0.25">
      <c r="A349">
        <v>25.8</v>
      </c>
      <c r="B349">
        <v>4</v>
      </c>
      <c r="C349">
        <v>156</v>
      </c>
      <c r="D349">
        <v>92</v>
      </c>
      <c r="E349">
        <v>2620</v>
      </c>
      <c r="F349">
        <v>14.4</v>
      </c>
      <c r="G349">
        <v>81</v>
      </c>
      <c r="H349" t="s">
        <v>1637</v>
      </c>
      <c r="I349" t="s">
        <v>1517</v>
      </c>
      <c r="J349" t="s">
        <v>1017</v>
      </c>
      <c r="K349" t="s">
        <v>1518</v>
      </c>
      <c r="L349" t="b">
        <f>Data_Completeness(MileageData[[#This Row],[MPG]:[Acceleration]])</f>
        <v>1</v>
      </c>
    </row>
    <row r="350" spans="1:12" x14ac:dyDescent="0.25">
      <c r="A350">
        <v>23.5</v>
      </c>
      <c r="B350">
        <v>6</v>
      </c>
      <c r="C350">
        <v>173</v>
      </c>
      <c r="D350">
        <v>110</v>
      </c>
      <c r="E350">
        <v>2725</v>
      </c>
      <c r="F350">
        <v>12.6</v>
      </c>
      <c r="G350">
        <v>81</v>
      </c>
      <c r="H350" t="s">
        <v>1637</v>
      </c>
      <c r="I350" t="s">
        <v>1471</v>
      </c>
      <c r="J350" t="s">
        <v>980</v>
      </c>
      <c r="K350" t="s">
        <v>1472</v>
      </c>
      <c r="L350" t="b">
        <f>Data_Completeness(MileageData[[#This Row],[MPG]:[Acceleration]])</f>
        <v>1</v>
      </c>
    </row>
    <row r="351" spans="1:12" x14ac:dyDescent="0.25">
      <c r="A351">
        <v>30</v>
      </c>
      <c r="B351">
        <v>4</v>
      </c>
      <c r="C351">
        <v>135</v>
      </c>
      <c r="D351">
        <v>84</v>
      </c>
      <c r="E351">
        <v>2385</v>
      </c>
      <c r="F351">
        <v>12.9</v>
      </c>
      <c r="G351">
        <v>81</v>
      </c>
      <c r="H351" t="s">
        <v>1637</v>
      </c>
      <c r="I351" t="s">
        <v>1515</v>
      </c>
      <c r="J351" t="s">
        <v>986</v>
      </c>
      <c r="K351" t="s">
        <v>1516</v>
      </c>
      <c r="L351" t="b">
        <f>Data_Completeness(MileageData[[#This Row],[MPG]:[Acceleration]])</f>
        <v>1</v>
      </c>
    </row>
    <row r="352" spans="1:12" x14ac:dyDescent="0.25">
      <c r="A352">
        <v>39.1</v>
      </c>
      <c r="B352">
        <v>4</v>
      </c>
      <c r="C352">
        <v>79</v>
      </c>
      <c r="D352">
        <v>58</v>
      </c>
      <c r="E352">
        <v>1755</v>
      </c>
      <c r="F352">
        <v>16.899999999999999</v>
      </c>
      <c r="G352">
        <v>81</v>
      </c>
      <c r="H352" t="s">
        <v>1639</v>
      </c>
      <c r="I352" t="s">
        <v>1519</v>
      </c>
      <c r="J352" t="s">
        <v>1027</v>
      </c>
      <c r="K352" t="s">
        <v>1520</v>
      </c>
      <c r="L352" t="b">
        <f>Data_Completeness(MileageData[[#This Row],[MPG]:[Acceleration]])</f>
        <v>1</v>
      </c>
    </row>
    <row r="353" spans="1:12" x14ac:dyDescent="0.25">
      <c r="A353">
        <v>39</v>
      </c>
      <c r="B353">
        <v>4</v>
      </c>
      <c r="C353">
        <v>86</v>
      </c>
      <c r="D353">
        <v>64</v>
      </c>
      <c r="E353">
        <v>1875</v>
      </c>
      <c r="F353">
        <v>16.399999999999999</v>
      </c>
      <c r="G353">
        <v>81</v>
      </c>
      <c r="H353" t="s">
        <v>1637</v>
      </c>
      <c r="I353" t="s">
        <v>1521</v>
      </c>
      <c r="J353" t="s">
        <v>986</v>
      </c>
      <c r="K353" t="s">
        <v>1522</v>
      </c>
      <c r="L353" t="b">
        <f>Data_Completeness(MileageData[[#This Row],[MPG]:[Acceleration]])</f>
        <v>1</v>
      </c>
    </row>
    <row r="354" spans="1:12" x14ac:dyDescent="0.25">
      <c r="A354">
        <v>35.1</v>
      </c>
      <c r="B354">
        <v>4</v>
      </c>
      <c r="C354">
        <v>81</v>
      </c>
      <c r="D354">
        <v>60</v>
      </c>
      <c r="E354">
        <v>1760</v>
      </c>
      <c r="F354">
        <v>16.100000000000001</v>
      </c>
      <c r="G354">
        <v>81</v>
      </c>
      <c r="H354" t="s">
        <v>1639</v>
      </c>
      <c r="I354" t="s">
        <v>1523</v>
      </c>
      <c r="J354" t="s">
        <v>1246</v>
      </c>
      <c r="K354" t="s">
        <v>1524</v>
      </c>
      <c r="L354" t="b">
        <f>Data_Completeness(MileageData[[#This Row],[MPG]:[Acceleration]])</f>
        <v>1</v>
      </c>
    </row>
    <row r="355" spans="1:12" x14ac:dyDescent="0.25">
      <c r="A355">
        <v>32.299999999999997</v>
      </c>
      <c r="B355">
        <v>4</v>
      </c>
      <c r="C355">
        <v>97</v>
      </c>
      <c r="D355">
        <v>67</v>
      </c>
      <c r="E355">
        <v>2065</v>
      </c>
      <c r="F355">
        <v>17.8</v>
      </c>
      <c r="G355">
        <v>81</v>
      </c>
      <c r="H355" t="s">
        <v>1639</v>
      </c>
      <c r="I355" t="s">
        <v>1248</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1639</v>
      </c>
      <c r="I356" t="s">
        <v>1525</v>
      </c>
      <c r="J356" t="s">
        <v>1036</v>
      </c>
      <c r="K356" t="s">
        <v>1526</v>
      </c>
      <c r="L356" t="b">
        <f>Data_Completeness(MileageData[[#This Row],[MPG]:[Acceleration]])</f>
        <v>1</v>
      </c>
    </row>
    <row r="357" spans="1:12" x14ac:dyDescent="0.25">
      <c r="A357">
        <v>37.700000000000003</v>
      </c>
      <c r="B357">
        <v>4</v>
      </c>
      <c r="C357">
        <v>89</v>
      </c>
      <c r="D357">
        <v>62</v>
      </c>
      <c r="E357">
        <v>2050</v>
      </c>
      <c r="F357">
        <v>17.3</v>
      </c>
      <c r="G357">
        <v>81</v>
      </c>
      <c r="H357" t="s">
        <v>1639</v>
      </c>
      <c r="I357" t="s">
        <v>1527</v>
      </c>
      <c r="J357" t="s">
        <v>1027</v>
      </c>
      <c r="K357" t="s">
        <v>1528</v>
      </c>
      <c r="L357" t="b">
        <f>Data_Completeness(MileageData[[#This Row],[MPG]:[Acceleration]])</f>
        <v>1</v>
      </c>
    </row>
    <row r="358" spans="1:12" x14ac:dyDescent="0.25">
      <c r="A358">
        <v>34.1</v>
      </c>
      <c r="B358">
        <v>4</v>
      </c>
      <c r="C358">
        <v>91</v>
      </c>
      <c r="D358">
        <v>68</v>
      </c>
      <c r="E358">
        <v>1985</v>
      </c>
      <c r="F358">
        <v>16</v>
      </c>
      <c r="G358">
        <v>81</v>
      </c>
      <c r="H358" t="s">
        <v>1639</v>
      </c>
      <c r="I358" t="s">
        <v>1529</v>
      </c>
      <c r="J358" t="s">
        <v>1132</v>
      </c>
      <c r="K358" t="s">
        <v>1530</v>
      </c>
      <c r="L358" t="b">
        <f>Data_Completeness(MileageData[[#This Row],[MPG]:[Acceleration]])</f>
        <v>1</v>
      </c>
    </row>
    <row r="359" spans="1:12" x14ac:dyDescent="0.25">
      <c r="A359">
        <v>34.700000000000003</v>
      </c>
      <c r="B359">
        <v>4</v>
      </c>
      <c r="C359">
        <v>105</v>
      </c>
      <c r="D359">
        <v>63</v>
      </c>
      <c r="E359">
        <v>2215</v>
      </c>
      <c r="F359">
        <v>14.9</v>
      </c>
      <c r="G359">
        <v>81</v>
      </c>
      <c r="H359" t="s">
        <v>1637</v>
      </c>
      <c r="I359" t="s">
        <v>1531</v>
      </c>
      <c r="J359" t="s">
        <v>986</v>
      </c>
      <c r="K359" t="s">
        <v>1532</v>
      </c>
      <c r="L359" t="b">
        <f>Data_Completeness(MileageData[[#This Row],[MPG]:[Acceleration]])</f>
        <v>1</v>
      </c>
    </row>
    <row r="360" spans="1:12" x14ac:dyDescent="0.25">
      <c r="A360">
        <v>34.4</v>
      </c>
      <c r="B360">
        <v>4</v>
      </c>
      <c r="C360">
        <v>98</v>
      </c>
      <c r="D360">
        <v>65</v>
      </c>
      <c r="E360">
        <v>2045</v>
      </c>
      <c r="F360">
        <v>16.2</v>
      </c>
      <c r="G360">
        <v>81</v>
      </c>
      <c r="H360" t="s">
        <v>1637</v>
      </c>
      <c r="I360" t="s">
        <v>1533</v>
      </c>
      <c r="J360" t="s">
        <v>992</v>
      </c>
      <c r="K360" t="s">
        <v>1534</v>
      </c>
      <c r="L360" t="b">
        <f>Data_Completeness(MileageData[[#This Row],[MPG]:[Acceleration]])</f>
        <v>1</v>
      </c>
    </row>
    <row r="361" spans="1:12" x14ac:dyDescent="0.25">
      <c r="A361">
        <v>29.9</v>
      </c>
      <c r="B361">
        <v>4</v>
      </c>
      <c r="C361">
        <v>98</v>
      </c>
      <c r="D361">
        <v>65</v>
      </c>
      <c r="E361">
        <v>2380</v>
      </c>
      <c r="F361">
        <v>20.7</v>
      </c>
      <c r="G361">
        <v>81</v>
      </c>
      <c r="H361" t="s">
        <v>1637</v>
      </c>
      <c r="I361" t="s">
        <v>1535</v>
      </c>
      <c r="J361" t="s">
        <v>992</v>
      </c>
      <c r="K361" t="s">
        <v>1536</v>
      </c>
      <c r="L361" t="b">
        <f>Data_Completeness(MileageData[[#This Row],[MPG]:[Acceleration]])</f>
        <v>1</v>
      </c>
    </row>
    <row r="362" spans="1:12" x14ac:dyDescent="0.25">
      <c r="A362">
        <v>33</v>
      </c>
      <c r="B362">
        <v>4</v>
      </c>
      <c r="C362">
        <v>105</v>
      </c>
      <c r="D362">
        <v>74</v>
      </c>
      <c r="E362">
        <v>2190</v>
      </c>
      <c r="F362">
        <v>14.2</v>
      </c>
      <c r="G362">
        <v>81</v>
      </c>
      <c r="H362" t="s">
        <v>1638</v>
      </c>
      <c r="I362" t="s">
        <v>1537</v>
      </c>
      <c r="J362" t="s">
        <v>1039</v>
      </c>
      <c r="K362" t="s">
        <v>1538</v>
      </c>
      <c r="L362" t="b">
        <f>Data_Completeness(MileageData[[#This Row],[MPG]:[Acceleration]])</f>
        <v>1</v>
      </c>
    </row>
    <row r="363" spans="1:12" x14ac:dyDescent="0.25">
      <c r="A363">
        <v>34.5</v>
      </c>
      <c r="B363">
        <v>4</v>
      </c>
      <c r="C363">
        <v>100</v>
      </c>
      <c r="E363">
        <v>2320</v>
      </c>
      <c r="F363">
        <v>15.8</v>
      </c>
      <c r="G363">
        <v>81</v>
      </c>
      <c r="H363" t="s">
        <v>1638</v>
      </c>
      <c r="I363" t="s">
        <v>1539</v>
      </c>
      <c r="J363" t="s">
        <v>1148</v>
      </c>
      <c r="K363" t="s">
        <v>1540</v>
      </c>
      <c r="L363" t="b">
        <f>Data_Completeness(MileageData[[#This Row],[MPG]:[Acceleration]])</f>
        <v>0</v>
      </c>
    </row>
    <row r="364" spans="1:12" x14ac:dyDescent="0.25">
      <c r="A364">
        <v>33.700000000000003</v>
      </c>
      <c r="B364">
        <v>4</v>
      </c>
      <c r="C364">
        <v>107</v>
      </c>
      <c r="D364">
        <v>75</v>
      </c>
      <c r="E364">
        <v>2210</v>
      </c>
      <c r="F364">
        <v>14.4</v>
      </c>
      <c r="G364">
        <v>81</v>
      </c>
      <c r="H364" t="s">
        <v>1639</v>
      </c>
      <c r="I364" t="s">
        <v>1541</v>
      </c>
      <c r="J364" t="s">
        <v>1246</v>
      </c>
      <c r="K364" t="s">
        <v>1542</v>
      </c>
      <c r="L364" t="b">
        <f>Data_Completeness(MileageData[[#This Row],[MPG]:[Acceleration]])</f>
        <v>1</v>
      </c>
    </row>
    <row r="365" spans="1:12" x14ac:dyDescent="0.25">
      <c r="A365">
        <v>32.4</v>
      </c>
      <c r="B365">
        <v>4</v>
      </c>
      <c r="C365">
        <v>108</v>
      </c>
      <c r="D365">
        <v>75</v>
      </c>
      <c r="E365">
        <v>2350</v>
      </c>
      <c r="F365">
        <v>16.8</v>
      </c>
      <c r="G365">
        <v>81</v>
      </c>
      <c r="H365" t="s">
        <v>1639</v>
      </c>
      <c r="I365" t="s">
        <v>1271</v>
      </c>
      <c r="J365" t="s">
        <v>1027</v>
      </c>
      <c r="K365" t="s">
        <v>1272</v>
      </c>
      <c r="L365" t="b">
        <f>Data_Completeness(MileageData[[#This Row],[MPG]:[Acceleration]])</f>
        <v>1</v>
      </c>
    </row>
    <row r="366" spans="1:12" x14ac:dyDescent="0.25">
      <c r="A366">
        <v>32.9</v>
      </c>
      <c r="B366">
        <v>4</v>
      </c>
      <c r="C366">
        <v>119</v>
      </c>
      <c r="D366">
        <v>100</v>
      </c>
      <c r="E366">
        <v>2615</v>
      </c>
      <c r="F366">
        <v>14.8</v>
      </c>
      <c r="G366">
        <v>81</v>
      </c>
      <c r="H366" t="s">
        <v>1639</v>
      </c>
      <c r="I366" t="s">
        <v>1543</v>
      </c>
      <c r="J366" t="s">
        <v>1036</v>
      </c>
      <c r="K366" t="s">
        <v>1544</v>
      </c>
      <c r="L366" t="b">
        <f>Data_Completeness(MileageData[[#This Row],[MPG]:[Acceleration]])</f>
        <v>1</v>
      </c>
    </row>
    <row r="367" spans="1:12" x14ac:dyDescent="0.25">
      <c r="A367">
        <v>31.6</v>
      </c>
      <c r="B367">
        <v>4</v>
      </c>
      <c r="C367">
        <v>120</v>
      </c>
      <c r="D367">
        <v>74</v>
      </c>
      <c r="E367">
        <v>2635</v>
      </c>
      <c r="F367">
        <v>18.3</v>
      </c>
      <c r="G367">
        <v>81</v>
      </c>
      <c r="H367" t="s">
        <v>1639</v>
      </c>
      <c r="I367" t="s">
        <v>1485</v>
      </c>
      <c r="J367" t="s">
        <v>1132</v>
      </c>
      <c r="K367">
        <v>626</v>
      </c>
      <c r="L367" t="b">
        <f>Data_Completeness(MileageData[[#This Row],[MPG]:[Acceleration]])</f>
        <v>1</v>
      </c>
    </row>
    <row r="368" spans="1:12" x14ac:dyDescent="0.25">
      <c r="A368">
        <v>28.1</v>
      </c>
      <c r="B368">
        <v>4</v>
      </c>
      <c r="C368">
        <v>141</v>
      </c>
      <c r="D368">
        <v>80</v>
      </c>
      <c r="E368">
        <v>3230</v>
      </c>
      <c r="F368">
        <v>20.399999999999999</v>
      </c>
      <c r="G368">
        <v>81</v>
      </c>
      <c r="H368" t="s">
        <v>1638</v>
      </c>
      <c r="I368" t="s">
        <v>1545</v>
      </c>
      <c r="J368" t="s">
        <v>1042</v>
      </c>
      <c r="K368" t="s">
        <v>1546</v>
      </c>
      <c r="L368" t="b">
        <f>Data_Completeness(MileageData[[#This Row],[MPG]:[Acceleration]])</f>
        <v>1</v>
      </c>
    </row>
    <row r="369" spans="1:12" x14ac:dyDescent="0.25">
      <c r="B369">
        <v>4</v>
      </c>
      <c r="C369">
        <v>121</v>
      </c>
      <c r="D369">
        <v>110</v>
      </c>
      <c r="E369">
        <v>2800</v>
      </c>
      <c r="F369">
        <v>15.4</v>
      </c>
      <c r="G369">
        <v>81</v>
      </c>
      <c r="H369" t="s">
        <v>1638</v>
      </c>
      <c r="I369" t="s">
        <v>1547</v>
      </c>
      <c r="J369" t="s">
        <v>1047</v>
      </c>
      <c r="K369" t="s">
        <v>1548</v>
      </c>
      <c r="L369" t="b">
        <f>Data_Completeness(MileageData[[#This Row],[MPG]:[Acceleration]])</f>
        <v>0</v>
      </c>
    </row>
    <row r="370" spans="1:12" x14ac:dyDescent="0.25">
      <c r="A370">
        <v>30.7</v>
      </c>
      <c r="B370">
        <v>6</v>
      </c>
      <c r="C370">
        <v>145</v>
      </c>
      <c r="D370">
        <v>76</v>
      </c>
      <c r="E370">
        <v>3160</v>
      </c>
      <c r="F370">
        <v>19.600000000000001</v>
      </c>
      <c r="G370">
        <v>81</v>
      </c>
      <c r="H370" t="s">
        <v>1638</v>
      </c>
      <c r="I370" t="s">
        <v>1549</v>
      </c>
      <c r="J370" t="s">
        <v>1141</v>
      </c>
      <c r="K370" t="s">
        <v>1550</v>
      </c>
      <c r="L370" t="b">
        <f>Data_Completeness(MileageData[[#This Row],[MPG]:[Acceleration]])</f>
        <v>1</v>
      </c>
    </row>
    <row r="371" spans="1:12" x14ac:dyDescent="0.25">
      <c r="A371">
        <v>25.4</v>
      </c>
      <c r="B371">
        <v>6</v>
      </c>
      <c r="C371">
        <v>168</v>
      </c>
      <c r="D371">
        <v>116</v>
      </c>
      <c r="E371">
        <v>2900</v>
      </c>
      <c r="F371">
        <v>12.6</v>
      </c>
      <c r="G371">
        <v>81</v>
      </c>
      <c r="H371" t="s">
        <v>1639</v>
      </c>
      <c r="I371" t="s">
        <v>1551</v>
      </c>
      <c r="J371" t="s">
        <v>1027</v>
      </c>
      <c r="K371" t="s">
        <v>1552</v>
      </c>
      <c r="L371" t="b">
        <f>Data_Completeness(MileageData[[#This Row],[MPG]:[Acceleration]])</f>
        <v>1</v>
      </c>
    </row>
    <row r="372" spans="1:12" x14ac:dyDescent="0.25">
      <c r="A372">
        <v>24.2</v>
      </c>
      <c r="B372">
        <v>6</v>
      </c>
      <c r="C372">
        <v>146</v>
      </c>
      <c r="D372">
        <v>120</v>
      </c>
      <c r="E372">
        <v>2930</v>
      </c>
      <c r="F372">
        <v>13.8</v>
      </c>
      <c r="G372">
        <v>81</v>
      </c>
      <c r="H372" t="s">
        <v>1639</v>
      </c>
      <c r="I372" t="s">
        <v>1553</v>
      </c>
      <c r="J372" t="s">
        <v>1036</v>
      </c>
      <c r="K372" t="s">
        <v>1554</v>
      </c>
      <c r="L372" t="b">
        <f>Data_Completeness(MileageData[[#This Row],[MPG]:[Acceleration]])</f>
        <v>1</v>
      </c>
    </row>
    <row r="373" spans="1:12" x14ac:dyDescent="0.25">
      <c r="A373">
        <v>22.4</v>
      </c>
      <c r="B373">
        <v>6</v>
      </c>
      <c r="C373">
        <v>231</v>
      </c>
      <c r="D373">
        <v>110</v>
      </c>
      <c r="E373">
        <v>3415</v>
      </c>
      <c r="F373">
        <v>15.8</v>
      </c>
      <c r="G373">
        <v>81</v>
      </c>
      <c r="H373" t="s">
        <v>1637</v>
      </c>
      <c r="I373" t="s">
        <v>1259</v>
      </c>
      <c r="J373" t="s">
        <v>983</v>
      </c>
      <c r="K373" t="s">
        <v>1260</v>
      </c>
      <c r="L373" t="b">
        <f>Data_Completeness(MileageData[[#This Row],[MPG]:[Acceleration]])</f>
        <v>1</v>
      </c>
    </row>
    <row r="374" spans="1:12" x14ac:dyDescent="0.25">
      <c r="A374">
        <v>26.6</v>
      </c>
      <c r="B374">
        <v>8</v>
      </c>
      <c r="C374">
        <v>350</v>
      </c>
      <c r="D374">
        <v>105</v>
      </c>
      <c r="E374">
        <v>3725</v>
      </c>
      <c r="F374">
        <v>19</v>
      </c>
      <c r="G374">
        <v>81</v>
      </c>
      <c r="H374" t="s">
        <v>1637</v>
      </c>
      <c r="I374" t="s">
        <v>1555</v>
      </c>
      <c r="J374" t="s">
        <v>1126</v>
      </c>
      <c r="K374" t="s">
        <v>1556</v>
      </c>
      <c r="L374" t="b">
        <f>Data_Completeness(MileageData[[#This Row],[MPG]:[Acceleration]])</f>
        <v>1</v>
      </c>
    </row>
    <row r="375" spans="1:12" x14ac:dyDescent="0.25">
      <c r="A375">
        <v>20.2</v>
      </c>
      <c r="B375">
        <v>6</v>
      </c>
      <c r="C375">
        <v>200</v>
      </c>
      <c r="D375">
        <v>88</v>
      </c>
      <c r="E375">
        <v>3060</v>
      </c>
      <c r="F375">
        <v>17.100000000000001</v>
      </c>
      <c r="G375">
        <v>81</v>
      </c>
      <c r="H375" t="s">
        <v>1637</v>
      </c>
      <c r="I375" t="s">
        <v>1557</v>
      </c>
      <c r="J375" t="s">
        <v>992</v>
      </c>
      <c r="K375" t="s">
        <v>1558</v>
      </c>
      <c r="L375" t="b">
        <f>Data_Completeness(MileageData[[#This Row],[MPG]:[Acceleration]])</f>
        <v>1</v>
      </c>
    </row>
    <row r="376" spans="1:12" x14ac:dyDescent="0.25">
      <c r="A376">
        <v>17.600000000000001</v>
      </c>
      <c r="B376">
        <v>6</v>
      </c>
      <c r="C376">
        <v>225</v>
      </c>
      <c r="D376">
        <v>85</v>
      </c>
      <c r="E376">
        <v>3465</v>
      </c>
      <c r="F376">
        <v>16.600000000000001</v>
      </c>
      <c r="G376">
        <v>81</v>
      </c>
      <c r="H376" t="s">
        <v>1637</v>
      </c>
      <c r="I376" t="s">
        <v>1559</v>
      </c>
      <c r="J376" t="s">
        <v>1129</v>
      </c>
      <c r="K376" t="s">
        <v>1560</v>
      </c>
      <c r="L376" t="b">
        <f>Data_Completeness(MileageData[[#This Row],[MPG]:[Acceleration]])</f>
        <v>1</v>
      </c>
    </row>
    <row r="377" spans="1:12" x14ac:dyDescent="0.25">
      <c r="A377">
        <v>28</v>
      </c>
      <c r="B377">
        <v>4</v>
      </c>
      <c r="C377">
        <v>112</v>
      </c>
      <c r="D377">
        <v>88</v>
      </c>
      <c r="E377">
        <v>2605</v>
      </c>
      <c r="F377">
        <v>19.600000000000001</v>
      </c>
      <c r="G377">
        <v>82</v>
      </c>
      <c r="H377" t="s">
        <v>1637</v>
      </c>
      <c r="I377" t="s">
        <v>1561</v>
      </c>
      <c r="J377" t="s">
        <v>980</v>
      </c>
      <c r="K377" t="s">
        <v>1562</v>
      </c>
      <c r="L377" t="b">
        <f>Data_Completeness(MileageData[[#This Row],[MPG]:[Acceleration]])</f>
        <v>1</v>
      </c>
    </row>
    <row r="378" spans="1:12" x14ac:dyDescent="0.25">
      <c r="A378">
        <v>27</v>
      </c>
      <c r="B378">
        <v>4</v>
      </c>
      <c r="C378">
        <v>112</v>
      </c>
      <c r="D378">
        <v>88</v>
      </c>
      <c r="E378">
        <v>2640</v>
      </c>
      <c r="F378">
        <v>18.600000000000001</v>
      </c>
      <c r="G378">
        <v>82</v>
      </c>
      <c r="H378" t="s">
        <v>1637</v>
      </c>
      <c r="I378" t="s">
        <v>1563</v>
      </c>
      <c r="J378" t="s">
        <v>980</v>
      </c>
      <c r="K378" t="s">
        <v>1564</v>
      </c>
      <c r="L378" t="b">
        <f>Data_Completeness(MileageData[[#This Row],[MPG]:[Acceleration]])</f>
        <v>1</v>
      </c>
    </row>
    <row r="379" spans="1:12" x14ac:dyDescent="0.25">
      <c r="A379">
        <v>34</v>
      </c>
      <c r="B379">
        <v>4</v>
      </c>
      <c r="C379">
        <v>112</v>
      </c>
      <c r="D379">
        <v>88</v>
      </c>
      <c r="E379">
        <v>2395</v>
      </c>
      <c r="F379">
        <v>18</v>
      </c>
      <c r="G379">
        <v>82</v>
      </c>
      <c r="H379" t="s">
        <v>1637</v>
      </c>
      <c r="I379" t="s">
        <v>1565</v>
      </c>
      <c r="J379" t="s">
        <v>980</v>
      </c>
      <c r="K379" t="s">
        <v>1566</v>
      </c>
      <c r="L379" t="b">
        <f>Data_Completeness(MileageData[[#This Row],[MPG]:[Acceleration]])</f>
        <v>1</v>
      </c>
    </row>
    <row r="380" spans="1:12" x14ac:dyDescent="0.25">
      <c r="A380">
        <v>31</v>
      </c>
      <c r="B380">
        <v>4</v>
      </c>
      <c r="C380">
        <v>112</v>
      </c>
      <c r="D380">
        <v>85</v>
      </c>
      <c r="E380">
        <v>2575</v>
      </c>
      <c r="F380">
        <v>16.2</v>
      </c>
      <c r="G380">
        <v>82</v>
      </c>
      <c r="H380" t="s">
        <v>1637</v>
      </c>
      <c r="I380" t="s">
        <v>1567</v>
      </c>
      <c r="J380" t="s">
        <v>1001</v>
      </c>
      <c r="K380" t="s">
        <v>1568</v>
      </c>
      <c r="L380" t="b">
        <f>Data_Completeness(MileageData[[#This Row],[MPG]:[Acceleration]])</f>
        <v>1</v>
      </c>
    </row>
    <row r="381" spans="1:12" x14ac:dyDescent="0.25">
      <c r="A381">
        <v>29</v>
      </c>
      <c r="B381">
        <v>4</v>
      </c>
      <c r="C381">
        <v>135</v>
      </c>
      <c r="D381">
        <v>84</v>
      </c>
      <c r="E381">
        <v>2525</v>
      </c>
      <c r="F381">
        <v>16</v>
      </c>
      <c r="G381">
        <v>82</v>
      </c>
      <c r="H381" t="s">
        <v>1637</v>
      </c>
      <c r="I381" t="s">
        <v>1569</v>
      </c>
      <c r="J381" t="s">
        <v>1017</v>
      </c>
      <c r="K381" t="s">
        <v>1570</v>
      </c>
      <c r="L381" t="b">
        <f>Data_Completeness(MileageData[[#This Row],[MPG]:[Acceleration]])</f>
        <v>1</v>
      </c>
    </row>
    <row r="382" spans="1:12" x14ac:dyDescent="0.25">
      <c r="A382">
        <v>27</v>
      </c>
      <c r="B382">
        <v>4</v>
      </c>
      <c r="C382">
        <v>151</v>
      </c>
      <c r="D382">
        <v>90</v>
      </c>
      <c r="E382">
        <v>2735</v>
      </c>
      <c r="F382">
        <v>18</v>
      </c>
      <c r="G382">
        <v>82</v>
      </c>
      <c r="H382" t="s">
        <v>1637</v>
      </c>
      <c r="I382" t="s">
        <v>1475</v>
      </c>
      <c r="J382" t="s">
        <v>1001</v>
      </c>
      <c r="K382" t="s">
        <v>1476</v>
      </c>
      <c r="L382" t="b">
        <f>Data_Completeness(MileageData[[#This Row],[MPG]:[Acceleration]])</f>
        <v>1</v>
      </c>
    </row>
    <row r="383" spans="1:12" x14ac:dyDescent="0.25">
      <c r="A383">
        <v>24</v>
      </c>
      <c r="B383">
        <v>4</v>
      </c>
      <c r="C383">
        <v>140</v>
      </c>
      <c r="D383">
        <v>92</v>
      </c>
      <c r="E383">
        <v>2865</v>
      </c>
      <c r="F383">
        <v>16.399999999999999</v>
      </c>
      <c r="G383">
        <v>82</v>
      </c>
      <c r="H383" t="s">
        <v>1637</v>
      </c>
      <c r="I383" t="s">
        <v>1571</v>
      </c>
      <c r="J383" t="s">
        <v>992</v>
      </c>
      <c r="K383" t="s">
        <v>1572</v>
      </c>
      <c r="L383" t="b">
        <f>Data_Completeness(MileageData[[#This Row],[MPG]:[Acceleration]])</f>
        <v>1</v>
      </c>
    </row>
    <row r="384" spans="1:12" x14ac:dyDescent="0.25">
      <c r="A384">
        <v>23</v>
      </c>
      <c r="B384">
        <v>4</v>
      </c>
      <c r="C384">
        <v>151</v>
      </c>
      <c r="E384">
        <v>3035</v>
      </c>
      <c r="F384">
        <v>20.5</v>
      </c>
      <c r="G384">
        <v>82</v>
      </c>
      <c r="H384" t="s">
        <v>1637</v>
      </c>
      <c r="I384" t="s">
        <v>1573</v>
      </c>
      <c r="J384" t="s">
        <v>989</v>
      </c>
      <c r="K384" t="s">
        <v>1574</v>
      </c>
      <c r="L384" t="b">
        <f>Data_Completeness(MileageData[[#This Row],[MPG]:[Acceleration]])</f>
        <v>0</v>
      </c>
    </row>
    <row r="385" spans="1:12" x14ac:dyDescent="0.25">
      <c r="A385">
        <v>36</v>
      </c>
      <c r="B385">
        <v>4</v>
      </c>
      <c r="C385">
        <v>105</v>
      </c>
      <c r="D385">
        <v>74</v>
      </c>
      <c r="E385">
        <v>1980</v>
      </c>
      <c r="F385">
        <v>15.3</v>
      </c>
      <c r="G385">
        <v>82</v>
      </c>
      <c r="H385" t="s">
        <v>1638</v>
      </c>
      <c r="I385" t="s">
        <v>1575</v>
      </c>
      <c r="J385" t="s">
        <v>1039</v>
      </c>
      <c r="K385" t="s">
        <v>1576</v>
      </c>
      <c r="L385" t="b">
        <f>Data_Completeness(MileageData[[#This Row],[MPG]:[Acceleration]])</f>
        <v>1</v>
      </c>
    </row>
    <row r="386" spans="1:12" x14ac:dyDescent="0.25">
      <c r="A386">
        <v>37</v>
      </c>
      <c r="B386">
        <v>4</v>
      </c>
      <c r="C386">
        <v>91</v>
      </c>
      <c r="D386">
        <v>68</v>
      </c>
      <c r="E386">
        <v>2025</v>
      </c>
      <c r="F386">
        <v>18.2</v>
      </c>
      <c r="G386">
        <v>82</v>
      </c>
      <c r="H386" t="s">
        <v>1639</v>
      </c>
      <c r="I386" t="s">
        <v>1577</v>
      </c>
      <c r="J386" t="s">
        <v>1132</v>
      </c>
      <c r="K386" t="s">
        <v>1578</v>
      </c>
      <c r="L386" t="b">
        <f>Data_Completeness(MileageData[[#This Row],[MPG]:[Acceleration]])</f>
        <v>1</v>
      </c>
    </row>
    <row r="387" spans="1:12" x14ac:dyDescent="0.25">
      <c r="A387">
        <v>31</v>
      </c>
      <c r="B387">
        <v>4</v>
      </c>
      <c r="C387">
        <v>91</v>
      </c>
      <c r="D387">
        <v>68</v>
      </c>
      <c r="E387">
        <v>1970</v>
      </c>
      <c r="F387">
        <v>17.600000000000001</v>
      </c>
      <c r="G387">
        <v>82</v>
      </c>
      <c r="H387" t="s">
        <v>1639</v>
      </c>
      <c r="I387" t="s">
        <v>1579</v>
      </c>
      <c r="J387" t="s">
        <v>1132</v>
      </c>
      <c r="K387" t="s">
        <v>1580</v>
      </c>
      <c r="L387" t="b">
        <f>Data_Completeness(MileageData[[#This Row],[MPG]:[Acceleration]])</f>
        <v>1</v>
      </c>
    </row>
    <row r="388" spans="1:12" x14ac:dyDescent="0.25">
      <c r="A388">
        <v>38</v>
      </c>
      <c r="B388">
        <v>4</v>
      </c>
      <c r="C388">
        <v>105</v>
      </c>
      <c r="D388">
        <v>63</v>
      </c>
      <c r="E388">
        <v>2125</v>
      </c>
      <c r="F388">
        <v>14.7</v>
      </c>
      <c r="G388">
        <v>82</v>
      </c>
      <c r="H388" t="s">
        <v>1637</v>
      </c>
      <c r="I388" t="s">
        <v>1581</v>
      </c>
      <c r="J388" t="s">
        <v>986</v>
      </c>
      <c r="K388" t="s">
        <v>1582</v>
      </c>
      <c r="L388" t="b">
        <f>Data_Completeness(MileageData[[#This Row],[MPG]:[Acceleration]])</f>
        <v>1</v>
      </c>
    </row>
    <row r="389" spans="1:12" x14ac:dyDescent="0.25">
      <c r="A389">
        <v>36</v>
      </c>
      <c r="B389">
        <v>4</v>
      </c>
      <c r="C389">
        <v>98</v>
      </c>
      <c r="D389">
        <v>70</v>
      </c>
      <c r="E389">
        <v>2125</v>
      </c>
      <c r="F389">
        <v>17.3</v>
      </c>
      <c r="G389">
        <v>82</v>
      </c>
      <c r="H389" t="s">
        <v>1637</v>
      </c>
      <c r="I389" t="s">
        <v>1583</v>
      </c>
      <c r="J389" t="s">
        <v>1094</v>
      </c>
      <c r="K389" t="s">
        <v>1584</v>
      </c>
      <c r="L389" t="b">
        <f>Data_Completeness(MileageData[[#This Row],[MPG]:[Acceleration]])</f>
        <v>1</v>
      </c>
    </row>
    <row r="390" spans="1:12" x14ac:dyDescent="0.25">
      <c r="A390">
        <v>36</v>
      </c>
      <c r="B390">
        <v>4</v>
      </c>
      <c r="C390">
        <v>120</v>
      </c>
      <c r="D390">
        <v>88</v>
      </c>
      <c r="E390">
        <v>2160</v>
      </c>
      <c r="F390">
        <v>14.5</v>
      </c>
      <c r="G390">
        <v>82</v>
      </c>
      <c r="H390" t="s">
        <v>1639</v>
      </c>
      <c r="I390" t="s">
        <v>1585</v>
      </c>
      <c r="J390" t="s">
        <v>1586</v>
      </c>
      <c r="K390" t="s">
        <v>1587</v>
      </c>
      <c r="L390" t="b">
        <f>Data_Completeness(MileageData[[#This Row],[MPG]:[Acceleration]])</f>
        <v>1</v>
      </c>
    </row>
    <row r="391" spans="1:12" x14ac:dyDescent="0.25">
      <c r="A391">
        <v>36</v>
      </c>
      <c r="B391">
        <v>4</v>
      </c>
      <c r="C391">
        <v>107</v>
      </c>
      <c r="D391">
        <v>75</v>
      </c>
      <c r="E391">
        <v>2205</v>
      </c>
      <c r="F391">
        <v>14.5</v>
      </c>
      <c r="G391">
        <v>82</v>
      </c>
      <c r="H391" t="s">
        <v>1639</v>
      </c>
      <c r="I391" t="s">
        <v>1513</v>
      </c>
      <c r="J391" t="s">
        <v>1246</v>
      </c>
      <c r="K391" t="s">
        <v>1514</v>
      </c>
      <c r="L391" t="b">
        <f>Data_Completeness(MileageData[[#This Row],[MPG]:[Acceleration]])</f>
        <v>1</v>
      </c>
    </row>
    <row r="392" spans="1:12" x14ac:dyDescent="0.25">
      <c r="A392">
        <v>34</v>
      </c>
      <c r="B392">
        <v>4</v>
      </c>
      <c r="C392">
        <v>108</v>
      </c>
      <c r="D392">
        <v>70</v>
      </c>
      <c r="E392">
        <v>2245</v>
      </c>
      <c r="F392">
        <v>16.899999999999999</v>
      </c>
      <c r="G392">
        <v>82</v>
      </c>
      <c r="H392" t="s">
        <v>1639</v>
      </c>
      <c r="I392" t="s">
        <v>1271</v>
      </c>
      <c r="J392" t="s">
        <v>1027</v>
      </c>
      <c r="K392" t="s">
        <v>1272</v>
      </c>
      <c r="L392" t="b">
        <f>Data_Completeness(MileageData[[#This Row],[MPG]:[Acceleration]])</f>
        <v>1</v>
      </c>
    </row>
    <row r="393" spans="1:12" x14ac:dyDescent="0.25">
      <c r="A393">
        <v>38</v>
      </c>
      <c r="B393">
        <v>4</v>
      </c>
      <c r="C393">
        <v>91</v>
      </c>
      <c r="D393">
        <v>67</v>
      </c>
      <c r="E393">
        <v>1965</v>
      </c>
      <c r="F393">
        <v>15</v>
      </c>
      <c r="G393">
        <v>82</v>
      </c>
      <c r="H393" t="s">
        <v>1639</v>
      </c>
      <c r="I393" t="s">
        <v>1245</v>
      </c>
      <c r="J393" t="s">
        <v>1246</v>
      </c>
      <c r="K393" t="s">
        <v>1247</v>
      </c>
      <c r="L393" t="b">
        <f>Data_Completeness(MileageData[[#This Row],[MPG]:[Acceleration]])</f>
        <v>1</v>
      </c>
    </row>
    <row r="394" spans="1:12" x14ac:dyDescent="0.25">
      <c r="A394">
        <v>32</v>
      </c>
      <c r="B394">
        <v>4</v>
      </c>
      <c r="C394">
        <v>91</v>
      </c>
      <c r="D394">
        <v>67</v>
      </c>
      <c r="E394">
        <v>1965</v>
      </c>
      <c r="F394">
        <v>15.7</v>
      </c>
      <c r="G394">
        <v>82</v>
      </c>
      <c r="H394" t="s">
        <v>1639</v>
      </c>
      <c r="I394" t="s">
        <v>1588</v>
      </c>
      <c r="J394" t="s">
        <v>1246</v>
      </c>
      <c r="K394" t="s">
        <v>1589</v>
      </c>
      <c r="L394" t="b">
        <f>Data_Completeness(MileageData[[#This Row],[MPG]:[Acceleration]])</f>
        <v>1</v>
      </c>
    </row>
    <row r="395" spans="1:12" x14ac:dyDescent="0.25">
      <c r="A395">
        <v>38</v>
      </c>
      <c r="B395">
        <v>4</v>
      </c>
      <c r="C395">
        <v>91</v>
      </c>
      <c r="D395">
        <v>67</v>
      </c>
      <c r="E395">
        <v>1995</v>
      </c>
      <c r="F395">
        <v>16.2</v>
      </c>
      <c r="G395">
        <v>82</v>
      </c>
      <c r="H395" t="s">
        <v>1639</v>
      </c>
      <c r="I395" t="s">
        <v>1590</v>
      </c>
      <c r="J395" t="s">
        <v>1036</v>
      </c>
      <c r="K395" t="s">
        <v>1591</v>
      </c>
      <c r="L395" t="b">
        <f>Data_Completeness(MileageData[[#This Row],[MPG]:[Acceleration]])</f>
        <v>1</v>
      </c>
    </row>
    <row r="396" spans="1:12" x14ac:dyDescent="0.25">
      <c r="A396">
        <v>25</v>
      </c>
      <c r="B396">
        <v>6</v>
      </c>
      <c r="C396">
        <v>181</v>
      </c>
      <c r="D396">
        <v>110</v>
      </c>
      <c r="E396">
        <v>2945</v>
      </c>
      <c r="F396">
        <v>16.399999999999999</v>
      </c>
      <c r="G396">
        <v>82</v>
      </c>
      <c r="H396" t="s">
        <v>1637</v>
      </c>
      <c r="I396" t="s">
        <v>1592</v>
      </c>
      <c r="J396" t="s">
        <v>983</v>
      </c>
      <c r="K396" t="s">
        <v>1593</v>
      </c>
      <c r="L396" t="b">
        <f>Data_Completeness(MileageData[[#This Row],[MPG]:[Acceleration]])</f>
        <v>1</v>
      </c>
    </row>
    <row r="397" spans="1:12" x14ac:dyDescent="0.25">
      <c r="A397">
        <v>38</v>
      </c>
      <c r="B397">
        <v>6</v>
      </c>
      <c r="C397">
        <v>262</v>
      </c>
      <c r="D397">
        <v>85</v>
      </c>
      <c r="E397">
        <v>3015</v>
      </c>
      <c r="F397">
        <v>17</v>
      </c>
      <c r="G397">
        <v>82</v>
      </c>
      <c r="H397" t="s">
        <v>1637</v>
      </c>
      <c r="I397" t="s">
        <v>1594</v>
      </c>
      <c r="J397" t="s">
        <v>1126</v>
      </c>
      <c r="K397" t="s">
        <v>1595</v>
      </c>
      <c r="L397" t="b">
        <f>Data_Completeness(MileageData[[#This Row],[MPG]:[Acceleration]])</f>
        <v>1</v>
      </c>
    </row>
    <row r="398" spans="1:12" x14ac:dyDescent="0.25">
      <c r="A398">
        <v>26</v>
      </c>
      <c r="B398">
        <v>4</v>
      </c>
      <c r="C398">
        <v>156</v>
      </c>
      <c r="D398">
        <v>92</v>
      </c>
      <c r="E398">
        <v>2585</v>
      </c>
      <c r="F398">
        <v>14.5</v>
      </c>
      <c r="G398">
        <v>82</v>
      </c>
      <c r="H398" t="s">
        <v>1637</v>
      </c>
      <c r="I398" t="s">
        <v>1596</v>
      </c>
      <c r="J398" t="s">
        <v>1129</v>
      </c>
      <c r="K398" t="s">
        <v>1597</v>
      </c>
      <c r="L398" t="b">
        <f>Data_Completeness(MileageData[[#This Row],[MPG]:[Acceleration]])</f>
        <v>1</v>
      </c>
    </row>
    <row r="399" spans="1:12" x14ac:dyDescent="0.25">
      <c r="A399">
        <v>22</v>
      </c>
      <c r="B399">
        <v>6</v>
      </c>
      <c r="C399">
        <v>232</v>
      </c>
      <c r="D399">
        <v>112</v>
      </c>
      <c r="E399">
        <v>2835</v>
      </c>
      <c r="F399">
        <v>14.7</v>
      </c>
      <c r="G399">
        <v>82</v>
      </c>
      <c r="H399" t="s">
        <v>1637</v>
      </c>
      <c r="I399" t="s">
        <v>1598</v>
      </c>
      <c r="J399" t="s">
        <v>992</v>
      </c>
      <c r="K399" t="s">
        <v>1599</v>
      </c>
      <c r="L399" t="b">
        <f>Data_Completeness(MileageData[[#This Row],[MPG]:[Acceleration]])</f>
        <v>1</v>
      </c>
    </row>
    <row r="400" spans="1:12" x14ac:dyDescent="0.25">
      <c r="A400">
        <v>32</v>
      </c>
      <c r="B400">
        <v>4</v>
      </c>
      <c r="C400">
        <v>144</v>
      </c>
      <c r="D400">
        <v>96</v>
      </c>
      <c r="E400">
        <v>2665</v>
      </c>
      <c r="F400">
        <v>13.9</v>
      </c>
      <c r="G400">
        <v>82</v>
      </c>
      <c r="H400" t="s">
        <v>1639</v>
      </c>
      <c r="I400" t="s">
        <v>1600</v>
      </c>
      <c r="J400" t="s">
        <v>1027</v>
      </c>
      <c r="K400" t="s">
        <v>1601</v>
      </c>
      <c r="L400" t="b">
        <f>Data_Completeness(MileageData[[#This Row],[MPG]:[Acceleration]])</f>
        <v>1</v>
      </c>
    </row>
    <row r="401" spans="1:12" x14ac:dyDescent="0.25">
      <c r="A401">
        <v>36</v>
      </c>
      <c r="B401">
        <v>4</v>
      </c>
      <c r="C401">
        <v>135</v>
      </c>
      <c r="D401">
        <v>84</v>
      </c>
      <c r="E401">
        <v>2370</v>
      </c>
      <c r="F401">
        <v>13</v>
      </c>
      <c r="G401">
        <v>82</v>
      </c>
      <c r="H401" t="s">
        <v>1637</v>
      </c>
      <c r="I401" t="s">
        <v>1602</v>
      </c>
      <c r="J401" t="s">
        <v>1017</v>
      </c>
      <c r="K401" t="s">
        <v>1603</v>
      </c>
      <c r="L401" t="b">
        <f>Data_Completeness(MileageData[[#This Row],[MPG]:[Acceleration]])</f>
        <v>1</v>
      </c>
    </row>
    <row r="402" spans="1:12" x14ac:dyDescent="0.25">
      <c r="A402">
        <v>27</v>
      </c>
      <c r="B402">
        <v>4</v>
      </c>
      <c r="C402">
        <v>151</v>
      </c>
      <c r="D402">
        <v>90</v>
      </c>
      <c r="E402">
        <v>2950</v>
      </c>
      <c r="F402">
        <v>17.3</v>
      </c>
      <c r="G402">
        <v>82</v>
      </c>
      <c r="H402" t="s">
        <v>1637</v>
      </c>
      <c r="I402" t="s">
        <v>1604</v>
      </c>
      <c r="J402" t="s">
        <v>980</v>
      </c>
      <c r="K402" t="s">
        <v>1605</v>
      </c>
      <c r="L402" t="b">
        <f>Data_Completeness(MileageData[[#This Row],[MPG]:[Acceleration]])</f>
        <v>1</v>
      </c>
    </row>
    <row r="403" spans="1:12" x14ac:dyDescent="0.25">
      <c r="A403">
        <v>27</v>
      </c>
      <c r="B403">
        <v>4</v>
      </c>
      <c r="C403">
        <v>140</v>
      </c>
      <c r="D403">
        <v>86</v>
      </c>
      <c r="E403">
        <v>2790</v>
      </c>
      <c r="F403">
        <v>15.6</v>
      </c>
      <c r="G403">
        <v>82</v>
      </c>
      <c r="H403" t="s">
        <v>1637</v>
      </c>
      <c r="I403" t="s">
        <v>1606</v>
      </c>
      <c r="J403" t="s">
        <v>992</v>
      </c>
      <c r="K403" t="s">
        <v>1607</v>
      </c>
      <c r="L403" t="b">
        <f>Data_Completeness(MileageData[[#This Row],[MPG]:[Acceleration]])</f>
        <v>1</v>
      </c>
    </row>
    <row r="404" spans="1:12" x14ac:dyDescent="0.25">
      <c r="A404">
        <v>44</v>
      </c>
      <c r="B404">
        <v>4</v>
      </c>
      <c r="C404">
        <v>97</v>
      </c>
      <c r="D404">
        <v>52</v>
      </c>
      <c r="E404">
        <v>2130</v>
      </c>
      <c r="F404">
        <v>24.6</v>
      </c>
      <c r="G404">
        <v>82</v>
      </c>
      <c r="H404" t="s">
        <v>1638</v>
      </c>
      <c r="I404" t="s">
        <v>1608</v>
      </c>
      <c r="J404" t="s">
        <v>1296</v>
      </c>
      <c r="K404" t="s">
        <v>1609</v>
      </c>
      <c r="L404" t="b">
        <f>Data_Completeness(MileageData[[#This Row],[MPG]:[Acceleration]])</f>
        <v>1</v>
      </c>
    </row>
    <row r="405" spans="1:12" x14ac:dyDescent="0.25">
      <c r="A405">
        <v>32</v>
      </c>
      <c r="B405">
        <v>4</v>
      </c>
      <c r="C405">
        <v>135</v>
      </c>
      <c r="D405">
        <v>84</v>
      </c>
      <c r="E405">
        <v>2295</v>
      </c>
      <c r="F405">
        <v>11.6</v>
      </c>
      <c r="G405">
        <v>82</v>
      </c>
      <c r="H405" t="s">
        <v>1637</v>
      </c>
      <c r="I405" t="s">
        <v>1610</v>
      </c>
      <c r="J405" t="s">
        <v>1017</v>
      </c>
      <c r="K405" t="s">
        <v>1611</v>
      </c>
      <c r="L405" t="b">
        <f>Data_Completeness(MileageData[[#This Row],[MPG]:[Acceleration]])</f>
        <v>1</v>
      </c>
    </row>
    <row r="406" spans="1:12" x14ac:dyDescent="0.25">
      <c r="A406">
        <v>28</v>
      </c>
      <c r="B406">
        <v>4</v>
      </c>
      <c r="C406">
        <v>120</v>
      </c>
      <c r="D406">
        <v>79</v>
      </c>
      <c r="E406">
        <v>2625</v>
      </c>
      <c r="F406">
        <v>18.600000000000001</v>
      </c>
      <c r="G406">
        <v>82</v>
      </c>
      <c r="H406" t="s">
        <v>1637</v>
      </c>
      <c r="I406" t="s">
        <v>1612</v>
      </c>
      <c r="J406" t="s">
        <v>992</v>
      </c>
      <c r="K406" t="s">
        <v>1613</v>
      </c>
      <c r="L406" t="b">
        <f>Data_Completeness(MileageData[[#This Row],[MPG]:[Acceleration]])</f>
        <v>1</v>
      </c>
    </row>
    <row r="407" spans="1:12" x14ac:dyDescent="0.25">
      <c r="A407">
        <v>31</v>
      </c>
      <c r="B407">
        <v>4</v>
      </c>
      <c r="C407">
        <v>119</v>
      </c>
      <c r="D407">
        <v>82</v>
      </c>
      <c r="E407">
        <v>2720</v>
      </c>
      <c r="F407">
        <v>19.399999999999999</v>
      </c>
      <c r="G407">
        <v>82</v>
      </c>
      <c r="H407" t="s">
        <v>1637</v>
      </c>
      <c r="I407" t="s">
        <v>1614</v>
      </c>
      <c r="J407" t="s">
        <v>1056</v>
      </c>
      <c r="K407" t="s">
        <v>1615</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886</v>
      </c>
      <c r="D2" s="6" t="s">
        <v>647</v>
      </c>
    </row>
    <row r="3" spans="1:4" ht="105" x14ac:dyDescent="0.25">
      <c r="A3" t="s">
        <v>648</v>
      </c>
      <c r="B3" s="18">
        <v>46189</v>
      </c>
      <c r="C3" t="s">
        <v>888</v>
      </c>
      <c r="D3" s="2" t="s">
        <v>649</v>
      </c>
    </row>
    <row r="4" spans="1:4" ht="105" x14ac:dyDescent="0.25">
      <c r="A4" t="s">
        <v>887</v>
      </c>
      <c r="B4" s="18">
        <v>46202</v>
      </c>
      <c r="C4" t="s">
        <v>888</v>
      </c>
      <c r="D4" s="2" t="s">
        <v>833</v>
      </c>
    </row>
    <row r="5" spans="1:4" ht="105" x14ac:dyDescent="0.25">
      <c r="A5" t="s">
        <v>889</v>
      </c>
      <c r="B5" s="18">
        <v>46206</v>
      </c>
      <c r="C5" t="s">
        <v>888</v>
      </c>
      <c r="D5" s="2" t="s">
        <v>890</v>
      </c>
    </row>
    <row r="6" spans="1:4" ht="150" x14ac:dyDescent="0.25">
      <c r="A6" t="s">
        <v>832</v>
      </c>
      <c r="B6" s="18">
        <v>46208</v>
      </c>
      <c r="C6" t="s">
        <v>891</v>
      </c>
      <c r="D6" s="2" t="s">
        <v>958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878</v>
      </c>
    </row>
    <row r="3" spans="1:1" ht="30" x14ac:dyDescent="0.25">
      <c r="A3" s="2" t="s">
        <v>558</v>
      </c>
    </row>
    <row r="5" spans="1:1" x14ac:dyDescent="0.25">
      <c r="A5" s="4" t="s">
        <v>879</v>
      </c>
    </row>
    <row r="6" spans="1:1" ht="75" x14ac:dyDescent="0.25">
      <c r="A6" s="2" t="s">
        <v>1629</v>
      </c>
    </row>
    <row r="8" spans="1:1" x14ac:dyDescent="0.25">
      <c r="A8" s="4" t="s">
        <v>1640</v>
      </c>
    </row>
    <row r="9" spans="1:1" ht="135" x14ac:dyDescent="0.25">
      <c r="A9" s="2" t="s">
        <v>880</v>
      </c>
    </row>
    <row r="10" spans="1:1" ht="90" x14ac:dyDescent="0.25">
      <c r="A10" s="2" t="s">
        <v>881</v>
      </c>
    </row>
    <row r="11" spans="1:1" ht="150" x14ac:dyDescent="0.25">
      <c r="A11" s="2" t="s">
        <v>966</v>
      </c>
    </row>
    <row r="13" spans="1:1" x14ac:dyDescent="0.25">
      <c r="A13" s="4" t="s">
        <v>882</v>
      </c>
    </row>
    <row r="14" spans="1:1" ht="45" x14ac:dyDescent="0.25">
      <c r="A14" s="2" t="s">
        <v>883</v>
      </c>
    </row>
    <row r="16" spans="1:1" x14ac:dyDescent="0.25">
      <c r="A16" s="4" t="s">
        <v>884</v>
      </c>
    </row>
    <row r="17" spans="1:1" ht="60" x14ac:dyDescent="0.25">
      <c r="A17" s="2" t="s">
        <v>885</v>
      </c>
    </row>
    <row r="19" spans="1:1" x14ac:dyDescent="0.25">
      <c r="A19" s="4" t="s">
        <v>559</v>
      </c>
    </row>
    <row r="20" spans="1:1" ht="120" x14ac:dyDescent="0.25">
      <c r="A20" s="2" t="s">
        <v>1756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V394"/>
  <sheetViews>
    <sheetView tabSelected="1" zoomScaleNormal="100" workbookViewId="0">
      <pane ySplit="2" topLeftCell="A3" activePane="bottomLeft" state="frozenSplit"/>
      <selection pane="bottomLeft" activeCell="C2" sqref="C2"/>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5.140625" bestFit="1" customWidth="1" outlineLevel="1"/>
    <col min="11" max="11" width="10.140625" bestFit="1"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875</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963</v>
      </c>
      <c r="J1" s="3" t="s">
        <v>1757</v>
      </c>
      <c r="K1" s="3" t="s">
        <v>1758</v>
      </c>
      <c r="L1" s="3" t="s">
        <v>1759</v>
      </c>
      <c r="M1" s="3" t="s">
        <v>961</v>
      </c>
      <c r="N1" s="3" t="s">
        <v>962</v>
      </c>
      <c r="P1" s="4" t="s">
        <v>650</v>
      </c>
      <c r="X1" s="4" t="s">
        <v>653</v>
      </c>
      <c r="AG1" s="35" t="s">
        <v>677</v>
      </c>
      <c r="AH1" s="36"/>
      <c r="AK1" s="4" t="s">
        <v>686</v>
      </c>
    </row>
    <row r="2" spans="1:48"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Effects",_xlfn.TAKE(Spec_Role,COLUMNS(Source_Data)))),"n/a"))</f>
        <v>Cylinders</v>
      </c>
      <c r="K2" cm="1">
        <f t="array" ref="K2">IF(SUMPRODUCT(N(_xlfn.TAKE(Spec_Role,COLUMNS(Source_Data))="Fixed Effects"))=0,"n/a",Absorbed_Degrees_Of_Freedom()+1)</f>
        <v>5</v>
      </c>
      <c r="L2" cm="1">
        <f t="array" ref="L2">IF(SUMPRODUCT(N(_xlfn.TAKE(Spec_Role,COLUMNS(Source_Data))="Fixed Effects"))=0,"n/a",Absorbed_Degrees_Of_Freedom())</f>
        <v>4</v>
      </c>
      <c r="M2" cm="1">
        <f t="array" ref="M2:N10">IFERROR(Sequence_Delta_Spectrum(),"")</f>
        <v>1</v>
      </c>
      <c r="N2">
        <v>44</v>
      </c>
      <c r="P2" s="26"/>
      <c r="Q2" s="26" t="s">
        <v>651</v>
      </c>
      <c r="R2" s="26" t="s">
        <v>652</v>
      </c>
      <c r="S2" s="26" t="s">
        <v>219</v>
      </c>
      <c r="T2" s="26" t="s">
        <v>225</v>
      </c>
      <c r="U2" s="26" t="s">
        <v>1616</v>
      </c>
      <c r="V2" s="26" t="s">
        <v>104</v>
      </c>
      <c r="W2" s="2"/>
      <c r="X2" s="2"/>
      <c r="Y2" s="2"/>
      <c r="Z2" s="2"/>
      <c r="AA2" s="2"/>
      <c r="AB2" s="30" t="s">
        <v>766</v>
      </c>
      <c r="AC2" s="30" t="str" cm="1">
        <f t="array" ref="AC2">IFERROR(INDEX(_xlfn.TOROW(Header_Names),_xlfn.XMATCH("Response (y)",_xlfn.TAKE(Spec_Role,COLUMNS(Source_Data)))),"(none)")</f>
        <v>MPG</v>
      </c>
      <c r="AD2" s="2"/>
      <c r="AE2" s="2"/>
      <c r="AF2" s="2"/>
      <c r="AG2" s="27" t="s">
        <v>678</v>
      </c>
      <c r="AH2" s="28"/>
      <c r="AI2" s="32"/>
      <c r="AJ2" s="2"/>
      <c r="AK2" s="26" t="s">
        <v>876</v>
      </c>
      <c r="AL2" s="29" t="s">
        <v>575</v>
      </c>
      <c r="AM2" s="29" t="s">
        <v>568</v>
      </c>
      <c r="AN2" s="29" t="s">
        <v>152</v>
      </c>
      <c r="AO2" s="29" t="s">
        <v>687</v>
      </c>
      <c r="AP2" s="29" t="s">
        <v>586</v>
      </c>
      <c r="AQ2" s="29" t="s">
        <v>581</v>
      </c>
      <c r="AR2" s="29" t="s">
        <v>688</v>
      </c>
      <c r="AS2" s="29" t="s">
        <v>572</v>
      </c>
      <c r="AT2" s="29" t="s">
        <v>578</v>
      </c>
      <c r="AU2" s="29" t="s">
        <v>623</v>
      </c>
      <c r="AV2" s="2"/>
    </row>
    <row r="3" spans="1:48" x14ac:dyDescent="0.25">
      <c r="A3" s="6" t="s">
        <v>950</v>
      </c>
      <c r="B3" s="6" t="s">
        <v>834</v>
      </c>
      <c r="C3" s="6" t="s">
        <v>831</v>
      </c>
      <c r="D3" s="6" t="s">
        <v>835</v>
      </c>
      <c r="E3" s="6" t="s">
        <v>836</v>
      </c>
      <c r="F3" s="6" t="s">
        <v>837</v>
      </c>
      <c r="G3" s="6" t="s">
        <v>838</v>
      </c>
      <c r="H3" s="6" t="s">
        <v>894</v>
      </c>
      <c r="I3" s="6" t="s">
        <v>959</v>
      </c>
      <c r="J3" s="6" t="s">
        <v>960</v>
      </c>
      <c r="K3" s="6" t="s">
        <v>839</v>
      </c>
      <c r="L3" s="6" t="s">
        <v>874</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5" t="s">
        <v>654</v>
      </c>
      <c r="Y3" s="36"/>
      <c r="AA3" s="35" t="s">
        <v>659</v>
      </c>
      <c r="AB3" s="36"/>
      <c r="AG3" s="8" t="s">
        <v>679</v>
      </c>
      <c r="AH3" s="11" t="e" cm="1">
        <f t="array" ref="AH3">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pred_input,_xlfn.TAKE($AH$19:$AH$62,COLUMNS(X_s())),Group_Prediction_Interval(X_s(),Response_Column(),_xlpm.pred_input,Prediction_Group_Column(),$AH$12,Allow_Intercept,Sample_Include(),alpha,Absorbed_Degrees_Of_Freedom())))</f>
        <v>#N/A</v>
      </c>
      <c r="AK3" t="str" cm="1">
        <f t="array" ref="AK3:AK394">IFERROR(_xlfn._xlws.FILTER(Row_Labels(),Sample_Include()),NA())</f>
        <v>chevrolet chevelle malibu</v>
      </c>
      <c r="AL3" s="7" cm="1">
        <f t="array" ref="AL3:AL394">Dependent_Variable(y_s(),Sample_Include())</f>
        <v>3.0368932038834924</v>
      </c>
      <c r="AM3" s="7" t="e" cm="1" vm="1">
        <f t="array" ref="AM3">Predictions(X_s_Within(),y_s(),Allow_Intercept,Sample_Include())</f>
        <v>#VALUE!</v>
      </c>
      <c r="AN3" s="7" t="e" cm="1" vm="1">
        <f t="array" ref="AN3:AN394">Residuals(X_s_Within(),y_s(),Allow_Intercept,Sample_Include())</f>
        <v>#VALUE!</v>
      </c>
      <c r="AO3" s="7" t="e" cm="1" vm="1">
        <f t="array" ref="AO3">Hat_Diagonal(X_s_Within(),Allow_Intercept,Sample_Include())</f>
        <v>#VALUE!</v>
      </c>
      <c r="AP3" s="7" t="e" cm="1">
        <f t="array" ref="AP3:AP394">Studentized_Residuals(X_s_Within(),y_s(),Allow_Intercept,Sample_Include(),Absorbed_Degrees_Of_Freedom())</f>
        <v>#N/A</v>
      </c>
      <c r="AQ3" s="7" t="e" cm="1">
        <f t="array" ref="AQ3:AQ394">Cooks_Distance(X_s_Within(),y_s(),Allow_Intercept,Sample_Include(),Absorbed_Degrees_Of_Freedom())</f>
        <v>#N/A</v>
      </c>
      <c r="AR3" s="7" t="e" cm="1">
        <f t="array" ref="AR3:AR394">_xlfn._xlws.SORT(Normal_Scores(y_s(),Sample_Include()))</f>
        <v>#N/A</v>
      </c>
      <c r="AS3" s="7" t="e" cm="1">
        <f t="array" ref="AS3:AS394">Studentized_Residuals_Ranked(X_s_Within(),y_s(),Allow_Intercept,Sample_Include(),Absorbed_Degrees_Of_Freedom())</f>
        <v>#N/A</v>
      </c>
      <c r="AT3" s="7" t="e" cm="1">
        <f t="array" ref="AT3:AT394">SQRT(ABS(Studentized_Residuals(X_s_Within(),y_s(),Allow_Intercept,Sample_Include(),Absorbed_Degrees_Of_Freedom())))</f>
        <v>#N/A</v>
      </c>
      <c r="AU3" s="7" t="e" cm="1">
        <f t="array" ref="AU3:AU394">LOOCV_Residual(X_s_Within(),y_s(),Allow_Intercept,Sample_Include())</f>
        <v>#N/A</v>
      </c>
    </row>
    <row r="4" spans="1:48" x14ac:dyDescent="0.25">
      <c r="A4" t="str" cm="1">
        <f t="array" ref="A4:A15">TRANSPOSE(Header_Names)</f>
        <v>MPG</v>
      </c>
      <c r="B4" s="16" t="s">
        <v>873</v>
      </c>
      <c r="C4" s="16" t="b">
        <v>0</v>
      </c>
      <c r="D4" s="16" t="s">
        <v>840</v>
      </c>
      <c r="E4" s="16"/>
      <c r="F4" s="16"/>
      <c r="G4" s="16" t="s">
        <v>841</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655</v>
      </c>
      <c r="Y4" s="11" t="e" cm="1" vm="1">
        <f t="array" ref="Y4">Multiple_R(X_s_Within(),y_s(),Allow_Intercept,Sample_Include())</f>
        <v>#VALUE!</v>
      </c>
      <c r="AA4" s="8" t="s">
        <v>52</v>
      </c>
      <c r="AB4" s="11" t="e" cm="1">
        <f t="array" ref="AB4">PRESS(X_s_Within(),y_s(),Allow_Intercept,Sample_Include())</f>
        <v>#N/A</v>
      </c>
      <c r="AG4" s="8" t="s">
        <v>1760</v>
      </c>
      <c r="AH4" s="11"/>
      <c r="AK4" t="str">
        <v>buick skylark 320</v>
      </c>
      <c r="AL4" s="7">
        <v>3.6893203883492376E-2</v>
      </c>
      <c r="AN4" s="7" t="e" vm="1">
        <v>#VALUE!</v>
      </c>
      <c r="AP4" s="7" t="e">
        <v>#N/A</v>
      </c>
      <c r="AQ4" s="7" t="e">
        <v>#N/A</v>
      </c>
      <c r="AR4" s="7" t="e">
        <v>#N/A</v>
      </c>
      <c r="AS4" s="7" t="e">
        <v>#N/A</v>
      </c>
      <c r="AT4" s="7" t="e">
        <v>#N/A</v>
      </c>
      <c r="AU4" s="7" t="e">
        <v>#N/A</v>
      </c>
    </row>
    <row r="5" spans="1:48" x14ac:dyDescent="0.25">
      <c r="A5" t="str">
        <v>Cylinders</v>
      </c>
      <c r="B5" s="16" t="s">
        <v>1769</v>
      </c>
      <c r="C5" s="16" t="b">
        <v>0</v>
      </c>
      <c r="D5" s="16" t="s">
        <v>840</v>
      </c>
      <c r="E5" s="16"/>
      <c r="F5" s="16"/>
      <c r="G5" s="16" t="s">
        <v>841</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656</v>
      </c>
      <c r="Y5" s="11" t="e" cm="1" vm="1">
        <f t="array" ref="Y5">R_Squared(X_s_Within(),y_s(),Allow_Intercept,Sample_Include())</f>
        <v>#VALUE!</v>
      </c>
      <c r="AA5" s="8" t="s">
        <v>598</v>
      </c>
      <c r="AB5" s="11" t="e" cm="1">
        <f t="array" ref="AB5">1-PRESS(X_s_Within(),y_s(),Allow_Intercept,Sample_Include())/SS_Total(y_s(),Allow_Intercept,Sample_Include())</f>
        <v>#N/A</v>
      </c>
      <c r="AG5" s="8" t="s">
        <v>1761</v>
      </c>
      <c r="AH5" s="11"/>
      <c r="AK5" t="str">
        <v>plymouth satellite</v>
      </c>
      <c r="AL5" s="7">
        <v>3.0368932038834924</v>
      </c>
      <c r="AN5" s="7" t="e" vm="1">
        <v>#VALUE!</v>
      </c>
      <c r="AP5" s="7" t="e">
        <v>#N/A</v>
      </c>
      <c r="AQ5" s="7" t="e">
        <v>#N/A</v>
      </c>
      <c r="AR5" s="7" t="e">
        <v>#N/A</v>
      </c>
      <c r="AS5" s="7" t="e">
        <v>#N/A</v>
      </c>
      <c r="AT5" s="7" t="e">
        <v>#N/A</v>
      </c>
      <c r="AU5" s="7" t="e">
        <v>#N/A</v>
      </c>
    </row>
    <row r="6" spans="1:48" x14ac:dyDescent="0.25">
      <c r="A6" t="str">
        <v>Displacement</v>
      </c>
      <c r="B6" s="16" t="s">
        <v>872</v>
      </c>
      <c r="C6" s="16" t="b">
        <v>0</v>
      </c>
      <c r="D6" s="16" t="s">
        <v>840</v>
      </c>
      <c r="E6" s="16"/>
      <c r="F6" s="16"/>
      <c r="G6" s="16" t="s">
        <v>841</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657</v>
      </c>
      <c r="Y6" s="11" t="e" cm="1" vm="1">
        <f t="array" ref="Y6">Adjusted_R_Squared(X_s_Within(),y_s(),Allow_Intercept,Sample_Include(),Absorbed_Degrees_Of_Freedom())</f>
        <v>#VALUE!</v>
      </c>
      <c r="AA6" s="8" t="s">
        <v>660</v>
      </c>
      <c r="AB6" s="11" t="e" cm="1" vm="1">
        <f t="array" ref="AB6">(Regression_Degrees_Of_Freedom(X_s_Within())+IF(Allow_Intercept,1,0))/Observations(y_s(),Sample_Include())</f>
        <v>#VALUE!</v>
      </c>
      <c r="AG6" s="8" t="s">
        <v>680</v>
      </c>
      <c r="AH6" s="11"/>
      <c r="AK6" t="str">
        <v>amc rebel sst</v>
      </c>
      <c r="AL6" s="7">
        <v>1.0368932038834924</v>
      </c>
      <c r="AN6" s="7" t="e" vm="1">
        <v>#VALUE!</v>
      </c>
      <c r="AP6" s="7" t="e">
        <v>#N/A</v>
      </c>
      <c r="AQ6" s="7" t="e">
        <v>#N/A</v>
      </c>
      <c r="AR6" s="7" t="e">
        <v>#N/A</v>
      </c>
      <c r="AS6" s="7" t="e">
        <v>#N/A</v>
      </c>
      <c r="AT6" s="7" t="e">
        <v>#N/A</v>
      </c>
      <c r="AU6" s="7" t="e">
        <v>#N/A</v>
      </c>
    </row>
    <row r="7" spans="1:48" x14ac:dyDescent="0.25">
      <c r="A7" t="str">
        <v>Horsepower</v>
      </c>
      <c r="B7" s="16" t="s">
        <v>872</v>
      </c>
      <c r="C7" s="16" t="b">
        <v>1</v>
      </c>
      <c r="D7" s="16" t="s">
        <v>840</v>
      </c>
      <c r="E7" s="16"/>
      <c r="F7" s="16"/>
      <c r="G7" s="16" t="s">
        <v>841</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658</v>
      </c>
      <c r="Y7" s="11" t="e" cm="1">
        <f t="array" ref="Y7">SE_Regression(X_s_Within(),y_s(),Allow_Intercept,Sample_Include(),Absorbed_Degrees_Of_Freedom())</f>
        <v>#N/A</v>
      </c>
      <c r="AA7" s="8" t="s">
        <v>55</v>
      </c>
      <c r="AB7" s="11" t="e" cm="1">
        <f t="array" ref="AB7">AIC(X_s_Within(),y_s(),Allow_Intercept,Sample_Include(),Absorbed_Degrees_Of_Freedom())</f>
        <v>#N/A</v>
      </c>
      <c r="AG7" s="8" t="s">
        <v>1762</v>
      </c>
      <c r="AH7" s="11"/>
      <c r="AK7" t="str">
        <v>ford torino</v>
      </c>
      <c r="AL7" s="7">
        <v>2.0368932038834924</v>
      </c>
      <c r="AN7" s="7" t="e" vm="1">
        <v>#VALUE!</v>
      </c>
      <c r="AP7" s="7" t="e">
        <v>#N/A</v>
      </c>
      <c r="AQ7" s="7" t="e">
        <v>#N/A</v>
      </c>
      <c r="AR7" s="7" t="e">
        <v>#N/A</v>
      </c>
      <c r="AS7" s="7" t="e">
        <v>#N/A</v>
      </c>
      <c r="AT7" s="7" t="e">
        <v>#N/A</v>
      </c>
      <c r="AU7" s="7" t="e">
        <v>#N/A</v>
      </c>
    </row>
    <row r="8" spans="1:48" x14ac:dyDescent="0.25">
      <c r="A8" t="str">
        <v>Weight</v>
      </c>
      <c r="B8" s="16" t="s">
        <v>872</v>
      </c>
      <c r="C8" s="16" t="b">
        <v>1</v>
      </c>
      <c r="D8" s="16" t="s">
        <v>840</v>
      </c>
      <c r="E8" s="16"/>
      <c r="F8" s="16"/>
      <c r="G8" s="16" t="s">
        <v>841</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Observations(y_s(),Sample_Include())</f>
        <v>392</v>
      </c>
      <c r="AA8" s="8" t="s">
        <v>58</v>
      </c>
      <c r="AB8" s="11" t="e" cm="1">
        <f t="array" ref="AB8">BIC(X_s_Within(),y_s(),Allow_Intercept,Sample_Include(),Absorbed_Degrees_Of_Freedom())</f>
        <v>#N/A</v>
      </c>
      <c r="AG8" s="8" t="s">
        <v>1763</v>
      </c>
      <c r="AH8" s="11"/>
      <c r="AK8" t="str">
        <v>ford galaxie 500</v>
      </c>
      <c r="AL8" s="7" t="e">
        <v>#N/A</v>
      </c>
      <c r="AN8" s="7" t="e">
        <v>#N/A</v>
      </c>
      <c r="AP8" s="7" t="e">
        <v>#N/A</v>
      </c>
      <c r="AQ8" s="7" t="e">
        <v>#N/A</v>
      </c>
      <c r="AR8" s="7" t="e">
        <v>#N/A</v>
      </c>
      <c r="AS8" s="7" t="e">
        <v>#N/A</v>
      </c>
      <c r="AT8" s="7" t="e">
        <v>#N/A</v>
      </c>
      <c r="AU8" s="7" t="e">
        <v>#N/A</v>
      </c>
    </row>
    <row r="9" spans="1:48" x14ac:dyDescent="0.25">
      <c r="A9" t="str">
        <v>Acceleration</v>
      </c>
      <c r="B9" s="16" t="s">
        <v>872</v>
      </c>
      <c r="C9" s="16" t="b">
        <v>0</v>
      </c>
      <c r="D9" s="16" t="s">
        <v>840</v>
      </c>
      <c r="E9" s="16"/>
      <c r="F9" s="16"/>
      <c r="G9" s="16" t="s">
        <v>841</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61</v>
      </c>
      <c r="AB9" s="11" t="e" cm="1">
        <f t="array" ref="AB9">AICc(X_s_Within(),y_s(),Allow_Intercept,Sample_Include(),Absorbed_Degrees_Of_Freedom())</f>
        <v>#N/A</v>
      </c>
      <c r="AG9" s="8" t="s">
        <v>1764</v>
      </c>
      <c r="AH9" s="11"/>
      <c r="AK9" t="str">
        <v>chevrolet impala</v>
      </c>
      <c r="AL9" s="7" t="e">
        <v>#N/A</v>
      </c>
      <c r="AN9" s="7" t="e">
        <v>#N/A</v>
      </c>
      <c r="AP9" s="7" t="e">
        <v>#N/A</v>
      </c>
      <c r="AQ9" s="7" t="e">
        <v>#N/A</v>
      </c>
      <c r="AR9" s="7" t="e">
        <v>#N/A</v>
      </c>
      <c r="AS9" s="7" t="e">
        <v>#N/A</v>
      </c>
      <c r="AT9" s="7" t="e">
        <v>#N/A</v>
      </c>
      <c r="AU9" s="7" t="e">
        <v>#N/A</v>
      </c>
    </row>
    <row r="10" spans="1:48" x14ac:dyDescent="0.25">
      <c r="A10" t="str">
        <v>Model Year</v>
      </c>
      <c r="B10" s="16" t="s">
        <v>872</v>
      </c>
      <c r="C10" s="16" t="b">
        <v>1</v>
      </c>
      <c r="D10" s="16" t="s">
        <v>842</v>
      </c>
      <c r="E10" s="16"/>
      <c r="F10" s="16"/>
      <c r="G10" s="16" t="s">
        <v>841</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602</v>
      </c>
      <c r="AB10" s="11" t="e" cm="1">
        <f t="array" ref="AB10">QQ_Correlation(X_s_Within(),y_s(),Allow_Intercept,Sample_Include(),Absorbed_Degrees_Of_Freedom())</f>
        <v>#N/A</v>
      </c>
      <c r="AG10" s="8" t="s">
        <v>1765</v>
      </c>
      <c r="AH10" s="11"/>
      <c r="AK10" t="str">
        <v>plymouth fury iii</v>
      </c>
      <c r="AL10" s="7" t="e">
        <v>#N/A</v>
      </c>
      <c r="AN10" s="7" t="e">
        <v>#N/A</v>
      </c>
      <c r="AP10" s="7" t="e">
        <v>#N/A</v>
      </c>
      <c r="AQ10" s="7" t="e">
        <v>#N/A</v>
      </c>
      <c r="AR10" s="7" t="e">
        <v>#N/A</v>
      </c>
      <c r="AS10" s="7" t="e">
        <v>#N/A</v>
      </c>
      <c r="AT10" s="7" t="e">
        <v>#N/A</v>
      </c>
      <c r="AU10" s="7" t="e">
        <v>#N/A</v>
      </c>
    </row>
    <row r="11" spans="1:48" x14ac:dyDescent="0.25">
      <c r="A11" t="str">
        <v>Origin</v>
      </c>
      <c r="B11" s="16" t="s">
        <v>872</v>
      </c>
      <c r="C11" s="16" t="b">
        <v>1</v>
      </c>
      <c r="D11" s="16" t="s">
        <v>842</v>
      </c>
      <c r="E11" s="16"/>
      <c r="F11" s="16"/>
      <c r="G11" s="16" t="s">
        <v>841</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952</v>
      </c>
      <c r="AB11" s="33" t="str"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n/a — FE active</v>
      </c>
      <c r="AG11" s="8" t="s">
        <v>681</v>
      </c>
      <c r="AH11" s="11"/>
      <c r="AK11" t="str">
        <v>pontiac catalina</v>
      </c>
      <c r="AL11" s="7" t="e">
        <v>#N/A</v>
      </c>
      <c r="AN11" s="7" t="e">
        <v>#N/A</v>
      </c>
      <c r="AP11" s="7" t="e">
        <v>#N/A</v>
      </c>
      <c r="AQ11" s="7" t="e">
        <v>#N/A</v>
      </c>
      <c r="AR11" s="7" t="e">
        <v>#N/A</v>
      </c>
      <c r="AS11" s="7" t="e">
        <v>#N/A</v>
      </c>
      <c r="AT11" s="7" t="e">
        <v>#N/A</v>
      </c>
      <c r="AU11" s="7" t="e">
        <v>#N/A</v>
      </c>
    </row>
    <row r="12" spans="1:48" x14ac:dyDescent="0.25">
      <c r="A12" t="str">
        <v>Car Name</v>
      </c>
      <c r="B12" s="16" t="s">
        <v>967</v>
      </c>
      <c r="C12" s="16" t="b">
        <v>0</v>
      </c>
      <c r="D12" s="16" t="s">
        <v>840</v>
      </c>
      <c r="E12" s="16"/>
      <c r="F12" s="16"/>
      <c r="G12" s="16" t="s">
        <v>841</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661</v>
      </c>
      <c r="Y12" s="16">
        <v>0.05</v>
      </c>
      <c r="AA12" s="8" t="s">
        <v>953</v>
      </c>
      <c r="AB12" s="33" t="e"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v>
      </c>
      <c r="AG12" s="8" t="s">
        <v>1766</v>
      </c>
      <c r="AH12" s="42">
        <f>INDEX(_xlfn._xlws.SORT(_xlfn.UNIQUE(_xlfn._xlws.FILTER(Prediction_Group_Column(),Sample_Include()))),1,1)</f>
        <v>3</v>
      </c>
      <c r="AK12" t="str">
        <v>amc ambassador dpl</v>
      </c>
      <c r="AL12" s="7" t="e">
        <v>#N/A</v>
      </c>
      <c r="AN12" s="7" t="e">
        <v>#N/A</v>
      </c>
      <c r="AP12" s="7" t="e">
        <v>#N/A</v>
      </c>
      <c r="AQ12" s="7" t="e">
        <v>#N/A</v>
      </c>
      <c r="AR12" s="7" t="e">
        <v>#N/A</v>
      </c>
      <c r="AS12" s="7" t="e">
        <v>#N/A</v>
      </c>
      <c r="AT12" s="7" t="e">
        <v>#N/A</v>
      </c>
      <c r="AU12" s="7" t="e">
        <v>#N/A</v>
      </c>
    </row>
    <row r="13" spans="1:48" x14ac:dyDescent="0.25">
      <c r="A13" t="str">
        <v>Make</v>
      </c>
      <c r="B13" s="16" t="s">
        <v>951</v>
      </c>
      <c r="C13" s="16" t="b">
        <v>0</v>
      </c>
      <c r="D13" s="16" t="s">
        <v>840</v>
      </c>
      <c r="E13" s="16"/>
      <c r="F13" s="16"/>
      <c r="G13" s="16" t="s">
        <v>841</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39" t="s">
        <v>662</v>
      </c>
      <c r="Y13" s="40"/>
      <c r="Z13" s="40"/>
      <c r="AA13" s="40"/>
      <c r="AB13" s="40"/>
      <c r="AC13" s="41"/>
      <c r="AG13" s="8" t="s">
        <v>1767</v>
      </c>
      <c r="AH13" s="11" t="e" cm="1">
        <f t="array" ref="AH13">Group_Mean_At(Response_Column(),Prediction_Group_Column(),$AH$12,Sample_Include())</f>
        <v>#N/A</v>
      </c>
      <c r="AK13" t="str">
        <v>dodge challenger se</v>
      </c>
      <c r="AL13" s="7" t="e">
        <v>#N/A</v>
      </c>
      <c r="AN13" s="7" t="e">
        <v>#N/A</v>
      </c>
      <c r="AP13" s="7" t="e">
        <v>#N/A</v>
      </c>
      <c r="AQ13" s="7" t="e">
        <v>#N/A</v>
      </c>
      <c r="AR13" s="7" t="e">
        <v>#N/A</v>
      </c>
      <c r="AS13" s="7" t="e">
        <v>#N/A</v>
      </c>
      <c r="AT13" s="7" t="e">
        <v>#N/A</v>
      </c>
      <c r="AU13" s="7" t="e">
        <v>#N/A</v>
      </c>
    </row>
    <row r="14" spans="1:48" x14ac:dyDescent="0.25">
      <c r="A14" t="str">
        <v>Model?</v>
      </c>
      <c r="B14" s="16" t="s">
        <v>951</v>
      </c>
      <c r="C14" s="16" t="b">
        <v>0</v>
      </c>
      <c r="D14" s="16" t="s">
        <v>840</v>
      </c>
      <c r="E14" s="16"/>
      <c r="F14" s="16"/>
      <c r="G14" s="16" t="s">
        <v>841</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663</v>
      </c>
      <c r="Z14" s="3" t="s">
        <v>664</v>
      </c>
      <c r="AA14" s="3" t="s">
        <v>665</v>
      </c>
      <c r="AB14" s="3" t="s">
        <v>666</v>
      </c>
      <c r="AC14" s="22" t="s">
        <v>606</v>
      </c>
      <c r="AG14" s="9" t="s">
        <v>1768</v>
      </c>
      <c r="AH14" s="12" cm="1">
        <f t="array" ref="AH14">Group_Count_At(Prediction_Group_Column(),$AH$12,Sample_Include())</f>
        <v>4</v>
      </c>
      <c r="AK14" t="str">
        <v>plymouth 'cuda 340</v>
      </c>
      <c r="AL14" s="7" t="e">
        <v>#N/A</v>
      </c>
      <c r="AN14" s="7" t="e">
        <v>#N/A</v>
      </c>
      <c r="AP14" s="7" t="e">
        <v>#N/A</v>
      </c>
      <c r="AQ14" s="7" t="e">
        <v>#N/A</v>
      </c>
      <c r="AR14" s="7" t="e">
        <v>#N/A</v>
      </c>
      <c r="AS14" s="7" t="e">
        <v>#N/A</v>
      </c>
      <c r="AT14" s="7" t="e">
        <v>#N/A</v>
      </c>
      <c r="AU14" s="7" t="e">
        <v>#N/A</v>
      </c>
    </row>
    <row r="15" spans="1:48" x14ac:dyDescent="0.25">
      <c r="A15" t="str">
        <v>Full_Data</v>
      </c>
      <c r="B15" s="16" t="s">
        <v>951</v>
      </c>
      <c r="C15" s="16" t="b">
        <v>0</v>
      </c>
      <c r="D15" s="16" t="s">
        <v>840</v>
      </c>
      <c r="E15" s="16"/>
      <c r="F15" s="16"/>
      <c r="G15" s="16" t="s">
        <v>841</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667</v>
      </c>
      <c r="Y15" s="37" t="e" cm="1" vm="1">
        <f t="array" ref="Y15">Regression_Degrees_Of_Freedom(X_s_Within())</f>
        <v>#VALUE!</v>
      </c>
      <c r="Z15" s="38" t="e" cm="1">
        <f t="array" ref="Z15">SS_Regression(X_s_Within(),y_s(),Allow_Intercept,Sample_Include())</f>
        <v>#N/A</v>
      </c>
      <c r="AA15" s="38" t="e" cm="1">
        <f t="array" ref="AA15">MS_Regression(X_s_Within(),y_s(),Allow_Intercept,Sample_Include())</f>
        <v>#N/A</v>
      </c>
      <c r="AB15" s="38" t="e" cm="1">
        <f t="array" ref="AB15">F_Statistic(X_s_Within(),y_s(),Allow_Intercept,Sample_Include(),Absorbed_Degrees_Of_Freedom())</f>
        <v>#N/A</v>
      </c>
      <c r="AC15" s="23" t="e" cm="1">
        <f t="array" ref="AC15">F_Statistic_P_Value(X_s_Within(),y_s(),Allow_Intercept,Sample_Include(),Absorbed_Degrees_Of_Freedom())</f>
        <v>#N/A</v>
      </c>
      <c r="AK15" t="str">
        <v>chevrolet monte carlo</v>
      </c>
      <c r="AL15" s="7" t="e">
        <v>#N/A</v>
      </c>
      <c r="AN15" s="7" t="e">
        <v>#N/A</v>
      </c>
      <c r="AP15" s="7" t="e">
        <v>#N/A</v>
      </c>
      <c r="AQ15" s="7" t="e">
        <v>#N/A</v>
      </c>
      <c r="AR15" s="7" t="e">
        <v>#N/A</v>
      </c>
      <c r="AS15" s="7" t="e">
        <v>#N/A</v>
      </c>
      <c r="AT15" s="7" t="e">
        <v>#N/A</v>
      </c>
      <c r="AU15" s="7" t="e">
        <v>#N/A</v>
      </c>
    </row>
    <row r="16" spans="1:48" x14ac:dyDescent="0.25">
      <c r="P16" t="str">
        <v>Model Year: 82</v>
      </c>
      <c r="Q16" s="14">
        <v>0.31590831958849236</v>
      </c>
      <c r="R16" s="14">
        <v>0.30945001432271285</v>
      </c>
      <c r="S16" s="14">
        <v>3.1980848073673731</v>
      </c>
      <c r="T16" s="14">
        <v>8.2699143284056937</v>
      </c>
      <c r="U16" s="14">
        <v>1.7564955677455198</v>
      </c>
      <c r="V16" s="14">
        <v>0.5693154132370003</v>
      </c>
      <c r="X16" s="8" t="s">
        <v>668</v>
      </c>
      <c r="Y16" s="37" t="e" cm="1" vm="1">
        <f t="array" ref="Y16">Residual_Degrees_Of_Freedom(X_s_Within(),y_s(),Allow_Intercept,Sample_Include(),Absorbed_Degrees_Of_Freedom())</f>
        <v>#VALUE!</v>
      </c>
      <c r="Z16" s="38" t="e" cm="1">
        <f t="array" ref="Z16">SS_Residual(X_s_Within(),y_s(),Allow_Intercept,Sample_Include())</f>
        <v>#N/A</v>
      </c>
      <c r="AA16" s="38" t="e" cm="1">
        <f t="array" ref="AA16">MS_Residual(X_s_Within(),y_s(),Allow_Intercept,Sample_Include(),Absorbed_Degrees_Of_Freedom())</f>
        <v>#N/A</v>
      </c>
      <c r="AC16" s="24"/>
      <c r="AG16" s="4" t="s">
        <v>682</v>
      </c>
      <c r="AK16" t="str">
        <v>buick estate wagon (sw)</v>
      </c>
      <c r="AL16" s="7" t="e">
        <v>#N/A</v>
      </c>
      <c r="AN16" s="7" t="e">
        <v>#N/A</v>
      </c>
      <c r="AP16" s="7" t="e">
        <v>#N/A</v>
      </c>
      <c r="AQ16" s="7" t="e">
        <v>#N/A</v>
      </c>
      <c r="AR16" s="7" t="e">
        <v>#N/A</v>
      </c>
      <c r="AS16" s="7" t="e">
        <v>#N/A</v>
      </c>
      <c r="AT16" s="7" t="e">
        <v>#N/A</v>
      </c>
      <c r="AU16" s="7" t="e">
        <v>#N/A</v>
      </c>
    </row>
    <row r="17" spans="16:47" x14ac:dyDescent="0.25">
      <c r="P17" t="str">
        <v>Origin: Europe</v>
      </c>
      <c r="Q17" s="14">
        <v>0.24431250098438828</v>
      </c>
      <c r="R17" s="14">
        <v>0.25335011992922324</v>
      </c>
      <c r="S17" s="14">
        <v>1.7313298190542106</v>
      </c>
      <c r="T17" s="14">
        <v>1.0025921775707793</v>
      </c>
      <c r="U17" s="14">
        <v>1.8119606956111629</v>
      </c>
      <c r="V17" s="14">
        <v>0.55188835079157517</v>
      </c>
      <c r="X17" s="9" t="s">
        <v>669</v>
      </c>
      <c r="Y17" s="10" cm="1">
        <f t="array" ref="Y17">Total_Degrees_Of_Freedom(y_s(),Allow_Intercept,Sample_Include())</f>
        <v>391</v>
      </c>
      <c r="Z17" s="21" t="e" cm="1">
        <f t="array" ref="Z17">SS_Total(y_s(),Allow_Intercept,Sample_Include())</f>
        <v>#N/A</v>
      </c>
      <c r="AA17" s="15"/>
      <c r="AB17" s="15"/>
      <c r="AC17" s="25"/>
      <c r="AG17" s="3" t="s">
        <v>683</v>
      </c>
      <c r="AH17" s="3" t="s">
        <v>684</v>
      </c>
      <c r="AI17" s="31" t="s">
        <v>877</v>
      </c>
      <c r="AK17" t="str">
        <v>toyota corona mark ii</v>
      </c>
      <c r="AL17" s="7" t="e">
        <v>#N/A</v>
      </c>
      <c r="AN17" s="7" t="e">
        <v>#N/A</v>
      </c>
      <c r="AP17" s="7" t="e">
        <v>#N/A</v>
      </c>
      <c r="AQ17" s="7" t="e">
        <v>#N/A</v>
      </c>
      <c r="AR17" s="7" t="e">
        <v>#N/A</v>
      </c>
      <c r="AS17" s="7" t="e">
        <v>#N/A</v>
      </c>
      <c r="AT17" s="7" t="e">
        <v>#N/A</v>
      </c>
      <c r="AU17" s="7" t="e">
        <v>#N/A</v>
      </c>
    </row>
    <row r="18" spans="16:47"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t="e">
        <v>#N/A</v>
      </c>
      <c r="AN18" s="7" t="e">
        <v>#N/A</v>
      </c>
      <c r="AP18" s="7" t="e">
        <v>#N/A</v>
      </c>
      <c r="AQ18" s="7" t="e">
        <v>#N/A</v>
      </c>
      <c r="AR18" s="7" t="e">
        <v>#N/A</v>
      </c>
      <c r="AS18" s="7" t="e">
        <v>#N/A</v>
      </c>
      <c r="AT18" s="7" t="e">
        <v>#N/A</v>
      </c>
      <c r="AU18" s="7" t="e">
        <v>#N/A</v>
      </c>
    </row>
    <row r="19" spans="16:47" x14ac:dyDescent="0.25">
      <c r="Q19" s="14"/>
      <c r="R19" s="14"/>
      <c r="S19" s="14"/>
      <c r="T19" s="14"/>
      <c r="U19" s="14"/>
      <c r="V19" s="14"/>
      <c r="X19" s="4" t="s">
        <v>670</v>
      </c>
      <c r="AG19" t="str" cm="1">
        <f t="array" ref="AG19:AG34">TRANSPOSE(Constructed_Column_Names())</f>
        <v>Horsepower</v>
      </c>
      <c r="AH19" s="17" cm="1">
        <f t="array" ref="AH19">IF(ROW()-18&lt;=IFERROR(ROWS(_xlfn.ANCHORARRAY($AI$19)),0),INDEX(_xlfn.ANCHORARRAY($AI$19),ROW()-18),"")</f>
        <v>104.46938775510205</v>
      </c>
      <c r="AI19" s="7" cm="1">
        <f t="array" ref="AI19:AI34">IFERROR(TRANSPOSE(_xlfn.BYCOL(_xlfn._xlws.FILTER(X_s(),Sample_Include()),_xlfn.LAMBDA(_xlpm.c,AVERAGE(_xlpm.c)))),"")</f>
        <v>104.46938775510205</v>
      </c>
      <c r="AK19" t="str">
        <v>amc hornet</v>
      </c>
      <c r="AL19" s="7" t="e">
        <v>#N/A</v>
      </c>
      <c r="AN19" s="7" t="e">
        <v>#N/A</v>
      </c>
      <c r="AP19" s="7" t="e">
        <v>#N/A</v>
      </c>
      <c r="AQ19" s="7" t="e">
        <v>#N/A</v>
      </c>
      <c r="AR19" s="7" t="e">
        <v>#N/A</v>
      </c>
      <c r="AS19" s="7" t="e">
        <v>#N/A</v>
      </c>
      <c r="AT19" s="7" t="e">
        <v>#N/A</v>
      </c>
      <c r="AU19" s="7" t="e">
        <v>#N/A</v>
      </c>
    </row>
    <row r="20" spans="16:47" x14ac:dyDescent="0.25">
      <c r="Q20" s="14"/>
      <c r="R20" s="14"/>
      <c r="S20" s="14"/>
      <c r="T20" s="14"/>
      <c r="U20" s="14"/>
      <c r="V20" s="14"/>
      <c r="X20" s="3"/>
      <c r="Y20" s="3" t="s">
        <v>73</v>
      </c>
      <c r="Z20" s="3" t="s">
        <v>671</v>
      </c>
      <c r="AA20" s="3" t="s">
        <v>672</v>
      </c>
      <c r="AB20" s="3" t="s">
        <v>673</v>
      </c>
      <c r="AC20" s="3" t="s">
        <v>674</v>
      </c>
      <c r="AD20" s="3" t="s">
        <v>675</v>
      </c>
      <c r="AE20" s="3" t="s">
        <v>676</v>
      </c>
      <c r="AG20" t="str">
        <v>Weight</v>
      </c>
      <c r="AH20" s="17" cm="1">
        <f t="array" ref="AH20">IF(ROW()-18&lt;=IFERROR(ROWS(_xlfn.ANCHORARRAY($AI$19)),0),INDEX(_xlfn.ANCHORARRAY($AI$19),ROW()-18),"")</f>
        <v>2977.5841836734694</v>
      </c>
      <c r="AI20" s="7">
        <v>2977.5841836734694</v>
      </c>
      <c r="AK20" t="str">
        <v>ford maverick</v>
      </c>
      <c r="AL20" s="7" t="e">
        <v>#N/A</v>
      </c>
      <c r="AN20" s="7" t="e">
        <v>#N/A</v>
      </c>
      <c r="AP20" s="7" t="e">
        <v>#N/A</v>
      </c>
      <c r="AQ20" s="7" t="e">
        <v>#N/A</v>
      </c>
      <c r="AR20" s="7" t="e">
        <v>#N/A</v>
      </c>
      <c r="AS20" s="7" t="e">
        <v>#N/A</v>
      </c>
      <c r="AT20" s="7" t="e">
        <v>#N/A</v>
      </c>
      <c r="AU20" s="7" t="e">
        <v>#N/A</v>
      </c>
    </row>
    <row r="21" spans="16:47"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t="e" cm="1" vm="1">
        <f t="array" ref="Y21">IF(Zero_Predictors_Selected(),IF(AND(Allow_Intercept,Intercept_Only_N()&gt;=1),Intercept_Only_Point(),NA()),IF(Allow_Intercept,Coefficients(X_s_Within(),y_s(),Allow_Intercept,Sample_Include()),_xlfn.VSTACK("",Coefficients(X_s_Within(),y_s(),Allow_Intercept,Sample_Include()))))</f>
        <v>#VALUE!</v>
      </c>
      <c r="Z21" s="7" t="e" cm="1" vm="1">
        <f t="array" ref="Z21">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#VALUE!</v>
      </c>
      <c r="AA21" s="7" t="e" cm="1" vm="1">
        <f t="array" ref="AA21">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#VALUE!</v>
      </c>
      <c r="AB21" s="19" t="e" cm="1" vm="1">
        <f t="array" ref="AB21">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#VALUE!</v>
      </c>
      <c r="AC21" s="7" t="e" cm="1" vm="1">
        <f t="array" ref="AC21">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#VALUE!</v>
      </c>
      <c r="AD21" s="7" t="e" cm="1" vm="1">
        <f t="array" ref="AD21">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#VALUE!</v>
      </c>
      <c r="AE21" s="7" t="e" cm="1" vm="1">
        <f t="array" ref="AE21">IF(Zero_Predictors_Selected(),IF(Allow_Intercept,"",NA()),_xlfn.VSTACK("",Beta_Weights(X_s_Within(),y_s(),Allow_Intercept,Sample_Include())))</f>
        <v>#VALUE!</v>
      </c>
      <c r="AG21" t="str">
        <v>Model Year: 71</v>
      </c>
      <c r="AH21" s="17" cm="1">
        <f t="array" ref="AH21">IF(ROW()-18&lt;=IFERROR(ROWS(_xlfn.ANCHORARRAY($AI$19)),0),INDEX(_xlfn.ANCHORARRAY($AI$19),ROW()-18),"")</f>
        <v>6.8877551020408156E-2</v>
      </c>
      <c r="AI21" s="7">
        <v>6.8877551020408156E-2</v>
      </c>
      <c r="AK21" t="str">
        <v>datsun pl510</v>
      </c>
      <c r="AL21" s="7" t="e">
        <v>#N/A</v>
      </c>
      <c r="AN21" s="7" t="e">
        <v>#N/A</v>
      </c>
      <c r="AP21" s="7" t="e">
        <v>#N/A</v>
      </c>
      <c r="AQ21" s="7" t="e">
        <v>#N/A</v>
      </c>
      <c r="AR21" s="7" t="e">
        <v>#N/A</v>
      </c>
      <c r="AS21" s="7" t="e">
        <v>#N/A</v>
      </c>
      <c r="AT21" s="7" t="e">
        <v>#N/A</v>
      </c>
      <c r="AU21" s="7" t="e">
        <v>#N/A</v>
      </c>
    </row>
    <row r="22" spans="16:47" x14ac:dyDescent="0.25">
      <c r="Q22" s="14"/>
      <c r="R22" s="14"/>
      <c r="S22" s="14"/>
      <c r="T22" s="14"/>
      <c r="U22" s="14"/>
      <c r="V22" s="14"/>
      <c r="X22" t="str">
        <v>Horsepower</v>
      </c>
      <c r="Y22" s="7"/>
      <c r="Z22" s="7"/>
      <c r="AA22" s="7"/>
      <c r="AB22" s="19"/>
      <c r="AC22" s="7"/>
      <c r="AD22" s="7"/>
      <c r="AE22" s="7"/>
      <c r="AG22" t="str">
        <v>Model Year: 72</v>
      </c>
      <c r="AH22" s="17" cm="1">
        <f t="array" ref="AH22">IF(ROW()-18&lt;=IFERROR(ROWS(_xlfn.ANCHORARRAY($AI$19)),0),INDEX(_xlfn.ANCHORARRAY($AI$19),ROW()-18),"")</f>
        <v>7.1428571428571425E-2</v>
      </c>
      <c r="AI22" s="7">
        <v>7.1428571428571425E-2</v>
      </c>
      <c r="AK22" t="str">
        <v>volkswagen 1131 deluxe sedan</v>
      </c>
      <c r="AL22" s="7" t="e">
        <v>#N/A</v>
      </c>
      <c r="AN22" s="7" t="e">
        <v>#N/A</v>
      </c>
      <c r="AP22" s="7" t="e">
        <v>#N/A</v>
      </c>
      <c r="AQ22" s="7" t="e">
        <v>#N/A</v>
      </c>
      <c r="AR22" s="7" t="e">
        <v>#N/A</v>
      </c>
      <c r="AS22" s="7" t="e">
        <v>#N/A</v>
      </c>
      <c r="AT22" s="7" t="e">
        <v>#N/A</v>
      </c>
      <c r="AU22" s="7" t="e">
        <v>#N/A</v>
      </c>
    </row>
    <row r="23" spans="16:47" x14ac:dyDescent="0.25">
      <c r="Q23" s="14"/>
      <c r="R23" s="14"/>
      <c r="S23" s="14"/>
      <c r="T23" s="14"/>
      <c r="U23" s="14"/>
      <c r="V23" s="14"/>
      <c r="X23" t="str">
        <v>Weight</v>
      </c>
      <c r="Y23" s="7"/>
      <c r="Z23" s="7"/>
      <c r="AA23" s="7"/>
      <c r="AB23" s="19"/>
      <c r="AC23" s="7"/>
      <c r="AD23" s="7"/>
      <c r="AE23" s="7"/>
      <c r="AG23" t="str">
        <v>Model Year: 73</v>
      </c>
      <c r="AH23" s="17" cm="1">
        <f t="array" ref="AH23">IF(ROW()-18&lt;=IFERROR(ROWS(_xlfn.ANCHORARRAY($AI$19)),0),INDEX(_xlfn.ANCHORARRAY($AI$19),ROW()-18),"")</f>
        <v>0.10204081632653061</v>
      </c>
      <c r="AI23" s="7">
        <v>0.10204081632653061</v>
      </c>
      <c r="AK23" t="str">
        <v>peugeot 504</v>
      </c>
      <c r="AL23" s="7" t="e">
        <v>#N/A</v>
      </c>
      <c r="AN23" s="7" t="e">
        <v>#N/A</v>
      </c>
      <c r="AP23" s="7" t="e">
        <v>#N/A</v>
      </c>
      <c r="AQ23" s="7" t="e">
        <v>#N/A</v>
      </c>
      <c r="AR23" s="7" t="e">
        <v>#N/A</v>
      </c>
      <c r="AS23" s="7" t="e">
        <v>#N/A</v>
      </c>
      <c r="AT23" s="7" t="e">
        <v>#N/A</v>
      </c>
      <c r="AU23" s="7" t="e">
        <v>#N/A</v>
      </c>
    </row>
    <row r="24" spans="16:47" x14ac:dyDescent="0.25">
      <c r="Q24" s="14"/>
      <c r="R24" s="14"/>
      <c r="S24" s="14"/>
      <c r="T24" s="14"/>
      <c r="U24" s="14"/>
      <c r="V24" s="14"/>
      <c r="X24" t="str">
        <v>Model Year: 71</v>
      </c>
      <c r="Y24" s="7"/>
      <c r="Z24" s="7"/>
      <c r="AA24" s="7"/>
      <c r="AB24" s="19"/>
      <c r="AC24" s="7"/>
      <c r="AD24" s="7"/>
      <c r="AE24" s="7"/>
      <c r="AG24" t="str">
        <v>Model Year: 74</v>
      </c>
      <c r="AH24" s="17" cm="1">
        <f t="array" ref="AH24">IF(ROW()-18&lt;=IFERROR(ROWS(_xlfn.ANCHORARRAY($AI$19)),0),INDEX(_xlfn.ANCHORARRAY($AI$19),ROW()-18),"")</f>
        <v>6.6326530612244902E-2</v>
      </c>
      <c r="AI24" s="7">
        <v>6.6326530612244902E-2</v>
      </c>
      <c r="AK24" t="str">
        <v>audi 100 ls</v>
      </c>
      <c r="AL24" s="7" t="e">
        <v>#N/A</v>
      </c>
      <c r="AN24" s="7" t="e">
        <v>#N/A</v>
      </c>
      <c r="AP24" s="7" t="e">
        <v>#N/A</v>
      </c>
      <c r="AQ24" s="7" t="e">
        <v>#N/A</v>
      </c>
      <c r="AR24" s="7" t="e">
        <v>#N/A</v>
      </c>
      <c r="AS24" s="7" t="e">
        <v>#N/A</v>
      </c>
      <c r="AT24" s="7" t="e">
        <v>#N/A</v>
      </c>
      <c r="AU24" s="7" t="e">
        <v>#N/A</v>
      </c>
    </row>
    <row r="25" spans="16:47" x14ac:dyDescent="0.25">
      <c r="Q25" s="14"/>
      <c r="R25" s="14"/>
      <c r="S25" s="14"/>
      <c r="T25" s="14"/>
      <c r="U25" s="14"/>
      <c r="V25" s="14"/>
      <c r="X25" t="str">
        <v>Model Year: 72</v>
      </c>
      <c r="Y25" s="7"/>
      <c r="Z25" s="7"/>
      <c r="AA25" s="7"/>
      <c r="AB25" s="19"/>
      <c r="AC25" s="7"/>
      <c r="AD25" s="7"/>
      <c r="AE25" s="7"/>
      <c r="AG25" t="str">
        <v>Model Year: 75</v>
      </c>
      <c r="AH25" s="17" cm="1">
        <f t="array" ref="AH25">IF(ROW()-18&lt;=IFERROR(ROWS(_xlfn.ANCHORARRAY($AI$19)),0),INDEX(_xlfn.ANCHORARRAY($AI$19),ROW()-18),"")</f>
        <v>7.6530612244897961E-2</v>
      </c>
      <c r="AI25" s="7">
        <v>7.6530612244897961E-2</v>
      </c>
      <c r="AK25" t="str">
        <v>saab 99e</v>
      </c>
      <c r="AL25" s="7" t="e">
        <v>#N/A</v>
      </c>
      <c r="AN25" s="7" t="e">
        <v>#N/A</v>
      </c>
      <c r="AP25" s="7" t="e">
        <v>#N/A</v>
      </c>
      <c r="AQ25" s="7" t="e">
        <v>#N/A</v>
      </c>
      <c r="AR25" s="7" t="e">
        <v>#N/A</v>
      </c>
      <c r="AS25" s="7" t="e">
        <v>#N/A</v>
      </c>
      <c r="AT25" s="7" t="e">
        <v>#N/A</v>
      </c>
      <c r="AU25" s="7" t="e">
        <v>#N/A</v>
      </c>
    </row>
    <row r="26" spans="16:47" x14ac:dyDescent="0.25">
      <c r="Q26" s="14"/>
      <c r="R26" s="14"/>
      <c r="S26" s="14"/>
      <c r="T26" s="14"/>
      <c r="U26" s="14"/>
      <c r="V26" s="14"/>
      <c r="X26" t="str">
        <v>Model Year: 73</v>
      </c>
      <c r="Y26" s="7"/>
      <c r="Z26" s="7"/>
      <c r="AA26" s="7"/>
      <c r="AB26" s="19"/>
      <c r="AC26" s="7"/>
      <c r="AD26" s="7"/>
      <c r="AE26" s="7"/>
      <c r="AG26" t="str">
        <v>Model Year: 76</v>
      </c>
      <c r="AH26" s="17" cm="1">
        <f t="array" ref="AH26">IF(ROW()-18&lt;=IFERROR(ROWS(_xlfn.ANCHORARRAY($AI$19)),0),INDEX(_xlfn.ANCHORARRAY($AI$19),ROW()-18),"")</f>
        <v>8.673469387755102E-2</v>
      </c>
      <c r="AI26" s="7">
        <v>8.673469387755102E-2</v>
      </c>
      <c r="AK26" t="str">
        <v>bmw 2002</v>
      </c>
      <c r="AL26" s="7" t="e">
        <v>#N/A</v>
      </c>
      <c r="AN26" s="7" t="e">
        <v>#N/A</v>
      </c>
      <c r="AP26" s="7" t="e">
        <v>#N/A</v>
      </c>
      <c r="AQ26" s="7" t="e">
        <v>#N/A</v>
      </c>
      <c r="AR26" s="7" t="e">
        <v>#N/A</v>
      </c>
      <c r="AS26" s="7" t="e">
        <v>#N/A</v>
      </c>
      <c r="AT26" s="7" t="e">
        <v>#N/A</v>
      </c>
      <c r="AU26" s="7" t="e">
        <v>#N/A</v>
      </c>
    </row>
    <row r="27" spans="16:47" x14ac:dyDescent="0.25">
      <c r="Q27" s="14"/>
      <c r="R27" s="14"/>
      <c r="S27" s="14"/>
      <c r="T27" s="14"/>
      <c r="U27" s="14"/>
      <c r="V27" s="14"/>
      <c r="X27" t="str">
        <v>Model Year: 74</v>
      </c>
      <c r="Y27" s="7"/>
      <c r="Z27" s="7"/>
      <c r="AA27" s="7"/>
      <c r="AB27" s="19"/>
      <c r="AC27" s="7"/>
      <c r="AD27" s="7"/>
      <c r="AE27" s="7"/>
      <c r="AG27" t="str">
        <v>Model Year: 77</v>
      </c>
      <c r="AH27" s="17" cm="1">
        <f t="array" ref="AH27">IF(ROW()-18&lt;=IFERROR(ROWS(_xlfn.ANCHORARRAY($AI$19)),0),INDEX(_xlfn.ANCHORARRAY($AI$19),ROW()-18),"")</f>
        <v>7.1428571428571425E-2</v>
      </c>
      <c r="AI27" s="7">
        <v>7.1428571428571425E-2</v>
      </c>
      <c r="AK27" t="str">
        <v>amc gremlin</v>
      </c>
      <c r="AL27" s="7" t="e">
        <v>#N/A</v>
      </c>
      <c r="AN27" s="7" t="e">
        <v>#N/A</v>
      </c>
      <c r="AP27" s="7" t="e">
        <v>#N/A</v>
      </c>
      <c r="AQ27" s="7" t="e">
        <v>#N/A</v>
      </c>
      <c r="AR27" s="7" t="e">
        <v>#N/A</v>
      </c>
      <c r="AS27" s="7" t="e">
        <v>#N/A</v>
      </c>
      <c r="AT27" s="7" t="e">
        <v>#N/A</v>
      </c>
      <c r="AU27" s="7" t="e">
        <v>#N/A</v>
      </c>
    </row>
    <row r="28" spans="16:47" x14ac:dyDescent="0.25">
      <c r="Q28" s="14"/>
      <c r="R28" s="14"/>
      <c r="S28" s="14"/>
      <c r="T28" s="14"/>
      <c r="U28" s="14"/>
      <c r="V28" s="14"/>
      <c r="X28" t="str">
        <v>Model Year: 75</v>
      </c>
      <c r="Y28" s="7"/>
      <c r="Z28" s="7"/>
      <c r="AA28" s="7"/>
      <c r="AB28" s="19"/>
      <c r="AC28" s="7"/>
      <c r="AD28" s="7"/>
      <c r="AE28" s="7"/>
      <c r="AG28" t="str">
        <v>Model Year: 78</v>
      </c>
      <c r="AH28" s="17" cm="1">
        <f t="array" ref="AH28">IF(ROW()-18&lt;=IFERROR(ROWS(_xlfn.ANCHORARRAY($AI$19)),0),INDEX(_xlfn.ANCHORARRAY($AI$19),ROW()-18),"")</f>
        <v>9.1836734693877556E-2</v>
      </c>
      <c r="AI28" s="7">
        <v>9.1836734693877556E-2</v>
      </c>
      <c r="AK28" t="str">
        <v>ford f250</v>
      </c>
      <c r="AL28" s="7" t="e">
        <v>#N/A</v>
      </c>
      <c r="AN28" s="7" t="e">
        <v>#N/A</v>
      </c>
      <c r="AP28" s="7" t="e">
        <v>#N/A</v>
      </c>
      <c r="AQ28" s="7" t="e">
        <v>#N/A</v>
      </c>
      <c r="AR28" s="7" t="e">
        <v>#N/A</v>
      </c>
      <c r="AS28" s="7" t="e">
        <v>#N/A</v>
      </c>
      <c r="AT28" s="7" t="e">
        <v>#N/A</v>
      </c>
      <c r="AU28" s="7" t="e">
        <v>#N/A</v>
      </c>
    </row>
    <row r="29" spans="16:47" x14ac:dyDescent="0.25">
      <c r="Q29" s="14"/>
      <c r="R29" s="14"/>
      <c r="S29" s="14"/>
      <c r="T29" s="14"/>
      <c r="U29" s="14"/>
      <c r="V29" s="14"/>
      <c r="X29" t="str">
        <v>Model Year: 76</v>
      </c>
      <c r="Y29" s="7"/>
      <c r="Z29" s="7"/>
      <c r="AA29" s="7"/>
      <c r="AB29" s="19"/>
      <c r="AC29" s="7"/>
      <c r="AD29" s="7"/>
      <c r="AE29" s="7"/>
      <c r="AG29" t="str">
        <v>Model Year: 79</v>
      </c>
      <c r="AH29" s="17" cm="1">
        <f t="array" ref="AH29">IF(ROW()-18&lt;=IFERROR(ROWS(_xlfn.ANCHORARRAY($AI$19)),0),INDEX(_xlfn.ANCHORARRAY($AI$19),ROW()-18),"")</f>
        <v>7.3979591836734693E-2</v>
      </c>
      <c r="AI29" s="7">
        <v>7.3979591836734693E-2</v>
      </c>
      <c r="AK29" t="str">
        <v>chevy c20</v>
      </c>
      <c r="AL29" s="7" t="e">
        <v>#N/A</v>
      </c>
      <c r="AN29" s="7" t="e">
        <v>#N/A</v>
      </c>
      <c r="AP29" s="7" t="e">
        <v>#N/A</v>
      </c>
      <c r="AQ29" s="7" t="e">
        <v>#N/A</v>
      </c>
      <c r="AR29" s="7" t="e">
        <v>#N/A</v>
      </c>
      <c r="AS29" s="7" t="e">
        <v>#N/A</v>
      </c>
      <c r="AT29" s="7" t="e">
        <v>#N/A</v>
      </c>
      <c r="AU29" s="7" t="e">
        <v>#N/A</v>
      </c>
    </row>
    <row r="30" spans="16:47" x14ac:dyDescent="0.25">
      <c r="Q30" s="14"/>
      <c r="R30" s="14"/>
      <c r="S30" s="14"/>
      <c r="T30" s="14"/>
      <c r="U30" s="14"/>
      <c r="V30" s="14"/>
      <c r="X30" t="str">
        <v>Model Year: 77</v>
      </c>
      <c r="Y30" s="7"/>
      <c r="Z30" s="7"/>
      <c r="AA30" s="7"/>
      <c r="AB30" s="19"/>
      <c r="AC30" s="7"/>
      <c r="AD30" s="7"/>
      <c r="AE30" s="7"/>
      <c r="AG30" t="str">
        <v>Model Year: 80</v>
      </c>
      <c r="AH30" s="17" cm="1">
        <f t="array" ref="AH30">IF(ROW()-18&lt;=IFERROR(ROWS(_xlfn.ANCHORARRAY($AI$19)),0),INDEX(_xlfn.ANCHORARRAY($AI$19),ROW()-18),"")</f>
        <v>6.8877551020408156E-2</v>
      </c>
      <c r="AI30" s="7">
        <v>6.8877551020408156E-2</v>
      </c>
      <c r="AK30" t="str">
        <v>dodge d200</v>
      </c>
      <c r="AL30" s="7" t="e">
        <v>#N/A</v>
      </c>
      <c r="AN30" s="7" t="e">
        <v>#N/A</v>
      </c>
      <c r="AP30" s="7" t="e">
        <v>#N/A</v>
      </c>
      <c r="AQ30" s="7" t="e">
        <v>#N/A</v>
      </c>
      <c r="AR30" s="7" t="e">
        <v>#N/A</v>
      </c>
      <c r="AS30" s="7" t="e">
        <v>#N/A</v>
      </c>
      <c r="AT30" s="7" t="e">
        <v>#N/A</v>
      </c>
      <c r="AU30" s="7" t="e">
        <v>#N/A</v>
      </c>
    </row>
    <row r="31" spans="16:47" x14ac:dyDescent="0.25">
      <c r="Q31" s="14"/>
      <c r="R31" s="14"/>
      <c r="S31" s="14"/>
      <c r="T31" s="14"/>
      <c r="U31" s="14"/>
      <c r="V31" s="14"/>
      <c r="X31" t="str">
        <v>Model Year: 78</v>
      </c>
      <c r="Y31" s="7"/>
      <c r="Z31" s="7"/>
      <c r="AA31" s="7"/>
      <c r="AB31" s="19"/>
      <c r="AC31" s="7"/>
      <c r="AD31" s="7"/>
      <c r="AE31" s="7"/>
      <c r="AG31" t="str">
        <v>Model Year: 81</v>
      </c>
      <c r="AH31" s="17" cm="1">
        <f t="array" ref="AH31">IF(ROW()-18&lt;=IFERROR(ROWS(_xlfn.ANCHORARRAY($AI$19)),0),INDEX(_xlfn.ANCHORARRAY($AI$19),ROW()-18),"")</f>
        <v>7.1428571428571425E-2</v>
      </c>
      <c r="AI31" s="7">
        <v>7.1428571428571425E-2</v>
      </c>
      <c r="AK31" t="str">
        <v>hi 1200d</v>
      </c>
      <c r="AL31" s="7" t="e">
        <v>#N/A</v>
      </c>
      <c r="AN31" s="7" t="e">
        <v>#N/A</v>
      </c>
      <c r="AP31" s="7" t="e">
        <v>#N/A</v>
      </c>
      <c r="AQ31" s="7" t="e">
        <v>#N/A</v>
      </c>
      <c r="AR31" s="7" t="e">
        <v>#N/A</v>
      </c>
      <c r="AS31" s="7" t="e">
        <v>#N/A</v>
      </c>
      <c r="AT31" s="7" t="e">
        <v>#N/A</v>
      </c>
      <c r="AU31" s="7" t="e">
        <v>#N/A</v>
      </c>
    </row>
    <row r="32" spans="16:47" x14ac:dyDescent="0.25">
      <c r="Q32" s="14"/>
      <c r="R32" s="14"/>
      <c r="S32" s="14"/>
      <c r="T32" s="14"/>
      <c r="U32" s="14"/>
      <c r="V32" s="14"/>
      <c r="X32" t="str">
        <v>Model Year: 79</v>
      </c>
      <c r="Y32" s="7"/>
      <c r="Z32" s="7"/>
      <c r="AA32" s="7"/>
      <c r="AB32" s="19"/>
      <c r="AC32" s="7"/>
      <c r="AD32" s="7"/>
      <c r="AE32" s="7"/>
      <c r="AG32" t="str">
        <v>Model Year: 82</v>
      </c>
      <c r="AH32" s="17" cm="1">
        <f t="array" ref="AH32">IF(ROW()-18&lt;=IFERROR(ROWS(_xlfn.ANCHORARRAY($AI$19)),0),INDEX(_xlfn.ANCHORARRAY($AI$19),ROW()-18),"")</f>
        <v>7.6530612244897961E-2</v>
      </c>
      <c r="AI32" s="7">
        <v>7.6530612244897961E-2</v>
      </c>
      <c r="AK32" t="str">
        <v>datsun pl510</v>
      </c>
      <c r="AL32" s="7" t="e">
        <v>#N/A</v>
      </c>
      <c r="AN32" s="7" t="e">
        <v>#N/A</v>
      </c>
      <c r="AP32" s="7" t="e">
        <v>#N/A</v>
      </c>
      <c r="AQ32" s="7" t="e">
        <v>#N/A</v>
      </c>
      <c r="AR32" s="7" t="e">
        <v>#N/A</v>
      </c>
      <c r="AS32" s="7" t="e">
        <v>#N/A</v>
      </c>
      <c r="AT32" s="7" t="e">
        <v>#N/A</v>
      </c>
      <c r="AU32" s="7" t="e">
        <v>#N/A</v>
      </c>
    </row>
    <row r="33" spans="17:47" x14ac:dyDescent="0.25">
      <c r="Q33" s="14"/>
      <c r="R33" s="14"/>
      <c r="S33" s="14"/>
      <c r="T33" s="14"/>
      <c r="U33" s="14"/>
      <c r="V33" s="14"/>
      <c r="X33" t="str">
        <v>Model Year: 80</v>
      </c>
      <c r="Y33" s="7"/>
      <c r="Z33" s="7"/>
      <c r="AA33" s="7"/>
      <c r="AB33" s="19"/>
      <c r="AC33" s="7"/>
      <c r="AD33" s="7"/>
      <c r="AE33" s="7"/>
      <c r="AG33" t="str">
        <v>Origin: Europe</v>
      </c>
      <c r="AH33" s="17" cm="1">
        <f t="array" ref="AH33">IF(ROW()-18&lt;=IFERROR(ROWS(_xlfn.ANCHORARRAY($AI$19)),0),INDEX(_xlfn.ANCHORARRAY($AI$19),ROW()-18),"")</f>
        <v>0.17346938775510204</v>
      </c>
      <c r="AI33" s="7">
        <v>0.17346938775510204</v>
      </c>
      <c r="AK33" t="str">
        <v>chevrolet vega 2300</v>
      </c>
      <c r="AL33" s="7" t="e">
        <v>#N/A</v>
      </c>
      <c r="AN33" s="7" t="e">
        <v>#N/A</v>
      </c>
      <c r="AP33" s="7" t="e">
        <v>#N/A</v>
      </c>
      <c r="AQ33" s="7" t="e">
        <v>#N/A</v>
      </c>
      <c r="AR33" s="7" t="e">
        <v>#N/A</v>
      </c>
      <c r="AS33" s="7" t="e">
        <v>#N/A</v>
      </c>
      <c r="AT33" s="7" t="e">
        <v>#N/A</v>
      </c>
      <c r="AU33" s="7" t="e">
        <v>#N/A</v>
      </c>
    </row>
    <row r="34" spans="17:47" x14ac:dyDescent="0.25">
      <c r="Q34" s="14"/>
      <c r="R34" s="14"/>
      <c r="S34" s="14"/>
      <c r="T34" s="14"/>
      <c r="U34" s="14"/>
      <c r="V34" s="14"/>
      <c r="X34" t="str">
        <v>Model Year: 81</v>
      </c>
      <c r="Y34" s="7"/>
      <c r="Z34" s="7"/>
      <c r="AA34" s="7"/>
      <c r="AB34" s="19"/>
      <c r="AC34" s="7"/>
      <c r="AD34" s="7"/>
      <c r="AE34" s="7"/>
      <c r="AG34" t="str">
        <v>Origin: US</v>
      </c>
      <c r="AH34" s="17" cm="1">
        <f t="array" ref="AH34">IF(ROW()-18&lt;=IFERROR(ROWS(_xlfn.ANCHORARRAY($AI$19)),0),INDEX(_xlfn.ANCHORARRAY($AI$19),ROW()-18),"")</f>
        <v>0.625</v>
      </c>
      <c r="AI34" s="7">
        <v>0.625</v>
      </c>
      <c r="AK34" t="str">
        <v>toyota corona</v>
      </c>
      <c r="AL34" s="7" t="e">
        <v>#N/A</v>
      </c>
      <c r="AN34" s="7" t="e">
        <v>#N/A</v>
      </c>
      <c r="AP34" s="7" t="e">
        <v>#N/A</v>
      </c>
      <c r="AQ34" s="7" t="e">
        <v>#N/A</v>
      </c>
      <c r="AR34" s="7" t="e">
        <v>#N/A</v>
      </c>
      <c r="AS34" s="7" t="e">
        <v>#N/A</v>
      </c>
      <c r="AT34" s="7" t="e">
        <v>#N/A</v>
      </c>
      <c r="AU34" s="7" t="e">
        <v>#N/A</v>
      </c>
    </row>
    <row r="35" spans="17:47" x14ac:dyDescent="0.25">
      <c r="Q35" s="14"/>
      <c r="R35" s="14"/>
      <c r="S35" s="14"/>
      <c r="T35" s="14"/>
      <c r="U35" s="14"/>
      <c r="V35" s="14"/>
      <c r="X35" t="str">
        <v>Model Year: 82</v>
      </c>
      <c r="Y35" s="7"/>
      <c r="Z35" s="7"/>
      <c r="AA35" s="7"/>
      <c r="AB35" s="19"/>
      <c r="AC35" s="7"/>
      <c r="AD35" s="7"/>
      <c r="AE35" s="7"/>
      <c r="AH35" s="17" t="str" cm="1">
        <f t="array" ref="AH35">IF(ROW()-18&lt;=IFERROR(ROWS(_xlfn.ANCHORARRAY($AI$19)),0),INDEX(_xlfn.ANCHORARRAY($AI$19),ROW()-18),"")</f>
        <v/>
      </c>
      <c r="AK35" t="str">
        <v>amc gremlin</v>
      </c>
      <c r="AL35" s="7" t="e">
        <v>#N/A</v>
      </c>
      <c r="AN35" s="7" t="e">
        <v>#N/A</v>
      </c>
      <c r="AP35" s="7" t="e">
        <v>#N/A</v>
      </c>
      <c r="AQ35" s="7" t="e">
        <v>#N/A</v>
      </c>
      <c r="AR35" s="7" t="e">
        <v>#N/A</v>
      </c>
      <c r="AS35" s="7" t="e">
        <v>#N/A</v>
      </c>
      <c r="AT35" s="7" t="e">
        <v>#N/A</v>
      </c>
      <c r="AU35" s="7" t="e">
        <v>#N/A</v>
      </c>
    </row>
    <row r="36" spans="17:47" x14ac:dyDescent="0.25">
      <c r="Q36" s="14"/>
      <c r="R36" s="14"/>
      <c r="S36" s="14"/>
      <c r="T36" s="14"/>
      <c r="U36" s="14"/>
      <c r="V36" s="14"/>
      <c r="X36" t="str">
        <v>Origin: Europe</v>
      </c>
      <c r="Y36" s="7"/>
      <c r="Z36" s="7"/>
      <c r="AA36" s="7"/>
      <c r="AB36" s="19"/>
      <c r="AC36" s="7"/>
      <c r="AD36" s="7"/>
      <c r="AE36" s="7"/>
      <c r="AH36" s="17" t="str" cm="1">
        <f t="array" ref="AH36">IF(ROW()-18&lt;=IFERROR(ROWS(_xlfn.ANCHORARRAY($AI$19)),0),INDEX(_xlfn.ANCHORARRAY($AI$19),ROW()-18),"")</f>
        <v/>
      </c>
      <c r="AK36" t="str">
        <v>plymouth satellite custom</v>
      </c>
      <c r="AL36" s="7" t="e">
        <v>#N/A</v>
      </c>
      <c r="AN36" s="7" t="e">
        <v>#N/A</v>
      </c>
      <c r="AP36" s="7" t="e">
        <v>#N/A</v>
      </c>
      <c r="AQ36" s="7" t="e">
        <v>#N/A</v>
      </c>
      <c r="AR36" s="7" t="e">
        <v>#N/A</v>
      </c>
      <c r="AS36" s="7" t="e">
        <v>#N/A</v>
      </c>
      <c r="AT36" s="7" t="e">
        <v>#N/A</v>
      </c>
      <c r="AU36" s="7" t="e">
        <v>#N/A</v>
      </c>
    </row>
    <row r="37" spans="17:47" x14ac:dyDescent="0.25">
      <c r="Q37" s="14"/>
      <c r="R37" s="14"/>
      <c r="S37" s="14"/>
      <c r="T37" s="14"/>
      <c r="U37" s="14"/>
      <c r="V37" s="14"/>
      <c r="X37" t="str">
        <v>Origin: US</v>
      </c>
      <c r="Y37" s="7"/>
      <c r="Z37" s="7"/>
      <c r="AA37" s="7"/>
      <c r="AB37" s="19"/>
      <c r="AC37" s="7"/>
      <c r="AD37" s="7"/>
      <c r="AE37" s="7"/>
      <c r="AH37" s="17" t="str" cm="1">
        <f t="array" ref="AH37">IF(ROW()-18&lt;=IFERROR(ROWS(_xlfn.ANCHORARRAY($AI$19)),0),INDEX(_xlfn.ANCHORARRAY($AI$19),ROW()-18),"")</f>
        <v/>
      </c>
      <c r="AK37" t="str">
        <v>chevrolet chevelle malibu</v>
      </c>
      <c r="AL37" s="7" t="e">
        <v>#N/A</v>
      </c>
      <c r="AN37" s="7" t="e">
        <v>#N/A</v>
      </c>
      <c r="AP37" s="7" t="e">
        <v>#N/A</v>
      </c>
      <c r="AQ37" s="7" t="e">
        <v>#N/A</v>
      </c>
      <c r="AR37" s="7" t="e">
        <v>#N/A</v>
      </c>
      <c r="AS37" s="7" t="e">
        <v>#N/A</v>
      </c>
      <c r="AT37" s="7" t="e">
        <v>#N/A</v>
      </c>
      <c r="AU37" s="7" t="e">
        <v>#N/A</v>
      </c>
    </row>
    <row r="38" spans="17:47"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t="e">
        <v>#N/A</v>
      </c>
      <c r="AN38" s="7" t="e">
        <v>#N/A</v>
      </c>
      <c r="AP38" s="7" t="e">
        <v>#N/A</v>
      </c>
      <c r="AQ38" s="7" t="e">
        <v>#N/A</v>
      </c>
      <c r="AR38" s="7" t="e">
        <v>#N/A</v>
      </c>
      <c r="AS38" s="7" t="e">
        <v>#N/A</v>
      </c>
      <c r="AT38" s="7" t="e">
        <v>#N/A</v>
      </c>
      <c r="AU38" s="7" t="e">
        <v>#N/A</v>
      </c>
    </row>
    <row r="39" spans="17:47"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t="e">
        <v>#N/A</v>
      </c>
      <c r="AN39" s="7" t="e">
        <v>#N/A</v>
      </c>
      <c r="AP39" s="7" t="e">
        <v>#N/A</v>
      </c>
      <c r="AQ39" s="7" t="e">
        <v>#N/A</v>
      </c>
      <c r="AR39" s="7" t="e">
        <v>#N/A</v>
      </c>
      <c r="AS39" s="7" t="e">
        <v>#N/A</v>
      </c>
      <c r="AT39" s="7" t="e">
        <v>#N/A</v>
      </c>
      <c r="AU39" s="7" t="e">
        <v>#N/A</v>
      </c>
    </row>
    <row r="40" spans="17:47"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t="e">
        <v>#N/A</v>
      </c>
      <c r="AN40" s="7" t="e">
        <v>#N/A</v>
      </c>
      <c r="AP40" s="7" t="e">
        <v>#N/A</v>
      </c>
      <c r="AQ40" s="7" t="e">
        <v>#N/A</v>
      </c>
      <c r="AR40" s="7" t="e">
        <v>#N/A</v>
      </c>
      <c r="AS40" s="7" t="e">
        <v>#N/A</v>
      </c>
      <c r="AT40" s="7" t="e">
        <v>#N/A</v>
      </c>
      <c r="AU40" s="7" t="e">
        <v>#N/A</v>
      </c>
    </row>
    <row r="41" spans="17:47"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t="e">
        <v>#N/A</v>
      </c>
      <c r="AN41" s="7" t="e">
        <v>#N/A</v>
      </c>
      <c r="AP41" s="7" t="e">
        <v>#N/A</v>
      </c>
      <c r="AQ41" s="7" t="e">
        <v>#N/A</v>
      </c>
      <c r="AR41" s="7" t="e">
        <v>#N/A</v>
      </c>
      <c r="AS41" s="7" t="e">
        <v>#N/A</v>
      </c>
      <c r="AT41" s="7" t="e">
        <v>#N/A</v>
      </c>
      <c r="AU41" s="7" t="e">
        <v>#N/A</v>
      </c>
    </row>
    <row r="42" spans="17:47"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t="e">
        <v>#N/A</v>
      </c>
      <c r="AN42" s="7" t="e">
        <v>#N/A</v>
      </c>
      <c r="AP42" s="7" t="e">
        <v>#N/A</v>
      </c>
      <c r="AQ42" s="7" t="e">
        <v>#N/A</v>
      </c>
      <c r="AR42" s="7" t="e">
        <v>#N/A</v>
      </c>
      <c r="AS42" s="7" t="e">
        <v>#N/A</v>
      </c>
      <c r="AT42" s="7" t="e">
        <v>#N/A</v>
      </c>
      <c r="AU42" s="7" t="e">
        <v>#N/A</v>
      </c>
    </row>
    <row r="43" spans="17:47"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t="e">
        <v>#N/A</v>
      </c>
      <c r="AN43" s="7" t="e">
        <v>#N/A</v>
      </c>
      <c r="AP43" s="7" t="e">
        <v>#N/A</v>
      </c>
      <c r="AQ43" s="7" t="e">
        <v>#N/A</v>
      </c>
      <c r="AR43" s="7" t="e">
        <v>#N/A</v>
      </c>
      <c r="AS43" s="7" t="e">
        <v>#N/A</v>
      </c>
      <c r="AT43" s="7" t="e">
        <v>#N/A</v>
      </c>
      <c r="AU43" s="7" t="e">
        <v>#N/A</v>
      </c>
    </row>
    <row r="44" spans="17:47"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t="e">
        <v>#N/A</v>
      </c>
      <c r="AN44" s="7" t="e">
        <v>#N/A</v>
      </c>
      <c r="AP44" s="7" t="e">
        <v>#N/A</v>
      </c>
      <c r="AQ44" s="7" t="e">
        <v>#N/A</v>
      </c>
      <c r="AR44" s="7" t="e">
        <v>#N/A</v>
      </c>
      <c r="AS44" s="7" t="e">
        <v>#N/A</v>
      </c>
      <c r="AT44" s="7" t="e">
        <v>#N/A</v>
      </c>
      <c r="AU44" s="7" t="e">
        <v>#N/A</v>
      </c>
    </row>
    <row r="45" spans="17:47"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t="e">
        <v>#N/A</v>
      </c>
      <c r="AN45" s="7" t="e">
        <v>#N/A</v>
      </c>
      <c r="AP45" s="7" t="e">
        <v>#N/A</v>
      </c>
      <c r="AQ45" s="7" t="e">
        <v>#N/A</v>
      </c>
      <c r="AR45" s="7" t="e">
        <v>#N/A</v>
      </c>
      <c r="AS45" s="7" t="e">
        <v>#N/A</v>
      </c>
      <c r="AT45" s="7" t="e">
        <v>#N/A</v>
      </c>
      <c r="AU45" s="7" t="e">
        <v>#N/A</v>
      </c>
    </row>
    <row r="46" spans="17:47"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t="e">
        <v>#N/A</v>
      </c>
      <c r="AN46" s="7" t="e">
        <v>#N/A</v>
      </c>
      <c r="AP46" s="7" t="e">
        <v>#N/A</v>
      </c>
      <c r="AQ46" s="7" t="e">
        <v>#N/A</v>
      </c>
      <c r="AR46" s="7" t="e">
        <v>#N/A</v>
      </c>
      <c r="AS46" s="7" t="e">
        <v>#N/A</v>
      </c>
      <c r="AT46" s="7" t="e">
        <v>#N/A</v>
      </c>
      <c r="AU46" s="7" t="e">
        <v>#N/A</v>
      </c>
    </row>
    <row r="47" spans="17:47"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t="e">
        <v>#N/A</v>
      </c>
      <c r="AN47" s="7" t="e">
        <v>#N/A</v>
      </c>
      <c r="AP47" s="7" t="e">
        <v>#N/A</v>
      </c>
      <c r="AQ47" s="7" t="e">
        <v>#N/A</v>
      </c>
      <c r="AR47" s="7" t="e">
        <v>#N/A</v>
      </c>
      <c r="AS47" s="7" t="e">
        <v>#N/A</v>
      </c>
      <c r="AT47" s="7" t="e">
        <v>#N/A</v>
      </c>
      <c r="AU47" s="7" t="e">
        <v>#N/A</v>
      </c>
    </row>
    <row r="48" spans="17:47"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t="e">
        <v>#N/A</v>
      </c>
      <c r="AN48" s="7" t="e">
        <v>#N/A</v>
      </c>
      <c r="AP48" s="7" t="e">
        <v>#N/A</v>
      </c>
      <c r="AQ48" s="7" t="e">
        <v>#N/A</v>
      </c>
      <c r="AR48" s="7" t="e">
        <v>#N/A</v>
      </c>
      <c r="AS48" s="7" t="e">
        <v>#N/A</v>
      </c>
      <c r="AT48" s="7" t="e">
        <v>#N/A</v>
      </c>
      <c r="AU48" s="7" t="e">
        <v>#N/A</v>
      </c>
    </row>
    <row r="49" spans="17:47"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t="e">
        <v>#N/A</v>
      </c>
      <c r="AN49" s="7" t="e">
        <v>#N/A</v>
      </c>
      <c r="AP49" s="7" t="e">
        <v>#N/A</v>
      </c>
      <c r="AQ49" s="7" t="e">
        <v>#N/A</v>
      </c>
      <c r="AR49" s="7" t="e">
        <v>#N/A</v>
      </c>
      <c r="AS49" s="7" t="e">
        <v>#N/A</v>
      </c>
      <c r="AT49" s="7" t="e">
        <v>#N/A</v>
      </c>
      <c r="AU49" s="7" t="e">
        <v>#N/A</v>
      </c>
    </row>
    <row r="50" spans="17:47"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t="e">
        <v>#N/A</v>
      </c>
      <c r="AN50" s="7" t="e">
        <v>#N/A</v>
      </c>
      <c r="AP50" s="7" t="e">
        <v>#N/A</v>
      </c>
      <c r="AQ50" s="7" t="e">
        <v>#N/A</v>
      </c>
      <c r="AR50" s="7" t="e">
        <v>#N/A</v>
      </c>
      <c r="AS50" s="7" t="e">
        <v>#N/A</v>
      </c>
      <c r="AT50" s="7" t="e">
        <v>#N/A</v>
      </c>
      <c r="AU50" s="7" t="e">
        <v>#N/A</v>
      </c>
    </row>
    <row r="51" spans="17:47"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t="e">
        <v>#N/A</v>
      </c>
      <c r="AN51" s="7" t="e">
        <v>#N/A</v>
      </c>
      <c r="AP51" s="7" t="e">
        <v>#N/A</v>
      </c>
      <c r="AQ51" s="7" t="e">
        <v>#N/A</v>
      </c>
      <c r="AR51" s="7" t="e">
        <v>#N/A</v>
      </c>
      <c r="AS51" s="7" t="e">
        <v>#N/A</v>
      </c>
      <c r="AT51" s="7" t="e">
        <v>#N/A</v>
      </c>
      <c r="AU51" s="7" t="e">
        <v>#N/A</v>
      </c>
    </row>
    <row r="52" spans="17:47"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t="e">
        <v>#N/A</v>
      </c>
      <c r="AN52" s="7" t="e">
        <v>#N/A</v>
      </c>
      <c r="AP52" s="7" t="e">
        <v>#N/A</v>
      </c>
      <c r="AQ52" s="7" t="e">
        <v>#N/A</v>
      </c>
      <c r="AR52" s="7" t="e">
        <v>#N/A</v>
      </c>
      <c r="AS52" s="7" t="e">
        <v>#N/A</v>
      </c>
      <c r="AT52" s="7" t="e">
        <v>#N/A</v>
      </c>
      <c r="AU52" s="7" t="e">
        <v>#N/A</v>
      </c>
    </row>
    <row r="53" spans="17:47"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t="e">
        <v>#N/A</v>
      </c>
      <c r="AN53" s="7" t="e">
        <v>#N/A</v>
      </c>
      <c r="AP53" s="7" t="e">
        <v>#N/A</v>
      </c>
      <c r="AQ53" s="7" t="e">
        <v>#N/A</v>
      </c>
      <c r="AR53" s="7" t="e">
        <v>#N/A</v>
      </c>
      <c r="AS53" s="7" t="e">
        <v>#N/A</v>
      </c>
      <c r="AT53" s="7" t="e">
        <v>#N/A</v>
      </c>
      <c r="AU53" s="7" t="e">
        <v>#N/A</v>
      </c>
    </row>
    <row r="54" spans="17:47"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t="e">
        <v>#N/A</v>
      </c>
      <c r="AN54" s="7" t="e">
        <v>#N/A</v>
      </c>
      <c r="AP54" s="7" t="e">
        <v>#N/A</v>
      </c>
      <c r="AQ54" s="7" t="e">
        <v>#N/A</v>
      </c>
      <c r="AR54" s="7" t="e">
        <v>#N/A</v>
      </c>
      <c r="AS54" s="7" t="e">
        <v>#N/A</v>
      </c>
      <c r="AT54" s="7" t="e">
        <v>#N/A</v>
      </c>
      <c r="AU54" s="7" t="e">
        <v>#N/A</v>
      </c>
    </row>
    <row r="55" spans="17:47"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t="e">
        <v>#N/A</v>
      </c>
      <c r="AN55" s="7" t="e">
        <v>#N/A</v>
      </c>
      <c r="AP55" s="7" t="e">
        <v>#N/A</v>
      </c>
      <c r="AQ55" s="7" t="e">
        <v>#N/A</v>
      </c>
      <c r="AR55" s="7" t="e">
        <v>#N/A</v>
      </c>
      <c r="AS55" s="7" t="e">
        <v>#N/A</v>
      </c>
      <c r="AT55" s="7" t="e">
        <v>#N/A</v>
      </c>
      <c r="AU55" s="7" t="e">
        <v>#N/A</v>
      </c>
    </row>
    <row r="56" spans="17:47"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t="e">
        <v>#N/A</v>
      </c>
      <c r="AN56" s="7" t="e">
        <v>#N/A</v>
      </c>
      <c r="AP56" s="7" t="e">
        <v>#N/A</v>
      </c>
      <c r="AQ56" s="7" t="e">
        <v>#N/A</v>
      </c>
      <c r="AR56" s="7" t="e">
        <v>#N/A</v>
      </c>
      <c r="AS56" s="7" t="e">
        <v>#N/A</v>
      </c>
      <c r="AT56" s="7" t="e">
        <v>#N/A</v>
      </c>
      <c r="AU56" s="7" t="e">
        <v>#N/A</v>
      </c>
    </row>
    <row r="57" spans="17:47"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t="e">
        <v>#N/A</v>
      </c>
      <c r="AN57" s="7" t="e">
        <v>#N/A</v>
      </c>
      <c r="AP57" s="7" t="e">
        <v>#N/A</v>
      </c>
      <c r="AQ57" s="7" t="e">
        <v>#N/A</v>
      </c>
      <c r="AR57" s="7" t="e">
        <v>#N/A</v>
      </c>
      <c r="AS57" s="7" t="e">
        <v>#N/A</v>
      </c>
      <c r="AT57" s="7" t="e">
        <v>#N/A</v>
      </c>
      <c r="AU57" s="7" t="e">
        <v>#N/A</v>
      </c>
    </row>
    <row r="58" spans="17:47"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t="e">
        <v>#N/A</v>
      </c>
      <c r="AN58" s="7" t="e">
        <v>#N/A</v>
      </c>
      <c r="AP58" s="7" t="e">
        <v>#N/A</v>
      </c>
      <c r="AQ58" s="7" t="e">
        <v>#N/A</v>
      </c>
      <c r="AR58" s="7" t="e">
        <v>#N/A</v>
      </c>
      <c r="AS58" s="7" t="e">
        <v>#N/A</v>
      </c>
      <c r="AT58" s="7" t="e">
        <v>#N/A</v>
      </c>
      <c r="AU58" s="7" t="e">
        <v>#N/A</v>
      </c>
    </row>
    <row r="59" spans="17:47"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t="e">
        <v>#N/A</v>
      </c>
      <c r="AN59" s="7" t="e">
        <v>#N/A</v>
      </c>
      <c r="AP59" s="7" t="e">
        <v>#N/A</v>
      </c>
      <c r="AQ59" s="7" t="e">
        <v>#N/A</v>
      </c>
      <c r="AR59" s="7" t="e">
        <v>#N/A</v>
      </c>
      <c r="AS59" s="7" t="e">
        <v>#N/A</v>
      </c>
      <c r="AT59" s="7" t="e">
        <v>#N/A</v>
      </c>
      <c r="AU59" s="7" t="e">
        <v>#N/A</v>
      </c>
    </row>
    <row r="60" spans="17:47"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t="e">
        <v>#N/A</v>
      </c>
      <c r="AN60" s="7" t="e">
        <v>#N/A</v>
      </c>
      <c r="AP60" s="7" t="e">
        <v>#N/A</v>
      </c>
      <c r="AQ60" s="7" t="e">
        <v>#N/A</v>
      </c>
      <c r="AR60" s="7" t="e">
        <v>#N/A</v>
      </c>
      <c r="AS60" s="7" t="e">
        <v>#N/A</v>
      </c>
      <c r="AT60" s="7" t="e">
        <v>#N/A</v>
      </c>
      <c r="AU60" s="7" t="e">
        <v>#N/A</v>
      </c>
    </row>
    <row r="61" spans="17:47"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t="e">
        <v>#N/A</v>
      </c>
      <c r="AN61" s="7" t="e">
        <v>#N/A</v>
      </c>
      <c r="AP61" s="7" t="e">
        <v>#N/A</v>
      </c>
      <c r="AQ61" s="7" t="e">
        <v>#N/A</v>
      </c>
      <c r="AR61" s="7" t="e">
        <v>#N/A</v>
      </c>
      <c r="AS61" s="7" t="e">
        <v>#N/A</v>
      </c>
      <c r="AT61" s="7" t="e">
        <v>#N/A</v>
      </c>
      <c r="AU61" s="7" t="e">
        <v>#N/A</v>
      </c>
    </row>
    <row r="62" spans="17:47"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t="e">
        <v>#N/A</v>
      </c>
      <c r="AN62" s="7" t="e">
        <v>#N/A</v>
      </c>
      <c r="AP62" s="7" t="e">
        <v>#N/A</v>
      </c>
      <c r="AQ62" s="7" t="e">
        <v>#N/A</v>
      </c>
      <c r="AR62" s="7" t="e">
        <v>#N/A</v>
      </c>
      <c r="AS62" s="7" t="e">
        <v>#N/A</v>
      </c>
      <c r="AT62" s="7" t="e">
        <v>#N/A</v>
      </c>
      <c r="AU62" s="7" t="e">
        <v>#N/A</v>
      </c>
    </row>
    <row r="63" spans="17:47" x14ac:dyDescent="0.25">
      <c r="AK63" t="str">
        <v>ford pinto runabout</v>
      </c>
      <c r="AL63" s="7" t="e">
        <v>#N/A</v>
      </c>
      <c r="AN63" s="7" t="e">
        <v>#N/A</v>
      </c>
      <c r="AP63" s="7" t="e">
        <v>#N/A</v>
      </c>
      <c r="AQ63" s="7" t="e">
        <v>#N/A</v>
      </c>
      <c r="AR63" s="7" t="e">
        <v>#N/A</v>
      </c>
      <c r="AS63" s="7" t="e">
        <v>#N/A</v>
      </c>
      <c r="AT63" s="7" t="e">
        <v>#N/A</v>
      </c>
      <c r="AU63" s="7" t="e">
        <v>#N/A</v>
      </c>
    </row>
    <row r="64" spans="17:47" x14ac:dyDescent="0.25">
      <c r="AK64" t="str">
        <v>chevrolet impala</v>
      </c>
      <c r="AL64" s="7" t="e">
        <v>#N/A</v>
      </c>
      <c r="AN64" s="7" t="e">
        <v>#N/A</v>
      </c>
      <c r="AP64" s="7" t="e">
        <v>#N/A</v>
      </c>
      <c r="AQ64" s="7" t="e">
        <v>#N/A</v>
      </c>
      <c r="AR64" s="7" t="e">
        <v>#N/A</v>
      </c>
      <c r="AS64" s="7" t="e">
        <v>#N/A</v>
      </c>
      <c r="AT64" s="7" t="e">
        <v>#N/A</v>
      </c>
      <c r="AU64" s="7" t="e">
        <v>#N/A</v>
      </c>
    </row>
    <row r="65" spans="37:47" x14ac:dyDescent="0.25">
      <c r="AK65" t="str">
        <v>pontiac catalina</v>
      </c>
      <c r="AL65" s="7" t="e">
        <v>#N/A</v>
      </c>
      <c r="AN65" s="7" t="e">
        <v>#N/A</v>
      </c>
      <c r="AP65" s="7" t="e">
        <v>#N/A</v>
      </c>
      <c r="AQ65" s="7" t="e">
        <v>#N/A</v>
      </c>
      <c r="AR65" s="7" t="e">
        <v>#N/A</v>
      </c>
      <c r="AS65" s="7" t="e">
        <v>#N/A</v>
      </c>
      <c r="AT65" s="7" t="e">
        <v>#N/A</v>
      </c>
      <c r="AU65" s="7" t="e">
        <v>#N/A</v>
      </c>
    </row>
    <row r="66" spans="37:47" x14ac:dyDescent="0.25">
      <c r="AK66" t="str">
        <v>plymouth fury iii</v>
      </c>
      <c r="AL66" s="7" t="e">
        <v>#N/A</v>
      </c>
      <c r="AN66" s="7" t="e">
        <v>#N/A</v>
      </c>
      <c r="AP66" s="7" t="e">
        <v>#N/A</v>
      </c>
      <c r="AQ66" s="7" t="e">
        <v>#N/A</v>
      </c>
      <c r="AR66" s="7" t="e">
        <v>#N/A</v>
      </c>
      <c r="AS66" s="7" t="e">
        <v>#N/A</v>
      </c>
      <c r="AT66" s="7" t="e">
        <v>#N/A</v>
      </c>
      <c r="AU66" s="7" t="e">
        <v>#N/A</v>
      </c>
    </row>
    <row r="67" spans="37:47" x14ac:dyDescent="0.25">
      <c r="AK67" t="str">
        <v>ford galaxie 500</v>
      </c>
      <c r="AL67" s="7" t="e">
        <v>#N/A</v>
      </c>
      <c r="AN67" s="7" t="e">
        <v>#N/A</v>
      </c>
      <c r="AP67" s="7" t="e">
        <v>#N/A</v>
      </c>
      <c r="AQ67" s="7" t="e">
        <v>#N/A</v>
      </c>
      <c r="AR67" s="7" t="e">
        <v>#N/A</v>
      </c>
      <c r="AS67" s="7" t="e">
        <v>#N/A</v>
      </c>
      <c r="AT67" s="7" t="e">
        <v>#N/A</v>
      </c>
      <c r="AU67" s="7" t="e">
        <v>#N/A</v>
      </c>
    </row>
    <row r="68" spans="37:47" x14ac:dyDescent="0.25">
      <c r="AK68" t="str">
        <v>amc ambassador sst</v>
      </c>
      <c r="AL68" s="7" t="e">
        <v>#N/A</v>
      </c>
      <c r="AN68" s="7" t="e">
        <v>#N/A</v>
      </c>
      <c r="AP68" s="7" t="e">
        <v>#N/A</v>
      </c>
      <c r="AQ68" s="7" t="e">
        <v>#N/A</v>
      </c>
      <c r="AR68" s="7" t="e">
        <v>#N/A</v>
      </c>
      <c r="AS68" s="7" t="e">
        <v>#N/A</v>
      </c>
      <c r="AT68" s="7" t="e">
        <v>#N/A</v>
      </c>
      <c r="AU68" s="7" t="e">
        <v>#N/A</v>
      </c>
    </row>
    <row r="69" spans="37:47" x14ac:dyDescent="0.25">
      <c r="AK69" t="str">
        <v>mercury marquis</v>
      </c>
      <c r="AL69" s="7" t="e">
        <v>#N/A</v>
      </c>
      <c r="AN69" s="7" t="e">
        <v>#N/A</v>
      </c>
      <c r="AP69" s="7" t="e">
        <v>#N/A</v>
      </c>
      <c r="AQ69" s="7" t="e">
        <v>#N/A</v>
      </c>
      <c r="AR69" s="7" t="e">
        <v>#N/A</v>
      </c>
      <c r="AS69" s="7" t="e">
        <v>#N/A</v>
      </c>
      <c r="AT69" s="7" t="e">
        <v>#N/A</v>
      </c>
      <c r="AU69" s="7" t="e">
        <v>#N/A</v>
      </c>
    </row>
    <row r="70" spans="37:47" x14ac:dyDescent="0.25">
      <c r="AK70" t="str">
        <v>buick lesabre custom</v>
      </c>
      <c r="AL70" s="7" t="e">
        <v>#N/A</v>
      </c>
      <c r="AN70" s="7" t="e">
        <v>#N/A</v>
      </c>
      <c r="AP70" s="7" t="e">
        <v>#N/A</v>
      </c>
      <c r="AQ70" s="7" t="e">
        <v>#N/A</v>
      </c>
      <c r="AR70" s="7" t="e">
        <v>#N/A</v>
      </c>
      <c r="AS70" s="7" t="e">
        <v>#N/A</v>
      </c>
      <c r="AT70" s="7" t="e">
        <v>#N/A</v>
      </c>
      <c r="AU70" s="7" t="e">
        <v>#N/A</v>
      </c>
    </row>
    <row r="71" spans="37:47" x14ac:dyDescent="0.25">
      <c r="AK71" t="str">
        <v>oldsmobile delta 88 royale</v>
      </c>
      <c r="AL71" s="7" t="e">
        <v>#N/A</v>
      </c>
      <c r="AN71" s="7" t="e">
        <v>#N/A</v>
      </c>
      <c r="AP71" s="7" t="e">
        <v>#N/A</v>
      </c>
      <c r="AQ71" s="7" t="e">
        <v>#N/A</v>
      </c>
      <c r="AR71" s="7" t="e">
        <v>#N/A</v>
      </c>
      <c r="AS71" s="7" t="e">
        <v>#N/A</v>
      </c>
      <c r="AT71" s="7" t="e">
        <v>#N/A</v>
      </c>
      <c r="AU71" s="7" t="e">
        <v>#N/A</v>
      </c>
    </row>
    <row r="72" spans="37:47" x14ac:dyDescent="0.25">
      <c r="AK72" t="str">
        <v>chrysler newport royal</v>
      </c>
      <c r="AL72" s="7" t="e">
        <v>#N/A</v>
      </c>
      <c r="AN72" s="7" t="e">
        <v>#N/A</v>
      </c>
      <c r="AP72" s="7" t="e">
        <v>#N/A</v>
      </c>
      <c r="AQ72" s="7" t="e">
        <v>#N/A</v>
      </c>
      <c r="AR72" s="7" t="e">
        <v>#N/A</v>
      </c>
      <c r="AS72" s="7" t="e">
        <v>#N/A</v>
      </c>
      <c r="AT72" s="7" t="e">
        <v>#N/A</v>
      </c>
      <c r="AU72" s="7" t="e">
        <v>#N/A</v>
      </c>
    </row>
    <row r="73" spans="37:47" x14ac:dyDescent="0.25">
      <c r="AK73" t="str">
        <v>mazda rx2 coupe</v>
      </c>
      <c r="AL73" s="7" t="e">
        <v>#N/A</v>
      </c>
      <c r="AN73" s="7" t="e">
        <v>#N/A</v>
      </c>
      <c r="AP73" s="7" t="e">
        <v>#N/A</v>
      </c>
      <c r="AQ73" s="7" t="e">
        <v>#N/A</v>
      </c>
      <c r="AR73" s="7" t="e">
        <v>#N/A</v>
      </c>
      <c r="AS73" s="7" t="e">
        <v>#N/A</v>
      </c>
      <c r="AT73" s="7" t="e">
        <v>#N/A</v>
      </c>
      <c r="AU73" s="7" t="e">
        <v>#N/A</v>
      </c>
    </row>
    <row r="74" spans="37:47" x14ac:dyDescent="0.25">
      <c r="AK74" t="str">
        <v>amc matador (sw)</v>
      </c>
      <c r="AL74" s="7" t="e">
        <v>#N/A</v>
      </c>
      <c r="AN74" s="7" t="e">
        <v>#N/A</v>
      </c>
      <c r="AP74" s="7" t="e">
        <v>#N/A</v>
      </c>
      <c r="AQ74" s="7" t="e">
        <v>#N/A</v>
      </c>
      <c r="AR74" s="7" t="e">
        <v>#N/A</v>
      </c>
      <c r="AS74" s="7" t="e">
        <v>#N/A</v>
      </c>
      <c r="AT74" s="7" t="e">
        <v>#N/A</v>
      </c>
      <c r="AU74" s="7" t="e">
        <v>#N/A</v>
      </c>
    </row>
    <row r="75" spans="37:47" x14ac:dyDescent="0.25">
      <c r="AK75" t="str">
        <v>chevrolet chevelle concours (sw)</v>
      </c>
      <c r="AL75" s="7" t="e">
        <v>#N/A</v>
      </c>
      <c r="AN75" s="7" t="e">
        <v>#N/A</v>
      </c>
      <c r="AP75" s="7" t="e">
        <v>#N/A</v>
      </c>
      <c r="AQ75" s="7" t="e">
        <v>#N/A</v>
      </c>
      <c r="AR75" s="7" t="e">
        <v>#N/A</v>
      </c>
      <c r="AS75" s="7" t="e">
        <v>#N/A</v>
      </c>
      <c r="AT75" s="7" t="e">
        <v>#N/A</v>
      </c>
      <c r="AU75" s="7" t="e">
        <v>#N/A</v>
      </c>
    </row>
    <row r="76" spans="37:47" x14ac:dyDescent="0.25">
      <c r="AK76" t="str">
        <v>ford gran torino (sw)</v>
      </c>
      <c r="AL76" s="7" t="e">
        <v>#N/A</v>
      </c>
      <c r="AN76" s="7" t="e">
        <v>#N/A</v>
      </c>
      <c r="AP76" s="7" t="e">
        <v>#N/A</v>
      </c>
      <c r="AQ76" s="7" t="e">
        <v>#N/A</v>
      </c>
      <c r="AR76" s="7" t="e">
        <v>#N/A</v>
      </c>
      <c r="AS76" s="7" t="e">
        <v>#N/A</v>
      </c>
      <c r="AT76" s="7" t="e">
        <v>#N/A</v>
      </c>
      <c r="AU76" s="7" t="e">
        <v>#N/A</v>
      </c>
    </row>
    <row r="77" spans="37:47" x14ac:dyDescent="0.25">
      <c r="AK77" t="str">
        <v>plymouth satellite custom (sw)</v>
      </c>
      <c r="AL77" s="7" t="e">
        <v>#N/A</v>
      </c>
      <c r="AN77" s="7" t="e">
        <v>#N/A</v>
      </c>
      <c r="AP77" s="7" t="e">
        <v>#N/A</v>
      </c>
      <c r="AQ77" s="7" t="e">
        <v>#N/A</v>
      </c>
      <c r="AR77" s="7" t="e">
        <v>#N/A</v>
      </c>
      <c r="AS77" s="7" t="e">
        <v>#N/A</v>
      </c>
      <c r="AT77" s="7" t="e">
        <v>#N/A</v>
      </c>
      <c r="AU77" s="7" t="e">
        <v>#N/A</v>
      </c>
    </row>
    <row r="78" spans="37:47" x14ac:dyDescent="0.25">
      <c r="AK78" t="str">
        <v>volvo 145e (sw)</v>
      </c>
      <c r="AL78" s="7" t="e">
        <v>#N/A</v>
      </c>
      <c r="AN78" s="7" t="e">
        <v>#N/A</v>
      </c>
      <c r="AP78" s="7" t="e">
        <v>#N/A</v>
      </c>
      <c r="AQ78" s="7" t="e">
        <v>#N/A</v>
      </c>
      <c r="AR78" s="7" t="e">
        <v>#N/A</v>
      </c>
      <c r="AS78" s="7" t="e">
        <v>#N/A</v>
      </c>
      <c r="AT78" s="7" t="e">
        <v>#N/A</v>
      </c>
      <c r="AU78" s="7" t="e">
        <v>#N/A</v>
      </c>
    </row>
    <row r="79" spans="37:47" x14ac:dyDescent="0.25">
      <c r="AK79" t="str">
        <v>volkswagen 411 (sw)</v>
      </c>
      <c r="AL79" s="7" t="e">
        <v>#N/A</v>
      </c>
      <c r="AN79" s="7" t="e">
        <v>#N/A</v>
      </c>
      <c r="AP79" s="7" t="e">
        <v>#N/A</v>
      </c>
      <c r="AQ79" s="7" t="e">
        <v>#N/A</v>
      </c>
      <c r="AR79" s="7" t="e">
        <v>#N/A</v>
      </c>
      <c r="AS79" s="7" t="e">
        <v>#N/A</v>
      </c>
      <c r="AT79" s="7" t="e">
        <v>#N/A</v>
      </c>
      <c r="AU79" s="7" t="e">
        <v>#N/A</v>
      </c>
    </row>
    <row r="80" spans="37:47" x14ac:dyDescent="0.25">
      <c r="AK80" t="str">
        <v>peugeot 504 (sw)</v>
      </c>
      <c r="AL80" s="7" t="e">
        <v>#N/A</v>
      </c>
      <c r="AN80" s="7" t="e">
        <v>#N/A</v>
      </c>
      <c r="AP80" s="7" t="e">
        <v>#N/A</v>
      </c>
      <c r="AQ80" s="7" t="e">
        <v>#N/A</v>
      </c>
      <c r="AR80" s="7" t="e">
        <v>#N/A</v>
      </c>
      <c r="AS80" s="7" t="e">
        <v>#N/A</v>
      </c>
      <c r="AT80" s="7" t="e">
        <v>#N/A</v>
      </c>
      <c r="AU80" s="7" t="e">
        <v>#N/A</v>
      </c>
    </row>
    <row r="81" spans="37:47" x14ac:dyDescent="0.25">
      <c r="AK81" t="str">
        <v>renault 12 (sw)</v>
      </c>
      <c r="AL81" s="7" t="e">
        <v>#N/A</v>
      </c>
      <c r="AN81" s="7" t="e">
        <v>#N/A</v>
      </c>
      <c r="AP81" s="7" t="e">
        <v>#N/A</v>
      </c>
      <c r="AQ81" s="7" t="e">
        <v>#N/A</v>
      </c>
      <c r="AR81" s="7" t="e">
        <v>#N/A</v>
      </c>
      <c r="AS81" s="7" t="e">
        <v>#N/A</v>
      </c>
      <c r="AT81" s="7" t="e">
        <v>#N/A</v>
      </c>
      <c r="AU81" s="7" t="e">
        <v>#N/A</v>
      </c>
    </row>
    <row r="82" spans="37:47" x14ac:dyDescent="0.25">
      <c r="AK82" t="str">
        <v>ford pinto (sw)</v>
      </c>
      <c r="AL82" s="7" t="e">
        <v>#N/A</v>
      </c>
      <c r="AN82" s="7" t="e">
        <v>#N/A</v>
      </c>
      <c r="AP82" s="7" t="e">
        <v>#N/A</v>
      </c>
      <c r="AQ82" s="7" t="e">
        <v>#N/A</v>
      </c>
      <c r="AR82" s="7" t="e">
        <v>#N/A</v>
      </c>
      <c r="AS82" s="7" t="e">
        <v>#N/A</v>
      </c>
      <c r="AT82" s="7" t="e">
        <v>#N/A</v>
      </c>
      <c r="AU82" s="7" t="e">
        <v>#N/A</v>
      </c>
    </row>
    <row r="83" spans="37:47" x14ac:dyDescent="0.25">
      <c r="AK83" t="str">
        <v>datsun 510 (sw)</v>
      </c>
      <c r="AL83" s="7" t="e">
        <v>#N/A</v>
      </c>
      <c r="AN83" s="7" t="e">
        <v>#N/A</v>
      </c>
      <c r="AP83" s="7" t="e">
        <v>#N/A</v>
      </c>
      <c r="AQ83" s="7" t="e">
        <v>#N/A</v>
      </c>
      <c r="AR83" s="7" t="e">
        <v>#N/A</v>
      </c>
      <c r="AS83" s="7" t="e">
        <v>#N/A</v>
      </c>
      <c r="AT83" s="7" t="e">
        <v>#N/A</v>
      </c>
      <c r="AU83" s="7" t="e">
        <v>#N/A</v>
      </c>
    </row>
    <row r="84" spans="37:47" x14ac:dyDescent="0.25">
      <c r="AK84" t="str">
        <v>toyouta corona mark ii (sw)</v>
      </c>
      <c r="AL84" s="7" t="e">
        <v>#N/A</v>
      </c>
      <c r="AN84" s="7" t="e">
        <v>#N/A</v>
      </c>
      <c r="AP84" s="7" t="e">
        <v>#N/A</v>
      </c>
      <c r="AQ84" s="7" t="e">
        <v>#N/A</v>
      </c>
      <c r="AR84" s="7" t="e">
        <v>#N/A</v>
      </c>
      <c r="AS84" s="7" t="e">
        <v>#N/A</v>
      </c>
      <c r="AT84" s="7" t="e">
        <v>#N/A</v>
      </c>
      <c r="AU84" s="7" t="e">
        <v>#N/A</v>
      </c>
    </row>
    <row r="85" spans="37:47" x14ac:dyDescent="0.25">
      <c r="AK85" t="str">
        <v>dodge colt (sw)</v>
      </c>
      <c r="AL85" s="7" t="e">
        <v>#N/A</v>
      </c>
      <c r="AN85" s="7" t="e">
        <v>#N/A</v>
      </c>
      <c r="AP85" s="7" t="e">
        <v>#N/A</v>
      </c>
      <c r="AQ85" s="7" t="e">
        <v>#N/A</v>
      </c>
      <c r="AR85" s="7" t="e">
        <v>#N/A</v>
      </c>
      <c r="AS85" s="7" t="e">
        <v>#N/A</v>
      </c>
      <c r="AT85" s="7" t="e">
        <v>#N/A</v>
      </c>
      <c r="AU85" s="7" t="e">
        <v>#N/A</v>
      </c>
    </row>
    <row r="86" spans="37:47" x14ac:dyDescent="0.25">
      <c r="AK86" t="str">
        <v>toyota corolla 1600 (sw)</v>
      </c>
      <c r="AL86" s="7" t="e">
        <v>#N/A</v>
      </c>
      <c r="AN86" s="7" t="e">
        <v>#N/A</v>
      </c>
      <c r="AP86" s="7" t="e">
        <v>#N/A</v>
      </c>
      <c r="AQ86" s="7" t="e">
        <v>#N/A</v>
      </c>
      <c r="AR86" s="7" t="e">
        <v>#N/A</v>
      </c>
      <c r="AS86" s="7" t="e">
        <v>#N/A</v>
      </c>
      <c r="AT86" s="7" t="e">
        <v>#N/A</v>
      </c>
      <c r="AU86" s="7" t="e">
        <v>#N/A</v>
      </c>
    </row>
    <row r="87" spans="37:47" x14ac:dyDescent="0.25">
      <c r="AK87" t="str">
        <v>buick century 350</v>
      </c>
      <c r="AL87" s="7" t="e">
        <v>#N/A</v>
      </c>
      <c r="AN87" s="7" t="e">
        <v>#N/A</v>
      </c>
      <c r="AP87" s="7" t="e">
        <v>#N/A</v>
      </c>
      <c r="AQ87" s="7" t="e">
        <v>#N/A</v>
      </c>
      <c r="AR87" s="7" t="e">
        <v>#N/A</v>
      </c>
      <c r="AS87" s="7" t="e">
        <v>#N/A</v>
      </c>
      <c r="AT87" s="7" t="e">
        <v>#N/A</v>
      </c>
      <c r="AU87" s="7" t="e">
        <v>#N/A</v>
      </c>
    </row>
    <row r="88" spans="37:47" x14ac:dyDescent="0.25">
      <c r="AK88" t="str">
        <v>amc matador</v>
      </c>
      <c r="AL88" s="7" t="e">
        <v>#N/A</v>
      </c>
      <c r="AN88" s="7" t="e">
        <v>#N/A</v>
      </c>
      <c r="AP88" s="7" t="e">
        <v>#N/A</v>
      </c>
      <c r="AQ88" s="7" t="e">
        <v>#N/A</v>
      </c>
      <c r="AR88" s="7" t="e">
        <v>#N/A</v>
      </c>
      <c r="AS88" s="7" t="e">
        <v>#N/A</v>
      </c>
      <c r="AT88" s="7" t="e">
        <v>#N/A</v>
      </c>
      <c r="AU88" s="7" t="e">
        <v>#N/A</v>
      </c>
    </row>
    <row r="89" spans="37:47" x14ac:dyDescent="0.25">
      <c r="AK89" t="str">
        <v>chevrolet malibu</v>
      </c>
      <c r="AL89" s="7" t="e">
        <v>#N/A</v>
      </c>
      <c r="AN89" s="7" t="e">
        <v>#N/A</v>
      </c>
      <c r="AP89" s="7" t="e">
        <v>#N/A</v>
      </c>
      <c r="AQ89" s="7" t="e">
        <v>#N/A</v>
      </c>
      <c r="AR89" s="7" t="e">
        <v>#N/A</v>
      </c>
      <c r="AS89" s="7" t="e">
        <v>#N/A</v>
      </c>
      <c r="AT89" s="7" t="e">
        <v>#N/A</v>
      </c>
      <c r="AU89" s="7" t="e">
        <v>#N/A</v>
      </c>
    </row>
    <row r="90" spans="37:47" x14ac:dyDescent="0.25">
      <c r="AK90" t="str">
        <v>ford gran torino</v>
      </c>
      <c r="AL90" s="7" t="e">
        <v>#N/A</v>
      </c>
      <c r="AN90" s="7" t="e">
        <v>#N/A</v>
      </c>
      <c r="AP90" s="7" t="e">
        <v>#N/A</v>
      </c>
      <c r="AQ90" s="7" t="e">
        <v>#N/A</v>
      </c>
      <c r="AR90" s="7" t="e">
        <v>#N/A</v>
      </c>
      <c r="AS90" s="7" t="e">
        <v>#N/A</v>
      </c>
      <c r="AT90" s="7" t="e">
        <v>#N/A</v>
      </c>
      <c r="AU90" s="7" t="e">
        <v>#N/A</v>
      </c>
    </row>
    <row r="91" spans="37:47" x14ac:dyDescent="0.25">
      <c r="AK91" t="str">
        <v>dodge coronet custom</v>
      </c>
      <c r="AL91" s="7" t="e">
        <v>#N/A</v>
      </c>
      <c r="AN91" s="7" t="e">
        <v>#N/A</v>
      </c>
      <c r="AP91" s="7" t="e">
        <v>#N/A</v>
      </c>
      <c r="AQ91" s="7" t="e">
        <v>#N/A</v>
      </c>
      <c r="AR91" s="7" t="e">
        <v>#N/A</v>
      </c>
      <c r="AS91" s="7" t="e">
        <v>#N/A</v>
      </c>
      <c r="AT91" s="7" t="e">
        <v>#N/A</v>
      </c>
      <c r="AU91" s="7" t="e">
        <v>#N/A</v>
      </c>
    </row>
    <row r="92" spans="37:47" x14ac:dyDescent="0.25">
      <c r="AK92" t="str">
        <v>mercury marquis brougham</v>
      </c>
      <c r="AL92" s="7" t="e">
        <v>#N/A</v>
      </c>
      <c r="AN92" s="7" t="e">
        <v>#N/A</v>
      </c>
      <c r="AP92" s="7" t="e">
        <v>#N/A</v>
      </c>
      <c r="AQ92" s="7" t="e">
        <v>#N/A</v>
      </c>
      <c r="AR92" s="7" t="e">
        <v>#N/A</v>
      </c>
      <c r="AS92" s="7" t="e">
        <v>#N/A</v>
      </c>
      <c r="AT92" s="7" t="e">
        <v>#N/A</v>
      </c>
      <c r="AU92" s="7" t="e">
        <v>#N/A</v>
      </c>
    </row>
    <row r="93" spans="37:47" x14ac:dyDescent="0.25">
      <c r="AK93" t="str">
        <v>chevrolet caprice classic</v>
      </c>
      <c r="AL93" s="7" t="e">
        <v>#N/A</v>
      </c>
      <c r="AN93" s="7" t="e">
        <v>#N/A</v>
      </c>
      <c r="AP93" s="7" t="e">
        <v>#N/A</v>
      </c>
      <c r="AQ93" s="7" t="e">
        <v>#N/A</v>
      </c>
      <c r="AR93" s="7" t="e">
        <v>#N/A</v>
      </c>
      <c r="AS93" s="7" t="e">
        <v>#N/A</v>
      </c>
      <c r="AT93" s="7" t="e">
        <v>#N/A</v>
      </c>
      <c r="AU93" s="7" t="e">
        <v>#N/A</v>
      </c>
    </row>
    <row r="94" spans="37:47" x14ac:dyDescent="0.25">
      <c r="AK94" t="str">
        <v>ford ltd</v>
      </c>
      <c r="AL94" s="7" t="e">
        <v>#N/A</v>
      </c>
      <c r="AN94" s="7" t="e">
        <v>#N/A</v>
      </c>
      <c r="AP94" s="7" t="e">
        <v>#N/A</v>
      </c>
      <c r="AQ94" s="7" t="e">
        <v>#N/A</v>
      </c>
      <c r="AR94" s="7" t="e">
        <v>#N/A</v>
      </c>
      <c r="AS94" s="7" t="e">
        <v>#N/A</v>
      </c>
      <c r="AT94" s="7" t="e">
        <v>#N/A</v>
      </c>
      <c r="AU94" s="7" t="e">
        <v>#N/A</v>
      </c>
    </row>
    <row r="95" spans="37:47" x14ac:dyDescent="0.25">
      <c r="AK95" t="str">
        <v>plymouth fury gran sedan</v>
      </c>
      <c r="AL95" s="7" t="e">
        <v>#N/A</v>
      </c>
      <c r="AN95" s="7" t="e">
        <v>#N/A</v>
      </c>
      <c r="AP95" s="7" t="e">
        <v>#N/A</v>
      </c>
      <c r="AQ95" s="7" t="e">
        <v>#N/A</v>
      </c>
      <c r="AR95" s="7" t="e">
        <v>#N/A</v>
      </c>
      <c r="AS95" s="7" t="e">
        <v>#N/A</v>
      </c>
      <c r="AT95" s="7" t="e">
        <v>#N/A</v>
      </c>
      <c r="AU95" s="7" t="e">
        <v>#N/A</v>
      </c>
    </row>
    <row r="96" spans="37:47" x14ac:dyDescent="0.25">
      <c r="AK96" t="str">
        <v>chrysler new yorker brougham</v>
      </c>
      <c r="AL96" s="7" t="e">
        <v>#N/A</v>
      </c>
      <c r="AN96" s="7" t="e">
        <v>#N/A</v>
      </c>
      <c r="AP96" s="7" t="e">
        <v>#N/A</v>
      </c>
      <c r="AQ96" s="7" t="e">
        <v>#N/A</v>
      </c>
      <c r="AR96" s="7" t="e">
        <v>#N/A</v>
      </c>
      <c r="AS96" s="7" t="e">
        <v>#N/A</v>
      </c>
      <c r="AT96" s="7" t="e">
        <v>#N/A</v>
      </c>
      <c r="AU96" s="7" t="e">
        <v>#N/A</v>
      </c>
    </row>
    <row r="97" spans="37:47" x14ac:dyDescent="0.25">
      <c r="AK97" t="str">
        <v>buick electra 225 custom</v>
      </c>
      <c r="AL97" s="7" t="e">
        <v>#N/A</v>
      </c>
      <c r="AN97" s="7" t="e">
        <v>#N/A</v>
      </c>
      <c r="AP97" s="7" t="e">
        <v>#N/A</v>
      </c>
      <c r="AQ97" s="7" t="e">
        <v>#N/A</v>
      </c>
      <c r="AR97" s="7" t="e">
        <v>#N/A</v>
      </c>
      <c r="AS97" s="7" t="e">
        <v>#N/A</v>
      </c>
      <c r="AT97" s="7" t="e">
        <v>#N/A</v>
      </c>
      <c r="AU97" s="7" t="e">
        <v>#N/A</v>
      </c>
    </row>
    <row r="98" spans="37:47" x14ac:dyDescent="0.25">
      <c r="AK98" t="str">
        <v>amc ambassador brougham</v>
      </c>
      <c r="AL98" s="7" t="e">
        <v>#N/A</v>
      </c>
      <c r="AN98" s="7" t="e">
        <v>#N/A</v>
      </c>
      <c r="AP98" s="7" t="e">
        <v>#N/A</v>
      </c>
      <c r="AQ98" s="7" t="e">
        <v>#N/A</v>
      </c>
      <c r="AR98" s="7" t="e">
        <v>#N/A</v>
      </c>
      <c r="AS98" s="7" t="e">
        <v>#N/A</v>
      </c>
      <c r="AT98" s="7" t="e">
        <v>#N/A</v>
      </c>
      <c r="AU98" s="7" t="e">
        <v>#N/A</v>
      </c>
    </row>
    <row r="99" spans="37:47" x14ac:dyDescent="0.25">
      <c r="AK99" t="str">
        <v>plymouth valiant</v>
      </c>
      <c r="AL99" s="7" t="e">
        <v>#N/A</v>
      </c>
      <c r="AN99" s="7" t="e">
        <v>#N/A</v>
      </c>
      <c r="AP99" s="7" t="e">
        <v>#N/A</v>
      </c>
      <c r="AQ99" s="7" t="e">
        <v>#N/A</v>
      </c>
      <c r="AR99" s="7" t="e">
        <v>#N/A</v>
      </c>
      <c r="AS99" s="7" t="e">
        <v>#N/A</v>
      </c>
      <c r="AT99" s="7" t="e">
        <v>#N/A</v>
      </c>
      <c r="AU99" s="7" t="e">
        <v>#N/A</v>
      </c>
    </row>
    <row r="100" spans="37:47" x14ac:dyDescent="0.25">
      <c r="AK100" t="str">
        <v>chevrolet nova custom</v>
      </c>
      <c r="AL100" s="7" t="e">
        <v>#N/A</v>
      </c>
      <c r="AN100" s="7" t="e">
        <v>#N/A</v>
      </c>
      <c r="AP100" s="7" t="e">
        <v>#N/A</v>
      </c>
      <c r="AQ100" s="7" t="e">
        <v>#N/A</v>
      </c>
      <c r="AR100" s="7" t="e">
        <v>#N/A</v>
      </c>
      <c r="AS100" s="7" t="e">
        <v>#N/A</v>
      </c>
      <c r="AT100" s="7" t="e">
        <v>#N/A</v>
      </c>
      <c r="AU100" s="7" t="e">
        <v>#N/A</v>
      </c>
    </row>
    <row r="101" spans="37:47" x14ac:dyDescent="0.25">
      <c r="AK101" t="str">
        <v>amc hornet</v>
      </c>
      <c r="AL101" s="7" t="e">
        <v>#N/A</v>
      </c>
      <c r="AN101" s="7" t="e">
        <v>#N/A</v>
      </c>
      <c r="AP101" s="7" t="e">
        <v>#N/A</v>
      </c>
      <c r="AQ101" s="7" t="e">
        <v>#N/A</v>
      </c>
      <c r="AR101" s="7" t="e">
        <v>#N/A</v>
      </c>
      <c r="AS101" s="7" t="e">
        <v>#N/A</v>
      </c>
      <c r="AT101" s="7" t="e">
        <v>#N/A</v>
      </c>
      <c r="AU101" s="7" t="e">
        <v>#N/A</v>
      </c>
    </row>
    <row r="102" spans="37:47" x14ac:dyDescent="0.25">
      <c r="AK102" t="str">
        <v>ford maverick</v>
      </c>
      <c r="AL102" s="7" t="e">
        <v>#N/A</v>
      </c>
      <c r="AN102" s="7" t="e">
        <v>#N/A</v>
      </c>
      <c r="AP102" s="7" t="e">
        <v>#N/A</v>
      </c>
      <c r="AQ102" s="7" t="e">
        <v>#N/A</v>
      </c>
      <c r="AR102" s="7" t="e">
        <v>#N/A</v>
      </c>
      <c r="AS102" s="7" t="e">
        <v>#N/A</v>
      </c>
      <c r="AT102" s="7" t="e">
        <v>#N/A</v>
      </c>
      <c r="AU102" s="7" t="e">
        <v>#N/A</v>
      </c>
    </row>
    <row r="103" spans="37:47" x14ac:dyDescent="0.25">
      <c r="AK103" t="str">
        <v>plymouth duster</v>
      </c>
      <c r="AL103" s="7" t="e">
        <v>#N/A</v>
      </c>
      <c r="AN103" s="7" t="e">
        <v>#N/A</v>
      </c>
      <c r="AP103" s="7" t="e">
        <v>#N/A</v>
      </c>
      <c r="AQ103" s="7" t="e">
        <v>#N/A</v>
      </c>
      <c r="AR103" s="7" t="e">
        <v>#N/A</v>
      </c>
      <c r="AS103" s="7" t="e">
        <v>#N/A</v>
      </c>
      <c r="AT103" s="7" t="e">
        <v>#N/A</v>
      </c>
      <c r="AU103" s="7" t="e">
        <v>#N/A</v>
      </c>
    </row>
    <row r="104" spans="37:47" x14ac:dyDescent="0.25">
      <c r="AK104" t="str">
        <v>volkswagen super beetle</v>
      </c>
      <c r="AL104" s="7" t="e">
        <v>#N/A</v>
      </c>
      <c r="AN104" s="7" t="e">
        <v>#N/A</v>
      </c>
      <c r="AP104" s="7" t="e">
        <v>#N/A</v>
      </c>
      <c r="AQ104" s="7" t="e">
        <v>#N/A</v>
      </c>
      <c r="AR104" s="7" t="e">
        <v>#N/A</v>
      </c>
      <c r="AS104" s="7" t="e">
        <v>#N/A</v>
      </c>
      <c r="AT104" s="7" t="e">
        <v>#N/A</v>
      </c>
      <c r="AU104" s="7" t="e">
        <v>#N/A</v>
      </c>
    </row>
    <row r="105" spans="37:47" x14ac:dyDescent="0.25">
      <c r="AK105" t="str">
        <v>chevrolet impala</v>
      </c>
      <c r="AL105" s="7" t="e">
        <v>#N/A</v>
      </c>
      <c r="AN105" s="7" t="e">
        <v>#N/A</v>
      </c>
      <c r="AP105" s="7" t="e">
        <v>#N/A</v>
      </c>
      <c r="AQ105" s="7" t="e">
        <v>#N/A</v>
      </c>
      <c r="AR105" s="7" t="e">
        <v>#N/A</v>
      </c>
      <c r="AS105" s="7" t="e">
        <v>#N/A</v>
      </c>
      <c r="AT105" s="7" t="e">
        <v>#N/A</v>
      </c>
      <c r="AU105" s="7" t="e">
        <v>#N/A</v>
      </c>
    </row>
    <row r="106" spans="37:47" x14ac:dyDescent="0.25">
      <c r="AK106" t="str">
        <v>ford country</v>
      </c>
      <c r="AL106" s="7" t="e">
        <v>#N/A</v>
      </c>
      <c r="AN106" s="7" t="e">
        <v>#N/A</v>
      </c>
      <c r="AP106" s="7" t="e">
        <v>#N/A</v>
      </c>
      <c r="AQ106" s="7" t="e">
        <v>#N/A</v>
      </c>
      <c r="AR106" s="7" t="e">
        <v>#N/A</v>
      </c>
      <c r="AS106" s="7" t="e">
        <v>#N/A</v>
      </c>
      <c r="AT106" s="7" t="e">
        <v>#N/A</v>
      </c>
      <c r="AU106" s="7" t="e">
        <v>#N/A</v>
      </c>
    </row>
    <row r="107" spans="37:47" x14ac:dyDescent="0.25">
      <c r="AK107" t="str">
        <v>plymouth custom suburb</v>
      </c>
      <c r="AL107" s="7" t="e">
        <v>#N/A</v>
      </c>
      <c r="AN107" s="7" t="e">
        <v>#N/A</v>
      </c>
      <c r="AP107" s="7" t="e">
        <v>#N/A</v>
      </c>
      <c r="AQ107" s="7" t="e">
        <v>#N/A</v>
      </c>
      <c r="AR107" s="7" t="e">
        <v>#N/A</v>
      </c>
      <c r="AS107" s="7" t="e">
        <v>#N/A</v>
      </c>
      <c r="AT107" s="7" t="e">
        <v>#N/A</v>
      </c>
      <c r="AU107" s="7" t="e">
        <v>#N/A</v>
      </c>
    </row>
    <row r="108" spans="37:47" x14ac:dyDescent="0.25">
      <c r="AK108" t="str">
        <v>oldsmobile vista cruiser</v>
      </c>
      <c r="AL108" s="7" t="e">
        <v>#N/A</v>
      </c>
      <c r="AN108" s="7" t="e">
        <v>#N/A</v>
      </c>
      <c r="AP108" s="7" t="e">
        <v>#N/A</v>
      </c>
      <c r="AQ108" s="7" t="e">
        <v>#N/A</v>
      </c>
      <c r="AR108" s="7" t="e">
        <v>#N/A</v>
      </c>
      <c r="AS108" s="7" t="e">
        <v>#N/A</v>
      </c>
      <c r="AT108" s="7" t="e">
        <v>#N/A</v>
      </c>
      <c r="AU108" s="7" t="e">
        <v>#N/A</v>
      </c>
    </row>
    <row r="109" spans="37:47" x14ac:dyDescent="0.25">
      <c r="AK109" t="str">
        <v>amc gremlin</v>
      </c>
      <c r="AL109" s="7" t="e">
        <v>#N/A</v>
      </c>
      <c r="AN109" s="7" t="e">
        <v>#N/A</v>
      </c>
      <c r="AP109" s="7" t="e">
        <v>#N/A</v>
      </c>
      <c r="AQ109" s="7" t="e">
        <v>#N/A</v>
      </c>
      <c r="AR109" s="7" t="e">
        <v>#N/A</v>
      </c>
      <c r="AS109" s="7" t="e">
        <v>#N/A</v>
      </c>
      <c r="AT109" s="7" t="e">
        <v>#N/A</v>
      </c>
      <c r="AU109" s="7" t="e">
        <v>#N/A</v>
      </c>
    </row>
    <row r="110" spans="37:47" x14ac:dyDescent="0.25">
      <c r="AK110" t="str">
        <v>toyota carina</v>
      </c>
      <c r="AL110" s="7" t="e">
        <v>#N/A</v>
      </c>
      <c r="AN110" s="7" t="e">
        <v>#N/A</v>
      </c>
      <c r="AP110" s="7" t="e">
        <v>#N/A</v>
      </c>
      <c r="AQ110" s="7" t="e">
        <v>#N/A</v>
      </c>
      <c r="AR110" s="7" t="e">
        <v>#N/A</v>
      </c>
      <c r="AS110" s="7" t="e">
        <v>#N/A</v>
      </c>
      <c r="AT110" s="7" t="e">
        <v>#N/A</v>
      </c>
      <c r="AU110" s="7" t="e">
        <v>#N/A</v>
      </c>
    </row>
    <row r="111" spans="37:47" x14ac:dyDescent="0.25">
      <c r="AK111" t="str">
        <v>chevrolet vega</v>
      </c>
      <c r="AL111" s="7" t="e">
        <v>#N/A</v>
      </c>
      <c r="AN111" s="7" t="e">
        <v>#N/A</v>
      </c>
      <c r="AP111" s="7" t="e">
        <v>#N/A</v>
      </c>
      <c r="AQ111" s="7" t="e">
        <v>#N/A</v>
      </c>
      <c r="AR111" s="7" t="e">
        <v>#N/A</v>
      </c>
      <c r="AS111" s="7" t="e">
        <v>#N/A</v>
      </c>
      <c r="AT111" s="7" t="e">
        <v>#N/A</v>
      </c>
      <c r="AU111" s="7" t="e">
        <v>#N/A</v>
      </c>
    </row>
    <row r="112" spans="37:47" x14ac:dyDescent="0.25">
      <c r="AK112" t="str">
        <v>datsun 610</v>
      </c>
      <c r="AL112" s="7" t="e">
        <v>#N/A</v>
      </c>
      <c r="AN112" s="7" t="e">
        <v>#N/A</v>
      </c>
      <c r="AP112" s="7" t="e">
        <v>#N/A</v>
      </c>
      <c r="AQ112" s="7" t="e">
        <v>#N/A</v>
      </c>
      <c r="AR112" s="7" t="e">
        <v>#N/A</v>
      </c>
      <c r="AS112" s="7" t="e">
        <v>#N/A</v>
      </c>
      <c r="AT112" s="7" t="e">
        <v>#N/A</v>
      </c>
      <c r="AU112" s="7" t="e">
        <v>#N/A</v>
      </c>
    </row>
    <row r="113" spans="37:47" x14ac:dyDescent="0.25">
      <c r="AK113" t="str">
        <v>maxda rx3</v>
      </c>
      <c r="AL113" s="7" t="e">
        <v>#N/A</v>
      </c>
      <c r="AN113" s="7" t="e">
        <v>#N/A</v>
      </c>
      <c r="AP113" s="7" t="e">
        <v>#N/A</v>
      </c>
      <c r="AQ113" s="7" t="e">
        <v>#N/A</v>
      </c>
      <c r="AR113" s="7" t="e">
        <v>#N/A</v>
      </c>
      <c r="AS113" s="7" t="e">
        <v>#N/A</v>
      </c>
      <c r="AT113" s="7" t="e">
        <v>#N/A</v>
      </c>
      <c r="AU113" s="7" t="e">
        <v>#N/A</v>
      </c>
    </row>
    <row r="114" spans="37:47" x14ac:dyDescent="0.25">
      <c r="AK114" t="str">
        <v>ford pinto</v>
      </c>
      <c r="AL114" s="7" t="e">
        <v>#N/A</v>
      </c>
      <c r="AN114" s="7" t="e">
        <v>#N/A</v>
      </c>
      <c r="AP114" s="7" t="e">
        <v>#N/A</v>
      </c>
      <c r="AQ114" s="7" t="e">
        <v>#N/A</v>
      </c>
      <c r="AR114" s="7" t="e">
        <v>#N/A</v>
      </c>
      <c r="AS114" s="7" t="e">
        <v>#N/A</v>
      </c>
      <c r="AT114" s="7" t="e">
        <v>#N/A</v>
      </c>
      <c r="AU114" s="7" t="e">
        <v>#N/A</v>
      </c>
    </row>
    <row r="115" spans="37:47" x14ac:dyDescent="0.25">
      <c r="AK115" t="str">
        <v>mercury capri v6</v>
      </c>
      <c r="AL115" s="7" t="e">
        <v>#N/A</v>
      </c>
      <c r="AN115" s="7" t="e">
        <v>#N/A</v>
      </c>
      <c r="AP115" s="7" t="e">
        <v>#N/A</v>
      </c>
      <c r="AQ115" s="7" t="e">
        <v>#N/A</v>
      </c>
      <c r="AR115" s="7" t="e">
        <v>#N/A</v>
      </c>
      <c r="AS115" s="7" t="e">
        <v>#N/A</v>
      </c>
      <c r="AT115" s="7" t="e">
        <v>#N/A</v>
      </c>
      <c r="AU115" s="7" t="e">
        <v>#N/A</v>
      </c>
    </row>
    <row r="116" spans="37:47" x14ac:dyDescent="0.25">
      <c r="AK116" t="str">
        <v>fiat 124 sport coupe</v>
      </c>
      <c r="AL116" s="7" t="e">
        <v>#N/A</v>
      </c>
      <c r="AN116" s="7" t="e">
        <v>#N/A</v>
      </c>
      <c r="AP116" s="7" t="e">
        <v>#N/A</v>
      </c>
      <c r="AQ116" s="7" t="e">
        <v>#N/A</v>
      </c>
      <c r="AR116" s="7" t="e">
        <v>#N/A</v>
      </c>
      <c r="AS116" s="7" t="e">
        <v>#N/A</v>
      </c>
      <c r="AT116" s="7" t="e">
        <v>#N/A</v>
      </c>
      <c r="AU116" s="7" t="e">
        <v>#N/A</v>
      </c>
    </row>
    <row r="117" spans="37:47" x14ac:dyDescent="0.25">
      <c r="AK117" t="str">
        <v>chevrolet monte carlo s</v>
      </c>
      <c r="AL117" s="7" t="e">
        <v>#N/A</v>
      </c>
      <c r="AN117" s="7" t="e">
        <v>#N/A</v>
      </c>
      <c r="AP117" s="7" t="e">
        <v>#N/A</v>
      </c>
      <c r="AQ117" s="7" t="e">
        <v>#N/A</v>
      </c>
      <c r="AR117" s="7" t="e">
        <v>#N/A</v>
      </c>
      <c r="AS117" s="7" t="e">
        <v>#N/A</v>
      </c>
      <c r="AT117" s="7" t="e">
        <v>#N/A</v>
      </c>
      <c r="AU117" s="7" t="e">
        <v>#N/A</v>
      </c>
    </row>
    <row r="118" spans="37:47" x14ac:dyDescent="0.25">
      <c r="AK118" t="str">
        <v>pontiac grand prix</v>
      </c>
      <c r="AL118" s="7" t="e">
        <v>#N/A</v>
      </c>
      <c r="AN118" s="7" t="e">
        <v>#N/A</v>
      </c>
      <c r="AP118" s="7" t="e">
        <v>#N/A</v>
      </c>
      <c r="AQ118" s="7" t="e">
        <v>#N/A</v>
      </c>
      <c r="AR118" s="7" t="e">
        <v>#N/A</v>
      </c>
      <c r="AS118" s="7" t="e">
        <v>#N/A</v>
      </c>
      <c r="AT118" s="7" t="e">
        <v>#N/A</v>
      </c>
      <c r="AU118" s="7" t="e">
        <v>#N/A</v>
      </c>
    </row>
    <row r="119" spans="37:47" x14ac:dyDescent="0.25">
      <c r="AK119" t="str">
        <v>fiat 128</v>
      </c>
      <c r="AL119" s="7" t="e">
        <v>#N/A</v>
      </c>
      <c r="AN119" s="7" t="e">
        <v>#N/A</v>
      </c>
      <c r="AP119" s="7" t="e">
        <v>#N/A</v>
      </c>
      <c r="AQ119" s="7" t="e">
        <v>#N/A</v>
      </c>
      <c r="AR119" s="7" t="e">
        <v>#N/A</v>
      </c>
      <c r="AS119" s="7" t="e">
        <v>#N/A</v>
      </c>
      <c r="AT119" s="7" t="e">
        <v>#N/A</v>
      </c>
      <c r="AU119" s="7" t="e">
        <v>#N/A</v>
      </c>
    </row>
    <row r="120" spans="37:47" x14ac:dyDescent="0.25">
      <c r="AK120" t="str">
        <v>opel manta</v>
      </c>
      <c r="AL120" s="7" t="e">
        <v>#N/A</v>
      </c>
      <c r="AN120" s="7" t="e">
        <v>#N/A</v>
      </c>
      <c r="AP120" s="7" t="e">
        <v>#N/A</v>
      </c>
      <c r="AQ120" s="7" t="e">
        <v>#N/A</v>
      </c>
      <c r="AR120" s="7" t="e">
        <v>#N/A</v>
      </c>
      <c r="AS120" s="7" t="e">
        <v>#N/A</v>
      </c>
      <c r="AT120" s="7" t="e">
        <v>#N/A</v>
      </c>
      <c r="AU120" s="7" t="e">
        <v>#N/A</v>
      </c>
    </row>
    <row r="121" spans="37:47" x14ac:dyDescent="0.25">
      <c r="AK121" t="str">
        <v>audi 100ls</v>
      </c>
      <c r="AL121" s="7" t="e">
        <v>#N/A</v>
      </c>
      <c r="AN121" s="7" t="e">
        <v>#N/A</v>
      </c>
      <c r="AP121" s="7" t="e">
        <v>#N/A</v>
      </c>
      <c r="AQ121" s="7" t="e">
        <v>#N/A</v>
      </c>
      <c r="AR121" s="7" t="e">
        <v>#N/A</v>
      </c>
      <c r="AS121" s="7" t="e">
        <v>#N/A</v>
      </c>
      <c r="AT121" s="7" t="e">
        <v>#N/A</v>
      </c>
      <c r="AU121" s="7" t="e">
        <v>#N/A</v>
      </c>
    </row>
    <row r="122" spans="37:47" x14ac:dyDescent="0.25">
      <c r="AK122" t="str">
        <v>volvo 144ea</v>
      </c>
      <c r="AL122" s="7" t="e">
        <v>#N/A</v>
      </c>
      <c r="AN122" s="7" t="e">
        <v>#N/A</v>
      </c>
      <c r="AP122" s="7" t="e">
        <v>#N/A</v>
      </c>
      <c r="AQ122" s="7" t="e">
        <v>#N/A</v>
      </c>
      <c r="AR122" s="7" t="e">
        <v>#N/A</v>
      </c>
      <c r="AS122" s="7" t="e">
        <v>#N/A</v>
      </c>
      <c r="AT122" s="7" t="e">
        <v>#N/A</v>
      </c>
      <c r="AU122" s="7" t="e">
        <v>#N/A</v>
      </c>
    </row>
    <row r="123" spans="37:47" x14ac:dyDescent="0.25">
      <c r="AK123" t="str">
        <v>dodge dart custom</v>
      </c>
      <c r="AL123" s="7" t="e">
        <v>#N/A</v>
      </c>
      <c r="AN123" s="7" t="e">
        <v>#N/A</v>
      </c>
      <c r="AP123" s="7" t="e">
        <v>#N/A</v>
      </c>
      <c r="AQ123" s="7" t="e">
        <v>#N/A</v>
      </c>
      <c r="AR123" s="7" t="e">
        <v>#N/A</v>
      </c>
      <c r="AS123" s="7" t="e">
        <v>#N/A</v>
      </c>
      <c r="AT123" s="7" t="e">
        <v>#N/A</v>
      </c>
      <c r="AU123" s="7" t="e">
        <v>#N/A</v>
      </c>
    </row>
    <row r="124" spans="37:47" x14ac:dyDescent="0.25">
      <c r="AK124" t="str">
        <v>saab 99le</v>
      </c>
      <c r="AL124" s="7" t="e">
        <v>#N/A</v>
      </c>
      <c r="AN124" s="7" t="e">
        <v>#N/A</v>
      </c>
      <c r="AP124" s="7" t="e">
        <v>#N/A</v>
      </c>
      <c r="AQ124" s="7" t="e">
        <v>#N/A</v>
      </c>
      <c r="AR124" s="7" t="e">
        <v>#N/A</v>
      </c>
      <c r="AS124" s="7" t="e">
        <v>#N/A</v>
      </c>
      <c r="AT124" s="7" t="e">
        <v>#N/A</v>
      </c>
      <c r="AU124" s="7" t="e">
        <v>#N/A</v>
      </c>
    </row>
    <row r="125" spans="37:47" x14ac:dyDescent="0.25">
      <c r="AK125" t="str">
        <v>toyota mark ii</v>
      </c>
      <c r="AL125" s="7" t="e">
        <v>#N/A</v>
      </c>
      <c r="AN125" s="7" t="e">
        <v>#N/A</v>
      </c>
      <c r="AP125" s="7" t="e">
        <v>#N/A</v>
      </c>
      <c r="AQ125" s="7" t="e">
        <v>#N/A</v>
      </c>
      <c r="AR125" s="7" t="e">
        <v>#N/A</v>
      </c>
      <c r="AS125" s="7" t="e">
        <v>#N/A</v>
      </c>
      <c r="AT125" s="7" t="e">
        <v>#N/A</v>
      </c>
      <c r="AU125" s="7" t="e">
        <v>#N/A</v>
      </c>
    </row>
    <row r="126" spans="37:47" x14ac:dyDescent="0.25">
      <c r="AK126" t="str">
        <v>oldsmobile omega</v>
      </c>
      <c r="AL126" s="7" t="e">
        <v>#N/A</v>
      </c>
      <c r="AN126" s="7" t="e">
        <v>#N/A</v>
      </c>
      <c r="AP126" s="7" t="e">
        <v>#N/A</v>
      </c>
      <c r="AQ126" s="7" t="e">
        <v>#N/A</v>
      </c>
      <c r="AR126" s="7" t="e">
        <v>#N/A</v>
      </c>
      <c r="AS126" s="7" t="e">
        <v>#N/A</v>
      </c>
      <c r="AT126" s="7" t="e">
        <v>#N/A</v>
      </c>
      <c r="AU126" s="7" t="e">
        <v>#N/A</v>
      </c>
    </row>
    <row r="127" spans="37:47" x14ac:dyDescent="0.25">
      <c r="AK127" t="str">
        <v>plymouth duster</v>
      </c>
      <c r="AL127" s="7" t="e">
        <v>#N/A</v>
      </c>
      <c r="AN127" s="7" t="e">
        <v>#N/A</v>
      </c>
      <c r="AP127" s="7" t="e">
        <v>#N/A</v>
      </c>
      <c r="AQ127" s="7" t="e">
        <v>#N/A</v>
      </c>
      <c r="AR127" s="7" t="e">
        <v>#N/A</v>
      </c>
      <c r="AS127" s="7" t="e">
        <v>#N/A</v>
      </c>
      <c r="AT127" s="7" t="e">
        <v>#N/A</v>
      </c>
      <c r="AU127" s="7" t="e">
        <v>#N/A</v>
      </c>
    </row>
    <row r="128" spans="37:47" x14ac:dyDescent="0.25">
      <c r="AK128" t="str">
        <v>amc hornet</v>
      </c>
      <c r="AL128" s="7" t="e">
        <v>#N/A</v>
      </c>
      <c r="AN128" s="7" t="e">
        <v>#N/A</v>
      </c>
      <c r="AP128" s="7" t="e">
        <v>#N/A</v>
      </c>
      <c r="AQ128" s="7" t="e">
        <v>#N/A</v>
      </c>
      <c r="AR128" s="7" t="e">
        <v>#N/A</v>
      </c>
      <c r="AS128" s="7" t="e">
        <v>#N/A</v>
      </c>
      <c r="AT128" s="7" t="e">
        <v>#N/A</v>
      </c>
      <c r="AU128" s="7" t="e">
        <v>#N/A</v>
      </c>
    </row>
    <row r="129" spans="37:47" x14ac:dyDescent="0.25">
      <c r="AK129" t="str">
        <v>chevrolet nova</v>
      </c>
      <c r="AL129" s="7" t="e">
        <v>#N/A</v>
      </c>
      <c r="AN129" s="7" t="e">
        <v>#N/A</v>
      </c>
      <c r="AP129" s="7" t="e">
        <v>#N/A</v>
      </c>
      <c r="AQ129" s="7" t="e">
        <v>#N/A</v>
      </c>
      <c r="AR129" s="7" t="e">
        <v>#N/A</v>
      </c>
      <c r="AS129" s="7" t="e">
        <v>#N/A</v>
      </c>
      <c r="AT129" s="7" t="e">
        <v>#N/A</v>
      </c>
      <c r="AU129" s="7" t="e">
        <v>#N/A</v>
      </c>
    </row>
    <row r="130" spans="37:47" x14ac:dyDescent="0.25">
      <c r="AK130" t="str">
        <v>datsun b210</v>
      </c>
      <c r="AL130" s="7" t="e">
        <v>#N/A</v>
      </c>
      <c r="AN130" s="7" t="e">
        <v>#N/A</v>
      </c>
      <c r="AP130" s="7" t="e">
        <v>#N/A</v>
      </c>
      <c r="AQ130" s="7" t="e">
        <v>#N/A</v>
      </c>
      <c r="AR130" s="7" t="e">
        <v>#N/A</v>
      </c>
      <c r="AS130" s="7" t="e">
        <v>#N/A</v>
      </c>
      <c r="AT130" s="7" t="e">
        <v>#N/A</v>
      </c>
      <c r="AU130" s="7" t="e">
        <v>#N/A</v>
      </c>
    </row>
    <row r="131" spans="37:47" x14ac:dyDescent="0.25">
      <c r="AK131" t="str">
        <v>ford pinto</v>
      </c>
      <c r="AL131" s="7" t="e">
        <v>#N/A</v>
      </c>
      <c r="AN131" s="7" t="e">
        <v>#N/A</v>
      </c>
      <c r="AP131" s="7" t="e">
        <v>#N/A</v>
      </c>
      <c r="AQ131" s="7" t="e">
        <v>#N/A</v>
      </c>
      <c r="AR131" s="7" t="e">
        <v>#N/A</v>
      </c>
      <c r="AS131" s="7" t="e">
        <v>#N/A</v>
      </c>
      <c r="AT131" s="7" t="e">
        <v>#N/A</v>
      </c>
      <c r="AU131" s="7" t="e">
        <v>#N/A</v>
      </c>
    </row>
    <row r="132" spans="37:47" x14ac:dyDescent="0.25">
      <c r="AK132" t="str">
        <v>toyota corolla 1200</v>
      </c>
      <c r="AL132" s="7" t="e">
        <v>#N/A</v>
      </c>
      <c r="AN132" s="7" t="e">
        <v>#N/A</v>
      </c>
      <c r="AP132" s="7" t="e">
        <v>#N/A</v>
      </c>
      <c r="AQ132" s="7" t="e">
        <v>#N/A</v>
      </c>
      <c r="AR132" s="7" t="e">
        <v>#N/A</v>
      </c>
      <c r="AS132" s="7" t="e">
        <v>#N/A</v>
      </c>
      <c r="AT132" s="7" t="e">
        <v>#N/A</v>
      </c>
      <c r="AU132" s="7" t="e">
        <v>#N/A</v>
      </c>
    </row>
    <row r="133" spans="37:47" x14ac:dyDescent="0.25">
      <c r="AK133" t="str">
        <v>chevrolet vega</v>
      </c>
      <c r="AL133" s="7" t="e">
        <v>#N/A</v>
      </c>
      <c r="AN133" s="7" t="e">
        <v>#N/A</v>
      </c>
      <c r="AP133" s="7" t="e">
        <v>#N/A</v>
      </c>
      <c r="AQ133" s="7" t="e">
        <v>#N/A</v>
      </c>
      <c r="AR133" s="7" t="e">
        <v>#N/A</v>
      </c>
      <c r="AS133" s="7" t="e">
        <v>#N/A</v>
      </c>
      <c r="AT133" s="7" t="e">
        <v>#N/A</v>
      </c>
      <c r="AU133" s="7" t="e">
        <v>#N/A</v>
      </c>
    </row>
    <row r="134" spans="37:47" x14ac:dyDescent="0.25">
      <c r="AK134" t="str">
        <v>chevrolet chevelle malibu classic</v>
      </c>
      <c r="AL134" s="7" t="e">
        <v>#N/A</v>
      </c>
      <c r="AN134" s="7" t="e">
        <v>#N/A</v>
      </c>
      <c r="AP134" s="7" t="e">
        <v>#N/A</v>
      </c>
      <c r="AQ134" s="7" t="e">
        <v>#N/A</v>
      </c>
      <c r="AR134" s="7" t="e">
        <v>#N/A</v>
      </c>
      <c r="AS134" s="7" t="e">
        <v>#N/A</v>
      </c>
      <c r="AT134" s="7" t="e">
        <v>#N/A</v>
      </c>
      <c r="AU134" s="7" t="e">
        <v>#N/A</v>
      </c>
    </row>
    <row r="135" spans="37:47" x14ac:dyDescent="0.25">
      <c r="AK135" t="str">
        <v>amc matador</v>
      </c>
      <c r="AL135" s="7" t="e">
        <v>#N/A</v>
      </c>
      <c r="AN135" s="7" t="e">
        <v>#N/A</v>
      </c>
      <c r="AP135" s="7" t="e">
        <v>#N/A</v>
      </c>
      <c r="AQ135" s="7" t="e">
        <v>#N/A</v>
      </c>
      <c r="AR135" s="7" t="e">
        <v>#N/A</v>
      </c>
      <c r="AS135" s="7" t="e">
        <v>#N/A</v>
      </c>
      <c r="AT135" s="7" t="e">
        <v>#N/A</v>
      </c>
      <c r="AU135" s="7" t="e">
        <v>#N/A</v>
      </c>
    </row>
    <row r="136" spans="37:47" x14ac:dyDescent="0.25">
      <c r="AK136" t="str">
        <v>plymouth satellite sebring</v>
      </c>
      <c r="AL136" s="7" t="e">
        <v>#N/A</v>
      </c>
      <c r="AN136" s="7" t="e">
        <v>#N/A</v>
      </c>
      <c r="AP136" s="7" t="e">
        <v>#N/A</v>
      </c>
      <c r="AQ136" s="7" t="e">
        <v>#N/A</v>
      </c>
      <c r="AR136" s="7" t="e">
        <v>#N/A</v>
      </c>
      <c r="AS136" s="7" t="e">
        <v>#N/A</v>
      </c>
      <c r="AT136" s="7" t="e">
        <v>#N/A</v>
      </c>
      <c r="AU136" s="7" t="e">
        <v>#N/A</v>
      </c>
    </row>
    <row r="137" spans="37:47" x14ac:dyDescent="0.25">
      <c r="AK137" t="str">
        <v>ford gran torino</v>
      </c>
      <c r="AL137" s="7" t="e">
        <v>#N/A</v>
      </c>
      <c r="AN137" s="7" t="e">
        <v>#N/A</v>
      </c>
      <c r="AP137" s="7" t="e">
        <v>#N/A</v>
      </c>
      <c r="AQ137" s="7" t="e">
        <v>#N/A</v>
      </c>
      <c r="AR137" s="7" t="e">
        <v>#N/A</v>
      </c>
      <c r="AS137" s="7" t="e">
        <v>#N/A</v>
      </c>
      <c r="AT137" s="7" t="e">
        <v>#N/A</v>
      </c>
      <c r="AU137" s="7" t="e">
        <v>#N/A</v>
      </c>
    </row>
    <row r="138" spans="37:47" x14ac:dyDescent="0.25">
      <c r="AK138" t="str">
        <v>buick century luxus (sw)</v>
      </c>
      <c r="AL138" s="7" t="e">
        <v>#N/A</v>
      </c>
      <c r="AN138" s="7" t="e">
        <v>#N/A</v>
      </c>
      <c r="AP138" s="7" t="e">
        <v>#N/A</v>
      </c>
      <c r="AQ138" s="7" t="e">
        <v>#N/A</v>
      </c>
      <c r="AR138" s="7" t="e">
        <v>#N/A</v>
      </c>
      <c r="AS138" s="7" t="e">
        <v>#N/A</v>
      </c>
      <c r="AT138" s="7" t="e">
        <v>#N/A</v>
      </c>
      <c r="AU138" s="7" t="e">
        <v>#N/A</v>
      </c>
    </row>
    <row r="139" spans="37:47" x14ac:dyDescent="0.25">
      <c r="AK139" t="str">
        <v>dodge coronet custom (sw)</v>
      </c>
      <c r="AL139" s="7" t="e">
        <v>#N/A</v>
      </c>
      <c r="AN139" s="7" t="e">
        <v>#N/A</v>
      </c>
      <c r="AP139" s="7" t="e">
        <v>#N/A</v>
      </c>
      <c r="AQ139" s="7" t="e">
        <v>#N/A</v>
      </c>
      <c r="AR139" s="7" t="e">
        <v>#N/A</v>
      </c>
      <c r="AS139" s="7" t="e">
        <v>#N/A</v>
      </c>
      <c r="AT139" s="7" t="e">
        <v>#N/A</v>
      </c>
      <c r="AU139" s="7" t="e">
        <v>#N/A</v>
      </c>
    </row>
    <row r="140" spans="37:47" x14ac:dyDescent="0.25">
      <c r="AK140" t="str">
        <v>ford gran torino (sw)</v>
      </c>
      <c r="AL140" s="7" t="e">
        <v>#N/A</v>
      </c>
      <c r="AN140" s="7" t="e">
        <v>#N/A</v>
      </c>
      <c r="AP140" s="7" t="e">
        <v>#N/A</v>
      </c>
      <c r="AQ140" s="7" t="e">
        <v>#N/A</v>
      </c>
      <c r="AR140" s="7" t="e">
        <v>#N/A</v>
      </c>
      <c r="AS140" s="7" t="e">
        <v>#N/A</v>
      </c>
      <c r="AT140" s="7" t="e">
        <v>#N/A</v>
      </c>
      <c r="AU140" s="7" t="e">
        <v>#N/A</v>
      </c>
    </row>
    <row r="141" spans="37:47" x14ac:dyDescent="0.25">
      <c r="AK141" t="str">
        <v>amc matador (sw)</v>
      </c>
      <c r="AL141" s="7" t="e">
        <v>#N/A</v>
      </c>
      <c r="AN141" s="7" t="e">
        <v>#N/A</v>
      </c>
      <c r="AP141" s="7" t="e">
        <v>#N/A</v>
      </c>
      <c r="AQ141" s="7" t="e">
        <v>#N/A</v>
      </c>
      <c r="AR141" s="7" t="e">
        <v>#N/A</v>
      </c>
      <c r="AS141" s="7" t="e">
        <v>#N/A</v>
      </c>
      <c r="AT141" s="7" t="e">
        <v>#N/A</v>
      </c>
      <c r="AU141" s="7" t="e">
        <v>#N/A</v>
      </c>
    </row>
    <row r="142" spans="37:47" x14ac:dyDescent="0.25">
      <c r="AK142" t="str">
        <v>audi fox</v>
      </c>
      <c r="AL142" s="7" t="e">
        <v>#N/A</v>
      </c>
      <c r="AN142" s="7" t="e">
        <v>#N/A</v>
      </c>
      <c r="AP142" s="7" t="e">
        <v>#N/A</v>
      </c>
      <c r="AQ142" s="7" t="e">
        <v>#N/A</v>
      </c>
      <c r="AR142" s="7" t="e">
        <v>#N/A</v>
      </c>
      <c r="AS142" s="7" t="e">
        <v>#N/A</v>
      </c>
      <c r="AT142" s="7" t="e">
        <v>#N/A</v>
      </c>
      <c r="AU142" s="7" t="e">
        <v>#N/A</v>
      </c>
    </row>
    <row r="143" spans="37:47" x14ac:dyDescent="0.25">
      <c r="AK143" t="str">
        <v>volkswagen dasher</v>
      </c>
      <c r="AL143" s="7" t="e">
        <v>#N/A</v>
      </c>
      <c r="AN143" s="7" t="e">
        <v>#N/A</v>
      </c>
      <c r="AP143" s="7" t="e">
        <v>#N/A</v>
      </c>
      <c r="AQ143" s="7" t="e">
        <v>#N/A</v>
      </c>
      <c r="AR143" s="7" t="e">
        <v>#N/A</v>
      </c>
      <c r="AS143" s="7" t="e">
        <v>#N/A</v>
      </c>
      <c r="AT143" s="7" t="e">
        <v>#N/A</v>
      </c>
      <c r="AU143" s="7" t="e">
        <v>#N/A</v>
      </c>
    </row>
    <row r="144" spans="37:47" x14ac:dyDescent="0.25">
      <c r="AK144" t="str">
        <v>opel manta</v>
      </c>
      <c r="AL144" s="7" t="e">
        <v>#N/A</v>
      </c>
      <c r="AN144" s="7" t="e">
        <v>#N/A</v>
      </c>
      <c r="AP144" s="7" t="e">
        <v>#N/A</v>
      </c>
      <c r="AQ144" s="7" t="e">
        <v>#N/A</v>
      </c>
      <c r="AR144" s="7" t="e">
        <v>#N/A</v>
      </c>
      <c r="AS144" s="7" t="e">
        <v>#N/A</v>
      </c>
      <c r="AT144" s="7" t="e">
        <v>#N/A</v>
      </c>
      <c r="AU144" s="7" t="e">
        <v>#N/A</v>
      </c>
    </row>
    <row r="145" spans="37:47" x14ac:dyDescent="0.25">
      <c r="AK145" t="str">
        <v>toyota corona</v>
      </c>
      <c r="AL145" s="7" t="e">
        <v>#N/A</v>
      </c>
      <c r="AN145" s="7" t="e">
        <v>#N/A</v>
      </c>
      <c r="AP145" s="7" t="e">
        <v>#N/A</v>
      </c>
      <c r="AQ145" s="7" t="e">
        <v>#N/A</v>
      </c>
      <c r="AR145" s="7" t="e">
        <v>#N/A</v>
      </c>
      <c r="AS145" s="7" t="e">
        <v>#N/A</v>
      </c>
      <c r="AT145" s="7" t="e">
        <v>#N/A</v>
      </c>
      <c r="AU145" s="7" t="e">
        <v>#N/A</v>
      </c>
    </row>
    <row r="146" spans="37:47" x14ac:dyDescent="0.25">
      <c r="AK146" t="str">
        <v>datsun 710</v>
      </c>
      <c r="AL146" s="7" t="e">
        <v>#N/A</v>
      </c>
      <c r="AN146" s="7" t="e">
        <v>#N/A</v>
      </c>
      <c r="AP146" s="7" t="e">
        <v>#N/A</v>
      </c>
      <c r="AQ146" s="7" t="e">
        <v>#N/A</v>
      </c>
      <c r="AR146" s="7" t="e">
        <v>#N/A</v>
      </c>
      <c r="AS146" s="7" t="e">
        <v>#N/A</v>
      </c>
      <c r="AT146" s="7" t="e">
        <v>#N/A</v>
      </c>
      <c r="AU146" s="7" t="e">
        <v>#N/A</v>
      </c>
    </row>
    <row r="147" spans="37:47" x14ac:dyDescent="0.25">
      <c r="AK147" t="str">
        <v>dodge colt</v>
      </c>
      <c r="AL147" s="7" t="e">
        <v>#N/A</v>
      </c>
      <c r="AN147" s="7" t="e">
        <v>#N/A</v>
      </c>
      <c r="AP147" s="7" t="e">
        <v>#N/A</v>
      </c>
      <c r="AQ147" s="7" t="e">
        <v>#N/A</v>
      </c>
      <c r="AR147" s="7" t="e">
        <v>#N/A</v>
      </c>
      <c r="AS147" s="7" t="e">
        <v>#N/A</v>
      </c>
      <c r="AT147" s="7" t="e">
        <v>#N/A</v>
      </c>
      <c r="AU147" s="7" t="e">
        <v>#N/A</v>
      </c>
    </row>
    <row r="148" spans="37:47" x14ac:dyDescent="0.25">
      <c r="AK148" t="str">
        <v>fiat 128</v>
      </c>
      <c r="AL148" s="7" t="e">
        <v>#N/A</v>
      </c>
      <c r="AN148" s="7" t="e">
        <v>#N/A</v>
      </c>
      <c r="AP148" s="7" t="e">
        <v>#N/A</v>
      </c>
      <c r="AQ148" s="7" t="e">
        <v>#N/A</v>
      </c>
      <c r="AR148" s="7" t="e">
        <v>#N/A</v>
      </c>
      <c r="AS148" s="7" t="e">
        <v>#N/A</v>
      </c>
      <c r="AT148" s="7" t="e">
        <v>#N/A</v>
      </c>
      <c r="AU148" s="7" t="e">
        <v>#N/A</v>
      </c>
    </row>
    <row r="149" spans="37:47" x14ac:dyDescent="0.25">
      <c r="AK149" t="str">
        <v>fiat 124 tc</v>
      </c>
      <c r="AL149" s="7" t="e">
        <v>#N/A</v>
      </c>
      <c r="AN149" s="7" t="e">
        <v>#N/A</v>
      </c>
      <c r="AP149" s="7" t="e">
        <v>#N/A</v>
      </c>
      <c r="AQ149" s="7" t="e">
        <v>#N/A</v>
      </c>
      <c r="AR149" s="7" t="e">
        <v>#N/A</v>
      </c>
      <c r="AS149" s="7" t="e">
        <v>#N/A</v>
      </c>
      <c r="AT149" s="7" t="e">
        <v>#N/A</v>
      </c>
      <c r="AU149" s="7" t="e">
        <v>#N/A</v>
      </c>
    </row>
    <row r="150" spans="37:47" x14ac:dyDescent="0.25">
      <c r="AK150" t="str">
        <v>honda civic</v>
      </c>
      <c r="AL150" s="7" t="e">
        <v>#N/A</v>
      </c>
      <c r="AN150" s="7" t="e">
        <v>#N/A</v>
      </c>
      <c r="AP150" s="7" t="e">
        <v>#N/A</v>
      </c>
      <c r="AQ150" s="7" t="e">
        <v>#N/A</v>
      </c>
      <c r="AR150" s="7" t="e">
        <v>#N/A</v>
      </c>
      <c r="AS150" s="7" t="e">
        <v>#N/A</v>
      </c>
      <c r="AT150" s="7" t="e">
        <v>#N/A</v>
      </c>
      <c r="AU150" s="7" t="e">
        <v>#N/A</v>
      </c>
    </row>
    <row r="151" spans="37:47" x14ac:dyDescent="0.25">
      <c r="AK151" t="str">
        <v>subaru</v>
      </c>
      <c r="AL151" s="7" t="e">
        <v>#N/A</v>
      </c>
      <c r="AN151" s="7" t="e">
        <v>#N/A</v>
      </c>
      <c r="AP151" s="7" t="e">
        <v>#N/A</v>
      </c>
      <c r="AQ151" s="7" t="e">
        <v>#N/A</v>
      </c>
      <c r="AR151" s="7" t="e">
        <v>#N/A</v>
      </c>
      <c r="AS151" s="7" t="e">
        <v>#N/A</v>
      </c>
      <c r="AT151" s="7" t="e">
        <v>#N/A</v>
      </c>
      <c r="AU151" s="7" t="e">
        <v>#N/A</v>
      </c>
    </row>
    <row r="152" spans="37:47" x14ac:dyDescent="0.25">
      <c r="AK152" t="str">
        <v>fiat x1.9</v>
      </c>
      <c r="AL152" s="7" t="e">
        <v>#N/A</v>
      </c>
      <c r="AN152" s="7" t="e">
        <v>#N/A</v>
      </c>
      <c r="AP152" s="7" t="e">
        <v>#N/A</v>
      </c>
      <c r="AQ152" s="7" t="e">
        <v>#N/A</v>
      </c>
      <c r="AR152" s="7" t="e">
        <v>#N/A</v>
      </c>
      <c r="AS152" s="7" t="e">
        <v>#N/A</v>
      </c>
      <c r="AT152" s="7" t="e">
        <v>#N/A</v>
      </c>
      <c r="AU152" s="7" t="e">
        <v>#N/A</v>
      </c>
    </row>
    <row r="153" spans="37:47" x14ac:dyDescent="0.25">
      <c r="AK153" t="str">
        <v>plymouth valiant custom</v>
      </c>
      <c r="AL153" s="7" t="e">
        <v>#N/A</v>
      </c>
      <c r="AN153" s="7" t="e">
        <v>#N/A</v>
      </c>
      <c r="AP153" s="7" t="e">
        <v>#N/A</v>
      </c>
      <c r="AQ153" s="7" t="e">
        <v>#N/A</v>
      </c>
      <c r="AR153" s="7" t="e">
        <v>#N/A</v>
      </c>
      <c r="AS153" s="7" t="e">
        <v>#N/A</v>
      </c>
      <c r="AT153" s="7" t="e">
        <v>#N/A</v>
      </c>
      <c r="AU153" s="7" t="e">
        <v>#N/A</v>
      </c>
    </row>
    <row r="154" spans="37:47" x14ac:dyDescent="0.25">
      <c r="AK154" t="str">
        <v>chevrolet nova</v>
      </c>
      <c r="AL154" s="7" t="e">
        <v>#N/A</v>
      </c>
      <c r="AN154" s="7" t="e">
        <v>#N/A</v>
      </c>
      <c r="AP154" s="7" t="e">
        <v>#N/A</v>
      </c>
      <c r="AQ154" s="7" t="e">
        <v>#N/A</v>
      </c>
      <c r="AR154" s="7" t="e">
        <v>#N/A</v>
      </c>
      <c r="AS154" s="7" t="e">
        <v>#N/A</v>
      </c>
      <c r="AT154" s="7" t="e">
        <v>#N/A</v>
      </c>
      <c r="AU154" s="7" t="e">
        <v>#N/A</v>
      </c>
    </row>
    <row r="155" spans="37:47" x14ac:dyDescent="0.25">
      <c r="AK155" t="str">
        <v>mercury monarch</v>
      </c>
      <c r="AL155" s="7" t="e">
        <v>#N/A</v>
      </c>
      <c r="AN155" s="7" t="e">
        <v>#N/A</v>
      </c>
      <c r="AP155" s="7" t="e">
        <v>#N/A</v>
      </c>
      <c r="AQ155" s="7" t="e">
        <v>#N/A</v>
      </c>
      <c r="AR155" s="7" t="e">
        <v>#N/A</v>
      </c>
      <c r="AS155" s="7" t="e">
        <v>#N/A</v>
      </c>
      <c r="AT155" s="7" t="e">
        <v>#N/A</v>
      </c>
      <c r="AU155" s="7" t="e">
        <v>#N/A</v>
      </c>
    </row>
    <row r="156" spans="37:47" x14ac:dyDescent="0.25">
      <c r="AK156" t="str">
        <v>ford maverick</v>
      </c>
      <c r="AL156" s="7" t="e">
        <v>#N/A</v>
      </c>
      <c r="AN156" s="7" t="e">
        <v>#N/A</v>
      </c>
      <c r="AP156" s="7" t="e">
        <v>#N/A</v>
      </c>
      <c r="AQ156" s="7" t="e">
        <v>#N/A</v>
      </c>
      <c r="AR156" s="7" t="e">
        <v>#N/A</v>
      </c>
      <c r="AS156" s="7" t="e">
        <v>#N/A</v>
      </c>
      <c r="AT156" s="7" t="e">
        <v>#N/A</v>
      </c>
      <c r="AU156" s="7" t="e">
        <v>#N/A</v>
      </c>
    </row>
    <row r="157" spans="37:47" x14ac:dyDescent="0.25">
      <c r="AK157" t="str">
        <v>pontiac catalina</v>
      </c>
      <c r="AL157" s="7" t="e">
        <v>#N/A</v>
      </c>
      <c r="AN157" s="7" t="e">
        <v>#N/A</v>
      </c>
      <c r="AP157" s="7" t="e">
        <v>#N/A</v>
      </c>
      <c r="AQ157" s="7" t="e">
        <v>#N/A</v>
      </c>
      <c r="AR157" s="7" t="e">
        <v>#N/A</v>
      </c>
      <c r="AS157" s="7" t="e">
        <v>#N/A</v>
      </c>
      <c r="AT157" s="7" t="e">
        <v>#N/A</v>
      </c>
      <c r="AU157" s="7" t="e">
        <v>#N/A</v>
      </c>
    </row>
    <row r="158" spans="37:47" x14ac:dyDescent="0.25">
      <c r="AK158" t="str">
        <v>chevrolet bel air</v>
      </c>
      <c r="AL158" s="7" t="e">
        <v>#N/A</v>
      </c>
      <c r="AN158" s="7" t="e">
        <v>#N/A</v>
      </c>
      <c r="AP158" s="7" t="e">
        <v>#N/A</v>
      </c>
      <c r="AQ158" s="7" t="e">
        <v>#N/A</v>
      </c>
      <c r="AR158" s="7" t="e">
        <v>#N/A</v>
      </c>
      <c r="AS158" s="7" t="e">
        <v>#N/A</v>
      </c>
      <c r="AT158" s="7" t="e">
        <v>#N/A</v>
      </c>
      <c r="AU158" s="7" t="e">
        <v>#N/A</v>
      </c>
    </row>
    <row r="159" spans="37:47" x14ac:dyDescent="0.25">
      <c r="AK159" t="str">
        <v>plymouth grand fury</v>
      </c>
      <c r="AL159" s="7" t="e">
        <v>#N/A</v>
      </c>
      <c r="AN159" s="7" t="e">
        <v>#N/A</v>
      </c>
      <c r="AP159" s="7" t="e">
        <v>#N/A</v>
      </c>
      <c r="AQ159" s="7" t="e">
        <v>#N/A</v>
      </c>
      <c r="AR159" s="7" t="e">
        <v>#N/A</v>
      </c>
      <c r="AS159" s="7" t="e">
        <v>#N/A</v>
      </c>
      <c r="AT159" s="7" t="e">
        <v>#N/A</v>
      </c>
      <c r="AU159" s="7" t="e">
        <v>#N/A</v>
      </c>
    </row>
    <row r="160" spans="37:47" x14ac:dyDescent="0.25">
      <c r="AK160" t="str">
        <v>ford ltd</v>
      </c>
      <c r="AL160" s="7" t="e">
        <v>#N/A</v>
      </c>
      <c r="AN160" s="7" t="e">
        <v>#N/A</v>
      </c>
      <c r="AP160" s="7" t="e">
        <v>#N/A</v>
      </c>
      <c r="AQ160" s="7" t="e">
        <v>#N/A</v>
      </c>
      <c r="AR160" s="7" t="e">
        <v>#N/A</v>
      </c>
      <c r="AS160" s="7" t="e">
        <v>#N/A</v>
      </c>
      <c r="AT160" s="7" t="e">
        <v>#N/A</v>
      </c>
      <c r="AU160" s="7" t="e">
        <v>#N/A</v>
      </c>
    </row>
    <row r="161" spans="37:47" x14ac:dyDescent="0.25">
      <c r="AK161" t="str">
        <v>buick century</v>
      </c>
      <c r="AL161" s="7" t="e">
        <v>#N/A</v>
      </c>
      <c r="AN161" s="7" t="e">
        <v>#N/A</v>
      </c>
      <c r="AP161" s="7" t="e">
        <v>#N/A</v>
      </c>
      <c r="AQ161" s="7" t="e">
        <v>#N/A</v>
      </c>
      <c r="AR161" s="7" t="e">
        <v>#N/A</v>
      </c>
      <c r="AS161" s="7" t="e">
        <v>#N/A</v>
      </c>
      <c r="AT161" s="7" t="e">
        <v>#N/A</v>
      </c>
      <c r="AU161" s="7" t="e">
        <v>#N/A</v>
      </c>
    </row>
    <row r="162" spans="37:47" x14ac:dyDescent="0.25">
      <c r="AK162" t="str">
        <v>chevroelt chevelle malibu</v>
      </c>
      <c r="AL162" s="7" t="e">
        <v>#N/A</v>
      </c>
      <c r="AN162" s="7" t="e">
        <v>#N/A</v>
      </c>
      <c r="AP162" s="7" t="e">
        <v>#N/A</v>
      </c>
      <c r="AQ162" s="7" t="e">
        <v>#N/A</v>
      </c>
      <c r="AR162" s="7" t="e">
        <v>#N/A</v>
      </c>
      <c r="AS162" s="7" t="e">
        <v>#N/A</v>
      </c>
      <c r="AT162" s="7" t="e">
        <v>#N/A</v>
      </c>
      <c r="AU162" s="7" t="e">
        <v>#N/A</v>
      </c>
    </row>
    <row r="163" spans="37:47" x14ac:dyDescent="0.25">
      <c r="AK163" t="str">
        <v>amc matador</v>
      </c>
      <c r="AL163" s="7" t="e">
        <v>#N/A</v>
      </c>
      <c r="AN163" s="7" t="e">
        <v>#N/A</v>
      </c>
      <c r="AP163" s="7" t="e">
        <v>#N/A</v>
      </c>
      <c r="AQ163" s="7" t="e">
        <v>#N/A</v>
      </c>
      <c r="AR163" s="7" t="e">
        <v>#N/A</v>
      </c>
      <c r="AS163" s="7" t="e">
        <v>#N/A</v>
      </c>
      <c r="AT163" s="7" t="e">
        <v>#N/A</v>
      </c>
      <c r="AU163" s="7" t="e">
        <v>#N/A</v>
      </c>
    </row>
    <row r="164" spans="37:47" x14ac:dyDescent="0.25">
      <c r="AK164" t="str">
        <v>plymouth fury</v>
      </c>
      <c r="AL164" s="7" t="e">
        <v>#N/A</v>
      </c>
      <c r="AN164" s="7" t="e">
        <v>#N/A</v>
      </c>
      <c r="AP164" s="7" t="e">
        <v>#N/A</v>
      </c>
      <c r="AQ164" s="7" t="e">
        <v>#N/A</v>
      </c>
      <c r="AR164" s="7" t="e">
        <v>#N/A</v>
      </c>
      <c r="AS164" s="7" t="e">
        <v>#N/A</v>
      </c>
      <c r="AT164" s="7" t="e">
        <v>#N/A</v>
      </c>
      <c r="AU164" s="7" t="e">
        <v>#N/A</v>
      </c>
    </row>
    <row r="165" spans="37:47" x14ac:dyDescent="0.25">
      <c r="AK165" t="str">
        <v>buick skyhawk</v>
      </c>
      <c r="AL165" s="7" t="e">
        <v>#N/A</v>
      </c>
      <c r="AN165" s="7" t="e">
        <v>#N/A</v>
      </c>
      <c r="AP165" s="7" t="e">
        <v>#N/A</v>
      </c>
      <c r="AQ165" s="7" t="e">
        <v>#N/A</v>
      </c>
      <c r="AR165" s="7" t="e">
        <v>#N/A</v>
      </c>
      <c r="AS165" s="7" t="e">
        <v>#N/A</v>
      </c>
      <c r="AT165" s="7" t="e">
        <v>#N/A</v>
      </c>
      <c r="AU165" s="7" t="e">
        <v>#N/A</v>
      </c>
    </row>
    <row r="166" spans="37:47" x14ac:dyDescent="0.25">
      <c r="AK166" t="str">
        <v>chevrolet monza 2+2</v>
      </c>
      <c r="AL166" s="7" t="e">
        <v>#N/A</v>
      </c>
      <c r="AN166" s="7" t="e">
        <v>#N/A</v>
      </c>
      <c r="AP166" s="7" t="e">
        <v>#N/A</v>
      </c>
      <c r="AQ166" s="7" t="e">
        <v>#N/A</v>
      </c>
      <c r="AR166" s="7" t="e">
        <v>#N/A</v>
      </c>
      <c r="AS166" s="7" t="e">
        <v>#N/A</v>
      </c>
      <c r="AT166" s="7" t="e">
        <v>#N/A</v>
      </c>
      <c r="AU166" s="7" t="e">
        <v>#N/A</v>
      </c>
    </row>
    <row r="167" spans="37:47" x14ac:dyDescent="0.25">
      <c r="AK167" t="str">
        <v>ford mustang ii</v>
      </c>
      <c r="AL167" s="7" t="e">
        <v>#N/A</v>
      </c>
      <c r="AN167" s="7" t="e">
        <v>#N/A</v>
      </c>
      <c r="AP167" s="7" t="e">
        <v>#N/A</v>
      </c>
      <c r="AQ167" s="7" t="e">
        <v>#N/A</v>
      </c>
      <c r="AR167" s="7" t="e">
        <v>#N/A</v>
      </c>
      <c r="AS167" s="7" t="e">
        <v>#N/A</v>
      </c>
      <c r="AT167" s="7" t="e">
        <v>#N/A</v>
      </c>
      <c r="AU167" s="7" t="e">
        <v>#N/A</v>
      </c>
    </row>
    <row r="168" spans="37:47" x14ac:dyDescent="0.25">
      <c r="AK168" t="str">
        <v>toyota corolla</v>
      </c>
      <c r="AL168" s="7" t="e">
        <v>#N/A</v>
      </c>
      <c r="AN168" s="7" t="e">
        <v>#N/A</v>
      </c>
      <c r="AP168" s="7" t="e">
        <v>#N/A</v>
      </c>
      <c r="AQ168" s="7" t="e">
        <v>#N/A</v>
      </c>
      <c r="AR168" s="7" t="e">
        <v>#N/A</v>
      </c>
      <c r="AS168" s="7" t="e">
        <v>#N/A</v>
      </c>
      <c r="AT168" s="7" t="e">
        <v>#N/A</v>
      </c>
      <c r="AU168" s="7" t="e">
        <v>#N/A</v>
      </c>
    </row>
    <row r="169" spans="37:47" x14ac:dyDescent="0.25">
      <c r="AK169" t="str">
        <v>ford pinto</v>
      </c>
      <c r="AL169" s="7" t="e">
        <v>#N/A</v>
      </c>
      <c r="AN169" s="7" t="e">
        <v>#N/A</v>
      </c>
      <c r="AP169" s="7" t="e">
        <v>#N/A</v>
      </c>
      <c r="AQ169" s="7" t="e">
        <v>#N/A</v>
      </c>
      <c r="AR169" s="7" t="e">
        <v>#N/A</v>
      </c>
      <c r="AS169" s="7" t="e">
        <v>#N/A</v>
      </c>
      <c r="AT169" s="7" t="e">
        <v>#N/A</v>
      </c>
      <c r="AU169" s="7" t="e">
        <v>#N/A</v>
      </c>
    </row>
    <row r="170" spans="37:47" x14ac:dyDescent="0.25">
      <c r="AK170" t="str">
        <v>amc gremlin</v>
      </c>
      <c r="AL170" s="7" t="e">
        <v>#N/A</v>
      </c>
      <c r="AN170" s="7" t="e">
        <v>#N/A</v>
      </c>
      <c r="AP170" s="7" t="e">
        <v>#N/A</v>
      </c>
      <c r="AQ170" s="7" t="e">
        <v>#N/A</v>
      </c>
      <c r="AR170" s="7" t="e">
        <v>#N/A</v>
      </c>
      <c r="AS170" s="7" t="e">
        <v>#N/A</v>
      </c>
      <c r="AT170" s="7" t="e">
        <v>#N/A</v>
      </c>
      <c r="AU170" s="7" t="e">
        <v>#N/A</v>
      </c>
    </row>
    <row r="171" spans="37:47" x14ac:dyDescent="0.25">
      <c r="AK171" t="str">
        <v>pontiac astro</v>
      </c>
      <c r="AL171" s="7" t="e">
        <v>#N/A</v>
      </c>
      <c r="AN171" s="7" t="e">
        <v>#N/A</v>
      </c>
      <c r="AP171" s="7" t="e">
        <v>#N/A</v>
      </c>
      <c r="AQ171" s="7" t="e">
        <v>#N/A</v>
      </c>
      <c r="AR171" s="7" t="e">
        <v>#N/A</v>
      </c>
      <c r="AS171" s="7" t="e">
        <v>#N/A</v>
      </c>
      <c r="AT171" s="7" t="e">
        <v>#N/A</v>
      </c>
      <c r="AU171" s="7" t="e">
        <v>#N/A</v>
      </c>
    </row>
    <row r="172" spans="37:47" x14ac:dyDescent="0.25">
      <c r="AK172" t="str">
        <v>toyota corona</v>
      </c>
      <c r="AL172" s="7" t="e">
        <v>#N/A</v>
      </c>
      <c r="AN172" s="7" t="e">
        <v>#N/A</v>
      </c>
      <c r="AP172" s="7" t="e">
        <v>#N/A</v>
      </c>
      <c r="AQ172" s="7" t="e">
        <v>#N/A</v>
      </c>
      <c r="AR172" s="7" t="e">
        <v>#N/A</v>
      </c>
      <c r="AS172" s="7" t="e">
        <v>#N/A</v>
      </c>
      <c r="AT172" s="7" t="e">
        <v>#N/A</v>
      </c>
      <c r="AU172" s="7" t="e">
        <v>#N/A</v>
      </c>
    </row>
    <row r="173" spans="37:47" x14ac:dyDescent="0.25">
      <c r="AK173" t="str">
        <v>volkswagen dasher</v>
      </c>
      <c r="AL173" s="7" t="e">
        <v>#N/A</v>
      </c>
      <c r="AN173" s="7" t="e">
        <v>#N/A</v>
      </c>
      <c r="AP173" s="7" t="e">
        <v>#N/A</v>
      </c>
      <c r="AQ173" s="7" t="e">
        <v>#N/A</v>
      </c>
      <c r="AR173" s="7" t="e">
        <v>#N/A</v>
      </c>
      <c r="AS173" s="7" t="e">
        <v>#N/A</v>
      </c>
      <c r="AT173" s="7" t="e">
        <v>#N/A</v>
      </c>
      <c r="AU173" s="7" t="e">
        <v>#N/A</v>
      </c>
    </row>
    <row r="174" spans="37:47" x14ac:dyDescent="0.25">
      <c r="AK174" t="str">
        <v>datsun 710</v>
      </c>
      <c r="AL174" s="7" t="e">
        <v>#N/A</v>
      </c>
      <c r="AN174" s="7" t="e">
        <v>#N/A</v>
      </c>
      <c r="AP174" s="7" t="e">
        <v>#N/A</v>
      </c>
      <c r="AQ174" s="7" t="e">
        <v>#N/A</v>
      </c>
      <c r="AR174" s="7" t="e">
        <v>#N/A</v>
      </c>
      <c r="AS174" s="7" t="e">
        <v>#N/A</v>
      </c>
      <c r="AT174" s="7" t="e">
        <v>#N/A</v>
      </c>
      <c r="AU174" s="7" t="e">
        <v>#N/A</v>
      </c>
    </row>
    <row r="175" spans="37:47" x14ac:dyDescent="0.25">
      <c r="AK175" t="str">
        <v>ford pinto</v>
      </c>
      <c r="AL175" s="7" t="e">
        <v>#N/A</v>
      </c>
      <c r="AN175" s="7" t="e">
        <v>#N/A</v>
      </c>
      <c r="AP175" s="7" t="e">
        <v>#N/A</v>
      </c>
      <c r="AQ175" s="7" t="e">
        <v>#N/A</v>
      </c>
      <c r="AR175" s="7" t="e">
        <v>#N/A</v>
      </c>
      <c r="AS175" s="7" t="e">
        <v>#N/A</v>
      </c>
      <c r="AT175" s="7" t="e">
        <v>#N/A</v>
      </c>
      <c r="AU175" s="7" t="e">
        <v>#N/A</v>
      </c>
    </row>
    <row r="176" spans="37:47" x14ac:dyDescent="0.25">
      <c r="AK176" t="str">
        <v>volkswagen rabbit</v>
      </c>
      <c r="AL176" s="7" t="e">
        <v>#N/A</v>
      </c>
      <c r="AN176" s="7" t="e">
        <v>#N/A</v>
      </c>
      <c r="AP176" s="7" t="e">
        <v>#N/A</v>
      </c>
      <c r="AQ176" s="7" t="e">
        <v>#N/A</v>
      </c>
      <c r="AR176" s="7" t="e">
        <v>#N/A</v>
      </c>
      <c r="AS176" s="7" t="e">
        <v>#N/A</v>
      </c>
      <c r="AT176" s="7" t="e">
        <v>#N/A</v>
      </c>
      <c r="AU176" s="7" t="e">
        <v>#N/A</v>
      </c>
    </row>
    <row r="177" spans="37:47" x14ac:dyDescent="0.25">
      <c r="AK177" t="str">
        <v>amc pacer</v>
      </c>
      <c r="AL177" s="7" t="e">
        <v>#N/A</v>
      </c>
      <c r="AN177" s="7" t="e">
        <v>#N/A</v>
      </c>
      <c r="AP177" s="7" t="e">
        <v>#N/A</v>
      </c>
      <c r="AQ177" s="7" t="e">
        <v>#N/A</v>
      </c>
      <c r="AR177" s="7" t="e">
        <v>#N/A</v>
      </c>
      <c r="AS177" s="7" t="e">
        <v>#N/A</v>
      </c>
      <c r="AT177" s="7" t="e">
        <v>#N/A</v>
      </c>
      <c r="AU177" s="7" t="e">
        <v>#N/A</v>
      </c>
    </row>
    <row r="178" spans="37:47" x14ac:dyDescent="0.25">
      <c r="AK178" t="str">
        <v>audi 100ls</v>
      </c>
      <c r="AL178" s="7" t="e">
        <v>#N/A</v>
      </c>
      <c r="AN178" s="7" t="e">
        <v>#N/A</v>
      </c>
      <c r="AP178" s="7" t="e">
        <v>#N/A</v>
      </c>
      <c r="AQ178" s="7" t="e">
        <v>#N/A</v>
      </c>
      <c r="AR178" s="7" t="e">
        <v>#N/A</v>
      </c>
      <c r="AS178" s="7" t="e">
        <v>#N/A</v>
      </c>
      <c r="AT178" s="7" t="e">
        <v>#N/A</v>
      </c>
      <c r="AU178" s="7" t="e">
        <v>#N/A</v>
      </c>
    </row>
    <row r="179" spans="37:47" x14ac:dyDescent="0.25">
      <c r="AK179" t="str">
        <v>peugeot 504</v>
      </c>
      <c r="AL179" s="7" t="e">
        <v>#N/A</v>
      </c>
      <c r="AN179" s="7" t="e">
        <v>#N/A</v>
      </c>
      <c r="AP179" s="7" t="e">
        <v>#N/A</v>
      </c>
      <c r="AQ179" s="7" t="e">
        <v>#N/A</v>
      </c>
      <c r="AR179" s="7" t="e">
        <v>#N/A</v>
      </c>
      <c r="AS179" s="7" t="e">
        <v>#N/A</v>
      </c>
      <c r="AT179" s="7" t="e">
        <v>#N/A</v>
      </c>
      <c r="AU179" s="7" t="e">
        <v>#N/A</v>
      </c>
    </row>
    <row r="180" spans="37:47" x14ac:dyDescent="0.25">
      <c r="AK180" t="str">
        <v>volvo 244dl</v>
      </c>
      <c r="AL180" s="7" t="e">
        <v>#N/A</v>
      </c>
      <c r="AN180" s="7" t="e">
        <v>#N/A</v>
      </c>
      <c r="AP180" s="7" t="e">
        <v>#N/A</v>
      </c>
      <c r="AQ180" s="7" t="e">
        <v>#N/A</v>
      </c>
      <c r="AR180" s="7" t="e">
        <v>#N/A</v>
      </c>
      <c r="AS180" s="7" t="e">
        <v>#N/A</v>
      </c>
      <c r="AT180" s="7" t="e">
        <v>#N/A</v>
      </c>
      <c r="AU180" s="7" t="e">
        <v>#N/A</v>
      </c>
    </row>
    <row r="181" spans="37:47" x14ac:dyDescent="0.25">
      <c r="AK181" t="str">
        <v>saab 99le</v>
      </c>
      <c r="AL181" s="7" t="e">
        <v>#N/A</v>
      </c>
      <c r="AN181" s="7" t="e">
        <v>#N/A</v>
      </c>
      <c r="AP181" s="7" t="e">
        <v>#N/A</v>
      </c>
      <c r="AQ181" s="7" t="e">
        <v>#N/A</v>
      </c>
      <c r="AR181" s="7" t="e">
        <v>#N/A</v>
      </c>
      <c r="AS181" s="7" t="e">
        <v>#N/A</v>
      </c>
      <c r="AT181" s="7" t="e">
        <v>#N/A</v>
      </c>
      <c r="AU181" s="7" t="e">
        <v>#N/A</v>
      </c>
    </row>
    <row r="182" spans="37:47" x14ac:dyDescent="0.25">
      <c r="AK182" t="str">
        <v>honda civic cvcc</v>
      </c>
      <c r="AL182" s="7" t="e">
        <v>#N/A</v>
      </c>
      <c r="AN182" s="7" t="e">
        <v>#N/A</v>
      </c>
      <c r="AP182" s="7" t="e">
        <v>#N/A</v>
      </c>
      <c r="AQ182" s="7" t="e">
        <v>#N/A</v>
      </c>
      <c r="AR182" s="7" t="e">
        <v>#N/A</v>
      </c>
      <c r="AS182" s="7" t="e">
        <v>#N/A</v>
      </c>
      <c r="AT182" s="7" t="e">
        <v>#N/A</v>
      </c>
      <c r="AU182" s="7" t="e">
        <v>#N/A</v>
      </c>
    </row>
    <row r="183" spans="37:47" x14ac:dyDescent="0.25">
      <c r="AK183" t="str">
        <v>fiat 131</v>
      </c>
      <c r="AL183" s="7" t="e">
        <v>#N/A</v>
      </c>
      <c r="AN183" s="7" t="e">
        <v>#N/A</v>
      </c>
      <c r="AP183" s="7" t="e">
        <v>#N/A</v>
      </c>
      <c r="AQ183" s="7" t="e">
        <v>#N/A</v>
      </c>
      <c r="AR183" s="7" t="e">
        <v>#N/A</v>
      </c>
      <c r="AS183" s="7" t="e">
        <v>#N/A</v>
      </c>
      <c r="AT183" s="7" t="e">
        <v>#N/A</v>
      </c>
      <c r="AU183" s="7" t="e">
        <v>#N/A</v>
      </c>
    </row>
    <row r="184" spans="37:47" x14ac:dyDescent="0.25">
      <c r="AK184" t="str">
        <v>opel 1900</v>
      </c>
      <c r="AL184" s="7" t="e">
        <v>#N/A</v>
      </c>
      <c r="AN184" s="7" t="e">
        <v>#N/A</v>
      </c>
      <c r="AP184" s="7" t="e">
        <v>#N/A</v>
      </c>
      <c r="AQ184" s="7" t="e">
        <v>#N/A</v>
      </c>
      <c r="AR184" s="7" t="e">
        <v>#N/A</v>
      </c>
      <c r="AS184" s="7" t="e">
        <v>#N/A</v>
      </c>
      <c r="AT184" s="7" t="e">
        <v>#N/A</v>
      </c>
      <c r="AU184" s="7" t="e">
        <v>#N/A</v>
      </c>
    </row>
    <row r="185" spans="37:47" x14ac:dyDescent="0.25">
      <c r="AK185" t="str">
        <v>capri ii</v>
      </c>
      <c r="AL185" s="7" t="e">
        <v>#N/A</v>
      </c>
      <c r="AN185" s="7" t="e">
        <v>#N/A</v>
      </c>
      <c r="AP185" s="7" t="e">
        <v>#N/A</v>
      </c>
      <c r="AQ185" s="7" t="e">
        <v>#N/A</v>
      </c>
      <c r="AR185" s="7" t="e">
        <v>#N/A</v>
      </c>
      <c r="AS185" s="7" t="e">
        <v>#N/A</v>
      </c>
      <c r="AT185" s="7" t="e">
        <v>#N/A</v>
      </c>
      <c r="AU185" s="7" t="e">
        <v>#N/A</v>
      </c>
    </row>
    <row r="186" spans="37:47" x14ac:dyDescent="0.25">
      <c r="AK186" t="str">
        <v>dodge colt</v>
      </c>
      <c r="AL186" s="7" t="e">
        <v>#N/A</v>
      </c>
      <c r="AN186" s="7" t="e">
        <v>#N/A</v>
      </c>
      <c r="AP186" s="7" t="e">
        <v>#N/A</v>
      </c>
      <c r="AQ186" s="7" t="e">
        <v>#N/A</v>
      </c>
      <c r="AR186" s="7" t="e">
        <v>#N/A</v>
      </c>
      <c r="AS186" s="7" t="e">
        <v>#N/A</v>
      </c>
      <c r="AT186" s="7" t="e">
        <v>#N/A</v>
      </c>
      <c r="AU186" s="7" t="e">
        <v>#N/A</v>
      </c>
    </row>
    <row r="187" spans="37:47" x14ac:dyDescent="0.25">
      <c r="AK187" t="str">
        <v>renault 12tl</v>
      </c>
      <c r="AL187" s="7" t="e">
        <v>#N/A</v>
      </c>
      <c r="AN187" s="7" t="e">
        <v>#N/A</v>
      </c>
      <c r="AP187" s="7" t="e">
        <v>#N/A</v>
      </c>
      <c r="AQ187" s="7" t="e">
        <v>#N/A</v>
      </c>
      <c r="AR187" s="7" t="e">
        <v>#N/A</v>
      </c>
      <c r="AS187" s="7" t="e">
        <v>#N/A</v>
      </c>
      <c r="AT187" s="7" t="e">
        <v>#N/A</v>
      </c>
      <c r="AU187" s="7" t="e">
        <v>#N/A</v>
      </c>
    </row>
    <row r="188" spans="37:47" x14ac:dyDescent="0.25">
      <c r="AK188" t="str">
        <v>chevrolet chevelle malibu classic</v>
      </c>
      <c r="AL188" s="7" t="e">
        <v>#N/A</v>
      </c>
      <c r="AN188" s="7" t="e">
        <v>#N/A</v>
      </c>
      <c r="AP188" s="7" t="e">
        <v>#N/A</v>
      </c>
      <c r="AQ188" s="7" t="e">
        <v>#N/A</v>
      </c>
      <c r="AR188" s="7" t="e">
        <v>#N/A</v>
      </c>
      <c r="AS188" s="7" t="e">
        <v>#N/A</v>
      </c>
      <c r="AT188" s="7" t="e">
        <v>#N/A</v>
      </c>
      <c r="AU188" s="7" t="e">
        <v>#N/A</v>
      </c>
    </row>
    <row r="189" spans="37:47" x14ac:dyDescent="0.25">
      <c r="AK189" t="str">
        <v>dodge coronet brougham</v>
      </c>
      <c r="AL189" s="7" t="e">
        <v>#N/A</v>
      </c>
      <c r="AN189" s="7" t="e">
        <v>#N/A</v>
      </c>
      <c r="AP189" s="7" t="e">
        <v>#N/A</v>
      </c>
      <c r="AQ189" s="7" t="e">
        <v>#N/A</v>
      </c>
      <c r="AR189" s="7" t="e">
        <v>#N/A</v>
      </c>
      <c r="AS189" s="7" t="e">
        <v>#N/A</v>
      </c>
      <c r="AT189" s="7" t="e">
        <v>#N/A</v>
      </c>
      <c r="AU189" s="7" t="e">
        <v>#N/A</v>
      </c>
    </row>
    <row r="190" spans="37:47" x14ac:dyDescent="0.25">
      <c r="AK190" t="str">
        <v>amc matador</v>
      </c>
      <c r="AL190" s="7" t="e">
        <v>#N/A</v>
      </c>
      <c r="AN190" s="7" t="e">
        <v>#N/A</v>
      </c>
      <c r="AP190" s="7" t="e">
        <v>#N/A</v>
      </c>
      <c r="AQ190" s="7" t="e">
        <v>#N/A</v>
      </c>
      <c r="AR190" s="7" t="e">
        <v>#N/A</v>
      </c>
      <c r="AS190" s="7" t="e">
        <v>#N/A</v>
      </c>
      <c r="AT190" s="7" t="e">
        <v>#N/A</v>
      </c>
      <c r="AU190" s="7" t="e">
        <v>#N/A</v>
      </c>
    </row>
    <row r="191" spans="37:47" x14ac:dyDescent="0.25">
      <c r="AK191" t="str">
        <v>ford gran torino</v>
      </c>
      <c r="AL191" s="7" t="e">
        <v>#N/A</v>
      </c>
      <c r="AN191" s="7" t="e">
        <v>#N/A</v>
      </c>
      <c r="AP191" s="7" t="e">
        <v>#N/A</v>
      </c>
      <c r="AQ191" s="7" t="e">
        <v>#N/A</v>
      </c>
      <c r="AR191" s="7" t="e">
        <v>#N/A</v>
      </c>
      <c r="AS191" s="7" t="e">
        <v>#N/A</v>
      </c>
      <c r="AT191" s="7" t="e">
        <v>#N/A</v>
      </c>
      <c r="AU191" s="7" t="e">
        <v>#N/A</v>
      </c>
    </row>
    <row r="192" spans="37:47" x14ac:dyDescent="0.25">
      <c r="AK192" t="str">
        <v>plymouth valiant</v>
      </c>
      <c r="AL192" s="7" t="e">
        <v>#N/A</v>
      </c>
      <c r="AN192" s="7" t="e">
        <v>#N/A</v>
      </c>
      <c r="AP192" s="7" t="e">
        <v>#N/A</v>
      </c>
      <c r="AQ192" s="7" t="e">
        <v>#N/A</v>
      </c>
      <c r="AR192" s="7" t="e">
        <v>#N/A</v>
      </c>
      <c r="AS192" s="7" t="e">
        <v>#N/A</v>
      </c>
      <c r="AT192" s="7" t="e">
        <v>#N/A</v>
      </c>
      <c r="AU192" s="7" t="e">
        <v>#N/A</v>
      </c>
    </row>
    <row r="193" spans="37:47" x14ac:dyDescent="0.25">
      <c r="AK193" t="str">
        <v>chevrolet nova</v>
      </c>
      <c r="AL193" s="7" t="e">
        <v>#N/A</v>
      </c>
      <c r="AN193" s="7" t="e">
        <v>#N/A</v>
      </c>
      <c r="AP193" s="7" t="e">
        <v>#N/A</v>
      </c>
      <c r="AQ193" s="7" t="e">
        <v>#N/A</v>
      </c>
      <c r="AR193" s="7" t="e">
        <v>#N/A</v>
      </c>
      <c r="AS193" s="7" t="e">
        <v>#N/A</v>
      </c>
      <c r="AT193" s="7" t="e">
        <v>#N/A</v>
      </c>
      <c r="AU193" s="7" t="e">
        <v>#N/A</v>
      </c>
    </row>
    <row r="194" spans="37:47" x14ac:dyDescent="0.25">
      <c r="AK194" t="str">
        <v>ford maverick</v>
      </c>
      <c r="AL194" s="7" t="e">
        <v>#N/A</v>
      </c>
      <c r="AN194" s="7" t="e">
        <v>#N/A</v>
      </c>
      <c r="AP194" s="7" t="e">
        <v>#N/A</v>
      </c>
      <c r="AQ194" s="7" t="e">
        <v>#N/A</v>
      </c>
      <c r="AR194" s="7" t="e">
        <v>#N/A</v>
      </c>
      <c r="AS194" s="7" t="e">
        <v>#N/A</v>
      </c>
      <c r="AT194" s="7" t="e">
        <v>#N/A</v>
      </c>
      <c r="AU194" s="7" t="e">
        <v>#N/A</v>
      </c>
    </row>
    <row r="195" spans="37:47" x14ac:dyDescent="0.25">
      <c r="AK195" t="str">
        <v>amc hornet</v>
      </c>
      <c r="AL195" s="7" t="e">
        <v>#N/A</v>
      </c>
      <c r="AN195" s="7" t="e">
        <v>#N/A</v>
      </c>
      <c r="AP195" s="7" t="e">
        <v>#N/A</v>
      </c>
      <c r="AQ195" s="7" t="e">
        <v>#N/A</v>
      </c>
      <c r="AR195" s="7" t="e">
        <v>#N/A</v>
      </c>
      <c r="AS195" s="7" t="e">
        <v>#N/A</v>
      </c>
      <c r="AT195" s="7" t="e">
        <v>#N/A</v>
      </c>
      <c r="AU195" s="7" t="e">
        <v>#N/A</v>
      </c>
    </row>
    <row r="196" spans="37:47" x14ac:dyDescent="0.25">
      <c r="AK196" t="str">
        <v>chevrolet chevette</v>
      </c>
      <c r="AL196" s="7" t="e">
        <v>#N/A</v>
      </c>
      <c r="AN196" s="7" t="e">
        <v>#N/A</v>
      </c>
      <c r="AP196" s="7" t="e">
        <v>#N/A</v>
      </c>
      <c r="AQ196" s="7" t="e">
        <v>#N/A</v>
      </c>
      <c r="AR196" s="7" t="e">
        <v>#N/A</v>
      </c>
      <c r="AS196" s="7" t="e">
        <v>#N/A</v>
      </c>
      <c r="AT196" s="7" t="e">
        <v>#N/A</v>
      </c>
      <c r="AU196" s="7" t="e">
        <v>#N/A</v>
      </c>
    </row>
    <row r="197" spans="37:47" x14ac:dyDescent="0.25">
      <c r="AK197" t="str">
        <v>chevrolet woody</v>
      </c>
      <c r="AL197" s="7" t="e">
        <v>#N/A</v>
      </c>
      <c r="AN197" s="7" t="e">
        <v>#N/A</v>
      </c>
      <c r="AP197" s="7" t="e">
        <v>#N/A</v>
      </c>
      <c r="AQ197" s="7" t="e">
        <v>#N/A</v>
      </c>
      <c r="AR197" s="7" t="e">
        <v>#N/A</v>
      </c>
      <c r="AS197" s="7" t="e">
        <v>#N/A</v>
      </c>
      <c r="AT197" s="7" t="e">
        <v>#N/A</v>
      </c>
      <c r="AU197" s="7" t="e">
        <v>#N/A</v>
      </c>
    </row>
    <row r="198" spans="37:47" x14ac:dyDescent="0.25">
      <c r="AK198" t="str">
        <v>vw rabbit</v>
      </c>
      <c r="AL198" s="7" t="e">
        <v>#N/A</v>
      </c>
      <c r="AN198" s="7" t="e">
        <v>#N/A</v>
      </c>
      <c r="AP198" s="7" t="e">
        <v>#N/A</v>
      </c>
      <c r="AQ198" s="7" t="e">
        <v>#N/A</v>
      </c>
      <c r="AR198" s="7" t="e">
        <v>#N/A</v>
      </c>
      <c r="AS198" s="7" t="e">
        <v>#N/A</v>
      </c>
      <c r="AT198" s="7" t="e">
        <v>#N/A</v>
      </c>
      <c r="AU198" s="7" t="e">
        <v>#N/A</v>
      </c>
    </row>
    <row r="199" spans="37:47" x14ac:dyDescent="0.25">
      <c r="AK199" t="str">
        <v>honda civic</v>
      </c>
      <c r="AL199" s="7" t="e">
        <v>#N/A</v>
      </c>
      <c r="AN199" s="7" t="e">
        <v>#N/A</v>
      </c>
      <c r="AP199" s="7" t="e">
        <v>#N/A</v>
      </c>
      <c r="AQ199" s="7" t="e">
        <v>#N/A</v>
      </c>
      <c r="AR199" s="7" t="e">
        <v>#N/A</v>
      </c>
      <c r="AS199" s="7" t="e">
        <v>#N/A</v>
      </c>
      <c r="AT199" s="7" t="e">
        <v>#N/A</v>
      </c>
      <c r="AU199" s="7" t="e">
        <v>#N/A</v>
      </c>
    </row>
    <row r="200" spans="37:47" x14ac:dyDescent="0.25">
      <c r="AK200" t="str">
        <v>dodge aspen se</v>
      </c>
      <c r="AL200" s="7" t="e">
        <v>#N/A</v>
      </c>
      <c r="AN200" s="7" t="e">
        <v>#N/A</v>
      </c>
      <c r="AP200" s="7" t="e">
        <v>#N/A</v>
      </c>
      <c r="AQ200" s="7" t="e">
        <v>#N/A</v>
      </c>
      <c r="AR200" s="7" t="e">
        <v>#N/A</v>
      </c>
      <c r="AS200" s="7" t="e">
        <v>#N/A</v>
      </c>
      <c r="AT200" s="7" t="e">
        <v>#N/A</v>
      </c>
      <c r="AU200" s="7" t="e">
        <v>#N/A</v>
      </c>
    </row>
    <row r="201" spans="37:47" x14ac:dyDescent="0.25">
      <c r="AK201" t="str">
        <v>ford granada ghia</v>
      </c>
      <c r="AL201" s="7" t="e">
        <v>#N/A</v>
      </c>
      <c r="AN201" s="7" t="e">
        <v>#N/A</v>
      </c>
      <c r="AP201" s="7" t="e">
        <v>#N/A</v>
      </c>
      <c r="AQ201" s="7" t="e">
        <v>#N/A</v>
      </c>
      <c r="AR201" s="7" t="e">
        <v>#N/A</v>
      </c>
      <c r="AS201" s="7" t="e">
        <v>#N/A</v>
      </c>
      <c r="AT201" s="7" t="e">
        <v>#N/A</v>
      </c>
      <c r="AU201" s="7" t="e">
        <v>#N/A</v>
      </c>
    </row>
    <row r="202" spans="37:47" x14ac:dyDescent="0.25">
      <c r="AK202" t="str">
        <v>pontiac ventura sj</v>
      </c>
      <c r="AL202" s="7" t="e">
        <v>#N/A</v>
      </c>
      <c r="AN202" s="7" t="e">
        <v>#N/A</v>
      </c>
      <c r="AP202" s="7" t="e">
        <v>#N/A</v>
      </c>
      <c r="AQ202" s="7" t="e">
        <v>#N/A</v>
      </c>
      <c r="AR202" s="7" t="e">
        <v>#N/A</v>
      </c>
      <c r="AS202" s="7" t="e">
        <v>#N/A</v>
      </c>
      <c r="AT202" s="7" t="e">
        <v>#N/A</v>
      </c>
      <c r="AU202" s="7" t="e">
        <v>#N/A</v>
      </c>
    </row>
    <row r="203" spans="37:47" x14ac:dyDescent="0.25">
      <c r="AK203" t="str">
        <v>amc pacer d/l</v>
      </c>
      <c r="AL203" s="7" t="e">
        <v>#N/A</v>
      </c>
      <c r="AN203" s="7" t="e">
        <v>#N/A</v>
      </c>
      <c r="AP203" s="7" t="e">
        <v>#N/A</v>
      </c>
      <c r="AQ203" s="7" t="e">
        <v>#N/A</v>
      </c>
      <c r="AR203" s="7" t="e">
        <v>#N/A</v>
      </c>
      <c r="AS203" s="7" t="e">
        <v>#N/A</v>
      </c>
      <c r="AT203" s="7" t="e">
        <v>#N/A</v>
      </c>
      <c r="AU203" s="7" t="e">
        <v>#N/A</v>
      </c>
    </row>
    <row r="204" spans="37:47" x14ac:dyDescent="0.25">
      <c r="AK204" t="str">
        <v>volkswagen rabbit</v>
      </c>
      <c r="AL204" s="7" t="e">
        <v>#N/A</v>
      </c>
      <c r="AN204" s="7" t="e">
        <v>#N/A</v>
      </c>
      <c r="AP204" s="7" t="e">
        <v>#N/A</v>
      </c>
      <c r="AQ204" s="7" t="e">
        <v>#N/A</v>
      </c>
      <c r="AR204" s="7" t="e">
        <v>#N/A</v>
      </c>
      <c r="AS204" s="7" t="e">
        <v>#N/A</v>
      </c>
      <c r="AT204" s="7" t="e">
        <v>#N/A</v>
      </c>
      <c r="AU204" s="7" t="e">
        <v>#N/A</v>
      </c>
    </row>
    <row r="205" spans="37:47" x14ac:dyDescent="0.25">
      <c r="AK205" t="str">
        <v>datsun b-210</v>
      </c>
      <c r="AL205" s="7" t="e">
        <v>#N/A</v>
      </c>
      <c r="AN205" s="7" t="e">
        <v>#N/A</v>
      </c>
      <c r="AP205" s="7" t="e">
        <v>#N/A</v>
      </c>
      <c r="AQ205" s="7" t="e">
        <v>#N/A</v>
      </c>
      <c r="AR205" s="7" t="e">
        <v>#N/A</v>
      </c>
      <c r="AS205" s="7" t="e">
        <v>#N/A</v>
      </c>
      <c r="AT205" s="7" t="e">
        <v>#N/A</v>
      </c>
      <c r="AU205" s="7" t="e">
        <v>#N/A</v>
      </c>
    </row>
    <row r="206" spans="37:47" x14ac:dyDescent="0.25">
      <c r="AK206" t="str">
        <v>toyota corolla</v>
      </c>
      <c r="AL206" s="7" t="e">
        <v>#N/A</v>
      </c>
      <c r="AN206" s="7" t="e">
        <v>#N/A</v>
      </c>
      <c r="AP206" s="7" t="e">
        <v>#N/A</v>
      </c>
      <c r="AQ206" s="7" t="e">
        <v>#N/A</v>
      </c>
      <c r="AR206" s="7" t="e">
        <v>#N/A</v>
      </c>
      <c r="AS206" s="7" t="e">
        <v>#N/A</v>
      </c>
      <c r="AT206" s="7" t="e">
        <v>#N/A</v>
      </c>
      <c r="AU206" s="7" t="e">
        <v>#N/A</v>
      </c>
    </row>
    <row r="207" spans="37:47" x14ac:dyDescent="0.25">
      <c r="AK207" t="str">
        <v>ford pinto</v>
      </c>
      <c r="AL207" s="7" t="e">
        <v>#N/A</v>
      </c>
      <c r="AN207" s="7" t="e">
        <v>#N/A</v>
      </c>
      <c r="AP207" s="7" t="e">
        <v>#N/A</v>
      </c>
      <c r="AQ207" s="7" t="e">
        <v>#N/A</v>
      </c>
      <c r="AR207" s="7" t="e">
        <v>#N/A</v>
      </c>
      <c r="AS207" s="7" t="e">
        <v>#N/A</v>
      </c>
      <c r="AT207" s="7" t="e">
        <v>#N/A</v>
      </c>
      <c r="AU207" s="7" t="e">
        <v>#N/A</v>
      </c>
    </row>
    <row r="208" spans="37:47" x14ac:dyDescent="0.25">
      <c r="AK208" t="str">
        <v>volvo 245</v>
      </c>
      <c r="AL208" s="7" t="e">
        <v>#N/A</v>
      </c>
      <c r="AN208" s="7" t="e">
        <v>#N/A</v>
      </c>
      <c r="AP208" s="7" t="e">
        <v>#N/A</v>
      </c>
      <c r="AQ208" s="7" t="e">
        <v>#N/A</v>
      </c>
      <c r="AR208" s="7" t="e">
        <v>#N/A</v>
      </c>
      <c r="AS208" s="7" t="e">
        <v>#N/A</v>
      </c>
      <c r="AT208" s="7" t="e">
        <v>#N/A</v>
      </c>
      <c r="AU208" s="7" t="e">
        <v>#N/A</v>
      </c>
    </row>
    <row r="209" spans="37:47" x14ac:dyDescent="0.25">
      <c r="AK209" t="str">
        <v>plymouth volare premier v8</v>
      </c>
      <c r="AL209" s="7" t="e">
        <v>#N/A</v>
      </c>
      <c r="AN209" s="7" t="e">
        <v>#N/A</v>
      </c>
      <c r="AP209" s="7" t="e">
        <v>#N/A</v>
      </c>
      <c r="AQ209" s="7" t="e">
        <v>#N/A</v>
      </c>
      <c r="AR209" s="7" t="e">
        <v>#N/A</v>
      </c>
      <c r="AS209" s="7" t="e">
        <v>#N/A</v>
      </c>
      <c r="AT209" s="7" t="e">
        <v>#N/A</v>
      </c>
      <c r="AU209" s="7" t="e">
        <v>#N/A</v>
      </c>
    </row>
    <row r="210" spans="37:47" x14ac:dyDescent="0.25">
      <c r="AK210" t="str">
        <v>peugeot 504</v>
      </c>
      <c r="AL210" s="7" t="e">
        <v>#N/A</v>
      </c>
      <c r="AN210" s="7" t="e">
        <v>#N/A</v>
      </c>
      <c r="AP210" s="7" t="e">
        <v>#N/A</v>
      </c>
      <c r="AQ210" s="7" t="e">
        <v>#N/A</v>
      </c>
      <c r="AR210" s="7" t="e">
        <v>#N/A</v>
      </c>
      <c r="AS210" s="7" t="e">
        <v>#N/A</v>
      </c>
      <c r="AT210" s="7" t="e">
        <v>#N/A</v>
      </c>
      <c r="AU210" s="7" t="e">
        <v>#N/A</v>
      </c>
    </row>
    <row r="211" spans="37:47" x14ac:dyDescent="0.25">
      <c r="AK211" t="str">
        <v>toyota mark ii</v>
      </c>
      <c r="AL211" s="7" t="e">
        <v>#N/A</v>
      </c>
      <c r="AN211" s="7" t="e">
        <v>#N/A</v>
      </c>
      <c r="AP211" s="7" t="e">
        <v>#N/A</v>
      </c>
      <c r="AQ211" s="7" t="e">
        <v>#N/A</v>
      </c>
      <c r="AR211" s="7" t="e">
        <v>#N/A</v>
      </c>
      <c r="AS211" s="7" t="e">
        <v>#N/A</v>
      </c>
      <c r="AT211" s="7" t="e">
        <v>#N/A</v>
      </c>
      <c r="AU211" s="7" t="e">
        <v>#N/A</v>
      </c>
    </row>
    <row r="212" spans="37:47" x14ac:dyDescent="0.25">
      <c r="AK212" t="str">
        <v>mercedes-benz 280s</v>
      </c>
      <c r="AL212" s="7" t="e">
        <v>#N/A</v>
      </c>
      <c r="AN212" s="7" t="e">
        <v>#N/A</v>
      </c>
      <c r="AP212" s="7" t="e">
        <v>#N/A</v>
      </c>
      <c r="AQ212" s="7" t="e">
        <v>#N/A</v>
      </c>
      <c r="AR212" s="7" t="e">
        <v>#N/A</v>
      </c>
      <c r="AS212" s="7" t="e">
        <v>#N/A</v>
      </c>
      <c r="AT212" s="7" t="e">
        <v>#N/A</v>
      </c>
      <c r="AU212" s="7" t="e">
        <v>#N/A</v>
      </c>
    </row>
    <row r="213" spans="37:47" x14ac:dyDescent="0.25">
      <c r="AK213" t="str">
        <v>cadillac seville</v>
      </c>
      <c r="AL213" s="7" t="e">
        <v>#N/A</v>
      </c>
      <c r="AN213" s="7" t="e">
        <v>#N/A</v>
      </c>
      <c r="AP213" s="7" t="e">
        <v>#N/A</v>
      </c>
      <c r="AQ213" s="7" t="e">
        <v>#N/A</v>
      </c>
      <c r="AR213" s="7" t="e">
        <v>#N/A</v>
      </c>
      <c r="AS213" s="7" t="e">
        <v>#N/A</v>
      </c>
      <c r="AT213" s="7" t="e">
        <v>#N/A</v>
      </c>
      <c r="AU213" s="7" t="e">
        <v>#N/A</v>
      </c>
    </row>
    <row r="214" spans="37:47" x14ac:dyDescent="0.25">
      <c r="AK214" t="str">
        <v>chevy c10</v>
      </c>
      <c r="AL214" s="7" t="e">
        <v>#N/A</v>
      </c>
      <c r="AN214" s="7" t="e">
        <v>#N/A</v>
      </c>
      <c r="AP214" s="7" t="e">
        <v>#N/A</v>
      </c>
      <c r="AQ214" s="7" t="e">
        <v>#N/A</v>
      </c>
      <c r="AR214" s="7" t="e">
        <v>#N/A</v>
      </c>
      <c r="AS214" s="7" t="e">
        <v>#N/A</v>
      </c>
      <c r="AT214" s="7" t="e">
        <v>#N/A</v>
      </c>
      <c r="AU214" s="7" t="e">
        <v>#N/A</v>
      </c>
    </row>
    <row r="215" spans="37:47" x14ac:dyDescent="0.25">
      <c r="AK215" t="str">
        <v>ford f108</v>
      </c>
      <c r="AL215" s="7" t="e">
        <v>#N/A</v>
      </c>
      <c r="AN215" s="7" t="e">
        <v>#N/A</v>
      </c>
      <c r="AP215" s="7" t="e">
        <v>#N/A</v>
      </c>
      <c r="AQ215" s="7" t="e">
        <v>#N/A</v>
      </c>
      <c r="AR215" s="7" t="e">
        <v>#N/A</v>
      </c>
      <c r="AS215" s="7" t="e">
        <v>#N/A</v>
      </c>
      <c r="AT215" s="7" t="e">
        <v>#N/A</v>
      </c>
      <c r="AU215" s="7" t="e">
        <v>#N/A</v>
      </c>
    </row>
    <row r="216" spans="37:47" x14ac:dyDescent="0.25">
      <c r="AK216" t="str">
        <v>dodge d100</v>
      </c>
      <c r="AL216" s="7" t="e">
        <v>#N/A</v>
      </c>
      <c r="AN216" s="7" t="e">
        <v>#N/A</v>
      </c>
      <c r="AP216" s="7" t="e">
        <v>#N/A</v>
      </c>
      <c r="AQ216" s="7" t="e">
        <v>#N/A</v>
      </c>
      <c r="AR216" s="7" t="e">
        <v>#N/A</v>
      </c>
      <c r="AS216" s="7" t="e">
        <v>#N/A</v>
      </c>
      <c r="AT216" s="7" t="e">
        <v>#N/A</v>
      </c>
      <c r="AU216" s="7" t="e">
        <v>#N/A</v>
      </c>
    </row>
    <row r="217" spans="37:47" x14ac:dyDescent="0.25">
      <c r="AK217" t="str">
        <v>honda accord cvcc</v>
      </c>
      <c r="AL217" s="7" t="e">
        <v>#N/A</v>
      </c>
      <c r="AN217" s="7" t="e">
        <v>#N/A</v>
      </c>
      <c r="AP217" s="7" t="e">
        <v>#N/A</v>
      </c>
      <c r="AQ217" s="7" t="e">
        <v>#N/A</v>
      </c>
      <c r="AR217" s="7" t="e">
        <v>#N/A</v>
      </c>
      <c r="AS217" s="7" t="e">
        <v>#N/A</v>
      </c>
      <c r="AT217" s="7" t="e">
        <v>#N/A</v>
      </c>
      <c r="AU217" s="7" t="e">
        <v>#N/A</v>
      </c>
    </row>
    <row r="218" spans="37:47" x14ac:dyDescent="0.25">
      <c r="AK218" t="str">
        <v>buick opel isuzu deluxe</v>
      </c>
      <c r="AL218" s="7" t="e">
        <v>#N/A</v>
      </c>
      <c r="AN218" s="7" t="e">
        <v>#N/A</v>
      </c>
      <c r="AP218" s="7" t="e">
        <v>#N/A</v>
      </c>
      <c r="AQ218" s="7" t="e">
        <v>#N/A</v>
      </c>
      <c r="AR218" s="7" t="e">
        <v>#N/A</v>
      </c>
      <c r="AS218" s="7" t="e">
        <v>#N/A</v>
      </c>
      <c r="AT218" s="7" t="e">
        <v>#N/A</v>
      </c>
      <c r="AU218" s="7" t="e">
        <v>#N/A</v>
      </c>
    </row>
    <row r="219" spans="37:47" x14ac:dyDescent="0.25">
      <c r="AK219" t="str">
        <v>renault 5 gtl</v>
      </c>
      <c r="AL219" s="7" t="e">
        <v>#N/A</v>
      </c>
      <c r="AN219" s="7" t="e">
        <v>#N/A</v>
      </c>
      <c r="AP219" s="7" t="e">
        <v>#N/A</v>
      </c>
      <c r="AQ219" s="7" t="e">
        <v>#N/A</v>
      </c>
      <c r="AR219" s="7" t="e">
        <v>#N/A</v>
      </c>
      <c r="AS219" s="7" t="e">
        <v>#N/A</v>
      </c>
      <c r="AT219" s="7" t="e">
        <v>#N/A</v>
      </c>
      <c r="AU219" s="7" t="e">
        <v>#N/A</v>
      </c>
    </row>
    <row r="220" spans="37:47" x14ac:dyDescent="0.25">
      <c r="AK220" t="str">
        <v>plymouth arrow gs</v>
      </c>
      <c r="AL220" s="7" t="e">
        <v>#N/A</v>
      </c>
      <c r="AN220" s="7" t="e">
        <v>#N/A</v>
      </c>
      <c r="AP220" s="7" t="e">
        <v>#N/A</v>
      </c>
      <c r="AQ220" s="7" t="e">
        <v>#N/A</v>
      </c>
      <c r="AR220" s="7" t="e">
        <v>#N/A</v>
      </c>
      <c r="AS220" s="7" t="e">
        <v>#N/A</v>
      </c>
      <c r="AT220" s="7" t="e">
        <v>#N/A</v>
      </c>
      <c r="AU220" s="7" t="e">
        <v>#N/A</v>
      </c>
    </row>
    <row r="221" spans="37:47" x14ac:dyDescent="0.25">
      <c r="AK221" t="str">
        <v>datsun f-10 hatchback</v>
      </c>
      <c r="AL221" s="7" t="e">
        <v>#N/A</v>
      </c>
      <c r="AN221" s="7" t="e">
        <v>#N/A</v>
      </c>
      <c r="AP221" s="7" t="e">
        <v>#N/A</v>
      </c>
      <c r="AQ221" s="7" t="e">
        <v>#N/A</v>
      </c>
      <c r="AR221" s="7" t="e">
        <v>#N/A</v>
      </c>
      <c r="AS221" s="7" t="e">
        <v>#N/A</v>
      </c>
      <c r="AT221" s="7" t="e">
        <v>#N/A</v>
      </c>
      <c r="AU221" s="7" t="e">
        <v>#N/A</v>
      </c>
    </row>
    <row r="222" spans="37:47" x14ac:dyDescent="0.25">
      <c r="AK222" t="str">
        <v>chevrolet caprice classic</v>
      </c>
      <c r="AL222" s="7" t="e">
        <v>#N/A</v>
      </c>
      <c r="AN222" s="7" t="e">
        <v>#N/A</v>
      </c>
      <c r="AP222" s="7" t="e">
        <v>#N/A</v>
      </c>
      <c r="AQ222" s="7" t="e">
        <v>#N/A</v>
      </c>
      <c r="AR222" s="7" t="e">
        <v>#N/A</v>
      </c>
      <c r="AS222" s="7" t="e">
        <v>#N/A</v>
      </c>
      <c r="AT222" s="7" t="e">
        <v>#N/A</v>
      </c>
      <c r="AU222" s="7" t="e">
        <v>#N/A</v>
      </c>
    </row>
    <row r="223" spans="37:47" x14ac:dyDescent="0.25">
      <c r="AK223" t="str">
        <v>oldsmobile cutlass supreme</v>
      </c>
      <c r="AL223" s="7" t="e">
        <v>#N/A</v>
      </c>
      <c r="AN223" s="7" t="e">
        <v>#N/A</v>
      </c>
      <c r="AP223" s="7" t="e">
        <v>#N/A</v>
      </c>
      <c r="AQ223" s="7" t="e">
        <v>#N/A</v>
      </c>
      <c r="AR223" s="7" t="e">
        <v>#N/A</v>
      </c>
      <c r="AS223" s="7" t="e">
        <v>#N/A</v>
      </c>
      <c r="AT223" s="7" t="e">
        <v>#N/A</v>
      </c>
      <c r="AU223" s="7" t="e">
        <v>#N/A</v>
      </c>
    </row>
    <row r="224" spans="37:47" x14ac:dyDescent="0.25">
      <c r="AK224" t="str">
        <v>dodge monaco brougham</v>
      </c>
      <c r="AL224" s="7" t="e">
        <v>#N/A</v>
      </c>
      <c r="AN224" s="7" t="e">
        <v>#N/A</v>
      </c>
      <c r="AP224" s="7" t="e">
        <v>#N/A</v>
      </c>
      <c r="AQ224" s="7" t="e">
        <v>#N/A</v>
      </c>
      <c r="AR224" s="7" t="e">
        <v>#N/A</v>
      </c>
      <c r="AS224" s="7" t="e">
        <v>#N/A</v>
      </c>
      <c r="AT224" s="7" t="e">
        <v>#N/A</v>
      </c>
      <c r="AU224" s="7" t="e">
        <v>#N/A</v>
      </c>
    </row>
    <row r="225" spans="37:47" x14ac:dyDescent="0.25">
      <c r="AK225" t="str">
        <v>mercury cougar brougham</v>
      </c>
      <c r="AL225" s="7" t="e">
        <v>#N/A</v>
      </c>
      <c r="AN225" s="7" t="e">
        <v>#N/A</v>
      </c>
      <c r="AP225" s="7" t="e">
        <v>#N/A</v>
      </c>
      <c r="AQ225" s="7" t="e">
        <v>#N/A</v>
      </c>
      <c r="AR225" s="7" t="e">
        <v>#N/A</v>
      </c>
      <c r="AS225" s="7" t="e">
        <v>#N/A</v>
      </c>
      <c r="AT225" s="7" t="e">
        <v>#N/A</v>
      </c>
      <c r="AU225" s="7" t="e">
        <v>#N/A</v>
      </c>
    </row>
    <row r="226" spans="37:47" x14ac:dyDescent="0.25">
      <c r="AK226" t="str">
        <v>chevrolet concours</v>
      </c>
      <c r="AL226" s="7" t="e">
        <v>#N/A</v>
      </c>
      <c r="AN226" s="7" t="e">
        <v>#N/A</v>
      </c>
      <c r="AP226" s="7" t="e">
        <v>#N/A</v>
      </c>
      <c r="AQ226" s="7" t="e">
        <v>#N/A</v>
      </c>
      <c r="AR226" s="7" t="e">
        <v>#N/A</v>
      </c>
      <c r="AS226" s="7" t="e">
        <v>#N/A</v>
      </c>
      <c r="AT226" s="7" t="e">
        <v>#N/A</v>
      </c>
      <c r="AU226" s="7" t="e">
        <v>#N/A</v>
      </c>
    </row>
    <row r="227" spans="37:47" x14ac:dyDescent="0.25">
      <c r="AK227" t="str">
        <v>buick skylark</v>
      </c>
      <c r="AL227" s="7" t="e">
        <v>#N/A</v>
      </c>
      <c r="AN227" s="7" t="e">
        <v>#N/A</v>
      </c>
      <c r="AP227" s="7" t="e">
        <v>#N/A</v>
      </c>
      <c r="AQ227" s="7" t="e">
        <v>#N/A</v>
      </c>
      <c r="AR227" s="7" t="e">
        <v>#N/A</v>
      </c>
      <c r="AS227" s="7" t="e">
        <v>#N/A</v>
      </c>
      <c r="AT227" s="7" t="e">
        <v>#N/A</v>
      </c>
      <c r="AU227" s="7" t="e">
        <v>#N/A</v>
      </c>
    </row>
    <row r="228" spans="37:47" x14ac:dyDescent="0.25">
      <c r="AK228" t="str">
        <v>plymouth volare custom</v>
      </c>
      <c r="AL228" s="7" t="e">
        <v>#N/A</v>
      </c>
      <c r="AN228" s="7" t="e">
        <v>#N/A</v>
      </c>
      <c r="AP228" s="7" t="e">
        <v>#N/A</v>
      </c>
      <c r="AQ228" s="7" t="e">
        <v>#N/A</v>
      </c>
      <c r="AR228" s="7" t="e">
        <v>#N/A</v>
      </c>
      <c r="AS228" s="7" t="e">
        <v>#N/A</v>
      </c>
      <c r="AT228" s="7" t="e">
        <v>#N/A</v>
      </c>
      <c r="AU228" s="7" t="e">
        <v>#N/A</v>
      </c>
    </row>
    <row r="229" spans="37:47" x14ac:dyDescent="0.25">
      <c r="AK229" t="str">
        <v>ford granada</v>
      </c>
      <c r="AL229" s="7" t="e">
        <v>#N/A</v>
      </c>
      <c r="AN229" s="7" t="e">
        <v>#N/A</v>
      </c>
      <c r="AP229" s="7" t="e">
        <v>#N/A</v>
      </c>
      <c r="AQ229" s="7" t="e">
        <v>#N/A</v>
      </c>
      <c r="AR229" s="7" t="e">
        <v>#N/A</v>
      </c>
      <c r="AS229" s="7" t="e">
        <v>#N/A</v>
      </c>
      <c r="AT229" s="7" t="e">
        <v>#N/A</v>
      </c>
      <c r="AU229" s="7" t="e">
        <v>#N/A</v>
      </c>
    </row>
    <row r="230" spans="37:47" x14ac:dyDescent="0.25">
      <c r="AK230" t="str">
        <v>pontiac grand prix lj</v>
      </c>
      <c r="AL230" s="7" t="e">
        <v>#N/A</v>
      </c>
      <c r="AN230" s="7" t="e">
        <v>#N/A</v>
      </c>
      <c r="AP230" s="7" t="e">
        <v>#N/A</v>
      </c>
      <c r="AQ230" s="7" t="e">
        <v>#N/A</v>
      </c>
      <c r="AR230" s="7" t="e">
        <v>#N/A</v>
      </c>
      <c r="AS230" s="7" t="e">
        <v>#N/A</v>
      </c>
      <c r="AT230" s="7" t="e">
        <v>#N/A</v>
      </c>
      <c r="AU230" s="7" t="e">
        <v>#N/A</v>
      </c>
    </row>
    <row r="231" spans="37:47" x14ac:dyDescent="0.25">
      <c r="AK231" t="str">
        <v>chevrolet monte carlo landau</v>
      </c>
      <c r="AL231" s="7" t="e">
        <v>#N/A</v>
      </c>
      <c r="AN231" s="7" t="e">
        <v>#N/A</v>
      </c>
      <c r="AP231" s="7" t="e">
        <v>#N/A</v>
      </c>
      <c r="AQ231" s="7" t="e">
        <v>#N/A</v>
      </c>
      <c r="AR231" s="7" t="e">
        <v>#N/A</v>
      </c>
      <c r="AS231" s="7" t="e">
        <v>#N/A</v>
      </c>
      <c r="AT231" s="7" t="e">
        <v>#N/A</v>
      </c>
      <c r="AU231" s="7" t="e">
        <v>#N/A</v>
      </c>
    </row>
    <row r="232" spans="37:47" x14ac:dyDescent="0.25">
      <c r="AK232" t="str">
        <v>chrysler cordoba</v>
      </c>
      <c r="AL232" s="7" t="e">
        <v>#N/A</v>
      </c>
      <c r="AN232" s="7" t="e">
        <v>#N/A</v>
      </c>
      <c r="AP232" s="7" t="e">
        <v>#N/A</v>
      </c>
      <c r="AQ232" s="7" t="e">
        <v>#N/A</v>
      </c>
      <c r="AR232" s="7" t="e">
        <v>#N/A</v>
      </c>
      <c r="AS232" s="7" t="e">
        <v>#N/A</v>
      </c>
      <c r="AT232" s="7" t="e">
        <v>#N/A</v>
      </c>
      <c r="AU232" s="7" t="e">
        <v>#N/A</v>
      </c>
    </row>
    <row r="233" spans="37:47" x14ac:dyDescent="0.25">
      <c r="AK233" t="str">
        <v>ford thunderbird</v>
      </c>
      <c r="AL233" s="7" t="e">
        <v>#N/A</v>
      </c>
      <c r="AN233" s="7" t="e">
        <v>#N/A</v>
      </c>
      <c r="AP233" s="7" t="e">
        <v>#N/A</v>
      </c>
      <c r="AQ233" s="7" t="e">
        <v>#N/A</v>
      </c>
      <c r="AR233" s="7" t="e">
        <v>#N/A</v>
      </c>
      <c r="AS233" s="7" t="e">
        <v>#N/A</v>
      </c>
      <c r="AT233" s="7" t="e">
        <v>#N/A</v>
      </c>
      <c r="AU233" s="7" t="e">
        <v>#N/A</v>
      </c>
    </row>
    <row r="234" spans="37:47" x14ac:dyDescent="0.25">
      <c r="AK234" t="str">
        <v>volkswagen rabbit custom</v>
      </c>
      <c r="AL234" s="7" t="e">
        <v>#N/A</v>
      </c>
      <c r="AN234" s="7" t="e">
        <v>#N/A</v>
      </c>
      <c r="AP234" s="7" t="e">
        <v>#N/A</v>
      </c>
      <c r="AQ234" s="7" t="e">
        <v>#N/A</v>
      </c>
      <c r="AR234" s="7" t="e">
        <v>#N/A</v>
      </c>
      <c r="AS234" s="7" t="e">
        <v>#N/A</v>
      </c>
      <c r="AT234" s="7" t="e">
        <v>#N/A</v>
      </c>
      <c r="AU234" s="7" t="e">
        <v>#N/A</v>
      </c>
    </row>
    <row r="235" spans="37:47" x14ac:dyDescent="0.25">
      <c r="AK235" t="str">
        <v>pontiac sunbird coupe</v>
      </c>
      <c r="AL235" s="7" t="e">
        <v>#N/A</v>
      </c>
      <c r="AN235" s="7" t="e">
        <v>#N/A</v>
      </c>
      <c r="AP235" s="7" t="e">
        <v>#N/A</v>
      </c>
      <c r="AQ235" s="7" t="e">
        <v>#N/A</v>
      </c>
      <c r="AR235" s="7" t="e">
        <v>#N/A</v>
      </c>
      <c r="AS235" s="7" t="e">
        <v>#N/A</v>
      </c>
      <c r="AT235" s="7" t="e">
        <v>#N/A</v>
      </c>
      <c r="AU235" s="7" t="e">
        <v>#N/A</v>
      </c>
    </row>
    <row r="236" spans="37:47" x14ac:dyDescent="0.25">
      <c r="AK236" t="str">
        <v>toyota corolla liftback</v>
      </c>
      <c r="AL236" s="7" t="e">
        <v>#N/A</v>
      </c>
      <c r="AN236" s="7" t="e">
        <v>#N/A</v>
      </c>
      <c r="AP236" s="7" t="e">
        <v>#N/A</v>
      </c>
      <c r="AQ236" s="7" t="e">
        <v>#N/A</v>
      </c>
      <c r="AR236" s="7" t="e">
        <v>#N/A</v>
      </c>
      <c r="AS236" s="7" t="e">
        <v>#N/A</v>
      </c>
      <c r="AT236" s="7" t="e">
        <v>#N/A</v>
      </c>
      <c r="AU236" s="7" t="e">
        <v>#N/A</v>
      </c>
    </row>
    <row r="237" spans="37:47" x14ac:dyDescent="0.25">
      <c r="AK237" t="str">
        <v>ford mustang ii 2+2</v>
      </c>
      <c r="AL237" s="7" t="e">
        <v>#N/A</v>
      </c>
      <c r="AN237" s="7" t="e">
        <v>#N/A</v>
      </c>
      <c r="AP237" s="7" t="e">
        <v>#N/A</v>
      </c>
      <c r="AQ237" s="7" t="e">
        <v>#N/A</v>
      </c>
      <c r="AR237" s="7" t="e">
        <v>#N/A</v>
      </c>
      <c r="AS237" s="7" t="e">
        <v>#N/A</v>
      </c>
      <c r="AT237" s="7" t="e">
        <v>#N/A</v>
      </c>
      <c r="AU237" s="7" t="e">
        <v>#N/A</v>
      </c>
    </row>
    <row r="238" spans="37:47" x14ac:dyDescent="0.25">
      <c r="AK238" t="str">
        <v>chevrolet chevette</v>
      </c>
      <c r="AL238" s="7" t="e">
        <v>#N/A</v>
      </c>
      <c r="AN238" s="7" t="e">
        <v>#N/A</v>
      </c>
      <c r="AP238" s="7" t="e">
        <v>#N/A</v>
      </c>
      <c r="AQ238" s="7" t="e">
        <v>#N/A</v>
      </c>
      <c r="AR238" s="7" t="e">
        <v>#N/A</v>
      </c>
      <c r="AS238" s="7" t="e">
        <v>#N/A</v>
      </c>
      <c r="AT238" s="7" t="e">
        <v>#N/A</v>
      </c>
      <c r="AU238" s="7" t="e">
        <v>#N/A</v>
      </c>
    </row>
    <row r="239" spans="37:47" x14ac:dyDescent="0.25">
      <c r="AK239" t="str">
        <v>dodge colt m/m</v>
      </c>
      <c r="AL239" s="7" t="e">
        <v>#N/A</v>
      </c>
      <c r="AN239" s="7" t="e">
        <v>#N/A</v>
      </c>
      <c r="AP239" s="7" t="e">
        <v>#N/A</v>
      </c>
      <c r="AQ239" s="7" t="e">
        <v>#N/A</v>
      </c>
      <c r="AR239" s="7" t="e">
        <v>#N/A</v>
      </c>
      <c r="AS239" s="7" t="e">
        <v>#N/A</v>
      </c>
      <c r="AT239" s="7" t="e">
        <v>#N/A</v>
      </c>
      <c r="AU239" s="7" t="e">
        <v>#N/A</v>
      </c>
    </row>
    <row r="240" spans="37:47" x14ac:dyDescent="0.25">
      <c r="AK240" t="str">
        <v>subaru dl</v>
      </c>
      <c r="AL240" s="7" t="e">
        <v>#N/A</v>
      </c>
      <c r="AN240" s="7" t="e">
        <v>#N/A</v>
      </c>
      <c r="AP240" s="7" t="e">
        <v>#N/A</v>
      </c>
      <c r="AQ240" s="7" t="e">
        <v>#N/A</v>
      </c>
      <c r="AR240" s="7" t="e">
        <v>#N/A</v>
      </c>
      <c r="AS240" s="7" t="e">
        <v>#N/A</v>
      </c>
      <c r="AT240" s="7" t="e">
        <v>#N/A</v>
      </c>
      <c r="AU240" s="7" t="e">
        <v>#N/A</v>
      </c>
    </row>
    <row r="241" spans="37:47" x14ac:dyDescent="0.25">
      <c r="AK241" t="str">
        <v>volkswagen dasher</v>
      </c>
      <c r="AL241" s="7" t="e">
        <v>#N/A</v>
      </c>
      <c r="AN241" s="7" t="e">
        <v>#N/A</v>
      </c>
      <c r="AP241" s="7" t="e">
        <v>#N/A</v>
      </c>
      <c r="AQ241" s="7" t="e">
        <v>#N/A</v>
      </c>
      <c r="AR241" s="7" t="e">
        <v>#N/A</v>
      </c>
      <c r="AS241" s="7" t="e">
        <v>#N/A</v>
      </c>
      <c r="AT241" s="7" t="e">
        <v>#N/A</v>
      </c>
      <c r="AU241" s="7" t="e">
        <v>#N/A</v>
      </c>
    </row>
    <row r="242" spans="37:47" x14ac:dyDescent="0.25">
      <c r="AK242" t="str">
        <v>datsun 810</v>
      </c>
      <c r="AL242" s="7" t="e">
        <v>#N/A</v>
      </c>
      <c r="AN242" s="7" t="e">
        <v>#N/A</v>
      </c>
      <c r="AP242" s="7" t="e">
        <v>#N/A</v>
      </c>
      <c r="AQ242" s="7" t="e">
        <v>#N/A</v>
      </c>
      <c r="AR242" s="7" t="e">
        <v>#N/A</v>
      </c>
      <c r="AS242" s="7" t="e">
        <v>#N/A</v>
      </c>
      <c r="AT242" s="7" t="e">
        <v>#N/A</v>
      </c>
      <c r="AU242" s="7" t="e">
        <v>#N/A</v>
      </c>
    </row>
    <row r="243" spans="37:47" x14ac:dyDescent="0.25">
      <c r="AK243" t="str">
        <v>bmw 320i</v>
      </c>
      <c r="AL243" s="7" t="e">
        <v>#N/A</v>
      </c>
      <c r="AN243" s="7" t="e">
        <v>#N/A</v>
      </c>
      <c r="AP243" s="7" t="e">
        <v>#N/A</v>
      </c>
      <c r="AQ243" s="7" t="e">
        <v>#N/A</v>
      </c>
      <c r="AR243" s="7" t="e">
        <v>#N/A</v>
      </c>
      <c r="AS243" s="7" t="e">
        <v>#N/A</v>
      </c>
      <c r="AT243" s="7" t="e">
        <v>#N/A</v>
      </c>
      <c r="AU243" s="7" t="e">
        <v>#N/A</v>
      </c>
    </row>
    <row r="244" spans="37:47" x14ac:dyDescent="0.25">
      <c r="AK244" t="str">
        <v>mazda rx-4</v>
      </c>
      <c r="AL244" s="7" t="e">
        <v>#N/A</v>
      </c>
      <c r="AN244" s="7" t="e">
        <v>#N/A</v>
      </c>
      <c r="AP244" s="7" t="e">
        <v>#N/A</v>
      </c>
      <c r="AQ244" s="7" t="e">
        <v>#N/A</v>
      </c>
      <c r="AR244" s="7" t="e">
        <v>#N/A</v>
      </c>
      <c r="AS244" s="7" t="e">
        <v>#N/A</v>
      </c>
      <c r="AT244" s="7" t="e">
        <v>#N/A</v>
      </c>
      <c r="AU244" s="7" t="e">
        <v>#N/A</v>
      </c>
    </row>
    <row r="245" spans="37:47" x14ac:dyDescent="0.25">
      <c r="AK245" t="str">
        <v>volkswagen rabbit custom diesel</v>
      </c>
      <c r="AL245" s="7" t="e">
        <v>#N/A</v>
      </c>
      <c r="AN245" s="7" t="e">
        <v>#N/A</v>
      </c>
      <c r="AP245" s="7" t="e">
        <v>#N/A</v>
      </c>
      <c r="AQ245" s="7" t="e">
        <v>#N/A</v>
      </c>
      <c r="AR245" s="7" t="e">
        <v>#N/A</v>
      </c>
      <c r="AS245" s="7" t="e">
        <v>#N/A</v>
      </c>
      <c r="AT245" s="7" t="e">
        <v>#N/A</v>
      </c>
      <c r="AU245" s="7" t="e">
        <v>#N/A</v>
      </c>
    </row>
    <row r="246" spans="37:47" x14ac:dyDescent="0.25">
      <c r="AK246" t="str">
        <v>ford fiesta</v>
      </c>
      <c r="AL246" s="7" t="e">
        <v>#N/A</v>
      </c>
      <c r="AN246" s="7" t="e">
        <v>#N/A</v>
      </c>
      <c r="AP246" s="7" t="e">
        <v>#N/A</v>
      </c>
      <c r="AQ246" s="7" t="e">
        <v>#N/A</v>
      </c>
      <c r="AR246" s="7" t="e">
        <v>#N/A</v>
      </c>
      <c r="AS246" s="7" t="e">
        <v>#N/A</v>
      </c>
      <c r="AT246" s="7" t="e">
        <v>#N/A</v>
      </c>
      <c r="AU246" s="7" t="e">
        <v>#N/A</v>
      </c>
    </row>
    <row r="247" spans="37:47" x14ac:dyDescent="0.25">
      <c r="AK247" t="str">
        <v>mazda glc deluxe</v>
      </c>
      <c r="AL247" s="7" t="e">
        <v>#N/A</v>
      </c>
      <c r="AN247" s="7" t="e">
        <v>#N/A</v>
      </c>
      <c r="AP247" s="7" t="e">
        <v>#N/A</v>
      </c>
      <c r="AQ247" s="7" t="e">
        <v>#N/A</v>
      </c>
      <c r="AR247" s="7" t="e">
        <v>#N/A</v>
      </c>
      <c r="AS247" s="7" t="e">
        <v>#N/A</v>
      </c>
      <c r="AT247" s="7" t="e">
        <v>#N/A</v>
      </c>
      <c r="AU247" s="7" t="e">
        <v>#N/A</v>
      </c>
    </row>
    <row r="248" spans="37:47" x14ac:dyDescent="0.25">
      <c r="AK248" t="str">
        <v>datsun b210 gx</v>
      </c>
      <c r="AL248" s="7" t="e">
        <v>#N/A</v>
      </c>
      <c r="AN248" s="7" t="e">
        <v>#N/A</v>
      </c>
      <c r="AP248" s="7" t="e">
        <v>#N/A</v>
      </c>
      <c r="AQ248" s="7" t="e">
        <v>#N/A</v>
      </c>
      <c r="AR248" s="7" t="e">
        <v>#N/A</v>
      </c>
      <c r="AS248" s="7" t="e">
        <v>#N/A</v>
      </c>
      <c r="AT248" s="7" t="e">
        <v>#N/A</v>
      </c>
      <c r="AU248" s="7" t="e">
        <v>#N/A</v>
      </c>
    </row>
    <row r="249" spans="37:47" x14ac:dyDescent="0.25">
      <c r="AK249" t="str">
        <v>honda civic cvcc</v>
      </c>
      <c r="AL249" s="7" t="e">
        <v>#N/A</v>
      </c>
      <c r="AN249" s="7" t="e">
        <v>#N/A</v>
      </c>
      <c r="AP249" s="7" t="e">
        <v>#N/A</v>
      </c>
      <c r="AQ249" s="7" t="e">
        <v>#N/A</v>
      </c>
      <c r="AR249" s="7" t="e">
        <v>#N/A</v>
      </c>
      <c r="AS249" s="7" t="e">
        <v>#N/A</v>
      </c>
      <c r="AT249" s="7" t="e">
        <v>#N/A</v>
      </c>
      <c r="AU249" s="7" t="e">
        <v>#N/A</v>
      </c>
    </row>
    <row r="250" spans="37:47" x14ac:dyDescent="0.25">
      <c r="AK250" t="str">
        <v>oldsmobile cutlass salon brougham</v>
      </c>
      <c r="AL250" s="7" t="e">
        <v>#N/A</v>
      </c>
      <c r="AN250" s="7" t="e">
        <v>#N/A</v>
      </c>
      <c r="AP250" s="7" t="e">
        <v>#N/A</v>
      </c>
      <c r="AQ250" s="7" t="e">
        <v>#N/A</v>
      </c>
      <c r="AR250" s="7" t="e">
        <v>#N/A</v>
      </c>
      <c r="AS250" s="7" t="e">
        <v>#N/A</v>
      </c>
      <c r="AT250" s="7" t="e">
        <v>#N/A</v>
      </c>
      <c r="AU250" s="7" t="e">
        <v>#N/A</v>
      </c>
    </row>
    <row r="251" spans="37:47" x14ac:dyDescent="0.25">
      <c r="AK251" t="str">
        <v>dodge diplomat</v>
      </c>
      <c r="AL251" s="7" t="e">
        <v>#N/A</v>
      </c>
      <c r="AN251" s="7" t="e">
        <v>#N/A</v>
      </c>
      <c r="AP251" s="7" t="e">
        <v>#N/A</v>
      </c>
      <c r="AQ251" s="7" t="e">
        <v>#N/A</v>
      </c>
      <c r="AR251" s="7" t="e">
        <v>#N/A</v>
      </c>
      <c r="AS251" s="7" t="e">
        <v>#N/A</v>
      </c>
      <c r="AT251" s="7" t="e">
        <v>#N/A</v>
      </c>
      <c r="AU251" s="7" t="e">
        <v>#N/A</v>
      </c>
    </row>
    <row r="252" spans="37:47" x14ac:dyDescent="0.25">
      <c r="AK252" t="str">
        <v>mercury monarch ghia</v>
      </c>
      <c r="AL252" s="7" t="e">
        <v>#N/A</v>
      </c>
      <c r="AN252" s="7" t="e">
        <v>#N/A</v>
      </c>
      <c r="AP252" s="7" t="e">
        <v>#N/A</v>
      </c>
      <c r="AQ252" s="7" t="e">
        <v>#N/A</v>
      </c>
      <c r="AR252" s="7" t="e">
        <v>#N/A</v>
      </c>
      <c r="AS252" s="7" t="e">
        <v>#N/A</v>
      </c>
      <c r="AT252" s="7" t="e">
        <v>#N/A</v>
      </c>
      <c r="AU252" s="7" t="e">
        <v>#N/A</v>
      </c>
    </row>
    <row r="253" spans="37:47" x14ac:dyDescent="0.25">
      <c r="AK253" t="str">
        <v>pontiac phoenix lj</v>
      </c>
      <c r="AL253" s="7" t="e">
        <v>#N/A</v>
      </c>
      <c r="AN253" s="7" t="e">
        <v>#N/A</v>
      </c>
      <c r="AP253" s="7" t="e">
        <v>#N/A</v>
      </c>
      <c r="AQ253" s="7" t="e">
        <v>#N/A</v>
      </c>
      <c r="AR253" s="7" t="e">
        <v>#N/A</v>
      </c>
      <c r="AS253" s="7" t="e">
        <v>#N/A</v>
      </c>
      <c r="AT253" s="7" t="e">
        <v>#N/A</v>
      </c>
      <c r="AU253" s="7" t="e">
        <v>#N/A</v>
      </c>
    </row>
    <row r="254" spans="37:47" x14ac:dyDescent="0.25">
      <c r="AK254" t="str">
        <v>chevrolet malibu</v>
      </c>
      <c r="AL254" s="7" t="e">
        <v>#N/A</v>
      </c>
      <c r="AN254" s="7" t="e">
        <v>#N/A</v>
      </c>
      <c r="AP254" s="7" t="e">
        <v>#N/A</v>
      </c>
      <c r="AQ254" s="7" t="e">
        <v>#N/A</v>
      </c>
      <c r="AR254" s="7" t="e">
        <v>#N/A</v>
      </c>
      <c r="AS254" s="7" t="e">
        <v>#N/A</v>
      </c>
      <c r="AT254" s="7" t="e">
        <v>#N/A</v>
      </c>
      <c r="AU254" s="7" t="e">
        <v>#N/A</v>
      </c>
    </row>
    <row r="255" spans="37:47" x14ac:dyDescent="0.25">
      <c r="AK255" t="str">
        <v>ford fairmont (auto)</v>
      </c>
      <c r="AL255" s="7" t="e">
        <v>#N/A</v>
      </c>
      <c r="AN255" s="7" t="e">
        <v>#N/A</v>
      </c>
      <c r="AP255" s="7" t="e">
        <v>#N/A</v>
      </c>
      <c r="AQ255" s="7" t="e">
        <v>#N/A</v>
      </c>
      <c r="AR255" s="7" t="e">
        <v>#N/A</v>
      </c>
      <c r="AS255" s="7" t="e">
        <v>#N/A</v>
      </c>
      <c r="AT255" s="7" t="e">
        <v>#N/A</v>
      </c>
      <c r="AU255" s="7" t="e">
        <v>#N/A</v>
      </c>
    </row>
    <row r="256" spans="37:47" x14ac:dyDescent="0.25">
      <c r="AK256" t="str">
        <v>ford fairmont (man)</v>
      </c>
      <c r="AL256" s="7" t="e">
        <v>#N/A</v>
      </c>
      <c r="AN256" s="7" t="e">
        <v>#N/A</v>
      </c>
      <c r="AP256" s="7" t="e">
        <v>#N/A</v>
      </c>
      <c r="AQ256" s="7" t="e">
        <v>#N/A</v>
      </c>
      <c r="AR256" s="7" t="e">
        <v>#N/A</v>
      </c>
      <c r="AS256" s="7" t="e">
        <v>#N/A</v>
      </c>
      <c r="AT256" s="7" t="e">
        <v>#N/A</v>
      </c>
      <c r="AU256" s="7" t="e">
        <v>#N/A</v>
      </c>
    </row>
    <row r="257" spans="37:47" x14ac:dyDescent="0.25">
      <c r="AK257" t="str">
        <v>plymouth volare</v>
      </c>
      <c r="AL257" s="7" t="e">
        <v>#N/A</v>
      </c>
      <c r="AN257" s="7" t="e">
        <v>#N/A</v>
      </c>
      <c r="AP257" s="7" t="e">
        <v>#N/A</v>
      </c>
      <c r="AQ257" s="7" t="e">
        <v>#N/A</v>
      </c>
      <c r="AR257" s="7" t="e">
        <v>#N/A</v>
      </c>
      <c r="AS257" s="7" t="e">
        <v>#N/A</v>
      </c>
      <c r="AT257" s="7" t="e">
        <v>#N/A</v>
      </c>
      <c r="AU257" s="7" t="e">
        <v>#N/A</v>
      </c>
    </row>
    <row r="258" spans="37:47" x14ac:dyDescent="0.25">
      <c r="AK258" t="str">
        <v>amc concord</v>
      </c>
      <c r="AL258" s="7" t="e">
        <v>#N/A</v>
      </c>
      <c r="AN258" s="7" t="e">
        <v>#N/A</v>
      </c>
      <c r="AP258" s="7" t="e">
        <v>#N/A</v>
      </c>
      <c r="AQ258" s="7" t="e">
        <v>#N/A</v>
      </c>
      <c r="AR258" s="7" t="e">
        <v>#N/A</v>
      </c>
      <c r="AS258" s="7" t="e">
        <v>#N/A</v>
      </c>
      <c r="AT258" s="7" t="e">
        <v>#N/A</v>
      </c>
      <c r="AU258" s="7" t="e">
        <v>#N/A</v>
      </c>
    </row>
    <row r="259" spans="37:47" x14ac:dyDescent="0.25">
      <c r="AK259" t="str">
        <v>buick century special</v>
      </c>
      <c r="AL259" s="7" t="e">
        <v>#N/A</v>
      </c>
      <c r="AN259" s="7" t="e">
        <v>#N/A</v>
      </c>
      <c r="AP259" s="7" t="e">
        <v>#N/A</v>
      </c>
      <c r="AQ259" s="7" t="e">
        <v>#N/A</v>
      </c>
      <c r="AR259" s="7" t="e">
        <v>#N/A</v>
      </c>
      <c r="AS259" s="7" t="e">
        <v>#N/A</v>
      </c>
      <c r="AT259" s="7" t="e">
        <v>#N/A</v>
      </c>
      <c r="AU259" s="7" t="e">
        <v>#N/A</v>
      </c>
    </row>
    <row r="260" spans="37:47" x14ac:dyDescent="0.25">
      <c r="AK260" t="str">
        <v>mercury zephyr</v>
      </c>
      <c r="AL260" s="7" t="e">
        <v>#N/A</v>
      </c>
      <c r="AN260" s="7" t="e">
        <v>#N/A</v>
      </c>
      <c r="AP260" s="7" t="e">
        <v>#N/A</v>
      </c>
      <c r="AQ260" s="7" t="e">
        <v>#N/A</v>
      </c>
      <c r="AR260" s="7" t="e">
        <v>#N/A</v>
      </c>
      <c r="AS260" s="7" t="e">
        <v>#N/A</v>
      </c>
      <c r="AT260" s="7" t="e">
        <v>#N/A</v>
      </c>
      <c r="AU260" s="7" t="e">
        <v>#N/A</v>
      </c>
    </row>
    <row r="261" spans="37:47" x14ac:dyDescent="0.25">
      <c r="AK261" t="str">
        <v>dodge aspen</v>
      </c>
      <c r="AL261" s="7" t="e">
        <v>#N/A</v>
      </c>
      <c r="AN261" s="7" t="e">
        <v>#N/A</v>
      </c>
      <c r="AP261" s="7" t="e">
        <v>#N/A</v>
      </c>
      <c r="AQ261" s="7" t="e">
        <v>#N/A</v>
      </c>
      <c r="AR261" s="7" t="e">
        <v>#N/A</v>
      </c>
      <c r="AS261" s="7" t="e">
        <v>#N/A</v>
      </c>
      <c r="AT261" s="7" t="e">
        <v>#N/A</v>
      </c>
      <c r="AU261" s="7" t="e">
        <v>#N/A</v>
      </c>
    </row>
    <row r="262" spans="37:47" x14ac:dyDescent="0.25">
      <c r="AK262" t="str">
        <v>amc concord d/l</v>
      </c>
      <c r="AL262" s="7" t="e">
        <v>#N/A</v>
      </c>
      <c r="AN262" s="7" t="e">
        <v>#N/A</v>
      </c>
      <c r="AP262" s="7" t="e">
        <v>#N/A</v>
      </c>
      <c r="AQ262" s="7" t="e">
        <v>#N/A</v>
      </c>
      <c r="AR262" s="7" t="e">
        <v>#N/A</v>
      </c>
      <c r="AS262" s="7" t="e">
        <v>#N/A</v>
      </c>
      <c r="AT262" s="7" t="e">
        <v>#N/A</v>
      </c>
      <c r="AU262" s="7" t="e">
        <v>#N/A</v>
      </c>
    </row>
    <row r="263" spans="37:47" x14ac:dyDescent="0.25">
      <c r="AK263" t="str">
        <v>chevrolet monte carlo landau</v>
      </c>
      <c r="AL263" s="7" t="e">
        <v>#N/A</v>
      </c>
      <c r="AN263" s="7" t="e">
        <v>#N/A</v>
      </c>
      <c r="AP263" s="7" t="e">
        <v>#N/A</v>
      </c>
      <c r="AQ263" s="7" t="e">
        <v>#N/A</v>
      </c>
      <c r="AR263" s="7" t="e">
        <v>#N/A</v>
      </c>
      <c r="AS263" s="7" t="e">
        <v>#N/A</v>
      </c>
      <c r="AT263" s="7" t="e">
        <v>#N/A</v>
      </c>
      <c r="AU263" s="7" t="e">
        <v>#N/A</v>
      </c>
    </row>
    <row r="264" spans="37:47" x14ac:dyDescent="0.25">
      <c r="AK264" t="str">
        <v>buick regal sport coupe (turbo)</v>
      </c>
      <c r="AL264" s="7" t="e">
        <v>#N/A</v>
      </c>
      <c r="AN264" s="7" t="e">
        <v>#N/A</v>
      </c>
      <c r="AP264" s="7" t="e">
        <v>#N/A</v>
      </c>
      <c r="AQ264" s="7" t="e">
        <v>#N/A</v>
      </c>
      <c r="AR264" s="7" t="e">
        <v>#N/A</v>
      </c>
      <c r="AS264" s="7" t="e">
        <v>#N/A</v>
      </c>
      <c r="AT264" s="7" t="e">
        <v>#N/A</v>
      </c>
      <c r="AU264" s="7" t="e">
        <v>#N/A</v>
      </c>
    </row>
    <row r="265" spans="37:47" x14ac:dyDescent="0.25">
      <c r="AK265" t="str">
        <v>ford futura</v>
      </c>
      <c r="AL265" s="7" t="e">
        <v>#N/A</v>
      </c>
      <c r="AN265" s="7" t="e">
        <v>#N/A</v>
      </c>
      <c r="AP265" s="7" t="e">
        <v>#N/A</v>
      </c>
      <c r="AQ265" s="7" t="e">
        <v>#N/A</v>
      </c>
      <c r="AR265" s="7" t="e">
        <v>#N/A</v>
      </c>
      <c r="AS265" s="7" t="e">
        <v>#N/A</v>
      </c>
      <c r="AT265" s="7" t="e">
        <v>#N/A</v>
      </c>
      <c r="AU265" s="7" t="e">
        <v>#N/A</v>
      </c>
    </row>
    <row r="266" spans="37:47" x14ac:dyDescent="0.25">
      <c r="AK266" t="str">
        <v>dodge magnum xe</v>
      </c>
      <c r="AL266" s="7" t="e">
        <v>#N/A</v>
      </c>
      <c r="AN266" s="7" t="e">
        <v>#N/A</v>
      </c>
      <c r="AP266" s="7" t="e">
        <v>#N/A</v>
      </c>
      <c r="AQ266" s="7" t="e">
        <v>#N/A</v>
      </c>
      <c r="AR266" s="7" t="e">
        <v>#N/A</v>
      </c>
      <c r="AS266" s="7" t="e">
        <v>#N/A</v>
      </c>
      <c r="AT266" s="7" t="e">
        <v>#N/A</v>
      </c>
      <c r="AU266" s="7" t="e">
        <v>#N/A</v>
      </c>
    </row>
    <row r="267" spans="37:47" x14ac:dyDescent="0.25">
      <c r="AK267" t="str">
        <v>chevrolet chevette</v>
      </c>
      <c r="AL267" s="7" t="e">
        <v>#N/A</v>
      </c>
      <c r="AN267" s="7" t="e">
        <v>#N/A</v>
      </c>
      <c r="AP267" s="7" t="e">
        <v>#N/A</v>
      </c>
      <c r="AQ267" s="7" t="e">
        <v>#N/A</v>
      </c>
      <c r="AR267" s="7" t="e">
        <v>#N/A</v>
      </c>
      <c r="AS267" s="7" t="e">
        <v>#N/A</v>
      </c>
      <c r="AT267" s="7" t="e">
        <v>#N/A</v>
      </c>
      <c r="AU267" s="7" t="e">
        <v>#N/A</v>
      </c>
    </row>
    <row r="268" spans="37:47" x14ac:dyDescent="0.25">
      <c r="AK268" t="str">
        <v>toyota corona</v>
      </c>
      <c r="AL268" s="7" t="e">
        <v>#N/A</v>
      </c>
      <c r="AN268" s="7" t="e">
        <v>#N/A</v>
      </c>
      <c r="AP268" s="7" t="e">
        <v>#N/A</v>
      </c>
      <c r="AQ268" s="7" t="e">
        <v>#N/A</v>
      </c>
      <c r="AR268" s="7" t="e">
        <v>#N/A</v>
      </c>
      <c r="AS268" s="7" t="e">
        <v>#N/A</v>
      </c>
      <c r="AT268" s="7" t="e">
        <v>#N/A</v>
      </c>
      <c r="AU268" s="7" t="e">
        <v>#N/A</v>
      </c>
    </row>
    <row r="269" spans="37:47" x14ac:dyDescent="0.25">
      <c r="AK269" t="str">
        <v>datsun 510</v>
      </c>
      <c r="AL269" s="7" t="e">
        <v>#N/A</v>
      </c>
      <c r="AN269" s="7" t="e">
        <v>#N/A</v>
      </c>
      <c r="AP269" s="7" t="e">
        <v>#N/A</v>
      </c>
      <c r="AQ269" s="7" t="e">
        <v>#N/A</v>
      </c>
      <c r="AR269" s="7" t="e">
        <v>#N/A</v>
      </c>
      <c r="AS269" s="7" t="e">
        <v>#N/A</v>
      </c>
      <c r="AT269" s="7" t="e">
        <v>#N/A</v>
      </c>
      <c r="AU269" s="7" t="e">
        <v>#N/A</v>
      </c>
    </row>
    <row r="270" spans="37:47" x14ac:dyDescent="0.25">
      <c r="AK270" t="str">
        <v>dodge omni</v>
      </c>
      <c r="AL270" s="7" t="e">
        <v>#N/A</v>
      </c>
      <c r="AN270" s="7" t="e">
        <v>#N/A</v>
      </c>
      <c r="AP270" s="7" t="e">
        <v>#N/A</v>
      </c>
      <c r="AQ270" s="7" t="e">
        <v>#N/A</v>
      </c>
      <c r="AR270" s="7" t="e">
        <v>#N/A</v>
      </c>
      <c r="AS270" s="7" t="e">
        <v>#N/A</v>
      </c>
      <c r="AT270" s="7" t="e">
        <v>#N/A</v>
      </c>
      <c r="AU270" s="7" t="e">
        <v>#N/A</v>
      </c>
    </row>
    <row r="271" spans="37:47" x14ac:dyDescent="0.25">
      <c r="AK271" t="str">
        <v>toyota celica gt liftback</v>
      </c>
      <c r="AL271" s="7" t="e">
        <v>#N/A</v>
      </c>
      <c r="AN271" s="7" t="e">
        <v>#N/A</v>
      </c>
      <c r="AP271" s="7" t="e">
        <v>#N/A</v>
      </c>
      <c r="AQ271" s="7" t="e">
        <v>#N/A</v>
      </c>
      <c r="AR271" s="7" t="e">
        <v>#N/A</v>
      </c>
      <c r="AS271" s="7" t="e">
        <v>#N/A</v>
      </c>
      <c r="AT271" s="7" t="e">
        <v>#N/A</v>
      </c>
      <c r="AU271" s="7" t="e">
        <v>#N/A</v>
      </c>
    </row>
    <row r="272" spans="37:47" x14ac:dyDescent="0.25">
      <c r="AK272" t="str">
        <v>plymouth sapporo</v>
      </c>
      <c r="AL272" s="7" t="e">
        <v>#N/A</v>
      </c>
      <c r="AN272" s="7" t="e">
        <v>#N/A</v>
      </c>
      <c r="AP272" s="7" t="e">
        <v>#N/A</v>
      </c>
      <c r="AQ272" s="7" t="e">
        <v>#N/A</v>
      </c>
      <c r="AR272" s="7" t="e">
        <v>#N/A</v>
      </c>
      <c r="AS272" s="7" t="e">
        <v>#N/A</v>
      </c>
      <c r="AT272" s="7" t="e">
        <v>#N/A</v>
      </c>
      <c r="AU272" s="7" t="e">
        <v>#N/A</v>
      </c>
    </row>
    <row r="273" spans="37:47" x14ac:dyDescent="0.25">
      <c r="AK273" t="str">
        <v>oldsmobile starfire sx</v>
      </c>
      <c r="AL273" s="7" t="e">
        <v>#N/A</v>
      </c>
      <c r="AN273" s="7" t="e">
        <v>#N/A</v>
      </c>
      <c r="AP273" s="7" t="e">
        <v>#N/A</v>
      </c>
      <c r="AQ273" s="7" t="e">
        <v>#N/A</v>
      </c>
      <c r="AR273" s="7" t="e">
        <v>#N/A</v>
      </c>
      <c r="AS273" s="7" t="e">
        <v>#N/A</v>
      </c>
      <c r="AT273" s="7" t="e">
        <v>#N/A</v>
      </c>
      <c r="AU273" s="7" t="e">
        <v>#N/A</v>
      </c>
    </row>
    <row r="274" spans="37:47" x14ac:dyDescent="0.25">
      <c r="AK274" t="str">
        <v>datsun 200-sx</v>
      </c>
      <c r="AL274" s="7" t="e">
        <v>#N/A</v>
      </c>
      <c r="AN274" s="7" t="e">
        <v>#N/A</v>
      </c>
      <c r="AP274" s="7" t="e">
        <v>#N/A</v>
      </c>
      <c r="AQ274" s="7" t="e">
        <v>#N/A</v>
      </c>
      <c r="AR274" s="7" t="e">
        <v>#N/A</v>
      </c>
      <c r="AS274" s="7" t="e">
        <v>#N/A</v>
      </c>
      <c r="AT274" s="7" t="e">
        <v>#N/A</v>
      </c>
      <c r="AU274" s="7" t="e">
        <v>#N/A</v>
      </c>
    </row>
    <row r="275" spans="37:47" x14ac:dyDescent="0.25">
      <c r="AK275" t="str">
        <v>audi 5000</v>
      </c>
      <c r="AL275" s="7" t="e">
        <v>#N/A</v>
      </c>
      <c r="AN275" s="7" t="e">
        <v>#N/A</v>
      </c>
      <c r="AP275" s="7" t="e">
        <v>#N/A</v>
      </c>
      <c r="AQ275" s="7" t="e">
        <v>#N/A</v>
      </c>
      <c r="AR275" s="7" t="e">
        <v>#N/A</v>
      </c>
      <c r="AS275" s="7" t="e">
        <v>#N/A</v>
      </c>
      <c r="AT275" s="7" t="e">
        <v>#N/A</v>
      </c>
      <c r="AU275" s="7" t="e">
        <v>#N/A</v>
      </c>
    </row>
    <row r="276" spans="37:47" x14ac:dyDescent="0.25">
      <c r="AK276" t="str">
        <v>volvo 264gl</v>
      </c>
      <c r="AL276" s="7" t="e">
        <v>#N/A</v>
      </c>
      <c r="AN276" s="7" t="e">
        <v>#N/A</v>
      </c>
      <c r="AP276" s="7" t="e">
        <v>#N/A</v>
      </c>
      <c r="AQ276" s="7" t="e">
        <v>#N/A</v>
      </c>
      <c r="AR276" s="7" t="e">
        <v>#N/A</v>
      </c>
      <c r="AS276" s="7" t="e">
        <v>#N/A</v>
      </c>
      <c r="AT276" s="7" t="e">
        <v>#N/A</v>
      </c>
      <c r="AU276" s="7" t="e">
        <v>#N/A</v>
      </c>
    </row>
    <row r="277" spans="37:47" x14ac:dyDescent="0.25">
      <c r="AK277" t="str">
        <v>saab 99gle</v>
      </c>
      <c r="AL277" s="7" t="e">
        <v>#N/A</v>
      </c>
      <c r="AN277" s="7" t="e">
        <v>#N/A</v>
      </c>
      <c r="AP277" s="7" t="e">
        <v>#N/A</v>
      </c>
      <c r="AQ277" s="7" t="e">
        <v>#N/A</v>
      </c>
      <c r="AR277" s="7" t="e">
        <v>#N/A</v>
      </c>
      <c r="AS277" s="7" t="e">
        <v>#N/A</v>
      </c>
      <c r="AT277" s="7" t="e">
        <v>#N/A</v>
      </c>
      <c r="AU277" s="7" t="e">
        <v>#N/A</v>
      </c>
    </row>
    <row r="278" spans="37:47" x14ac:dyDescent="0.25">
      <c r="AK278" t="str">
        <v>peugeot 604sl</v>
      </c>
      <c r="AL278" s="7" t="e">
        <v>#N/A</v>
      </c>
      <c r="AN278" s="7" t="e">
        <v>#N/A</v>
      </c>
      <c r="AP278" s="7" t="e">
        <v>#N/A</v>
      </c>
      <c r="AQ278" s="7" t="e">
        <v>#N/A</v>
      </c>
      <c r="AR278" s="7" t="e">
        <v>#N/A</v>
      </c>
      <c r="AS278" s="7" t="e">
        <v>#N/A</v>
      </c>
      <c r="AT278" s="7" t="e">
        <v>#N/A</v>
      </c>
      <c r="AU278" s="7" t="e">
        <v>#N/A</v>
      </c>
    </row>
    <row r="279" spans="37:47" x14ac:dyDescent="0.25">
      <c r="AK279" t="str">
        <v>volkswagen scirocco</v>
      </c>
      <c r="AL279" s="7" t="e">
        <v>#N/A</v>
      </c>
      <c r="AN279" s="7" t="e">
        <v>#N/A</v>
      </c>
      <c r="AP279" s="7" t="e">
        <v>#N/A</v>
      </c>
      <c r="AQ279" s="7" t="e">
        <v>#N/A</v>
      </c>
      <c r="AR279" s="7" t="e">
        <v>#N/A</v>
      </c>
      <c r="AS279" s="7" t="e">
        <v>#N/A</v>
      </c>
      <c r="AT279" s="7" t="e">
        <v>#N/A</v>
      </c>
      <c r="AU279" s="7" t="e">
        <v>#N/A</v>
      </c>
    </row>
    <row r="280" spans="37:47" x14ac:dyDescent="0.25">
      <c r="AK280" t="str">
        <v>honda accord lx</v>
      </c>
      <c r="AL280" s="7" t="e">
        <v>#N/A</v>
      </c>
      <c r="AN280" s="7" t="e">
        <v>#N/A</v>
      </c>
      <c r="AP280" s="7" t="e">
        <v>#N/A</v>
      </c>
      <c r="AQ280" s="7" t="e">
        <v>#N/A</v>
      </c>
      <c r="AR280" s="7" t="e">
        <v>#N/A</v>
      </c>
      <c r="AS280" s="7" t="e">
        <v>#N/A</v>
      </c>
      <c r="AT280" s="7" t="e">
        <v>#N/A</v>
      </c>
      <c r="AU280" s="7" t="e">
        <v>#N/A</v>
      </c>
    </row>
    <row r="281" spans="37:47" x14ac:dyDescent="0.25">
      <c r="AK281" t="str">
        <v>pontiac lemans v6</v>
      </c>
      <c r="AL281" s="7" t="e">
        <v>#N/A</v>
      </c>
      <c r="AN281" s="7" t="e">
        <v>#N/A</v>
      </c>
      <c r="AP281" s="7" t="e">
        <v>#N/A</v>
      </c>
      <c r="AQ281" s="7" t="e">
        <v>#N/A</v>
      </c>
      <c r="AR281" s="7" t="e">
        <v>#N/A</v>
      </c>
      <c r="AS281" s="7" t="e">
        <v>#N/A</v>
      </c>
      <c r="AT281" s="7" t="e">
        <v>#N/A</v>
      </c>
      <c r="AU281" s="7" t="e">
        <v>#N/A</v>
      </c>
    </row>
    <row r="282" spans="37:47" x14ac:dyDescent="0.25">
      <c r="AK282" t="str">
        <v>mercury zephyr 6</v>
      </c>
      <c r="AL282" s="7" t="e">
        <v>#N/A</v>
      </c>
      <c r="AN282" s="7" t="e">
        <v>#N/A</v>
      </c>
      <c r="AP282" s="7" t="e">
        <v>#N/A</v>
      </c>
      <c r="AQ282" s="7" t="e">
        <v>#N/A</v>
      </c>
      <c r="AR282" s="7" t="e">
        <v>#N/A</v>
      </c>
      <c r="AS282" s="7" t="e">
        <v>#N/A</v>
      </c>
      <c r="AT282" s="7" t="e">
        <v>#N/A</v>
      </c>
      <c r="AU282" s="7" t="e">
        <v>#N/A</v>
      </c>
    </row>
    <row r="283" spans="37:47" x14ac:dyDescent="0.25">
      <c r="AK283" t="str">
        <v>ford fairmont 4</v>
      </c>
      <c r="AL283" s="7" t="e">
        <v>#N/A</v>
      </c>
      <c r="AN283" s="7" t="e">
        <v>#N/A</v>
      </c>
      <c r="AP283" s="7" t="e">
        <v>#N/A</v>
      </c>
      <c r="AQ283" s="7" t="e">
        <v>#N/A</v>
      </c>
      <c r="AR283" s="7" t="e">
        <v>#N/A</v>
      </c>
      <c r="AS283" s="7" t="e">
        <v>#N/A</v>
      </c>
      <c r="AT283" s="7" t="e">
        <v>#N/A</v>
      </c>
      <c r="AU283" s="7" t="e">
        <v>#N/A</v>
      </c>
    </row>
    <row r="284" spans="37:47" x14ac:dyDescent="0.25">
      <c r="AK284" t="str">
        <v>amc concord dl 6</v>
      </c>
      <c r="AL284" s="7" t="e">
        <v>#N/A</v>
      </c>
      <c r="AN284" s="7" t="e">
        <v>#N/A</v>
      </c>
      <c r="AP284" s="7" t="e">
        <v>#N/A</v>
      </c>
      <c r="AQ284" s="7" t="e">
        <v>#N/A</v>
      </c>
      <c r="AR284" s="7" t="e">
        <v>#N/A</v>
      </c>
      <c r="AS284" s="7" t="e">
        <v>#N/A</v>
      </c>
      <c r="AT284" s="7" t="e">
        <v>#N/A</v>
      </c>
      <c r="AU284" s="7" t="e">
        <v>#N/A</v>
      </c>
    </row>
    <row r="285" spans="37:47" x14ac:dyDescent="0.25">
      <c r="AK285" t="str">
        <v>dodge aspen 6</v>
      </c>
      <c r="AL285" s="7" t="e">
        <v>#N/A</v>
      </c>
      <c r="AN285" s="7" t="e">
        <v>#N/A</v>
      </c>
      <c r="AP285" s="7" t="e">
        <v>#N/A</v>
      </c>
      <c r="AQ285" s="7" t="e">
        <v>#N/A</v>
      </c>
      <c r="AR285" s="7" t="e">
        <v>#N/A</v>
      </c>
      <c r="AS285" s="7" t="e">
        <v>#N/A</v>
      </c>
      <c r="AT285" s="7" t="e">
        <v>#N/A</v>
      </c>
      <c r="AU285" s="7" t="e">
        <v>#N/A</v>
      </c>
    </row>
    <row r="286" spans="37:47" x14ac:dyDescent="0.25">
      <c r="AK286" t="str">
        <v>chevrolet caprice classic</v>
      </c>
      <c r="AL286" s="7" t="e">
        <v>#N/A</v>
      </c>
      <c r="AN286" s="7" t="e">
        <v>#N/A</v>
      </c>
      <c r="AP286" s="7" t="e">
        <v>#N/A</v>
      </c>
      <c r="AQ286" s="7" t="e">
        <v>#N/A</v>
      </c>
      <c r="AR286" s="7" t="e">
        <v>#N/A</v>
      </c>
      <c r="AS286" s="7" t="e">
        <v>#N/A</v>
      </c>
      <c r="AT286" s="7" t="e">
        <v>#N/A</v>
      </c>
      <c r="AU286" s="7" t="e">
        <v>#N/A</v>
      </c>
    </row>
    <row r="287" spans="37:47" x14ac:dyDescent="0.25">
      <c r="AK287" t="str">
        <v>ford ltd landau</v>
      </c>
      <c r="AL287" s="7" t="e">
        <v>#N/A</v>
      </c>
      <c r="AN287" s="7" t="e">
        <v>#N/A</v>
      </c>
      <c r="AP287" s="7" t="e">
        <v>#N/A</v>
      </c>
      <c r="AQ287" s="7" t="e">
        <v>#N/A</v>
      </c>
      <c r="AR287" s="7" t="e">
        <v>#N/A</v>
      </c>
      <c r="AS287" s="7" t="e">
        <v>#N/A</v>
      </c>
      <c r="AT287" s="7" t="e">
        <v>#N/A</v>
      </c>
      <c r="AU287" s="7" t="e">
        <v>#N/A</v>
      </c>
    </row>
    <row r="288" spans="37:47" x14ac:dyDescent="0.25">
      <c r="AK288" t="str">
        <v>mercury grand marquis</v>
      </c>
      <c r="AL288" s="7" t="e">
        <v>#N/A</v>
      </c>
      <c r="AN288" s="7" t="e">
        <v>#N/A</v>
      </c>
      <c r="AP288" s="7" t="e">
        <v>#N/A</v>
      </c>
      <c r="AQ288" s="7" t="e">
        <v>#N/A</v>
      </c>
      <c r="AR288" s="7" t="e">
        <v>#N/A</v>
      </c>
      <c r="AS288" s="7" t="e">
        <v>#N/A</v>
      </c>
      <c r="AT288" s="7" t="e">
        <v>#N/A</v>
      </c>
      <c r="AU288" s="7" t="e">
        <v>#N/A</v>
      </c>
    </row>
    <row r="289" spans="37:47" x14ac:dyDescent="0.25">
      <c r="AK289" t="str">
        <v>dodge st. regis</v>
      </c>
      <c r="AL289" s="7" t="e">
        <v>#N/A</v>
      </c>
      <c r="AN289" s="7" t="e">
        <v>#N/A</v>
      </c>
      <c r="AP289" s="7" t="e">
        <v>#N/A</v>
      </c>
      <c r="AQ289" s="7" t="e">
        <v>#N/A</v>
      </c>
      <c r="AR289" s="7" t="e">
        <v>#N/A</v>
      </c>
      <c r="AS289" s="7" t="e">
        <v>#N/A</v>
      </c>
      <c r="AT289" s="7" t="e">
        <v>#N/A</v>
      </c>
      <c r="AU289" s="7" t="e">
        <v>#N/A</v>
      </c>
    </row>
    <row r="290" spans="37:47" x14ac:dyDescent="0.25">
      <c r="AK290" t="str">
        <v>buick estate wagon (sw)</v>
      </c>
      <c r="AL290" s="7" t="e">
        <v>#N/A</v>
      </c>
      <c r="AN290" s="7" t="e">
        <v>#N/A</v>
      </c>
      <c r="AP290" s="7" t="e">
        <v>#N/A</v>
      </c>
      <c r="AQ290" s="7" t="e">
        <v>#N/A</v>
      </c>
      <c r="AR290" s="7" t="e">
        <v>#N/A</v>
      </c>
      <c r="AS290" s="7" t="e">
        <v>#N/A</v>
      </c>
      <c r="AT290" s="7" t="e">
        <v>#N/A</v>
      </c>
      <c r="AU290" s="7" t="e">
        <v>#N/A</v>
      </c>
    </row>
    <row r="291" spans="37:47" x14ac:dyDescent="0.25">
      <c r="AK291" t="str">
        <v>ford country squire (sw)</v>
      </c>
      <c r="AL291" s="7" t="e">
        <v>#N/A</v>
      </c>
      <c r="AN291" s="7" t="e">
        <v>#N/A</v>
      </c>
      <c r="AP291" s="7" t="e">
        <v>#N/A</v>
      </c>
      <c r="AQ291" s="7" t="e">
        <v>#N/A</v>
      </c>
      <c r="AR291" s="7" t="e">
        <v>#N/A</v>
      </c>
      <c r="AS291" s="7" t="e">
        <v>#N/A</v>
      </c>
      <c r="AT291" s="7" t="e">
        <v>#N/A</v>
      </c>
      <c r="AU291" s="7" t="e">
        <v>#N/A</v>
      </c>
    </row>
    <row r="292" spans="37:47" x14ac:dyDescent="0.25">
      <c r="AK292" t="str">
        <v>chevrolet malibu classic (sw)</v>
      </c>
      <c r="AL292" s="7" t="e">
        <v>#N/A</v>
      </c>
      <c r="AN292" s="7" t="e">
        <v>#N/A</v>
      </c>
      <c r="AP292" s="7" t="e">
        <v>#N/A</v>
      </c>
      <c r="AQ292" s="7" t="e">
        <v>#N/A</v>
      </c>
      <c r="AR292" s="7" t="e">
        <v>#N/A</v>
      </c>
      <c r="AS292" s="7" t="e">
        <v>#N/A</v>
      </c>
      <c r="AT292" s="7" t="e">
        <v>#N/A</v>
      </c>
      <c r="AU292" s="7" t="e">
        <v>#N/A</v>
      </c>
    </row>
    <row r="293" spans="37:47" x14ac:dyDescent="0.25">
      <c r="AK293" t="str">
        <v>chrysler lebaron town @ country (sw)</v>
      </c>
      <c r="AL293" s="7" t="e">
        <v>#N/A</v>
      </c>
      <c r="AN293" s="7" t="e">
        <v>#N/A</v>
      </c>
      <c r="AP293" s="7" t="e">
        <v>#N/A</v>
      </c>
      <c r="AQ293" s="7" t="e">
        <v>#N/A</v>
      </c>
      <c r="AR293" s="7" t="e">
        <v>#N/A</v>
      </c>
      <c r="AS293" s="7" t="e">
        <v>#N/A</v>
      </c>
      <c r="AT293" s="7" t="e">
        <v>#N/A</v>
      </c>
      <c r="AU293" s="7" t="e">
        <v>#N/A</v>
      </c>
    </row>
    <row r="294" spans="37:47" x14ac:dyDescent="0.25">
      <c r="AK294" t="str">
        <v>vw rabbit custom</v>
      </c>
      <c r="AL294" s="7" t="e">
        <v>#N/A</v>
      </c>
      <c r="AN294" s="7" t="e">
        <v>#N/A</v>
      </c>
      <c r="AP294" s="7" t="e">
        <v>#N/A</v>
      </c>
      <c r="AQ294" s="7" t="e">
        <v>#N/A</v>
      </c>
      <c r="AR294" s="7" t="e">
        <v>#N/A</v>
      </c>
      <c r="AS294" s="7" t="e">
        <v>#N/A</v>
      </c>
      <c r="AT294" s="7" t="e">
        <v>#N/A</v>
      </c>
      <c r="AU294" s="7" t="e">
        <v>#N/A</v>
      </c>
    </row>
    <row r="295" spans="37:47" x14ac:dyDescent="0.25">
      <c r="AK295" t="str">
        <v>maxda glc deluxe</v>
      </c>
      <c r="AL295" s="7" t="e">
        <v>#N/A</v>
      </c>
      <c r="AN295" s="7" t="e">
        <v>#N/A</v>
      </c>
      <c r="AP295" s="7" t="e">
        <v>#N/A</v>
      </c>
      <c r="AQ295" s="7" t="e">
        <v>#N/A</v>
      </c>
      <c r="AR295" s="7" t="e">
        <v>#N/A</v>
      </c>
      <c r="AS295" s="7" t="e">
        <v>#N/A</v>
      </c>
      <c r="AT295" s="7" t="e">
        <v>#N/A</v>
      </c>
      <c r="AU295" s="7" t="e">
        <v>#N/A</v>
      </c>
    </row>
    <row r="296" spans="37:47" x14ac:dyDescent="0.25">
      <c r="AK296" t="str">
        <v>dodge colt hatchback custom</v>
      </c>
      <c r="AL296" s="7" t="e">
        <v>#N/A</v>
      </c>
      <c r="AN296" s="7" t="e">
        <v>#N/A</v>
      </c>
      <c r="AP296" s="7" t="e">
        <v>#N/A</v>
      </c>
      <c r="AQ296" s="7" t="e">
        <v>#N/A</v>
      </c>
      <c r="AR296" s="7" t="e">
        <v>#N/A</v>
      </c>
      <c r="AS296" s="7" t="e">
        <v>#N/A</v>
      </c>
      <c r="AT296" s="7" t="e">
        <v>#N/A</v>
      </c>
      <c r="AU296" s="7" t="e">
        <v>#N/A</v>
      </c>
    </row>
    <row r="297" spans="37:47" x14ac:dyDescent="0.25">
      <c r="AK297" t="str">
        <v>amc spirit dl</v>
      </c>
      <c r="AL297" s="7" t="e">
        <v>#N/A</v>
      </c>
      <c r="AN297" s="7" t="e">
        <v>#N/A</v>
      </c>
      <c r="AP297" s="7" t="e">
        <v>#N/A</v>
      </c>
      <c r="AQ297" s="7" t="e">
        <v>#N/A</v>
      </c>
      <c r="AR297" s="7" t="e">
        <v>#N/A</v>
      </c>
      <c r="AS297" s="7" t="e">
        <v>#N/A</v>
      </c>
      <c r="AT297" s="7" t="e">
        <v>#N/A</v>
      </c>
      <c r="AU297" s="7" t="e">
        <v>#N/A</v>
      </c>
    </row>
    <row r="298" spans="37:47" x14ac:dyDescent="0.25">
      <c r="AK298" t="str">
        <v>mercedes benz 300d</v>
      </c>
      <c r="AL298" s="7" t="e">
        <v>#N/A</v>
      </c>
      <c r="AN298" s="7" t="e">
        <v>#N/A</v>
      </c>
      <c r="AP298" s="7" t="e">
        <v>#N/A</v>
      </c>
      <c r="AQ298" s="7" t="e">
        <v>#N/A</v>
      </c>
      <c r="AR298" s="7" t="e">
        <v>#N/A</v>
      </c>
      <c r="AS298" s="7" t="e">
        <v>#N/A</v>
      </c>
      <c r="AT298" s="7" t="e">
        <v>#N/A</v>
      </c>
      <c r="AU298" s="7" t="e">
        <v>#N/A</v>
      </c>
    </row>
    <row r="299" spans="37:47" x14ac:dyDescent="0.25">
      <c r="AK299" t="str">
        <v>cadillac eldorado</v>
      </c>
      <c r="AL299" s="7" t="e">
        <v>#N/A</v>
      </c>
      <c r="AN299" s="7" t="e">
        <v>#N/A</v>
      </c>
      <c r="AP299" s="7" t="e">
        <v>#N/A</v>
      </c>
      <c r="AQ299" s="7" t="e">
        <v>#N/A</v>
      </c>
      <c r="AR299" s="7" t="e">
        <v>#N/A</v>
      </c>
      <c r="AS299" s="7" t="e">
        <v>#N/A</v>
      </c>
      <c r="AT299" s="7" t="e">
        <v>#N/A</v>
      </c>
      <c r="AU299" s="7" t="e">
        <v>#N/A</v>
      </c>
    </row>
    <row r="300" spans="37:47" x14ac:dyDescent="0.25">
      <c r="AK300" t="str">
        <v>peugeot 504</v>
      </c>
      <c r="AL300" s="7" t="e">
        <v>#N/A</v>
      </c>
      <c r="AN300" s="7" t="e">
        <v>#N/A</v>
      </c>
      <c r="AP300" s="7" t="e">
        <v>#N/A</v>
      </c>
      <c r="AQ300" s="7" t="e">
        <v>#N/A</v>
      </c>
      <c r="AR300" s="7" t="e">
        <v>#N/A</v>
      </c>
      <c r="AS300" s="7" t="e">
        <v>#N/A</v>
      </c>
      <c r="AT300" s="7" t="e">
        <v>#N/A</v>
      </c>
      <c r="AU300" s="7" t="e">
        <v>#N/A</v>
      </c>
    </row>
    <row r="301" spans="37:47" x14ac:dyDescent="0.25">
      <c r="AK301" t="str">
        <v>oldsmobile cutlass salon brougham</v>
      </c>
      <c r="AL301" s="7" t="e">
        <v>#N/A</v>
      </c>
      <c r="AN301" s="7" t="e">
        <v>#N/A</v>
      </c>
      <c r="AP301" s="7" t="e">
        <v>#N/A</v>
      </c>
      <c r="AQ301" s="7" t="e">
        <v>#N/A</v>
      </c>
      <c r="AR301" s="7" t="e">
        <v>#N/A</v>
      </c>
      <c r="AS301" s="7" t="e">
        <v>#N/A</v>
      </c>
      <c r="AT301" s="7" t="e">
        <v>#N/A</v>
      </c>
      <c r="AU301" s="7" t="e">
        <v>#N/A</v>
      </c>
    </row>
    <row r="302" spans="37:47" x14ac:dyDescent="0.25">
      <c r="AK302" t="str">
        <v>plymouth horizon</v>
      </c>
      <c r="AL302" s="7" t="e">
        <v>#N/A</v>
      </c>
      <c r="AN302" s="7" t="e">
        <v>#N/A</v>
      </c>
      <c r="AP302" s="7" t="e">
        <v>#N/A</v>
      </c>
      <c r="AQ302" s="7" t="e">
        <v>#N/A</v>
      </c>
      <c r="AR302" s="7" t="e">
        <v>#N/A</v>
      </c>
      <c r="AS302" s="7" t="e">
        <v>#N/A</v>
      </c>
      <c r="AT302" s="7" t="e">
        <v>#N/A</v>
      </c>
      <c r="AU302" s="7" t="e">
        <v>#N/A</v>
      </c>
    </row>
    <row r="303" spans="37:47" x14ac:dyDescent="0.25">
      <c r="AK303" t="str">
        <v>plymouth horizon tc3</v>
      </c>
      <c r="AL303" s="7" t="e">
        <v>#N/A</v>
      </c>
      <c r="AN303" s="7" t="e">
        <v>#N/A</v>
      </c>
      <c r="AP303" s="7" t="e">
        <v>#N/A</v>
      </c>
      <c r="AQ303" s="7" t="e">
        <v>#N/A</v>
      </c>
      <c r="AR303" s="7" t="e">
        <v>#N/A</v>
      </c>
      <c r="AS303" s="7" t="e">
        <v>#N/A</v>
      </c>
      <c r="AT303" s="7" t="e">
        <v>#N/A</v>
      </c>
      <c r="AU303" s="7" t="e">
        <v>#N/A</v>
      </c>
    </row>
    <row r="304" spans="37:47" x14ac:dyDescent="0.25">
      <c r="AK304" t="str">
        <v>datsun 210</v>
      </c>
      <c r="AL304" s="7" t="e">
        <v>#N/A</v>
      </c>
      <c r="AN304" s="7" t="e">
        <v>#N/A</v>
      </c>
      <c r="AP304" s="7" t="e">
        <v>#N/A</v>
      </c>
      <c r="AQ304" s="7" t="e">
        <v>#N/A</v>
      </c>
      <c r="AR304" s="7" t="e">
        <v>#N/A</v>
      </c>
      <c r="AS304" s="7" t="e">
        <v>#N/A</v>
      </c>
      <c r="AT304" s="7" t="e">
        <v>#N/A</v>
      </c>
      <c r="AU304" s="7" t="e">
        <v>#N/A</v>
      </c>
    </row>
    <row r="305" spans="37:47" x14ac:dyDescent="0.25">
      <c r="AK305" t="str">
        <v>fiat strada custom</v>
      </c>
      <c r="AL305" s="7" t="e">
        <v>#N/A</v>
      </c>
      <c r="AN305" s="7" t="e">
        <v>#N/A</v>
      </c>
      <c r="AP305" s="7" t="e">
        <v>#N/A</v>
      </c>
      <c r="AQ305" s="7" t="e">
        <v>#N/A</v>
      </c>
      <c r="AR305" s="7" t="e">
        <v>#N/A</v>
      </c>
      <c r="AS305" s="7" t="e">
        <v>#N/A</v>
      </c>
      <c r="AT305" s="7" t="e">
        <v>#N/A</v>
      </c>
      <c r="AU305" s="7" t="e">
        <v>#N/A</v>
      </c>
    </row>
    <row r="306" spans="37:47" x14ac:dyDescent="0.25">
      <c r="AK306" t="str">
        <v>buick skylark limited</v>
      </c>
      <c r="AL306" s="7" t="e">
        <v>#N/A</v>
      </c>
      <c r="AN306" s="7" t="e">
        <v>#N/A</v>
      </c>
      <c r="AP306" s="7" t="e">
        <v>#N/A</v>
      </c>
      <c r="AQ306" s="7" t="e">
        <v>#N/A</v>
      </c>
      <c r="AR306" s="7" t="e">
        <v>#N/A</v>
      </c>
      <c r="AS306" s="7" t="e">
        <v>#N/A</v>
      </c>
      <c r="AT306" s="7" t="e">
        <v>#N/A</v>
      </c>
      <c r="AU306" s="7" t="e">
        <v>#N/A</v>
      </c>
    </row>
    <row r="307" spans="37:47" x14ac:dyDescent="0.25">
      <c r="AK307" t="str">
        <v>chevrolet citation</v>
      </c>
      <c r="AL307" s="7" t="e">
        <v>#N/A</v>
      </c>
      <c r="AN307" s="7" t="e">
        <v>#N/A</v>
      </c>
      <c r="AP307" s="7" t="e">
        <v>#N/A</v>
      </c>
      <c r="AQ307" s="7" t="e">
        <v>#N/A</v>
      </c>
      <c r="AR307" s="7" t="e">
        <v>#N/A</v>
      </c>
      <c r="AS307" s="7" t="e">
        <v>#N/A</v>
      </c>
      <c r="AT307" s="7" t="e">
        <v>#N/A</v>
      </c>
      <c r="AU307" s="7" t="e">
        <v>#N/A</v>
      </c>
    </row>
    <row r="308" spans="37:47" x14ac:dyDescent="0.25">
      <c r="AK308" t="str">
        <v>oldsmobile omega brougham</v>
      </c>
      <c r="AL308" s="7" t="e">
        <v>#N/A</v>
      </c>
      <c r="AN308" s="7" t="e">
        <v>#N/A</v>
      </c>
      <c r="AP308" s="7" t="e">
        <v>#N/A</v>
      </c>
      <c r="AQ308" s="7" t="e">
        <v>#N/A</v>
      </c>
      <c r="AR308" s="7" t="e">
        <v>#N/A</v>
      </c>
      <c r="AS308" s="7" t="e">
        <v>#N/A</v>
      </c>
      <c r="AT308" s="7" t="e">
        <v>#N/A</v>
      </c>
      <c r="AU308" s="7" t="e">
        <v>#N/A</v>
      </c>
    </row>
    <row r="309" spans="37:47" x14ac:dyDescent="0.25">
      <c r="AK309" t="str">
        <v>pontiac phoenix</v>
      </c>
      <c r="AL309" s="7" t="e">
        <v>#N/A</v>
      </c>
      <c r="AN309" s="7" t="e">
        <v>#N/A</v>
      </c>
      <c r="AP309" s="7" t="e">
        <v>#N/A</v>
      </c>
      <c r="AQ309" s="7" t="e">
        <v>#N/A</v>
      </c>
      <c r="AR309" s="7" t="e">
        <v>#N/A</v>
      </c>
      <c r="AS309" s="7" t="e">
        <v>#N/A</v>
      </c>
      <c r="AT309" s="7" t="e">
        <v>#N/A</v>
      </c>
      <c r="AU309" s="7" t="e">
        <v>#N/A</v>
      </c>
    </row>
    <row r="310" spans="37:47" x14ac:dyDescent="0.25">
      <c r="AK310" t="str">
        <v>vw rabbit</v>
      </c>
      <c r="AL310" s="7" t="e">
        <v>#N/A</v>
      </c>
      <c r="AN310" s="7" t="e">
        <v>#N/A</v>
      </c>
      <c r="AP310" s="7" t="e">
        <v>#N/A</v>
      </c>
      <c r="AQ310" s="7" t="e">
        <v>#N/A</v>
      </c>
      <c r="AR310" s="7" t="e">
        <v>#N/A</v>
      </c>
      <c r="AS310" s="7" t="e">
        <v>#N/A</v>
      </c>
      <c r="AT310" s="7" t="e">
        <v>#N/A</v>
      </c>
      <c r="AU310" s="7" t="e">
        <v>#N/A</v>
      </c>
    </row>
    <row r="311" spans="37:47" x14ac:dyDescent="0.25">
      <c r="AK311" t="str">
        <v>toyota corolla tercel</v>
      </c>
      <c r="AL311" s="7" t="e">
        <v>#N/A</v>
      </c>
      <c r="AN311" s="7" t="e">
        <v>#N/A</v>
      </c>
      <c r="AP311" s="7" t="e">
        <v>#N/A</v>
      </c>
      <c r="AQ311" s="7" t="e">
        <v>#N/A</v>
      </c>
      <c r="AR311" s="7" t="e">
        <v>#N/A</v>
      </c>
      <c r="AS311" s="7" t="e">
        <v>#N/A</v>
      </c>
      <c r="AT311" s="7" t="e">
        <v>#N/A</v>
      </c>
      <c r="AU311" s="7" t="e">
        <v>#N/A</v>
      </c>
    </row>
    <row r="312" spans="37:47" x14ac:dyDescent="0.25">
      <c r="AK312" t="str">
        <v>chevrolet chevette</v>
      </c>
      <c r="AL312" s="7" t="e">
        <v>#N/A</v>
      </c>
      <c r="AN312" s="7" t="e">
        <v>#N/A</v>
      </c>
      <c r="AP312" s="7" t="e">
        <v>#N/A</v>
      </c>
      <c r="AQ312" s="7" t="e">
        <v>#N/A</v>
      </c>
      <c r="AR312" s="7" t="e">
        <v>#N/A</v>
      </c>
      <c r="AS312" s="7" t="e">
        <v>#N/A</v>
      </c>
      <c r="AT312" s="7" t="e">
        <v>#N/A</v>
      </c>
      <c r="AU312" s="7" t="e">
        <v>#N/A</v>
      </c>
    </row>
    <row r="313" spans="37:47" x14ac:dyDescent="0.25">
      <c r="AK313" t="str">
        <v>datsun 310</v>
      </c>
      <c r="AL313" s="7" t="e">
        <v>#N/A</v>
      </c>
      <c r="AN313" s="7" t="e">
        <v>#N/A</v>
      </c>
      <c r="AP313" s="7" t="e">
        <v>#N/A</v>
      </c>
      <c r="AQ313" s="7" t="e">
        <v>#N/A</v>
      </c>
      <c r="AR313" s="7" t="e">
        <v>#N/A</v>
      </c>
      <c r="AS313" s="7" t="e">
        <v>#N/A</v>
      </c>
      <c r="AT313" s="7" t="e">
        <v>#N/A</v>
      </c>
      <c r="AU313" s="7" t="e">
        <v>#N/A</v>
      </c>
    </row>
    <row r="314" spans="37:47" x14ac:dyDescent="0.25">
      <c r="AK314" t="str">
        <v>chevrolet citation</v>
      </c>
      <c r="AL314" s="7" t="e">
        <v>#N/A</v>
      </c>
      <c r="AN314" s="7" t="e">
        <v>#N/A</v>
      </c>
      <c r="AP314" s="7" t="e">
        <v>#N/A</v>
      </c>
      <c r="AQ314" s="7" t="e">
        <v>#N/A</v>
      </c>
      <c r="AR314" s="7" t="e">
        <v>#N/A</v>
      </c>
      <c r="AS314" s="7" t="e">
        <v>#N/A</v>
      </c>
      <c r="AT314" s="7" t="e">
        <v>#N/A</v>
      </c>
      <c r="AU314" s="7" t="e">
        <v>#N/A</v>
      </c>
    </row>
    <row r="315" spans="37:47" x14ac:dyDescent="0.25">
      <c r="AK315" t="str">
        <v>ford fairmont</v>
      </c>
      <c r="AL315" s="7" t="e">
        <v>#N/A</v>
      </c>
      <c r="AN315" s="7" t="e">
        <v>#N/A</v>
      </c>
      <c r="AP315" s="7" t="e">
        <v>#N/A</v>
      </c>
      <c r="AQ315" s="7" t="e">
        <v>#N/A</v>
      </c>
      <c r="AR315" s="7" t="e">
        <v>#N/A</v>
      </c>
      <c r="AS315" s="7" t="e">
        <v>#N/A</v>
      </c>
      <c r="AT315" s="7" t="e">
        <v>#N/A</v>
      </c>
      <c r="AU315" s="7" t="e">
        <v>#N/A</v>
      </c>
    </row>
    <row r="316" spans="37:47" x14ac:dyDescent="0.25">
      <c r="AK316" t="str">
        <v>amc concord</v>
      </c>
      <c r="AL316" s="7" t="e">
        <v>#N/A</v>
      </c>
      <c r="AN316" s="7" t="e">
        <v>#N/A</v>
      </c>
      <c r="AP316" s="7" t="e">
        <v>#N/A</v>
      </c>
      <c r="AQ316" s="7" t="e">
        <v>#N/A</v>
      </c>
      <c r="AR316" s="7" t="e">
        <v>#N/A</v>
      </c>
      <c r="AS316" s="7" t="e">
        <v>#N/A</v>
      </c>
      <c r="AT316" s="7" t="e">
        <v>#N/A</v>
      </c>
      <c r="AU316" s="7" t="e">
        <v>#N/A</v>
      </c>
    </row>
    <row r="317" spans="37:47" x14ac:dyDescent="0.25">
      <c r="AK317" t="str">
        <v>dodge aspen</v>
      </c>
      <c r="AL317" s="7" t="e">
        <v>#N/A</v>
      </c>
      <c r="AN317" s="7" t="e">
        <v>#N/A</v>
      </c>
      <c r="AP317" s="7" t="e">
        <v>#N/A</v>
      </c>
      <c r="AQ317" s="7" t="e">
        <v>#N/A</v>
      </c>
      <c r="AR317" s="7" t="e">
        <v>#N/A</v>
      </c>
      <c r="AS317" s="7" t="e">
        <v>#N/A</v>
      </c>
      <c r="AT317" s="7" t="e">
        <v>#N/A</v>
      </c>
      <c r="AU317" s="7" t="e">
        <v>#N/A</v>
      </c>
    </row>
    <row r="318" spans="37:47" x14ac:dyDescent="0.25">
      <c r="AK318" t="str">
        <v>audi 4000</v>
      </c>
      <c r="AL318" s="7" t="e">
        <v>#N/A</v>
      </c>
      <c r="AN318" s="7" t="e">
        <v>#N/A</v>
      </c>
      <c r="AP318" s="7" t="e">
        <v>#N/A</v>
      </c>
      <c r="AQ318" s="7" t="e">
        <v>#N/A</v>
      </c>
      <c r="AR318" s="7" t="e">
        <v>#N/A</v>
      </c>
      <c r="AS318" s="7" t="e">
        <v>#N/A</v>
      </c>
      <c r="AT318" s="7" t="e">
        <v>#N/A</v>
      </c>
      <c r="AU318" s="7" t="e">
        <v>#N/A</v>
      </c>
    </row>
    <row r="319" spans="37:47" x14ac:dyDescent="0.25">
      <c r="AK319" t="str">
        <v>toyota corona liftback</v>
      </c>
      <c r="AL319" s="7" t="e">
        <v>#N/A</v>
      </c>
      <c r="AN319" s="7" t="e">
        <v>#N/A</v>
      </c>
      <c r="AP319" s="7" t="e">
        <v>#N/A</v>
      </c>
      <c r="AQ319" s="7" t="e">
        <v>#N/A</v>
      </c>
      <c r="AR319" s="7" t="e">
        <v>#N/A</v>
      </c>
      <c r="AS319" s="7" t="e">
        <v>#N/A</v>
      </c>
      <c r="AT319" s="7" t="e">
        <v>#N/A</v>
      </c>
      <c r="AU319" s="7" t="e">
        <v>#N/A</v>
      </c>
    </row>
    <row r="320" spans="37:47" x14ac:dyDescent="0.25">
      <c r="AK320" t="str">
        <v>mazda 626</v>
      </c>
      <c r="AL320" s="7" t="e">
        <v>#N/A</v>
      </c>
      <c r="AN320" s="7" t="e">
        <v>#N/A</v>
      </c>
      <c r="AP320" s="7" t="e">
        <v>#N/A</v>
      </c>
      <c r="AQ320" s="7" t="e">
        <v>#N/A</v>
      </c>
      <c r="AR320" s="7" t="e">
        <v>#N/A</v>
      </c>
      <c r="AS320" s="7" t="e">
        <v>#N/A</v>
      </c>
      <c r="AT320" s="7" t="e">
        <v>#N/A</v>
      </c>
      <c r="AU320" s="7" t="e">
        <v>#N/A</v>
      </c>
    </row>
    <row r="321" spans="37:47" x14ac:dyDescent="0.25">
      <c r="AK321" t="str">
        <v>datsun 510 hatchback</v>
      </c>
      <c r="AL321" s="7" t="e">
        <v>#N/A</v>
      </c>
      <c r="AN321" s="7" t="e">
        <v>#N/A</v>
      </c>
      <c r="AP321" s="7" t="e">
        <v>#N/A</v>
      </c>
      <c r="AQ321" s="7" t="e">
        <v>#N/A</v>
      </c>
      <c r="AR321" s="7" t="e">
        <v>#N/A</v>
      </c>
      <c r="AS321" s="7" t="e">
        <v>#N/A</v>
      </c>
      <c r="AT321" s="7" t="e">
        <v>#N/A</v>
      </c>
      <c r="AU321" s="7" t="e">
        <v>#N/A</v>
      </c>
    </row>
    <row r="322" spans="37:47" x14ac:dyDescent="0.25">
      <c r="AK322" t="str">
        <v>toyota corolla</v>
      </c>
      <c r="AL322" s="7" t="e">
        <v>#N/A</v>
      </c>
      <c r="AN322" s="7" t="e">
        <v>#N/A</v>
      </c>
      <c r="AP322" s="7" t="e">
        <v>#N/A</v>
      </c>
      <c r="AQ322" s="7" t="e">
        <v>#N/A</v>
      </c>
      <c r="AR322" s="7" t="e">
        <v>#N/A</v>
      </c>
      <c r="AS322" s="7" t="e">
        <v>#N/A</v>
      </c>
      <c r="AT322" s="7" t="e">
        <v>#N/A</v>
      </c>
      <c r="AU322" s="7" t="e">
        <v>#N/A</v>
      </c>
    </row>
    <row r="323" spans="37:47" x14ac:dyDescent="0.25">
      <c r="AK323" t="str">
        <v>mazda glc</v>
      </c>
      <c r="AL323" s="7" t="e">
        <v>#N/A</v>
      </c>
      <c r="AN323" s="7" t="e">
        <v>#N/A</v>
      </c>
      <c r="AP323" s="7" t="e">
        <v>#N/A</v>
      </c>
      <c r="AQ323" s="7" t="e">
        <v>#N/A</v>
      </c>
      <c r="AR323" s="7" t="e">
        <v>#N/A</v>
      </c>
      <c r="AS323" s="7" t="e">
        <v>#N/A</v>
      </c>
      <c r="AT323" s="7" t="e">
        <v>#N/A</v>
      </c>
      <c r="AU323" s="7" t="e">
        <v>#N/A</v>
      </c>
    </row>
    <row r="324" spans="37:47" x14ac:dyDescent="0.25">
      <c r="AK324" t="str">
        <v>dodge colt</v>
      </c>
      <c r="AL324" s="7" t="e">
        <v>#N/A</v>
      </c>
      <c r="AN324" s="7" t="e">
        <v>#N/A</v>
      </c>
      <c r="AP324" s="7" t="e">
        <v>#N/A</v>
      </c>
      <c r="AQ324" s="7" t="e">
        <v>#N/A</v>
      </c>
      <c r="AR324" s="7" t="e">
        <v>#N/A</v>
      </c>
      <c r="AS324" s="7" t="e">
        <v>#N/A</v>
      </c>
      <c r="AT324" s="7" t="e">
        <v>#N/A</v>
      </c>
      <c r="AU324" s="7" t="e">
        <v>#N/A</v>
      </c>
    </row>
    <row r="325" spans="37:47" x14ac:dyDescent="0.25">
      <c r="AK325" t="str">
        <v>datsun 210</v>
      </c>
      <c r="AL325" s="7" t="e">
        <v>#N/A</v>
      </c>
      <c r="AN325" s="7" t="e">
        <v>#N/A</v>
      </c>
      <c r="AP325" s="7" t="e">
        <v>#N/A</v>
      </c>
      <c r="AQ325" s="7" t="e">
        <v>#N/A</v>
      </c>
      <c r="AR325" s="7" t="e">
        <v>#N/A</v>
      </c>
      <c r="AS325" s="7" t="e">
        <v>#N/A</v>
      </c>
      <c r="AT325" s="7" t="e">
        <v>#N/A</v>
      </c>
      <c r="AU325" s="7" t="e">
        <v>#N/A</v>
      </c>
    </row>
    <row r="326" spans="37:47" x14ac:dyDescent="0.25">
      <c r="AK326" t="str">
        <v>vw rabbit c (diesel)</v>
      </c>
      <c r="AL326" s="7" t="e">
        <v>#N/A</v>
      </c>
      <c r="AN326" s="7" t="e">
        <v>#N/A</v>
      </c>
      <c r="AP326" s="7" t="e">
        <v>#N/A</v>
      </c>
      <c r="AQ326" s="7" t="e">
        <v>#N/A</v>
      </c>
      <c r="AR326" s="7" t="e">
        <v>#N/A</v>
      </c>
      <c r="AS326" s="7" t="e">
        <v>#N/A</v>
      </c>
      <c r="AT326" s="7" t="e">
        <v>#N/A</v>
      </c>
      <c r="AU326" s="7" t="e">
        <v>#N/A</v>
      </c>
    </row>
    <row r="327" spans="37:47" x14ac:dyDescent="0.25">
      <c r="AK327" t="str">
        <v>vw dasher (diesel)</v>
      </c>
      <c r="AL327" s="7" t="e">
        <v>#N/A</v>
      </c>
      <c r="AN327" s="7" t="e">
        <v>#N/A</v>
      </c>
      <c r="AP327" s="7" t="e">
        <v>#N/A</v>
      </c>
      <c r="AQ327" s="7" t="e">
        <v>#N/A</v>
      </c>
      <c r="AR327" s="7" t="e">
        <v>#N/A</v>
      </c>
      <c r="AS327" s="7" t="e">
        <v>#N/A</v>
      </c>
      <c r="AT327" s="7" t="e">
        <v>#N/A</v>
      </c>
      <c r="AU327" s="7" t="e">
        <v>#N/A</v>
      </c>
    </row>
    <row r="328" spans="37:47" x14ac:dyDescent="0.25">
      <c r="AK328" t="str">
        <v>audi 5000s (diesel)</v>
      </c>
      <c r="AL328" s="7" t="e">
        <v>#N/A</v>
      </c>
      <c r="AN328" s="7" t="e">
        <v>#N/A</v>
      </c>
      <c r="AP328" s="7" t="e">
        <v>#N/A</v>
      </c>
      <c r="AQ328" s="7" t="e">
        <v>#N/A</v>
      </c>
      <c r="AR328" s="7" t="e">
        <v>#N/A</v>
      </c>
      <c r="AS328" s="7" t="e">
        <v>#N/A</v>
      </c>
      <c r="AT328" s="7" t="e">
        <v>#N/A</v>
      </c>
      <c r="AU328" s="7" t="e">
        <v>#N/A</v>
      </c>
    </row>
    <row r="329" spans="37:47" x14ac:dyDescent="0.25">
      <c r="AK329" t="str">
        <v>mercedes-benz 240d</v>
      </c>
      <c r="AL329" s="7" t="e">
        <v>#N/A</v>
      </c>
      <c r="AN329" s="7" t="e">
        <v>#N/A</v>
      </c>
      <c r="AP329" s="7" t="e">
        <v>#N/A</v>
      </c>
      <c r="AQ329" s="7" t="e">
        <v>#N/A</v>
      </c>
      <c r="AR329" s="7" t="e">
        <v>#N/A</v>
      </c>
      <c r="AS329" s="7" t="e">
        <v>#N/A</v>
      </c>
      <c r="AT329" s="7" t="e">
        <v>#N/A</v>
      </c>
      <c r="AU329" s="7" t="e">
        <v>#N/A</v>
      </c>
    </row>
    <row r="330" spans="37:47" x14ac:dyDescent="0.25">
      <c r="AK330" t="str">
        <v>honda civic 1500 gl</v>
      </c>
      <c r="AL330" s="7" t="e">
        <v>#N/A</v>
      </c>
      <c r="AN330" s="7" t="e">
        <v>#N/A</v>
      </c>
      <c r="AP330" s="7" t="e">
        <v>#N/A</v>
      </c>
      <c r="AQ330" s="7" t="e">
        <v>#N/A</v>
      </c>
      <c r="AR330" s="7" t="e">
        <v>#N/A</v>
      </c>
      <c r="AS330" s="7" t="e">
        <v>#N/A</v>
      </c>
      <c r="AT330" s="7" t="e">
        <v>#N/A</v>
      </c>
      <c r="AU330" s="7" t="e">
        <v>#N/A</v>
      </c>
    </row>
    <row r="331" spans="37:47" x14ac:dyDescent="0.25">
      <c r="AK331" t="str">
        <v>subaru dl</v>
      </c>
      <c r="AL331" s="7" t="e">
        <v>#N/A</v>
      </c>
      <c r="AN331" s="7" t="e">
        <v>#N/A</v>
      </c>
      <c r="AP331" s="7" t="e">
        <v>#N/A</v>
      </c>
      <c r="AQ331" s="7" t="e">
        <v>#N/A</v>
      </c>
      <c r="AR331" s="7" t="e">
        <v>#N/A</v>
      </c>
      <c r="AS331" s="7" t="e">
        <v>#N/A</v>
      </c>
      <c r="AT331" s="7" t="e">
        <v>#N/A</v>
      </c>
      <c r="AU331" s="7" t="e">
        <v>#N/A</v>
      </c>
    </row>
    <row r="332" spans="37:47" x14ac:dyDescent="0.25">
      <c r="AK332" t="str">
        <v>vokswagen rabbit</v>
      </c>
      <c r="AL332" s="7" t="e">
        <v>#N/A</v>
      </c>
      <c r="AN332" s="7" t="e">
        <v>#N/A</v>
      </c>
      <c r="AP332" s="7" t="e">
        <v>#N/A</v>
      </c>
      <c r="AQ332" s="7" t="e">
        <v>#N/A</v>
      </c>
      <c r="AR332" s="7" t="e">
        <v>#N/A</v>
      </c>
      <c r="AS332" s="7" t="e">
        <v>#N/A</v>
      </c>
      <c r="AT332" s="7" t="e">
        <v>#N/A</v>
      </c>
      <c r="AU332" s="7" t="e">
        <v>#N/A</v>
      </c>
    </row>
    <row r="333" spans="37:47" x14ac:dyDescent="0.25">
      <c r="AK333" t="str">
        <v>datsun 280-zx</v>
      </c>
      <c r="AL333" s="7" t="e">
        <v>#N/A</v>
      </c>
      <c r="AN333" s="7" t="e">
        <v>#N/A</v>
      </c>
      <c r="AP333" s="7" t="e">
        <v>#N/A</v>
      </c>
      <c r="AQ333" s="7" t="e">
        <v>#N/A</v>
      </c>
      <c r="AR333" s="7" t="e">
        <v>#N/A</v>
      </c>
      <c r="AS333" s="7" t="e">
        <v>#N/A</v>
      </c>
      <c r="AT333" s="7" t="e">
        <v>#N/A</v>
      </c>
      <c r="AU333" s="7" t="e">
        <v>#N/A</v>
      </c>
    </row>
    <row r="334" spans="37:47" x14ac:dyDescent="0.25">
      <c r="AK334" t="str">
        <v>mazda rx-7 gs</v>
      </c>
      <c r="AL334" s="7" t="e">
        <v>#N/A</v>
      </c>
      <c r="AN334" s="7" t="e">
        <v>#N/A</v>
      </c>
      <c r="AP334" s="7" t="e">
        <v>#N/A</v>
      </c>
      <c r="AQ334" s="7" t="e">
        <v>#N/A</v>
      </c>
      <c r="AR334" s="7" t="e">
        <v>#N/A</v>
      </c>
      <c r="AS334" s="7" t="e">
        <v>#N/A</v>
      </c>
      <c r="AT334" s="7" t="e">
        <v>#N/A</v>
      </c>
      <c r="AU334" s="7" t="e">
        <v>#N/A</v>
      </c>
    </row>
    <row r="335" spans="37:47" x14ac:dyDescent="0.25">
      <c r="AK335" t="str">
        <v>triumph tr7 coupe</v>
      </c>
      <c r="AL335" s="7" t="e">
        <v>#N/A</v>
      </c>
      <c r="AN335" s="7" t="e">
        <v>#N/A</v>
      </c>
      <c r="AP335" s="7" t="e">
        <v>#N/A</v>
      </c>
      <c r="AQ335" s="7" t="e">
        <v>#N/A</v>
      </c>
      <c r="AR335" s="7" t="e">
        <v>#N/A</v>
      </c>
      <c r="AS335" s="7" t="e">
        <v>#N/A</v>
      </c>
      <c r="AT335" s="7" t="e">
        <v>#N/A</v>
      </c>
      <c r="AU335" s="7" t="e">
        <v>#N/A</v>
      </c>
    </row>
    <row r="336" spans="37:47" x14ac:dyDescent="0.25">
      <c r="AK336" t="str">
        <v>honda accord</v>
      </c>
      <c r="AL336" s="7" t="e">
        <v>#N/A</v>
      </c>
      <c r="AN336" s="7" t="e">
        <v>#N/A</v>
      </c>
      <c r="AP336" s="7" t="e">
        <v>#N/A</v>
      </c>
      <c r="AQ336" s="7" t="e">
        <v>#N/A</v>
      </c>
      <c r="AR336" s="7" t="e">
        <v>#N/A</v>
      </c>
      <c r="AS336" s="7" t="e">
        <v>#N/A</v>
      </c>
      <c r="AT336" s="7" t="e">
        <v>#N/A</v>
      </c>
      <c r="AU336" s="7" t="e">
        <v>#N/A</v>
      </c>
    </row>
    <row r="337" spans="37:47" x14ac:dyDescent="0.25">
      <c r="AK337" t="str">
        <v>plymouth reliant</v>
      </c>
      <c r="AL337" s="7" t="e">
        <v>#N/A</v>
      </c>
      <c r="AN337" s="7" t="e">
        <v>#N/A</v>
      </c>
      <c r="AP337" s="7" t="e">
        <v>#N/A</v>
      </c>
      <c r="AQ337" s="7" t="e">
        <v>#N/A</v>
      </c>
      <c r="AR337" s="7" t="e">
        <v>#N/A</v>
      </c>
      <c r="AS337" s="7" t="e">
        <v>#N/A</v>
      </c>
      <c r="AT337" s="7" t="e">
        <v>#N/A</v>
      </c>
      <c r="AU337" s="7" t="e">
        <v>#N/A</v>
      </c>
    </row>
    <row r="338" spans="37:47" x14ac:dyDescent="0.25">
      <c r="AK338" t="str">
        <v>buick skylark</v>
      </c>
      <c r="AL338" s="7" t="e">
        <v>#N/A</v>
      </c>
      <c r="AN338" s="7" t="e">
        <v>#N/A</v>
      </c>
      <c r="AP338" s="7" t="e">
        <v>#N/A</v>
      </c>
      <c r="AQ338" s="7" t="e">
        <v>#N/A</v>
      </c>
      <c r="AR338" s="7" t="e">
        <v>#N/A</v>
      </c>
      <c r="AS338" s="7" t="e">
        <v>#N/A</v>
      </c>
      <c r="AT338" s="7" t="e">
        <v>#N/A</v>
      </c>
      <c r="AU338" s="7" t="e">
        <v>#N/A</v>
      </c>
    </row>
    <row r="339" spans="37:47" x14ac:dyDescent="0.25">
      <c r="AK339" t="str">
        <v>dodge aries wagon (sw)</v>
      </c>
      <c r="AL339" s="7" t="e">
        <v>#N/A</v>
      </c>
      <c r="AN339" s="7" t="e">
        <v>#N/A</v>
      </c>
      <c r="AP339" s="7" t="e">
        <v>#N/A</v>
      </c>
      <c r="AQ339" s="7" t="e">
        <v>#N/A</v>
      </c>
      <c r="AR339" s="7" t="e">
        <v>#N/A</v>
      </c>
      <c r="AS339" s="7" t="e">
        <v>#N/A</v>
      </c>
      <c r="AT339" s="7" t="e">
        <v>#N/A</v>
      </c>
      <c r="AU339" s="7" t="e">
        <v>#N/A</v>
      </c>
    </row>
    <row r="340" spans="37:47" x14ac:dyDescent="0.25">
      <c r="AK340" t="str">
        <v>chevrolet citation</v>
      </c>
      <c r="AL340" s="7" t="e">
        <v>#N/A</v>
      </c>
      <c r="AN340" s="7" t="e">
        <v>#N/A</v>
      </c>
      <c r="AP340" s="7" t="e">
        <v>#N/A</v>
      </c>
      <c r="AQ340" s="7" t="e">
        <v>#N/A</v>
      </c>
      <c r="AR340" s="7" t="e">
        <v>#N/A</v>
      </c>
      <c r="AS340" s="7" t="e">
        <v>#N/A</v>
      </c>
      <c r="AT340" s="7" t="e">
        <v>#N/A</v>
      </c>
      <c r="AU340" s="7" t="e">
        <v>#N/A</v>
      </c>
    </row>
    <row r="341" spans="37:47" x14ac:dyDescent="0.25">
      <c r="AK341" t="str">
        <v>plymouth reliant</v>
      </c>
      <c r="AL341" s="7" t="e">
        <v>#N/A</v>
      </c>
      <c r="AN341" s="7" t="e">
        <v>#N/A</v>
      </c>
      <c r="AP341" s="7" t="e">
        <v>#N/A</v>
      </c>
      <c r="AQ341" s="7" t="e">
        <v>#N/A</v>
      </c>
      <c r="AR341" s="7" t="e">
        <v>#N/A</v>
      </c>
      <c r="AS341" s="7" t="e">
        <v>#N/A</v>
      </c>
      <c r="AT341" s="7" t="e">
        <v>#N/A</v>
      </c>
      <c r="AU341" s="7" t="e">
        <v>#N/A</v>
      </c>
    </row>
    <row r="342" spans="37:47" x14ac:dyDescent="0.25">
      <c r="AK342" t="str">
        <v>toyota starlet</v>
      </c>
      <c r="AL342" s="7" t="e">
        <v>#N/A</v>
      </c>
      <c r="AN342" s="7" t="e">
        <v>#N/A</v>
      </c>
      <c r="AP342" s="7" t="e">
        <v>#N/A</v>
      </c>
      <c r="AQ342" s="7" t="e">
        <v>#N/A</v>
      </c>
      <c r="AR342" s="7" t="e">
        <v>#N/A</v>
      </c>
      <c r="AS342" s="7" t="e">
        <v>#N/A</v>
      </c>
      <c r="AT342" s="7" t="e">
        <v>#N/A</v>
      </c>
      <c r="AU342" s="7" t="e">
        <v>#N/A</v>
      </c>
    </row>
    <row r="343" spans="37:47" x14ac:dyDescent="0.25">
      <c r="AK343" t="str">
        <v>plymouth champ</v>
      </c>
      <c r="AL343" s="7" t="e">
        <v>#N/A</v>
      </c>
      <c r="AN343" s="7" t="e">
        <v>#N/A</v>
      </c>
      <c r="AP343" s="7" t="e">
        <v>#N/A</v>
      </c>
      <c r="AQ343" s="7" t="e">
        <v>#N/A</v>
      </c>
      <c r="AR343" s="7" t="e">
        <v>#N/A</v>
      </c>
      <c r="AS343" s="7" t="e">
        <v>#N/A</v>
      </c>
      <c r="AT343" s="7" t="e">
        <v>#N/A</v>
      </c>
      <c r="AU343" s="7" t="e">
        <v>#N/A</v>
      </c>
    </row>
    <row r="344" spans="37:47" x14ac:dyDescent="0.25">
      <c r="AK344" t="str">
        <v>honda civic 1300</v>
      </c>
      <c r="AL344" s="7" t="e">
        <v>#N/A</v>
      </c>
      <c r="AN344" s="7" t="e">
        <v>#N/A</v>
      </c>
      <c r="AP344" s="7" t="e">
        <v>#N/A</v>
      </c>
      <c r="AQ344" s="7" t="e">
        <v>#N/A</v>
      </c>
      <c r="AR344" s="7" t="e">
        <v>#N/A</v>
      </c>
      <c r="AS344" s="7" t="e">
        <v>#N/A</v>
      </c>
      <c r="AT344" s="7" t="e">
        <v>#N/A</v>
      </c>
      <c r="AU344" s="7" t="e">
        <v>#N/A</v>
      </c>
    </row>
    <row r="345" spans="37:47" x14ac:dyDescent="0.25">
      <c r="AK345" t="str">
        <v>subaru</v>
      </c>
      <c r="AL345" s="7" t="e">
        <v>#N/A</v>
      </c>
      <c r="AN345" s="7" t="e">
        <v>#N/A</v>
      </c>
      <c r="AP345" s="7" t="e">
        <v>#N/A</v>
      </c>
      <c r="AQ345" s="7" t="e">
        <v>#N/A</v>
      </c>
      <c r="AR345" s="7" t="e">
        <v>#N/A</v>
      </c>
      <c r="AS345" s="7" t="e">
        <v>#N/A</v>
      </c>
      <c r="AT345" s="7" t="e">
        <v>#N/A</v>
      </c>
      <c r="AU345" s="7" t="e">
        <v>#N/A</v>
      </c>
    </row>
    <row r="346" spans="37:47" x14ac:dyDescent="0.25">
      <c r="AK346" t="str">
        <v>datsun 210 mpg</v>
      </c>
      <c r="AL346" s="7" t="e">
        <v>#N/A</v>
      </c>
      <c r="AN346" s="7" t="e">
        <v>#N/A</v>
      </c>
      <c r="AP346" s="7" t="e">
        <v>#N/A</v>
      </c>
      <c r="AQ346" s="7" t="e">
        <v>#N/A</v>
      </c>
      <c r="AR346" s="7" t="e">
        <v>#N/A</v>
      </c>
      <c r="AS346" s="7" t="e">
        <v>#N/A</v>
      </c>
      <c r="AT346" s="7" t="e">
        <v>#N/A</v>
      </c>
      <c r="AU346" s="7" t="e">
        <v>#N/A</v>
      </c>
    </row>
    <row r="347" spans="37:47" x14ac:dyDescent="0.25">
      <c r="AK347" t="str">
        <v>toyota tercel</v>
      </c>
      <c r="AL347" s="7" t="e">
        <v>#N/A</v>
      </c>
      <c r="AN347" s="7" t="e">
        <v>#N/A</v>
      </c>
      <c r="AP347" s="7" t="e">
        <v>#N/A</v>
      </c>
      <c r="AQ347" s="7" t="e">
        <v>#N/A</v>
      </c>
      <c r="AR347" s="7" t="e">
        <v>#N/A</v>
      </c>
      <c r="AS347" s="7" t="e">
        <v>#N/A</v>
      </c>
      <c r="AT347" s="7" t="e">
        <v>#N/A</v>
      </c>
      <c r="AU347" s="7" t="e">
        <v>#N/A</v>
      </c>
    </row>
    <row r="348" spans="37:47" x14ac:dyDescent="0.25">
      <c r="AK348" t="str">
        <v>mazda glc 4</v>
      </c>
      <c r="AL348" s="7" t="e">
        <v>#N/A</v>
      </c>
      <c r="AN348" s="7" t="e">
        <v>#N/A</v>
      </c>
      <c r="AP348" s="7" t="e">
        <v>#N/A</v>
      </c>
      <c r="AQ348" s="7" t="e">
        <v>#N/A</v>
      </c>
      <c r="AR348" s="7" t="e">
        <v>#N/A</v>
      </c>
      <c r="AS348" s="7" t="e">
        <v>#N/A</v>
      </c>
      <c r="AT348" s="7" t="e">
        <v>#N/A</v>
      </c>
      <c r="AU348" s="7" t="e">
        <v>#N/A</v>
      </c>
    </row>
    <row r="349" spans="37:47" x14ac:dyDescent="0.25">
      <c r="AK349" t="str">
        <v>plymouth horizon 4</v>
      </c>
      <c r="AL349" s="7" t="e">
        <v>#N/A</v>
      </c>
      <c r="AN349" s="7" t="e">
        <v>#N/A</v>
      </c>
      <c r="AP349" s="7" t="e">
        <v>#N/A</v>
      </c>
      <c r="AQ349" s="7" t="e">
        <v>#N/A</v>
      </c>
      <c r="AR349" s="7" t="e">
        <v>#N/A</v>
      </c>
      <c r="AS349" s="7" t="e">
        <v>#N/A</v>
      </c>
      <c r="AT349" s="7" t="e">
        <v>#N/A</v>
      </c>
      <c r="AU349" s="7" t="e">
        <v>#N/A</v>
      </c>
    </row>
    <row r="350" spans="37:47" x14ac:dyDescent="0.25">
      <c r="AK350" t="str">
        <v>ford escort 4w</v>
      </c>
      <c r="AL350" s="7" t="e">
        <v>#N/A</v>
      </c>
      <c r="AN350" s="7" t="e">
        <v>#N/A</v>
      </c>
      <c r="AP350" s="7" t="e">
        <v>#N/A</v>
      </c>
      <c r="AQ350" s="7" t="e">
        <v>#N/A</v>
      </c>
      <c r="AR350" s="7" t="e">
        <v>#N/A</v>
      </c>
      <c r="AS350" s="7" t="e">
        <v>#N/A</v>
      </c>
      <c r="AT350" s="7" t="e">
        <v>#N/A</v>
      </c>
      <c r="AU350" s="7" t="e">
        <v>#N/A</v>
      </c>
    </row>
    <row r="351" spans="37:47" x14ac:dyDescent="0.25">
      <c r="AK351" t="str">
        <v>ford escort 2h</v>
      </c>
      <c r="AL351" s="7" t="e">
        <v>#N/A</v>
      </c>
      <c r="AN351" s="7" t="e">
        <v>#N/A</v>
      </c>
      <c r="AP351" s="7" t="e">
        <v>#N/A</v>
      </c>
      <c r="AQ351" s="7" t="e">
        <v>#N/A</v>
      </c>
      <c r="AR351" s="7" t="e">
        <v>#N/A</v>
      </c>
      <c r="AS351" s="7" t="e">
        <v>#N/A</v>
      </c>
      <c r="AT351" s="7" t="e">
        <v>#N/A</v>
      </c>
      <c r="AU351" s="7" t="e">
        <v>#N/A</v>
      </c>
    </row>
    <row r="352" spans="37:47" x14ac:dyDescent="0.25">
      <c r="AK352" t="str">
        <v>volkswagen jetta</v>
      </c>
      <c r="AL352" s="7" t="e">
        <v>#N/A</v>
      </c>
      <c r="AN352" s="7" t="e">
        <v>#N/A</v>
      </c>
      <c r="AP352" s="7" t="e">
        <v>#N/A</v>
      </c>
      <c r="AQ352" s="7" t="e">
        <v>#N/A</v>
      </c>
      <c r="AR352" s="7" t="e">
        <v>#N/A</v>
      </c>
      <c r="AS352" s="7" t="e">
        <v>#N/A</v>
      </c>
      <c r="AT352" s="7" t="e">
        <v>#N/A</v>
      </c>
      <c r="AU352" s="7" t="e">
        <v>#N/A</v>
      </c>
    </row>
    <row r="353" spans="37:47" x14ac:dyDescent="0.25">
      <c r="AK353" t="str">
        <v>honda prelude</v>
      </c>
      <c r="AL353" s="7" t="e">
        <v>#N/A</v>
      </c>
      <c r="AN353" s="7" t="e">
        <v>#N/A</v>
      </c>
      <c r="AP353" s="7" t="e">
        <v>#N/A</v>
      </c>
      <c r="AQ353" s="7" t="e">
        <v>#N/A</v>
      </c>
      <c r="AR353" s="7" t="e">
        <v>#N/A</v>
      </c>
      <c r="AS353" s="7" t="e">
        <v>#N/A</v>
      </c>
      <c r="AT353" s="7" t="e">
        <v>#N/A</v>
      </c>
      <c r="AU353" s="7" t="e">
        <v>#N/A</v>
      </c>
    </row>
    <row r="354" spans="37:47" x14ac:dyDescent="0.25">
      <c r="AK354" t="str">
        <v>toyota corolla</v>
      </c>
      <c r="AL354" s="7" t="e">
        <v>#N/A</v>
      </c>
      <c r="AN354" s="7" t="e">
        <v>#N/A</v>
      </c>
      <c r="AP354" s="7" t="e">
        <v>#N/A</v>
      </c>
      <c r="AQ354" s="7" t="e">
        <v>#N/A</v>
      </c>
      <c r="AR354" s="7" t="e">
        <v>#N/A</v>
      </c>
      <c r="AS354" s="7" t="e">
        <v>#N/A</v>
      </c>
      <c r="AT354" s="7" t="e">
        <v>#N/A</v>
      </c>
      <c r="AU354" s="7" t="e">
        <v>#N/A</v>
      </c>
    </row>
    <row r="355" spans="37:47" x14ac:dyDescent="0.25">
      <c r="AK355" t="str">
        <v>datsun 200sx</v>
      </c>
      <c r="AL355" s="7" t="e">
        <v>#N/A</v>
      </c>
      <c r="AN355" s="7" t="e">
        <v>#N/A</v>
      </c>
      <c r="AP355" s="7" t="e">
        <v>#N/A</v>
      </c>
      <c r="AQ355" s="7" t="e">
        <v>#N/A</v>
      </c>
      <c r="AR355" s="7" t="e">
        <v>#N/A</v>
      </c>
      <c r="AS355" s="7" t="e">
        <v>#N/A</v>
      </c>
      <c r="AT355" s="7" t="e">
        <v>#N/A</v>
      </c>
      <c r="AU355" s="7" t="e">
        <v>#N/A</v>
      </c>
    </row>
    <row r="356" spans="37:47" x14ac:dyDescent="0.25">
      <c r="AK356" t="str">
        <v>mazda 626</v>
      </c>
      <c r="AL356" s="7" t="e">
        <v>#N/A</v>
      </c>
      <c r="AN356" s="7" t="e">
        <v>#N/A</v>
      </c>
      <c r="AP356" s="7" t="e">
        <v>#N/A</v>
      </c>
      <c r="AQ356" s="7" t="e">
        <v>#N/A</v>
      </c>
      <c r="AR356" s="7" t="e">
        <v>#N/A</v>
      </c>
      <c r="AS356" s="7" t="e">
        <v>#N/A</v>
      </c>
      <c r="AT356" s="7" t="e">
        <v>#N/A</v>
      </c>
      <c r="AU356" s="7" t="e">
        <v>#N/A</v>
      </c>
    </row>
    <row r="357" spans="37:47" x14ac:dyDescent="0.25">
      <c r="AK357" t="str">
        <v>peugeot 505s turbo diesel</v>
      </c>
      <c r="AL357" s="7" t="e">
        <v>#N/A</v>
      </c>
      <c r="AN357" s="7" t="e">
        <v>#N/A</v>
      </c>
      <c r="AP357" s="7" t="e">
        <v>#N/A</v>
      </c>
      <c r="AQ357" s="7" t="e">
        <v>#N/A</v>
      </c>
      <c r="AR357" s="7" t="e">
        <v>#N/A</v>
      </c>
      <c r="AS357" s="7" t="e">
        <v>#N/A</v>
      </c>
      <c r="AT357" s="7" t="e">
        <v>#N/A</v>
      </c>
      <c r="AU357" s="7" t="e">
        <v>#N/A</v>
      </c>
    </row>
    <row r="358" spans="37:47" x14ac:dyDescent="0.25">
      <c r="AK358" t="str">
        <v>volvo diesel</v>
      </c>
      <c r="AL358" s="7" t="e">
        <v>#N/A</v>
      </c>
      <c r="AN358" s="7" t="e">
        <v>#N/A</v>
      </c>
      <c r="AP358" s="7" t="e">
        <v>#N/A</v>
      </c>
      <c r="AQ358" s="7" t="e">
        <v>#N/A</v>
      </c>
      <c r="AR358" s="7" t="e">
        <v>#N/A</v>
      </c>
      <c r="AS358" s="7" t="e">
        <v>#N/A</v>
      </c>
      <c r="AT358" s="7" t="e">
        <v>#N/A</v>
      </c>
      <c r="AU358" s="7" t="e">
        <v>#N/A</v>
      </c>
    </row>
    <row r="359" spans="37:47" x14ac:dyDescent="0.25">
      <c r="AK359" t="str">
        <v>toyota cressida</v>
      </c>
      <c r="AL359" s="7" t="e">
        <v>#N/A</v>
      </c>
      <c r="AN359" s="7" t="e">
        <v>#N/A</v>
      </c>
      <c r="AP359" s="7" t="e">
        <v>#N/A</v>
      </c>
      <c r="AQ359" s="7" t="e">
        <v>#N/A</v>
      </c>
      <c r="AR359" s="7" t="e">
        <v>#N/A</v>
      </c>
      <c r="AS359" s="7" t="e">
        <v>#N/A</v>
      </c>
      <c r="AT359" s="7" t="e">
        <v>#N/A</v>
      </c>
      <c r="AU359" s="7" t="e">
        <v>#N/A</v>
      </c>
    </row>
    <row r="360" spans="37:47" x14ac:dyDescent="0.25">
      <c r="AK360" t="str">
        <v>datsun 810 maxima</v>
      </c>
      <c r="AL360" s="7" t="e">
        <v>#N/A</v>
      </c>
      <c r="AN360" s="7" t="e">
        <v>#N/A</v>
      </c>
      <c r="AP360" s="7" t="e">
        <v>#N/A</v>
      </c>
      <c r="AQ360" s="7" t="e">
        <v>#N/A</v>
      </c>
      <c r="AR360" s="7" t="e">
        <v>#N/A</v>
      </c>
      <c r="AS360" s="7" t="e">
        <v>#N/A</v>
      </c>
      <c r="AT360" s="7" t="e">
        <v>#N/A</v>
      </c>
      <c r="AU360" s="7" t="e">
        <v>#N/A</v>
      </c>
    </row>
    <row r="361" spans="37:47" x14ac:dyDescent="0.25">
      <c r="AK361" t="str">
        <v>buick century</v>
      </c>
      <c r="AL361" s="7" t="e">
        <v>#N/A</v>
      </c>
      <c r="AN361" s="7" t="e">
        <v>#N/A</v>
      </c>
      <c r="AP361" s="7" t="e">
        <v>#N/A</v>
      </c>
      <c r="AQ361" s="7" t="e">
        <v>#N/A</v>
      </c>
      <c r="AR361" s="7" t="e">
        <v>#N/A</v>
      </c>
      <c r="AS361" s="7" t="e">
        <v>#N/A</v>
      </c>
      <c r="AT361" s="7" t="e">
        <v>#N/A</v>
      </c>
      <c r="AU361" s="7" t="e">
        <v>#N/A</v>
      </c>
    </row>
    <row r="362" spans="37:47" x14ac:dyDescent="0.25">
      <c r="AK362" t="str">
        <v>oldsmobile cutlass ls</v>
      </c>
      <c r="AL362" s="7" t="e">
        <v>#N/A</v>
      </c>
      <c r="AN362" s="7" t="e">
        <v>#N/A</v>
      </c>
      <c r="AP362" s="7" t="e">
        <v>#N/A</v>
      </c>
      <c r="AQ362" s="7" t="e">
        <v>#N/A</v>
      </c>
      <c r="AR362" s="7" t="e">
        <v>#N/A</v>
      </c>
      <c r="AS362" s="7" t="e">
        <v>#N/A</v>
      </c>
      <c r="AT362" s="7" t="e">
        <v>#N/A</v>
      </c>
      <c r="AU362" s="7" t="e">
        <v>#N/A</v>
      </c>
    </row>
    <row r="363" spans="37:47" x14ac:dyDescent="0.25">
      <c r="AK363" t="str">
        <v>ford granada gl</v>
      </c>
      <c r="AL363" s="7" t="e">
        <v>#N/A</v>
      </c>
      <c r="AN363" s="7" t="e">
        <v>#N/A</v>
      </c>
      <c r="AP363" s="7" t="e">
        <v>#N/A</v>
      </c>
      <c r="AQ363" s="7" t="e">
        <v>#N/A</v>
      </c>
      <c r="AR363" s="7" t="e">
        <v>#N/A</v>
      </c>
      <c r="AS363" s="7" t="e">
        <v>#N/A</v>
      </c>
      <c r="AT363" s="7" t="e">
        <v>#N/A</v>
      </c>
      <c r="AU363" s="7" t="e">
        <v>#N/A</v>
      </c>
    </row>
    <row r="364" spans="37:47" x14ac:dyDescent="0.25">
      <c r="AK364" t="str">
        <v>chrysler lebaron salon</v>
      </c>
      <c r="AL364" s="7" t="e">
        <v>#N/A</v>
      </c>
      <c r="AN364" s="7" t="e">
        <v>#N/A</v>
      </c>
      <c r="AP364" s="7" t="e">
        <v>#N/A</v>
      </c>
      <c r="AQ364" s="7" t="e">
        <v>#N/A</v>
      </c>
      <c r="AR364" s="7" t="e">
        <v>#N/A</v>
      </c>
      <c r="AS364" s="7" t="e">
        <v>#N/A</v>
      </c>
      <c r="AT364" s="7" t="e">
        <v>#N/A</v>
      </c>
      <c r="AU364" s="7" t="e">
        <v>#N/A</v>
      </c>
    </row>
    <row r="365" spans="37:47" x14ac:dyDescent="0.25">
      <c r="AK365" t="str">
        <v>chevrolet cavalier</v>
      </c>
      <c r="AL365" s="7" t="e">
        <v>#N/A</v>
      </c>
      <c r="AN365" s="7" t="e">
        <v>#N/A</v>
      </c>
      <c r="AP365" s="7" t="e">
        <v>#N/A</v>
      </c>
      <c r="AQ365" s="7" t="e">
        <v>#N/A</v>
      </c>
      <c r="AR365" s="7" t="e">
        <v>#N/A</v>
      </c>
      <c r="AS365" s="7" t="e">
        <v>#N/A</v>
      </c>
      <c r="AT365" s="7" t="e">
        <v>#N/A</v>
      </c>
      <c r="AU365" s="7" t="e">
        <v>#N/A</v>
      </c>
    </row>
    <row r="366" spans="37:47" x14ac:dyDescent="0.25">
      <c r="AK366" t="str">
        <v>chevrolet cavalier wagon</v>
      </c>
      <c r="AL366" s="7" t="e">
        <v>#N/A</v>
      </c>
      <c r="AN366" s="7" t="e">
        <v>#N/A</v>
      </c>
      <c r="AP366" s="7" t="e">
        <v>#N/A</v>
      </c>
      <c r="AQ366" s="7" t="e">
        <v>#N/A</v>
      </c>
      <c r="AR366" s="7" t="e">
        <v>#N/A</v>
      </c>
      <c r="AS366" s="7" t="e">
        <v>#N/A</v>
      </c>
      <c r="AT366" s="7" t="e">
        <v>#N/A</v>
      </c>
      <c r="AU366" s="7" t="e">
        <v>#N/A</v>
      </c>
    </row>
    <row r="367" spans="37:47" x14ac:dyDescent="0.25">
      <c r="AK367" t="str">
        <v>chevrolet cavalier 2-door</v>
      </c>
      <c r="AL367" s="7" t="e">
        <v>#N/A</v>
      </c>
      <c r="AN367" s="7" t="e">
        <v>#N/A</v>
      </c>
      <c r="AP367" s="7" t="e">
        <v>#N/A</v>
      </c>
      <c r="AQ367" s="7" t="e">
        <v>#N/A</v>
      </c>
      <c r="AR367" s="7" t="e">
        <v>#N/A</v>
      </c>
      <c r="AS367" s="7" t="e">
        <v>#N/A</v>
      </c>
      <c r="AT367" s="7" t="e">
        <v>#N/A</v>
      </c>
      <c r="AU367" s="7" t="e">
        <v>#N/A</v>
      </c>
    </row>
    <row r="368" spans="37:47" x14ac:dyDescent="0.25">
      <c r="AK368" t="str">
        <v>pontiac j2000 se hatchback</v>
      </c>
      <c r="AL368" s="7" t="e">
        <v>#N/A</v>
      </c>
      <c r="AN368" s="7" t="e">
        <v>#N/A</v>
      </c>
      <c r="AP368" s="7" t="e">
        <v>#N/A</v>
      </c>
      <c r="AQ368" s="7" t="e">
        <v>#N/A</v>
      </c>
      <c r="AR368" s="7" t="e">
        <v>#N/A</v>
      </c>
      <c r="AS368" s="7" t="e">
        <v>#N/A</v>
      </c>
      <c r="AT368" s="7" t="e">
        <v>#N/A</v>
      </c>
      <c r="AU368" s="7" t="e">
        <v>#N/A</v>
      </c>
    </row>
    <row r="369" spans="37:47" x14ac:dyDescent="0.25">
      <c r="AK369" t="str">
        <v>dodge aries se</v>
      </c>
      <c r="AL369" s="7" t="e">
        <v>#N/A</v>
      </c>
      <c r="AN369" s="7" t="e">
        <v>#N/A</v>
      </c>
      <c r="AP369" s="7" t="e">
        <v>#N/A</v>
      </c>
      <c r="AQ369" s="7" t="e">
        <v>#N/A</v>
      </c>
      <c r="AR369" s="7" t="e">
        <v>#N/A</v>
      </c>
      <c r="AS369" s="7" t="e">
        <v>#N/A</v>
      </c>
      <c r="AT369" s="7" t="e">
        <v>#N/A</v>
      </c>
      <c r="AU369" s="7" t="e">
        <v>#N/A</v>
      </c>
    </row>
    <row r="370" spans="37:47" x14ac:dyDescent="0.25">
      <c r="AK370" t="str">
        <v>pontiac phoenix</v>
      </c>
      <c r="AL370" s="7" t="e">
        <v>#N/A</v>
      </c>
      <c r="AN370" s="7" t="e">
        <v>#N/A</v>
      </c>
      <c r="AP370" s="7" t="e">
        <v>#N/A</v>
      </c>
      <c r="AQ370" s="7" t="e">
        <v>#N/A</v>
      </c>
      <c r="AR370" s="7" t="e">
        <v>#N/A</v>
      </c>
      <c r="AS370" s="7" t="e">
        <v>#N/A</v>
      </c>
      <c r="AT370" s="7" t="e">
        <v>#N/A</v>
      </c>
      <c r="AU370" s="7" t="e">
        <v>#N/A</v>
      </c>
    </row>
    <row r="371" spans="37:47" x14ac:dyDescent="0.25">
      <c r="AK371" t="str">
        <v>ford fairmont futura</v>
      </c>
      <c r="AL371" s="7" t="e">
        <v>#N/A</v>
      </c>
      <c r="AN371" s="7" t="e">
        <v>#N/A</v>
      </c>
      <c r="AP371" s="7" t="e">
        <v>#N/A</v>
      </c>
      <c r="AQ371" s="7" t="e">
        <v>#N/A</v>
      </c>
      <c r="AR371" s="7" t="e">
        <v>#N/A</v>
      </c>
      <c r="AS371" s="7" t="e">
        <v>#N/A</v>
      </c>
      <c r="AT371" s="7" t="e">
        <v>#N/A</v>
      </c>
      <c r="AU371" s="7" t="e">
        <v>#N/A</v>
      </c>
    </row>
    <row r="372" spans="37:47" x14ac:dyDescent="0.25">
      <c r="AK372" t="str">
        <v>volkswagen rabbit l</v>
      </c>
      <c r="AL372" s="7" t="e">
        <v>#N/A</v>
      </c>
      <c r="AN372" s="7" t="e">
        <v>#N/A</v>
      </c>
      <c r="AP372" s="7" t="e">
        <v>#N/A</v>
      </c>
      <c r="AQ372" s="7" t="e">
        <v>#N/A</v>
      </c>
      <c r="AR372" s="7" t="e">
        <v>#N/A</v>
      </c>
      <c r="AS372" s="7" t="e">
        <v>#N/A</v>
      </c>
      <c r="AT372" s="7" t="e">
        <v>#N/A</v>
      </c>
      <c r="AU372" s="7" t="e">
        <v>#N/A</v>
      </c>
    </row>
    <row r="373" spans="37:47" x14ac:dyDescent="0.25">
      <c r="AK373" t="str">
        <v>mazda glc custom l</v>
      </c>
      <c r="AL373" s="7" t="e">
        <v>#N/A</v>
      </c>
      <c r="AN373" s="7" t="e">
        <v>#N/A</v>
      </c>
      <c r="AP373" s="7" t="e">
        <v>#N/A</v>
      </c>
      <c r="AQ373" s="7" t="e">
        <v>#N/A</v>
      </c>
      <c r="AR373" s="7" t="e">
        <v>#N/A</v>
      </c>
      <c r="AS373" s="7" t="e">
        <v>#N/A</v>
      </c>
      <c r="AT373" s="7" t="e">
        <v>#N/A</v>
      </c>
      <c r="AU373" s="7" t="e">
        <v>#N/A</v>
      </c>
    </row>
    <row r="374" spans="37:47" x14ac:dyDescent="0.25">
      <c r="AK374" t="str">
        <v>mazda glc custom</v>
      </c>
      <c r="AL374" s="7" t="e">
        <v>#N/A</v>
      </c>
      <c r="AN374" s="7" t="e">
        <v>#N/A</v>
      </c>
      <c r="AP374" s="7" t="e">
        <v>#N/A</v>
      </c>
      <c r="AQ374" s="7" t="e">
        <v>#N/A</v>
      </c>
      <c r="AR374" s="7" t="e">
        <v>#N/A</v>
      </c>
      <c r="AS374" s="7" t="e">
        <v>#N/A</v>
      </c>
      <c r="AT374" s="7" t="e">
        <v>#N/A</v>
      </c>
      <c r="AU374" s="7" t="e">
        <v>#N/A</v>
      </c>
    </row>
    <row r="375" spans="37:47" x14ac:dyDescent="0.25">
      <c r="AK375" t="str">
        <v>plymouth horizon miser</v>
      </c>
      <c r="AL375" s="7" t="e">
        <v>#N/A</v>
      </c>
      <c r="AN375" s="7" t="e">
        <v>#N/A</v>
      </c>
      <c r="AP375" s="7" t="e">
        <v>#N/A</v>
      </c>
      <c r="AQ375" s="7" t="e">
        <v>#N/A</v>
      </c>
      <c r="AR375" s="7" t="e">
        <v>#N/A</v>
      </c>
      <c r="AS375" s="7" t="e">
        <v>#N/A</v>
      </c>
      <c r="AT375" s="7" t="e">
        <v>#N/A</v>
      </c>
      <c r="AU375" s="7" t="e">
        <v>#N/A</v>
      </c>
    </row>
    <row r="376" spans="37:47" x14ac:dyDescent="0.25">
      <c r="AK376" t="str">
        <v>mercury lynx l</v>
      </c>
      <c r="AL376" s="7" t="e">
        <v>#N/A</v>
      </c>
      <c r="AN376" s="7" t="e">
        <v>#N/A</v>
      </c>
      <c r="AP376" s="7" t="e">
        <v>#N/A</v>
      </c>
      <c r="AQ376" s="7" t="e">
        <v>#N/A</v>
      </c>
      <c r="AR376" s="7" t="e">
        <v>#N/A</v>
      </c>
      <c r="AS376" s="7" t="e">
        <v>#N/A</v>
      </c>
      <c r="AT376" s="7" t="e">
        <v>#N/A</v>
      </c>
      <c r="AU376" s="7" t="e">
        <v>#N/A</v>
      </c>
    </row>
    <row r="377" spans="37:47" x14ac:dyDescent="0.25">
      <c r="AK377" t="str">
        <v>nissan stanza xe</v>
      </c>
      <c r="AL377" s="7" t="e">
        <v>#N/A</v>
      </c>
      <c r="AN377" s="7" t="e">
        <v>#N/A</v>
      </c>
      <c r="AP377" s="7" t="e">
        <v>#N/A</v>
      </c>
      <c r="AQ377" s="7" t="e">
        <v>#N/A</v>
      </c>
      <c r="AR377" s="7" t="e">
        <v>#N/A</v>
      </c>
      <c r="AS377" s="7" t="e">
        <v>#N/A</v>
      </c>
      <c r="AT377" s="7" t="e">
        <v>#N/A</v>
      </c>
      <c r="AU377" s="7" t="e">
        <v>#N/A</v>
      </c>
    </row>
    <row r="378" spans="37:47" x14ac:dyDescent="0.25">
      <c r="AK378" t="str">
        <v>honda accord</v>
      </c>
      <c r="AL378" s="7" t="e">
        <v>#N/A</v>
      </c>
      <c r="AN378" s="7" t="e">
        <v>#N/A</v>
      </c>
      <c r="AP378" s="7" t="e">
        <v>#N/A</v>
      </c>
      <c r="AQ378" s="7" t="e">
        <v>#N/A</v>
      </c>
      <c r="AR378" s="7" t="e">
        <v>#N/A</v>
      </c>
      <c r="AS378" s="7" t="e">
        <v>#N/A</v>
      </c>
      <c r="AT378" s="7" t="e">
        <v>#N/A</v>
      </c>
      <c r="AU378" s="7" t="e">
        <v>#N/A</v>
      </c>
    </row>
    <row r="379" spans="37:47" x14ac:dyDescent="0.25">
      <c r="AK379" t="str">
        <v>toyota corolla</v>
      </c>
      <c r="AL379" s="7" t="e">
        <v>#N/A</v>
      </c>
      <c r="AN379" s="7" t="e">
        <v>#N/A</v>
      </c>
      <c r="AP379" s="7" t="e">
        <v>#N/A</v>
      </c>
      <c r="AQ379" s="7" t="e">
        <v>#N/A</v>
      </c>
      <c r="AR379" s="7" t="e">
        <v>#N/A</v>
      </c>
      <c r="AS379" s="7" t="e">
        <v>#N/A</v>
      </c>
      <c r="AT379" s="7" t="e">
        <v>#N/A</v>
      </c>
      <c r="AU379" s="7" t="e">
        <v>#N/A</v>
      </c>
    </row>
    <row r="380" spans="37:47" x14ac:dyDescent="0.25">
      <c r="AK380" t="str">
        <v>honda civic</v>
      </c>
      <c r="AL380" s="7" t="e">
        <v>#N/A</v>
      </c>
      <c r="AN380" s="7" t="e">
        <v>#N/A</v>
      </c>
      <c r="AP380" s="7" t="e">
        <v>#N/A</v>
      </c>
      <c r="AQ380" s="7" t="e">
        <v>#N/A</v>
      </c>
      <c r="AR380" s="7" t="e">
        <v>#N/A</v>
      </c>
      <c r="AS380" s="7" t="e">
        <v>#N/A</v>
      </c>
      <c r="AT380" s="7" t="e">
        <v>#N/A</v>
      </c>
      <c r="AU380" s="7" t="e">
        <v>#N/A</v>
      </c>
    </row>
    <row r="381" spans="37:47" x14ac:dyDescent="0.25">
      <c r="AK381" t="str">
        <v>honda civic (auto)</v>
      </c>
      <c r="AL381" s="7" t="e">
        <v>#N/A</v>
      </c>
      <c r="AN381" s="7" t="e">
        <v>#N/A</v>
      </c>
      <c r="AP381" s="7" t="e">
        <v>#N/A</v>
      </c>
      <c r="AQ381" s="7" t="e">
        <v>#N/A</v>
      </c>
      <c r="AR381" s="7" t="e">
        <v>#N/A</v>
      </c>
      <c r="AS381" s="7" t="e">
        <v>#N/A</v>
      </c>
      <c r="AT381" s="7" t="e">
        <v>#N/A</v>
      </c>
      <c r="AU381" s="7" t="e">
        <v>#N/A</v>
      </c>
    </row>
    <row r="382" spans="37:47" x14ac:dyDescent="0.25">
      <c r="AK382" t="str">
        <v>datsun 310 gx</v>
      </c>
      <c r="AL382" s="7" t="e">
        <v>#N/A</v>
      </c>
      <c r="AN382" s="7" t="e">
        <v>#N/A</v>
      </c>
      <c r="AP382" s="7" t="e">
        <v>#N/A</v>
      </c>
      <c r="AQ382" s="7" t="e">
        <v>#N/A</v>
      </c>
      <c r="AR382" s="7" t="e">
        <v>#N/A</v>
      </c>
      <c r="AS382" s="7" t="e">
        <v>#N/A</v>
      </c>
      <c r="AT382" s="7" t="e">
        <v>#N/A</v>
      </c>
      <c r="AU382" s="7" t="e">
        <v>#N/A</v>
      </c>
    </row>
    <row r="383" spans="37:47" x14ac:dyDescent="0.25">
      <c r="AK383" t="str">
        <v>buick century limited</v>
      </c>
      <c r="AL383" s="7" t="e">
        <v>#N/A</v>
      </c>
      <c r="AN383" s="7" t="e">
        <v>#N/A</v>
      </c>
      <c r="AP383" s="7" t="e">
        <v>#N/A</v>
      </c>
      <c r="AQ383" s="7" t="e">
        <v>#N/A</v>
      </c>
      <c r="AR383" s="7" t="e">
        <v>#N/A</v>
      </c>
      <c r="AS383" s="7" t="e">
        <v>#N/A</v>
      </c>
      <c r="AT383" s="7" t="e">
        <v>#N/A</v>
      </c>
      <c r="AU383" s="7" t="e">
        <v>#N/A</v>
      </c>
    </row>
    <row r="384" spans="37:47" x14ac:dyDescent="0.25">
      <c r="AK384" t="str">
        <v>oldsmobile cutlass ciera (diesel)</v>
      </c>
      <c r="AL384" s="7" t="e">
        <v>#N/A</v>
      </c>
      <c r="AN384" s="7" t="e">
        <v>#N/A</v>
      </c>
      <c r="AP384" s="7" t="e">
        <v>#N/A</v>
      </c>
      <c r="AQ384" s="7" t="e">
        <v>#N/A</v>
      </c>
      <c r="AR384" s="7" t="e">
        <v>#N/A</v>
      </c>
      <c r="AS384" s="7" t="e">
        <v>#N/A</v>
      </c>
      <c r="AT384" s="7" t="e">
        <v>#N/A</v>
      </c>
      <c r="AU384" s="7" t="e">
        <v>#N/A</v>
      </c>
    </row>
    <row r="385" spans="37:47" x14ac:dyDescent="0.25">
      <c r="AK385" t="str">
        <v>chrysler lebaron medallion</v>
      </c>
      <c r="AL385" s="7" t="e">
        <v>#N/A</v>
      </c>
      <c r="AN385" s="7" t="e">
        <v>#N/A</v>
      </c>
      <c r="AP385" s="7" t="e">
        <v>#N/A</v>
      </c>
      <c r="AQ385" s="7" t="e">
        <v>#N/A</v>
      </c>
      <c r="AR385" s="7" t="e">
        <v>#N/A</v>
      </c>
      <c r="AS385" s="7" t="e">
        <v>#N/A</v>
      </c>
      <c r="AT385" s="7" t="e">
        <v>#N/A</v>
      </c>
      <c r="AU385" s="7" t="e">
        <v>#N/A</v>
      </c>
    </row>
    <row r="386" spans="37:47" x14ac:dyDescent="0.25">
      <c r="AK386" t="str">
        <v>ford granada l</v>
      </c>
      <c r="AL386" s="7" t="e">
        <v>#N/A</v>
      </c>
      <c r="AN386" s="7" t="e">
        <v>#N/A</v>
      </c>
      <c r="AP386" s="7" t="e">
        <v>#N/A</v>
      </c>
      <c r="AQ386" s="7" t="e">
        <v>#N/A</v>
      </c>
      <c r="AR386" s="7" t="e">
        <v>#N/A</v>
      </c>
      <c r="AS386" s="7" t="e">
        <v>#N/A</v>
      </c>
      <c r="AT386" s="7" t="e">
        <v>#N/A</v>
      </c>
      <c r="AU386" s="7" t="e">
        <v>#N/A</v>
      </c>
    </row>
    <row r="387" spans="37:47" x14ac:dyDescent="0.25">
      <c r="AK387" t="str">
        <v>toyota celica gt</v>
      </c>
      <c r="AL387" s="7" t="e">
        <v>#N/A</v>
      </c>
      <c r="AN387" s="7" t="e">
        <v>#N/A</v>
      </c>
      <c r="AP387" s="7" t="e">
        <v>#N/A</v>
      </c>
      <c r="AQ387" s="7" t="e">
        <v>#N/A</v>
      </c>
      <c r="AR387" s="7" t="e">
        <v>#N/A</v>
      </c>
      <c r="AS387" s="7" t="e">
        <v>#N/A</v>
      </c>
      <c r="AT387" s="7" t="e">
        <v>#N/A</v>
      </c>
      <c r="AU387" s="7" t="e">
        <v>#N/A</v>
      </c>
    </row>
    <row r="388" spans="37:47" x14ac:dyDescent="0.25">
      <c r="AK388" t="str">
        <v>dodge charger 2.2</v>
      </c>
      <c r="AL388" s="7" t="e">
        <v>#N/A</v>
      </c>
      <c r="AN388" s="7" t="e">
        <v>#N/A</v>
      </c>
      <c r="AP388" s="7" t="e">
        <v>#N/A</v>
      </c>
      <c r="AQ388" s="7" t="e">
        <v>#N/A</v>
      </c>
      <c r="AR388" s="7" t="e">
        <v>#N/A</v>
      </c>
      <c r="AS388" s="7" t="e">
        <v>#N/A</v>
      </c>
      <c r="AT388" s="7" t="e">
        <v>#N/A</v>
      </c>
      <c r="AU388" s="7" t="e">
        <v>#N/A</v>
      </c>
    </row>
    <row r="389" spans="37:47" x14ac:dyDescent="0.25">
      <c r="AK389" t="str">
        <v>chevrolet camaro</v>
      </c>
      <c r="AL389" s="7" t="e">
        <v>#N/A</v>
      </c>
      <c r="AN389" s="7" t="e">
        <v>#N/A</v>
      </c>
      <c r="AP389" s="7" t="e">
        <v>#N/A</v>
      </c>
      <c r="AQ389" s="7" t="e">
        <v>#N/A</v>
      </c>
      <c r="AR389" s="7" t="e">
        <v>#N/A</v>
      </c>
      <c r="AS389" s="7" t="e">
        <v>#N/A</v>
      </c>
      <c r="AT389" s="7" t="e">
        <v>#N/A</v>
      </c>
      <c r="AU389" s="7" t="e">
        <v>#N/A</v>
      </c>
    </row>
    <row r="390" spans="37:47" x14ac:dyDescent="0.25">
      <c r="AK390" t="str">
        <v>ford mustang gl</v>
      </c>
      <c r="AL390" s="7" t="e">
        <v>#N/A</v>
      </c>
      <c r="AN390" s="7" t="e">
        <v>#N/A</v>
      </c>
      <c r="AP390" s="7" t="e">
        <v>#N/A</v>
      </c>
      <c r="AQ390" s="7" t="e">
        <v>#N/A</v>
      </c>
      <c r="AR390" s="7" t="e">
        <v>#N/A</v>
      </c>
      <c r="AS390" s="7" t="e">
        <v>#N/A</v>
      </c>
      <c r="AT390" s="7" t="e">
        <v>#N/A</v>
      </c>
      <c r="AU390" s="7" t="e">
        <v>#N/A</v>
      </c>
    </row>
    <row r="391" spans="37:47" x14ac:dyDescent="0.25">
      <c r="AK391" t="str">
        <v>vw pickup</v>
      </c>
      <c r="AL391" s="7" t="e">
        <v>#N/A</v>
      </c>
      <c r="AN391" s="7" t="e">
        <v>#N/A</v>
      </c>
      <c r="AP391" s="7" t="e">
        <v>#N/A</v>
      </c>
      <c r="AQ391" s="7" t="e">
        <v>#N/A</v>
      </c>
      <c r="AR391" s="7" t="e">
        <v>#N/A</v>
      </c>
      <c r="AS391" s="7" t="e">
        <v>#N/A</v>
      </c>
      <c r="AT391" s="7" t="e">
        <v>#N/A</v>
      </c>
      <c r="AU391" s="7" t="e">
        <v>#N/A</v>
      </c>
    </row>
    <row r="392" spans="37:47" x14ac:dyDescent="0.25">
      <c r="AK392" t="str">
        <v>dodge rampage</v>
      </c>
      <c r="AL392" s="7" t="e">
        <v>#N/A</v>
      </c>
      <c r="AN392" s="7" t="e">
        <v>#N/A</v>
      </c>
      <c r="AP392" s="7" t="e">
        <v>#N/A</v>
      </c>
      <c r="AQ392" s="7" t="e">
        <v>#N/A</v>
      </c>
      <c r="AR392" s="7" t="e">
        <v>#N/A</v>
      </c>
      <c r="AS392" s="7" t="e">
        <v>#N/A</v>
      </c>
      <c r="AT392" s="7" t="e">
        <v>#N/A</v>
      </c>
      <c r="AU392" s="7" t="e">
        <v>#N/A</v>
      </c>
    </row>
    <row r="393" spans="37:47" x14ac:dyDescent="0.25">
      <c r="AK393" t="str">
        <v>ford ranger</v>
      </c>
      <c r="AL393" s="7" t="e">
        <v>#N/A</v>
      </c>
      <c r="AN393" s="7" t="e">
        <v>#N/A</v>
      </c>
      <c r="AP393" s="7" t="e">
        <v>#N/A</v>
      </c>
      <c r="AQ393" s="7" t="e">
        <v>#N/A</v>
      </c>
      <c r="AR393" s="7" t="e">
        <v>#N/A</v>
      </c>
      <c r="AS393" s="7" t="e">
        <v>#N/A</v>
      </c>
      <c r="AT393" s="7" t="e">
        <v>#N/A</v>
      </c>
      <c r="AU393" s="7" t="e">
        <v>#N/A</v>
      </c>
    </row>
    <row r="394" spans="37:47" x14ac:dyDescent="0.25">
      <c r="AK394" t="str">
        <v>chevy s-10</v>
      </c>
      <c r="AL394" s="7" t="e">
        <v>#N/A</v>
      </c>
      <c r="AN394" s="7" t="e">
        <v>#N/A</v>
      </c>
      <c r="AP394" s="7" t="e">
        <v>#N/A</v>
      </c>
      <c r="AQ394" s="7" t="e">
        <v>#N/A</v>
      </c>
      <c r="AR394" s="7" t="e">
        <v>#N/A</v>
      </c>
      <c r="AS394" s="7" t="e">
        <v>#N/A</v>
      </c>
      <c r="AT394" s="7" t="e">
        <v>#N/A</v>
      </c>
      <c r="AU394" s="7" t="e">
        <v>#N/A</v>
      </c>
    </row>
  </sheetData>
  <conditionalFormatting sqref="B1">
    <cfRule type="expression" dxfId="33" priority="9">
      <formula>$B$1&lt;&gt;""</formula>
    </cfRule>
  </conditionalFormatting>
  <conditionalFormatting sqref="C2">
    <cfRule type="expression" dxfId="32" priority="12" stopIfTrue="1">
      <formula>AND($C$2=FALSE,SUMPRODUCT(N(_xlfn.TAKE(Spec_Role,COLUMNS(Source_Data))="Predictor (x)"),N(_xlfn.TAKE(Spec_Include,COLUMNS(Source_Data))=TRUE),N(_xlfn.TAKE(Spec_Type,COLUMNS(Source_Data))="Categorical"))&gt;0)</formula>
    </cfRule>
    <cfRule type="expression" dxfId="31" priority="13">
      <formula>SUMPRODUCT(N(_xlfn.TAKE(Spec_Role,COLUMNS(Source_Data))="Predictor (x)"),N(_xlfn.TAKE(Spec_Include,COLUMNS(Source_Data))=TRUE),N(_xlfn.TAKE(Spec_Type,COLUMNS(Source_Data))="Categorical"))&gt;0</formula>
    </cfRule>
    <cfRule type="expression" dxfId="30" priority="14">
      <formula>AND($C$2=TRUE,SUMPRODUCT(N(_xlfn.TAKE(Spec_Role,COLUMNS(Source_Data))="Fixed Effects"))&gt;0)</formula>
    </cfRule>
  </conditionalFormatting>
  <conditionalFormatting sqref="C4:G16000">
    <cfRule type="expression" dxfId="29" priority="1">
      <formula>$B4&lt;&gt;"Predictor (x)"</formula>
    </cfRule>
  </conditionalFormatting>
  <conditionalFormatting sqref="E1">
    <cfRule type="expression" dxfId="28" priority="8">
      <formula>$E$1&lt;&gt;""</formula>
    </cfRule>
  </conditionalFormatting>
  <conditionalFormatting sqref="E4:E16000">
    <cfRule type="expression" dxfId="27" priority="7">
      <formula>AND($E4&lt;&gt;"",ISNA(Dummy_Levels(INDEX(Source_Data,0,ROW()-3),$E4,Sample_Include())))</formula>
    </cfRule>
  </conditionalFormatting>
  <conditionalFormatting sqref="H4:H16000">
    <cfRule type="expression" dxfId="26" priority="5">
      <formula>AND($H4=TRUE,SUMPRODUCT(N(_xlfn.TAKE(Spec_Sequence,COLUMNS(Source_Data))=TRUE))&gt;1)</formula>
    </cfRule>
  </conditionalFormatting>
  <conditionalFormatting sqref="H4:I16000">
    <cfRule type="expression" dxfId="25" priority="3">
      <formula>$H4&lt;&gt;TRUE</formula>
    </cfRule>
  </conditionalFormatting>
  <conditionalFormatting sqref="I2">
    <cfRule type="expression" dxfId="24" priority="10" stopIfTrue="1">
      <formula>OR(ISNUMBER(SEARCH("off-grid",$I$2)),ISNUMBER(SEARCH("calendar",$I$2)))</formula>
    </cfRule>
    <cfRule type="expression" dxfId="23" priority="11">
      <formula>OR(ISNUMBER(SEARCH("evenly spaced",$I$2)),ISNUMBER(SEARCH("no natural",$I$2)))</formula>
    </cfRule>
  </conditionalFormatting>
  <conditionalFormatting sqref="J4:J16000">
    <cfRule type="expression" dxfId="22" priority="4">
      <formula>$H4&lt;&gt;TRUE</formula>
    </cfRule>
  </conditionalFormatting>
  <conditionalFormatting sqref="K4:K16000">
    <cfRule type="expression" dxfId="21" priority="6">
      <formula>AND($B4="Predictor (x)",$C4=TRUE,$D4="Categorical",N($K4)&lt;=1)</formula>
    </cfRule>
  </conditionalFormatting>
  <conditionalFormatting sqref="K4:L16000">
    <cfRule type="expression" dxfId="20" priority="2">
      <formula>$B4&lt;&gt;"Predictor (x)"</formula>
    </cfRule>
  </conditionalFormatting>
  <conditionalFormatting sqref="U3:U1048576">
    <cfRule type="expression" dxfId="19" priority="15">
      <formula>AND(ISNUMBER(U3),U3&gt;5,U3&lt;=10)</formula>
    </cfRule>
    <cfRule type="expression" dxfId="18" priority="16">
      <formula>AND(ISNUMBER(U3),U3&gt;10)</formula>
    </cfRule>
  </conditionalFormatting>
  <conditionalFormatting sqref="AB5">
    <cfRule type="expression" dxfId="17" priority="17">
      <formula>AND(ISNUMBER(AB5),AB5&lt;0)</formula>
    </cfRule>
  </conditionalFormatting>
  <conditionalFormatting sqref="AB10">
    <cfRule type="expression" dxfId="16" priority="18">
      <formula>AND(ISNUMBER(AB10),AB10&lt;0.98,AB10&gt;=0.95)</formula>
    </cfRule>
    <cfRule type="expression" dxfId="15" priority="19">
      <formula>AND(ISNUMBER(AB10),AB10&lt;0.95)</formula>
    </cfRule>
  </conditionalFormatting>
  <conditionalFormatting sqref="AB21:AB1048576">
    <cfRule type="expression" dxfId="14" priority="20">
      <formula>AND(ISNUMBER(AB21),AB21&gt;$Y$12)</formula>
    </cfRule>
  </conditionalFormatting>
  <conditionalFormatting sqref="AC15">
    <cfRule type="expression" dxfId="13" priority="21">
      <formula>AND(ISNUMBER(AC15),AC15&gt;$Y$12)</formula>
    </cfRule>
  </conditionalFormatting>
  <conditionalFormatting sqref="AH12">
    <cfRule type="expression" dxfId="12" priority="22">
      <formula>ISNA(MATCH($AH$12,Prediction_Group_Column(),0))</formula>
    </cfRule>
  </conditionalFormatting>
  <conditionalFormatting sqref="AO3:AO1048576">
    <cfRule type="expression" dxfId="11" priority="23">
      <formula>AND(ISNUMBER(AO3),AO3&gt;2*$AB$6)</formula>
    </cfRule>
    <cfRule type="expression" dxfId="10" priority="24">
      <formula>AND(ISNUMBER(AO3),AO3&gt;3*$AB$6)</formula>
    </cfRule>
  </conditionalFormatting>
  <conditionalFormatting sqref="AP3:AP1048576">
    <cfRule type="expression" dxfId="9" priority="25">
      <formula>AND(ISNUMBER(AP3),ABS(AP3)&gt;2,ABS(AP3)&lt;3)</formula>
    </cfRule>
    <cfRule type="expression" dxfId="8" priority="26">
      <formula>AND(ISNUMBER(AP3),ABS(AP3)&gt;=3)</formula>
    </cfRule>
  </conditionalFormatting>
  <conditionalFormatting sqref="AQ3:AQ1048576">
    <cfRule type="expression" dxfId="7" priority="29">
      <formula>AND(ISNUMBER(AQ3),AQ3&gt;4/$Y$8,AQ3&lt;=0.9)</formula>
    </cfRule>
    <cfRule type="expression" dxfId="6" priority="30">
      <formula>AND(ISNUMBER(AQ3),AQ3&gt;0.9)</formula>
    </cfRule>
  </conditionalFormatting>
  <conditionalFormatting sqref="AS3:AS1048576">
    <cfRule type="expression" dxfId="5" priority="27">
      <formula>AND(ISNUMBER(AS3),ABS(AS3)&gt;2,ABS(AS3)&lt;3)</formula>
    </cfRule>
    <cfRule type="expression" dxfId="4" priority="28">
      <formula>AND(ISNUMBER(AS3),ABS(AS3)&gt;=3)</formula>
    </cfRule>
  </conditionalFormatting>
  <conditionalFormatting sqref="AT3:AT1048576">
    <cfRule type="expression" dxfId="3" priority="31">
      <formula>AND(ISNUMBER(AT3),AT3&gt;1.414,AT3&lt;=1.732)</formula>
    </cfRule>
    <cfRule type="expression" dxfId="2" priority="32">
      <formula>AND(ISNUMBER(AT3),AT3&gt;1.732)</formula>
    </cfRule>
  </conditionalFormatting>
  <conditionalFormatting sqref="AU3:AU1048576">
    <cfRule type="expression" dxfId="1" priority="33">
      <formula>AND(ISNUMBER(AU3),ABS(AU3)&gt;2*$Y$7,ABS(AU3)&lt;=3*$Y$7)</formula>
    </cfRule>
    <cfRule type="expression" dxfId="0" priority="34">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s>
  <pageMargins left="0.7" right="0.7" top="0.75" bottom="0.75" header="0.3" footer="0.3"/>
  <drawing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1630</v>
      </c>
      <c r="B19" s="2" t="s">
        <v>1631</v>
      </c>
      <c r="C19" s="2" t="s">
        <v>1632</v>
      </c>
      <c r="D19" s="2" t="s">
        <v>1633</v>
      </c>
    </row>
    <row r="20" spans="1:4" ht="30" x14ac:dyDescent="0.25">
      <c r="A20" s="2" t="s">
        <v>104</v>
      </c>
      <c r="B20" s="2" t="s">
        <v>1634</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40" x14ac:dyDescent="0.25">
      <c r="A36" s="2" t="s">
        <v>640</v>
      </c>
      <c r="B36" s="2" t="s">
        <v>641</v>
      </c>
      <c r="C36" s="2" t="s">
        <v>642</v>
      </c>
    </row>
    <row r="37" spans="1:3" ht="150" x14ac:dyDescent="0.25">
      <c r="A37" s="2" t="s">
        <v>1635</v>
      </c>
      <c r="B37" s="2" t="s">
        <v>1636</v>
      </c>
      <c r="C37" s="2" t="s">
        <v>643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5"/>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845</v>
      </c>
      <c r="C1" s="2" t="s">
        <v>1</v>
      </c>
      <c r="D1" s="2" t="s">
        <v>2</v>
      </c>
      <c r="E1" s="2" t="s">
        <v>3</v>
      </c>
      <c r="F1" s="2" t="s">
        <v>4</v>
      </c>
      <c r="G1" s="2" t="s">
        <v>5</v>
      </c>
    </row>
    <row r="2" spans="1:7" ht="90" x14ac:dyDescent="0.25">
      <c r="A2" s="2" t="s">
        <v>6</v>
      </c>
      <c r="B2" s="2" t="s">
        <v>846</v>
      </c>
      <c r="C2" s="1" t="s">
        <v>7</v>
      </c>
      <c r="D2" s="2" t="s">
        <v>8</v>
      </c>
      <c r="E2" s="2" t="s">
        <v>9</v>
      </c>
      <c r="F2" s="2" t="s">
        <v>10</v>
      </c>
      <c r="G2" s="2" t="s">
        <v>11</v>
      </c>
    </row>
    <row r="3" spans="1:7" ht="105" x14ac:dyDescent="0.25">
      <c r="A3" s="2" t="s">
        <v>767</v>
      </c>
      <c r="B3" s="2" t="s">
        <v>846</v>
      </c>
      <c r="C3" s="1" t="s">
        <v>12</v>
      </c>
      <c r="D3" s="2" t="s">
        <v>13</v>
      </c>
      <c r="E3" s="2" t="s">
        <v>14</v>
      </c>
      <c r="F3" s="2" t="s">
        <v>15</v>
      </c>
      <c r="G3" s="2" t="s">
        <v>16</v>
      </c>
    </row>
    <row r="4" spans="1:7" ht="105" x14ac:dyDescent="0.25">
      <c r="A4" s="2" t="s">
        <v>768</v>
      </c>
      <c r="B4" s="2" t="s">
        <v>846</v>
      </c>
      <c r="C4" s="1" t="s">
        <v>17</v>
      </c>
      <c r="D4" s="2" t="s">
        <v>18</v>
      </c>
      <c r="E4" s="2" t="s">
        <v>19</v>
      </c>
      <c r="F4" s="2" t="s">
        <v>20</v>
      </c>
      <c r="G4" s="2" t="s">
        <v>21</v>
      </c>
    </row>
    <row r="5" spans="1:7" ht="120" x14ac:dyDescent="0.25">
      <c r="A5" s="2" t="s">
        <v>769</v>
      </c>
      <c r="B5" s="2" t="s">
        <v>846</v>
      </c>
      <c r="C5" s="1" t="s">
        <v>22</v>
      </c>
      <c r="D5" s="2" t="s">
        <v>23</v>
      </c>
      <c r="E5" s="2" t="s">
        <v>24</v>
      </c>
      <c r="F5" s="2" t="s">
        <v>25</v>
      </c>
      <c r="G5" s="2" t="s">
        <v>770</v>
      </c>
    </row>
    <row r="6" spans="1:7" ht="240" x14ac:dyDescent="0.25">
      <c r="A6" s="2" t="s">
        <v>771</v>
      </c>
      <c r="B6" s="2" t="s">
        <v>846</v>
      </c>
      <c r="C6" s="1" t="s">
        <v>1641</v>
      </c>
      <c r="D6" s="2" t="s">
        <v>1642</v>
      </c>
      <c r="E6" s="2" t="s">
        <v>1643</v>
      </c>
      <c r="F6" s="2" t="s">
        <v>1644</v>
      </c>
      <c r="G6" s="2" t="s">
        <v>1645</v>
      </c>
    </row>
    <row r="7" spans="1:7" ht="120" x14ac:dyDescent="0.25">
      <c r="A7" s="2" t="s">
        <v>26</v>
      </c>
      <c r="B7" s="2" t="s">
        <v>846</v>
      </c>
      <c r="C7" s="1" t="s">
        <v>772</v>
      </c>
      <c r="D7" s="2" t="s">
        <v>23</v>
      </c>
      <c r="E7" s="2" t="s">
        <v>27</v>
      </c>
      <c r="F7" s="2" t="s">
        <v>28</v>
      </c>
      <c r="G7" s="2" t="s">
        <v>773</v>
      </c>
    </row>
    <row r="8" spans="1:7" ht="210" x14ac:dyDescent="0.25">
      <c r="A8" s="2" t="s">
        <v>774</v>
      </c>
      <c r="B8" s="2" t="s">
        <v>846</v>
      </c>
      <c r="C8" s="1" t="s">
        <v>1646</v>
      </c>
      <c r="D8" s="2" t="s">
        <v>1647</v>
      </c>
      <c r="E8" s="2" t="s">
        <v>29</v>
      </c>
      <c r="F8" s="2" t="s">
        <v>30</v>
      </c>
      <c r="G8" s="2" t="s">
        <v>1648</v>
      </c>
    </row>
    <row r="9" spans="1:7" ht="120" x14ac:dyDescent="0.25">
      <c r="A9" s="2" t="s">
        <v>31</v>
      </c>
      <c r="B9" s="2" t="s">
        <v>846</v>
      </c>
      <c r="C9" s="1" t="s">
        <v>32</v>
      </c>
      <c r="D9" s="2" t="s">
        <v>18</v>
      </c>
      <c r="E9" s="2" t="s">
        <v>33</v>
      </c>
      <c r="F9" s="2" t="s">
        <v>34</v>
      </c>
      <c r="G9" s="2" t="s">
        <v>35</v>
      </c>
    </row>
    <row r="10" spans="1:7" ht="120" x14ac:dyDescent="0.25">
      <c r="A10" s="2" t="s">
        <v>36</v>
      </c>
      <c r="B10" s="2" t="s">
        <v>846</v>
      </c>
      <c r="C10" s="1" t="s">
        <v>775</v>
      </c>
      <c r="D10" s="2" t="s">
        <v>23</v>
      </c>
      <c r="E10" s="2" t="s">
        <v>37</v>
      </c>
      <c r="F10" s="2" t="s">
        <v>38</v>
      </c>
      <c r="G10" s="2" t="s">
        <v>776</v>
      </c>
    </row>
    <row r="11" spans="1:7" ht="120" x14ac:dyDescent="0.25">
      <c r="A11" s="2" t="s">
        <v>39</v>
      </c>
      <c r="B11" s="2" t="s">
        <v>846</v>
      </c>
      <c r="C11" s="1" t="s">
        <v>777</v>
      </c>
      <c r="D11" s="2" t="s">
        <v>23</v>
      </c>
      <c r="E11" s="2" t="s">
        <v>40</v>
      </c>
      <c r="F11" s="2" t="s">
        <v>41</v>
      </c>
      <c r="G11" s="2" t="s">
        <v>778</v>
      </c>
    </row>
    <row r="12" spans="1:7" ht="120" x14ac:dyDescent="0.25">
      <c r="A12" s="2" t="s">
        <v>42</v>
      </c>
      <c r="B12" s="2" t="s">
        <v>846</v>
      </c>
      <c r="C12" s="1" t="s">
        <v>779</v>
      </c>
      <c r="D12" s="2" t="s">
        <v>23</v>
      </c>
      <c r="E12" s="2" t="s">
        <v>43</v>
      </c>
      <c r="F12" s="2" t="s">
        <v>44</v>
      </c>
      <c r="G12" s="2" t="s">
        <v>45</v>
      </c>
    </row>
    <row r="13" spans="1:7" ht="210" x14ac:dyDescent="0.25">
      <c r="A13" s="2" t="s">
        <v>46</v>
      </c>
      <c r="B13" s="2" t="s">
        <v>846</v>
      </c>
      <c r="C13" s="1" t="s">
        <v>1649</v>
      </c>
      <c r="D13" s="2" t="s">
        <v>1647</v>
      </c>
      <c r="E13" s="2" t="s">
        <v>47</v>
      </c>
      <c r="F13" s="2" t="s">
        <v>48</v>
      </c>
      <c r="G13" s="2" t="s">
        <v>1650</v>
      </c>
    </row>
    <row r="14" spans="1:7" ht="210" x14ac:dyDescent="0.25">
      <c r="A14" s="2" t="s">
        <v>49</v>
      </c>
      <c r="B14" s="2" t="s">
        <v>846</v>
      </c>
      <c r="C14" s="1" t="s">
        <v>1651</v>
      </c>
      <c r="D14" s="2" t="s">
        <v>1647</v>
      </c>
      <c r="E14" s="2" t="s">
        <v>50</v>
      </c>
      <c r="F14" s="2" t="s">
        <v>51</v>
      </c>
      <c r="G14" s="2" t="s">
        <v>1652</v>
      </c>
    </row>
    <row r="15" spans="1:7" ht="120" x14ac:dyDescent="0.25">
      <c r="A15" s="2" t="s">
        <v>52</v>
      </c>
      <c r="B15" s="2" t="s">
        <v>846</v>
      </c>
      <c r="C15" s="1" t="s">
        <v>814</v>
      </c>
      <c r="D15" s="2" t="s">
        <v>23</v>
      </c>
      <c r="E15" s="2" t="s">
        <v>53</v>
      </c>
      <c r="F15" s="2" t="s">
        <v>54</v>
      </c>
      <c r="G15" s="2" t="s">
        <v>819</v>
      </c>
    </row>
    <row r="16" spans="1:7" ht="240" x14ac:dyDescent="0.25">
      <c r="A16" s="2" t="s">
        <v>55</v>
      </c>
      <c r="B16" s="2" t="s">
        <v>846</v>
      </c>
      <c r="C16" s="1" t="s">
        <v>1653</v>
      </c>
      <c r="D16" s="2" t="s">
        <v>1654</v>
      </c>
      <c r="E16" s="2" t="s">
        <v>56</v>
      </c>
      <c r="F16" s="2" t="s">
        <v>57</v>
      </c>
      <c r="G16" s="2" t="s">
        <v>1655</v>
      </c>
    </row>
    <row r="17" spans="1:7" ht="240" x14ac:dyDescent="0.25">
      <c r="A17" s="2" t="s">
        <v>58</v>
      </c>
      <c r="B17" s="2" t="s">
        <v>846</v>
      </c>
      <c r="C17" s="1" t="s">
        <v>1656</v>
      </c>
      <c r="D17" s="2" t="s">
        <v>1654</v>
      </c>
      <c r="E17" s="2" t="s">
        <v>59</v>
      </c>
      <c r="F17" s="2" t="s">
        <v>60</v>
      </c>
      <c r="G17" s="2" t="s">
        <v>1657</v>
      </c>
    </row>
    <row r="18" spans="1:7" ht="240" x14ac:dyDescent="0.25">
      <c r="A18" s="2" t="s">
        <v>61</v>
      </c>
      <c r="B18" s="2" t="s">
        <v>846</v>
      </c>
      <c r="C18" s="1" t="s">
        <v>1658</v>
      </c>
      <c r="D18" s="2" t="s">
        <v>1659</v>
      </c>
      <c r="E18" s="2" t="s">
        <v>62</v>
      </c>
      <c r="F18" s="2" t="s">
        <v>63</v>
      </c>
      <c r="G18" s="2" t="s">
        <v>1660</v>
      </c>
    </row>
    <row r="19" spans="1:7" ht="135" x14ac:dyDescent="0.25">
      <c r="A19" s="2" t="s">
        <v>64</v>
      </c>
      <c r="B19" s="2" t="s">
        <v>846</v>
      </c>
      <c r="C19" s="1" t="s">
        <v>65</v>
      </c>
      <c r="D19" s="2" t="s">
        <v>23</v>
      </c>
      <c r="E19" s="2" t="s">
        <v>66</v>
      </c>
      <c r="F19" s="2" t="s">
        <v>67</v>
      </c>
      <c r="G19" s="2" t="s">
        <v>68</v>
      </c>
    </row>
    <row r="20" spans="1:7" ht="375" x14ac:dyDescent="0.25">
      <c r="A20" s="2" t="s">
        <v>895</v>
      </c>
      <c r="B20" s="2" t="s">
        <v>846</v>
      </c>
      <c r="C20" s="1" t="s">
        <v>896</v>
      </c>
      <c r="D20" s="2" t="s">
        <v>897</v>
      </c>
      <c r="E20" s="2" t="s">
        <v>898</v>
      </c>
      <c r="F20" s="2" t="s">
        <v>899</v>
      </c>
      <c r="G20" s="2" t="s">
        <v>900</v>
      </c>
    </row>
    <row r="21" spans="1:7" ht="409.5" x14ac:dyDescent="0.25">
      <c r="A21" s="2" t="s">
        <v>901</v>
      </c>
      <c r="B21" s="2" t="s">
        <v>846</v>
      </c>
      <c r="C21" s="1" t="s">
        <v>902</v>
      </c>
      <c r="D21" s="2" t="s">
        <v>903</v>
      </c>
      <c r="E21" s="2" t="s">
        <v>904</v>
      </c>
      <c r="F21" s="2" t="s">
        <v>905</v>
      </c>
      <c r="G21" s="2" t="s">
        <v>906</v>
      </c>
    </row>
    <row r="22" spans="1:7" ht="210" x14ac:dyDescent="0.25">
      <c r="A22" s="2" t="s">
        <v>69</v>
      </c>
      <c r="B22" s="2" t="s">
        <v>846</v>
      </c>
      <c r="C22" s="1" t="s">
        <v>1661</v>
      </c>
      <c r="D22" s="2" t="s">
        <v>1662</v>
      </c>
      <c r="E22" s="2" t="s">
        <v>70</v>
      </c>
      <c r="F22" s="2" t="s">
        <v>71</v>
      </c>
      <c r="G22" s="2" t="s">
        <v>72</v>
      </c>
    </row>
    <row r="23" spans="1:7" ht="165" x14ac:dyDescent="0.25">
      <c r="A23" s="2" t="s">
        <v>73</v>
      </c>
      <c r="B23" s="2" t="s">
        <v>846</v>
      </c>
      <c r="C23" s="1" t="s">
        <v>74</v>
      </c>
      <c r="D23" s="2" t="s">
        <v>23</v>
      </c>
      <c r="E23" s="2" t="s">
        <v>75</v>
      </c>
      <c r="F23" s="2" t="s">
        <v>76</v>
      </c>
      <c r="G23" s="2" t="s">
        <v>77</v>
      </c>
    </row>
    <row r="24" spans="1:7" ht="300" x14ac:dyDescent="0.25">
      <c r="A24" s="2" t="s">
        <v>78</v>
      </c>
      <c r="B24" s="2" t="s">
        <v>846</v>
      </c>
      <c r="C24" s="1" t="s">
        <v>1663</v>
      </c>
      <c r="D24" s="2" t="s">
        <v>1664</v>
      </c>
      <c r="E24" s="2" t="s">
        <v>79</v>
      </c>
      <c r="F24" s="2" t="s">
        <v>1665</v>
      </c>
      <c r="G24" s="2" t="s">
        <v>1666</v>
      </c>
    </row>
    <row r="25" spans="1:7" ht="225" x14ac:dyDescent="0.25">
      <c r="A25" s="2" t="s">
        <v>780</v>
      </c>
      <c r="B25" s="2" t="s">
        <v>846</v>
      </c>
      <c r="C25" s="1" t="s">
        <v>1667</v>
      </c>
      <c r="D25" s="2" t="s">
        <v>1668</v>
      </c>
      <c r="E25" s="2" t="s">
        <v>80</v>
      </c>
      <c r="F25" s="2" t="s">
        <v>81</v>
      </c>
      <c r="G25" s="2" t="s">
        <v>1669</v>
      </c>
    </row>
    <row r="26" spans="1:7" ht="225" x14ac:dyDescent="0.25">
      <c r="A26" s="2" t="s">
        <v>82</v>
      </c>
      <c r="B26" s="2" t="s">
        <v>846</v>
      </c>
      <c r="C26" s="1" t="s">
        <v>1670</v>
      </c>
      <c r="D26" s="2" t="s">
        <v>1671</v>
      </c>
      <c r="E26" s="2" t="s">
        <v>83</v>
      </c>
      <c r="F26" s="2" t="s">
        <v>84</v>
      </c>
      <c r="G26" s="2" t="s">
        <v>1672</v>
      </c>
    </row>
    <row r="27" spans="1:7" ht="270" x14ac:dyDescent="0.25">
      <c r="A27" s="2" t="s">
        <v>781</v>
      </c>
      <c r="B27" s="2" t="s">
        <v>846</v>
      </c>
      <c r="C27" s="1" t="s">
        <v>1673</v>
      </c>
      <c r="D27" s="2" t="s">
        <v>1674</v>
      </c>
      <c r="E27" s="2" t="s">
        <v>85</v>
      </c>
      <c r="F27" s="2" t="s">
        <v>86</v>
      </c>
      <c r="G27" s="2" t="s">
        <v>1675</v>
      </c>
    </row>
    <row r="28" spans="1:7" ht="270" x14ac:dyDescent="0.25">
      <c r="A28" s="2" t="s">
        <v>782</v>
      </c>
      <c r="B28" s="2" t="s">
        <v>846</v>
      </c>
      <c r="C28" s="1" t="s">
        <v>1676</v>
      </c>
      <c r="D28" s="2" t="s">
        <v>1674</v>
      </c>
      <c r="E28" s="2" t="s">
        <v>87</v>
      </c>
      <c r="F28" s="2" t="s">
        <v>88</v>
      </c>
      <c r="G28" s="2" t="s">
        <v>1677</v>
      </c>
    </row>
    <row r="29" spans="1:7" ht="225" x14ac:dyDescent="0.25">
      <c r="A29" s="2" t="s">
        <v>783</v>
      </c>
      <c r="B29" s="2" t="s">
        <v>846</v>
      </c>
      <c r="C29" s="1" t="s">
        <v>1678</v>
      </c>
      <c r="D29" s="2" t="s">
        <v>1671</v>
      </c>
      <c r="E29" s="2" t="s">
        <v>89</v>
      </c>
      <c r="F29" s="2" t="s">
        <v>90</v>
      </c>
      <c r="G29" s="2" t="s">
        <v>1679</v>
      </c>
    </row>
    <row r="30" spans="1:7" ht="225" x14ac:dyDescent="0.25">
      <c r="A30" s="2" t="s">
        <v>91</v>
      </c>
      <c r="B30" s="2" t="s">
        <v>846</v>
      </c>
      <c r="C30" s="1" t="s">
        <v>1680</v>
      </c>
      <c r="D30" s="2" t="s">
        <v>1671</v>
      </c>
      <c r="E30" s="2" t="s">
        <v>92</v>
      </c>
      <c r="F30" s="2" t="s">
        <v>93</v>
      </c>
      <c r="G30" s="2" t="s">
        <v>1681</v>
      </c>
    </row>
    <row r="31" spans="1:7" ht="180" x14ac:dyDescent="0.25">
      <c r="A31" s="2" t="s">
        <v>94</v>
      </c>
      <c r="B31" s="2" t="s">
        <v>846</v>
      </c>
      <c r="C31" s="1" t="s">
        <v>95</v>
      </c>
      <c r="D31" s="2" t="s">
        <v>23</v>
      </c>
      <c r="E31" s="2" t="s">
        <v>96</v>
      </c>
      <c r="F31" s="2" t="s">
        <v>97</v>
      </c>
      <c r="G31" s="2" t="s">
        <v>98</v>
      </c>
    </row>
    <row r="32" spans="1:7" ht="300" x14ac:dyDescent="0.25">
      <c r="A32" s="2" t="s">
        <v>99</v>
      </c>
      <c r="B32" s="2" t="s">
        <v>846</v>
      </c>
      <c r="C32" s="1" t="s">
        <v>784</v>
      </c>
      <c r="D32" s="2" t="s">
        <v>100</v>
      </c>
      <c r="E32" s="2" t="s">
        <v>101</v>
      </c>
      <c r="F32" s="2" t="s">
        <v>102</v>
      </c>
      <c r="G32" s="2" t="s">
        <v>103</v>
      </c>
    </row>
    <row r="33" spans="1:7" ht="120" x14ac:dyDescent="0.25">
      <c r="A33" s="2" t="s">
        <v>104</v>
      </c>
      <c r="B33" s="2" t="s">
        <v>846</v>
      </c>
      <c r="C33" s="1" t="s">
        <v>105</v>
      </c>
      <c r="D33" s="2" t="s">
        <v>106</v>
      </c>
      <c r="E33" s="2" t="s">
        <v>107</v>
      </c>
      <c r="F33" s="2" t="s">
        <v>108</v>
      </c>
      <c r="G33" s="2" t="s">
        <v>109</v>
      </c>
    </row>
    <row r="34" spans="1:7" ht="345" x14ac:dyDescent="0.25">
      <c r="A34" s="2" t="s">
        <v>1616</v>
      </c>
      <c r="B34" s="2" t="s">
        <v>846</v>
      </c>
      <c r="C34" s="1" t="s">
        <v>1617</v>
      </c>
      <c r="D34" s="2" t="s">
        <v>1618</v>
      </c>
      <c r="E34" s="2" t="s">
        <v>1619</v>
      </c>
      <c r="F34" s="2" t="s">
        <v>1620</v>
      </c>
      <c r="G34" s="2" t="s">
        <v>1621</v>
      </c>
    </row>
    <row r="35" spans="1:7" ht="240" x14ac:dyDescent="0.25">
      <c r="A35" s="2" t="s">
        <v>1622</v>
      </c>
      <c r="B35" s="2" t="s">
        <v>846</v>
      </c>
      <c r="C35" s="1" t="s">
        <v>1623</v>
      </c>
      <c r="D35" s="2" t="s">
        <v>1624</v>
      </c>
      <c r="E35" s="2" t="s">
        <v>1625</v>
      </c>
      <c r="F35" s="2" t="s">
        <v>1626</v>
      </c>
      <c r="G35" s="2" t="s">
        <v>1627</v>
      </c>
    </row>
    <row r="36" spans="1:7" ht="409.5" x14ac:dyDescent="0.25">
      <c r="A36" s="2" t="s">
        <v>110</v>
      </c>
      <c r="B36" s="2" t="s">
        <v>846</v>
      </c>
      <c r="C36" s="1" t="s">
        <v>1682</v>
      </c>
      <c r="D36" s="2" t="s">
        <v>1683</v>
      </c>
      <c r="E36" s="2" t="s">
        <v>111</v>
      </c>
      <c r="F36" s="2" t="s">
        <v>112</v>
      </c>
      <c r="G36" s="2" t="s">
        <v>1684</v>
      </c>
    </row>
    <row r="37" spans="1:7" ht="409.5" x14ac:dyDescent="0.25">
      <c r="A37" s="2" t="s">
        <v>1685</v>
      </c>
      <c r="B37" s="2" t="s">
        <v>846</v>
      </c>
      <c r="C37" s="1" t="s">
        <v>1686</v>
      </c>
      <c r="D37" s="2" t="s">
        <v>1687</v>
      </c>
      <c r="E37" s="2" t="s">
        <v>1688</v>
      </c>
      <c r="F37" s="2" t="s">
        <v>1689</v>
      </c>
      <c r="G37" s="2" t="s">
        <v>1690</v>
      </c>
    </row>
    <row r="38" spans="1:7" ht="60" x14ac:dyDescent="0.25">
      <c r="A38" s="2" t="s">
        <v>785</v>
      </c>
      <c r="B38" s="2" t="s">
        <v>846</v>
      </c>
      <c r="C38" s="1" t="s">
        <v>113</v>
      </c>
      <c r="D38" s="2" t="s">
        <v>8</v>
      </c>
      <c r="E38" s="2" t="s">
        <v>114</v>
      </c>
      <c r="F38" s="2" t="s">
        <v>115</v>
      </c>
      <c r="G38" s="2" t="s">
        <v>116</v>
      </c>
    </row>
    <row r="39" spans="1:7" ht="90" x14ac:dyDescent="0.25">
      <c r="A39" s="2" t="s">
        <v>117</v>
      </c>
      <c r="B39" s="2" t="s">
        <v>846</v>
      </c>
      <c r="C39" s="1" t="s">
        <v>118</v>
      </c>
      <c r="D39" s="2" t="s">
        <v>8</v>
      </c>
      <c r="E39" s="2" t="s">
        <v>119</v>
      </c>
      <c r="F39" s="2" t="s">
        <v>120</v>
      </c>
      <c r="G39" s="2" t="s">
        <v>121</v>
      </c>
    </row>
    <row r="40" spans="1:7" ht="60" x14ac:dyDescent="0.25">
      <c r="A40" s="2" t="s">
        <v>122</v>
      </c>
      <c r="B40" s="2" t="s">
        <v>846</v>
      </c>
      <c r="C40" s="1" t="s">
        <v>123</v>
      </c>
      <c r="D40" s="2" t="s">
        <v>8</v>
      </c>
      <c r="E40" s="2" t="s">
        <v>124</v>
      </c>
      <c r="F40" s="2" t="s">
        <v>125</v>
      </c>
      <c r="G40" s="2" t="s">
        <v>126</v>
      </c>
    </row>
    <row r="41" spans="1:7" ht="90" x14ac:dyDescent="0.25">
      <c r="A41" s="2" t="s">
        <v>786</v>
      </c>
      <c r="B41" s="2" t="s">
        <v>846</v>
      </c>
      <c r="C41" s="1" t="s">
        <v>127</v>
      </c>
      <c r="D41" s="2" t="s">
        <v>8</v>
      </c>
      <c r="E41" s="2" t="s">
        <v>128</v>
      </c>
      <c r="F41" s="2" t="s">
        <v>129</v>
      </c>
      <c r="G41" s="2" t="s">
        <v>130</v>
      </c>
    </row>
    <row r="42" spans="1:7" ht="120" x14ac:dyDescent="0.25">
      <c r="A42" s="2" t="s">
        <v>131</v>
      </c>
      <c r="B42" s="2" t="s">
        <v>846</v>
      </c>
      <c r="C42" s="1" t="s">
        <v>132</v>
      </c>
      <c r="D42" s="2" t="s">
        <v>8</v>
      </c>
      <c r="E42" s="2" t="s">
        <v>133</v>
      </c>
      <c r="F42" s="2" t="s">
        <v>134</v>
      </c>
      <c r="G42" s="2" t="s">
        <v>135</v>
      </c>
    </row>
    <row r="43" spans="1:7" ht="165" x14ac:dyDescent="0.25">
      <c r="A43" s="2" t="s">
        <v>136</v>
      </c>
      <c r="B43" s="2" t="s">
        <v>846</v>
      </c>
      <c r="C43" s="1" t="s">
        <v>137</v>
      </c>
      <c r="D43" s="2" t="s">
        <v>138</v>
      </c>
      <c r="E43" s="2" t="s">
        <v>139</v>
      </c>
      <c r="F43" s="2" t="s">
        <v>140</v>
      </c>
      <c r="G43" s="2" t="s">
        <v>141</v>
      </c>
    </row>
    <row r="44" spans="1:7" ht="105" x14ac:dyDescent="0.25">
      <c r="A44" s="2" t="s">
        <v>142</v>
      </c>
      <c r="B44" s="2" t="s">
        <v>846</v>
      </c>
      <c r="C44" s="1" t="s">
        <v>143</v>
      </c>
      <c r="D44" s="2" t="s">
        <v>144</v>
      </c>
      <c r="E44" s="2" t="s">
        <v>145</v>
      </c>
      <c r="F44" s="2" t="s">
        <v>146</v>
      </c>
      <c r="G44" s="2" t="s">
        <v>787</v>
      </c>
    </row>
    <row r="45" spans="1:7" ht="135" x14ac:dyDescent="0.25">
      <c r="A45" s="2" t="s">
        <v>147</v>
      </c>
      <c r="B45" s="2" t="s">
        <v>846</v>
      </c>
      <c r="C45" s="1" t="s">
        <v>148</v>
      </c>
      <c r="D45" s="2" t="s">
        <v>23</v>
      </c>
      <c r="E45" s="2" t="s">
        <v>149</v>
      </c>
      <c r="F45" s="2" t="s">
        <v>150</v>
      </c>
      <c r="G45" s="2" t="s">
        <v>151</v>
      </c>
    </row>
    <row r="46" spans="1:7" ht="120" x14ac:dyDescent="0.25">
      <c r="A46" s="2" t="s">
        <v>152</v>
      </c>
      <c r="B46" s="2" t="s">
        <v>846</v>
      </c>
      <c r="C46" s="1" t="s">
        <v>153</v>
      </c>
      <c r="D46" s="2" t="s">
        <v>23</v>
      </c>
      <c r="E46" s="2" t="s">
        <v>154</v>
      </c>
      <c r="F46" s="2" t="s">
        <v>155</v>
      </c>
      <c r="G46" s="2" t="s">
        <v>156</v>
      </c>
    </row>
    <row r="47" spans="1:7" ht="195" x14ac:dyDescent="0.25">
      <c r="A47" s="2" t="s">
        <v>157</v>
      </c>
      <c r="B47" s="2" t="s">
        <v>846</v>
      </c>
      <c r="C47" s="1" t="s">
        <v>1691</v>
      </c>
      <c r="D47" s="2" t="s">
        <v>1692</v>
      </c>
      <c r="E47" s="2" t="s">
        <v>158</v>
      </c>
      <c r="F47" s="2" t="s">
        <v>159</v>
      </c>
      <c r="G47" s="2" t="s">
        <v>160</v>
      </c>
    </row>
    <row r="48" spans="1:7" ht="105" x14ac:dyDescent="0.25">
      <c r="A48" s="2" t="s">
        <v>788</v>
      </c>
      <c r="B48" s="2" t="s">
        <v>846</v>
      </c>
      <c r="C48" s="1" t="s">
        <v>161</v>
      </c>
      <c r="D48" s="2" t="s">
        <v>162</v>
      </c>
      <c r="E48" s="2" t="s">
        <v>163</v>
      </c>
      <c r="F48" s="2" t="s">
        <v>164</v>
      </c>
      <c r="G48" s="2" t="s">
        <v>789</v>
      </c>
    </row>
    <row r="49" spans="1:7" ht="210" x14ac:dyDescent="0.25">
      <c r="A49" s="2" t="s">
        <v>790</v>
      </c>
      <c r="B49" s="2" t="s">
        <v>846</v>
      </c>
      <c r="C49" s="1" t="s">
        <v>165</v>
      </c>
      <c r="D49" s="2" t="s">
        <v>166</v>
      </c>
      <c r="E49" s="2" t="s">
        <v>167</v>
      </c>
      <c r="F49" s="2" t="s">
        <v>168</v>
      </c>
      <c r="G49" s="2" t="s">
        <v>169</v>
      </c>
    </row>
    <row r="50" spans="1:7" ht="195" x14ac:dyDescent="0.25">
      <c r="A50" s="2" t="s">
        <v>791</v>
      </c>
      <c r="B50" s="2" t="s">
        <v>846</v>
      </c>
      <c r="C50" s="1" t="s">
        <v>792</v>
      </c>
      <c r="D50" s="2" t="s">
        <v>170</v>
      </c>
      <c r="E50" s="2" t="s">
        <v>171</v>
      </c>
      <c r="F50" s="2" t="s">
        <v>172</v>
      </c>
      <c r="G50" s="2" t="s">
        <v>793</v>
      </c>
    </row>
    <row r="51" spans="1:7" ht="150" x14ac:dyDescent="0.25">
      <c r="A51" s="2" t="s">
        <v>794</v>
      </c>
      <c r="B51" s="2" t="s">
        <v>846</v>
      </c>
      <c r="C51" s="1" t="s">
        <v>795</v>
      </c>
      <c r="D51" s="2" t="s">
        <v>23</v>
      </c>
      <c r="E51" s="2" t="s">
        <v>173</v>
      </c>
      <c r="F51" s="2" t="s">
        <v>174</v>
      </c>
      <c r="G51" s="2" t="s">
        <v>815</v>
      </c>
    </row>
    <row r="52" spans="1:7" ht="135" x14ac:dyDescent="0.25">
      <c r="A52" s="2" t="s">
        <v>816</v>
      </c>
      <c r="B52" s="2" t="s">
        <v>846</v>
      </c>
      <c r="C52" s="1" t="s">
        <v>964</v>
      </c>
      <c r="D52" s="2" t="s">
        <v>23</v>
      </c>
      <c r="E52" s="2" t="s">
        <v>817</v>
      </c>
      <c r="F52" s="2" t="s">
        <v>818</v>
      </c>
      <c r="G52" s="2" t="s">
        <v>965</v>
      </c>
    </row>
    <row r="53" spans="1:7" ht="150" x14ac:dyDescent="0.25">
      <c r="A53" s="2" t="s">
        <v>796</v>
      </c>
      <c r="B53" s="2" t="s">
        <v>846</v>
      </c>
      <c r="C53" s="1" t="s">
        <v>175</v>
      </c>
      <c r="D53" s="2" t="s">
        <v>138</v>
      </c>
      <c r="E53" s="2" t="s">
        <v>176</v>
      </c>
      <c r="F53" s="2" t="s">
        <v>177</v>
      </c>
      <c r="G53" s="2" t="s">
        <v>797</v>
      </c>
    </row>
    <row r="54" spans="1:7" ht="195" x14ac:dyDescent="0.25">
      <c r="A54" s="2" t="s">
        <v>178</v>
      </c>
      <c r="B54" s="2" t="s">
        <v>846</v>
      </c>
      <c r="C54" s="1" t="s">
        <v>1693</v>
      </c>
      <c r="D54" s="2" t="s">
        <v>1692</v>
      </c>
      <c r="E54" s="2" t="s">
        <v>179</v>
      </c>
      <c r="F54" s="2" t="s">
        <v>180</v>
      </c>
      <c r="G54" s="2" t="s">
        <v>1694</v>
      </c>
    </row>
    <row r="55" spans="1:7" ht="210" x14ac:dyDescent="0.25">
      <c r="A55" s="2" t="s">
        <v>181</v>
      </c>
      <c r="B55" s="2" t="s">
        <v>846</v>
      </c>
      <c r="C55" s="1" t="s">
        <v>1695</v>
      </c>
      <c r="D55" s="2" t="s">
        <v>1696</v>
      </c>
      <c r="E55" s="2" t="s">
        <v>182</v>
      </c>
      <c r="F55" s="2" t="s">
        <v>183</v>
      </c>
      <c r="G55" s="2" t="s">
        <v>184</v>
      </c>
    </row>
    <row r="56" spans="1:7" ht="210" x14ac:dyDescent="0.25">
      <c r="A56" s="2" t="s">
        <v>185</v>
      </c>
      <c r="B56" s="2" t="s">
        <v>846</v>
      </c>
      <c r="C56" s="1" t="s">
        <v>1697</v>
      </c>
      <c r="D56" s="2" t="s">
        <v>1696</v>
      </c>
      <c r="E56" s="2" t="s">
        <v>186</v>
      </c>
      <c r="F56" s="2" t="s">
        <v>187</v>
      </c>
      <c r="G56" s="2" t="s">
        <v>188</v>
      </c>
    </row>
    <row r="57" spans="1:7" ht="210" x14ac:dyDescent="0.25">
      <c r="A57" s="2" t="s">
        <v>189</v>
      </c>
      <c r="B57" s="2" t="s">
        <v>846</v>
      </c>
      <c r="C57" s="1" t="s">
        <v>1698</v>
      </c>
      <c r="D57" s="2" t="s">
        <v>1699</v>
      </c>
      <c r="E57" s="2" t="s">
        <v>190</v>
      </c>
      <c r="F57" s="2" t="s">
        <v>191</v>
      </c>
      <c r="G57" s="2" t="s">
        <v>192</v>
      </c>
    </row>
    <row r="58" spans="1:7" ht="135" x14ac:dyDescent="0.25">
      <c r="A58" s="2" t="s">
        <v>798</v>
      </c>
      <c r="B58" s="2" t="s">
        <v>846</v>
      </c>
      <c r="C58" s="1" t="s">
        <v>193</v>
      </c>
      <c r="D58" s="2" t="s">
        <v>194</v>
      </c>
      <c r="E58" s="2" t="s">
        <v>195</v>
      </c>
      <c r="F58" s="2" t="s">
        <v>196</v>
      </c>
      <c r="G58" s="2" t="s">
        <v>799</v>
      </c>
    </row>
    <row r="59" spans="1:7" ht="150" x14ac:dyDescent="0.25">
      <c r="A59" s="2" t="s">
        <v>197</v>
      </c>
      <c r="B59" s="2" t="s">
        <v>846</v>
      </c>
      <c r="C59" s="1" t="s">
        <v>198</v>
      </c>
      <c r="D59" s="2" t="s">
        <v>800</v>
      </c>
      <c r="E59" s="2" t="s">
        <v>199</v>
      </c>
      <c r="F59" s="2" t="s">
        <v>200</v>
      </c>
      <c r="G59" s="2" t="s">
        <v>801</v>
      </c>
    </row>
    <row r="60" spans="1:7" ht="210" x14ac:dyDescent="0.25">
      <c r="A60" s="2" t="s">
        <v>201</v>
      </c>
      <c r="B60" s="2" t="s">
        <v>846</v>
      </c>
      <c r="C60" s="1" t="s">
        <v>202</v>
      </c>
      <c r="D60" s="2" t="s">
        <v>203</v>
      </c>
      <c r="E60" s="2" t="s">
        <v>204</v>
      </c>
      <c r="F60" s="2" t="s">
        <v>205</v>
      </c>
      <c r="G60" s="2" t="s">
        <v>206</v>
      </c>
    </row>
    <row r="61" spans="1:7" ht="150" x14ac:dyDescent="0.25">
      <c r="A61" s="2" t="s">
        <v>207</v>
      </c>
      <c r="B61" s="2" t="s">
        <v>846</v>
      </c>
      <c r="C61" s="1" t="s">
        <v>208</v>
      </c>
      <c r="D61" s="2" t="s">
        <v>209</v>
      </c>
      <c r="E61" s="2" t="s">
        <v>210</v>
      </c>
      <c r="F61" s="2" t="s">
        <v>211</v>
      </c>
      <c r="G61" s="2" t="s">
        <v>212</v>
      </c>
    </row>
    <row r="62" spans="1:7" ht="315" x14ac:dyDescent="0.25">
      <c r="A62" s="2" t="s">
        <v>213</v>
      </c>
      <c r="B62" s="2" t="s">
        <v>846</v>
      </c>
      <c r="C62" s="1" t="s">
        <v>214</v>
      </c>
      <c r="D62" s="2" t="s">
        <v>215</v>
      </c>
      <c r="E62" s="2" t="s">
        <v>216</v>
      </c>
      <c r="F62" s="2" t="s">
        <v>217</v>
      </c>
      <c r="G62" s="2" t="s">
        <v>218</v>
      </c>
    </row>
    <row r="63" spans="1:7" ht="135" x14ac:dyDescent="0.25">
      <c r="A63" s="2" t="s">
        <v>219</v>
      </c>
      <c r="B63" s="2" t="s">
        <v>846</v>
      </c>
      <c r="C63" s="1" t="s">
        <v>220</v>
      </c>
      <c r="D63" s="2" t="s">
        <v>221</v>
      </c>
      <c r="E63" s="2" t="s">
        <v>222</v>
      </c>
      <c r="F63" s="2" t="s">
        <v>223</v>
      </c>
      <c r="G63" s="2" t="s">
        <v>224</v>
      </c>
    </row>
    <row r="64" spans="1:7" ht="150" x14ac:dyDescent="0.25">
      <c r="A64" s="2" t="s">
        <v>225</v>
      </c>
      <c r="B64" s="2" t="s">
        <v>846</v>
      </c>
      <c r="C64" s="1" t="s">
        <v>226</v>
      </c>
      <c r="D64" s="2" t="s">
        <v>221</v>
      </c>
      <c r="E64" s="2" t="s">
        <v>227</v>
      </c>
      <c r="F64" s="2" t="s">
        <v>228</v>
      </c>
      <c r="G64" s="2" t="s">
        <v>229</v>
      </c>
    </row>
    <row r="65" spans="1:7" ht="270" x14ac:dyDescent="0.25">
      <c r="A65" s="2" t="s">
        <v>802</v>
      </c>
      <c r="B65" s="2" t="s">
        <v>846</v>
      </c>
      <c r="C65" s="1" t="s">
        <v>1700</v>
      </c>
      <c r="D65" s="2" t="s">
        <v>1701</v>
      </c>
      <c r="E65" s="2" t="s">
        <v>230</v>
      </c>
      <c r="F65" s="2" t="s">
        <v>231</v>
      </c>
      <c r="G65" s="2" t="s">
        <v>1702</v>
      </c>
    </row>
    <row r="66" spans="1:7" ht="225" x14ac:dyDescent="0.25">
      <c r="A66" s="2" t="s">
        <v>803</v>
      </c>
      <c r="B66" s="2" t="s">
        <v>846</v>
      </c>
      <c r="C66" s="1" t="s">
        <v>1703</v>
      </c>
      <c r="D66" s="2" t="s">
        <v>1704</v>
      </c>
      <c r="E66" s="2" t="s">
        <v>232</v>
      </c>
      <c r="F66" s="2" t="s">
        <v>233</v>
      </c>
      <c r="G66" s="2" t="s">
        <v>1705</v>
      </c>
    </row>
    <row r="67" spans="1:7" ht="150" x14ac:dyDescent="0.25">
      <c r="A67" s="2" t="s">
        <v>234</v>
      </c>
      <c r="B67" s="2" t="s">
        <v>846</v>
      </c>
      <c r="C67" s="1" t="s">
        <v>235</v>
      </c>
      <c r="D67" s="2" t="s">
        <v>236</v>
      </c>
      <c r="E67" s="2" t="s">
        <v>237</v>
      </c>
      <c r="F67" s="2" t="s">
        <v>238</v>
      </c>
      <c r="G67" s="2" t="s">
        <v>239</v>
      </c>
    </row>
    <row r="68" spans="1:7" ht="120" x14ac:dyDescent="0.25">
      <c r="A68" s="2" t="s">
        <v>240</v>
      </c>
      <c r="B68" s="2" t="s">
        <v>846</v>
      </c>
      <c r="C68" s="1" t="s">
        <v>241</v>
      </c>
      <c r="D68" s="2" t="s">
        <v>242</v>
      </c>
      <c r="E68" s="2" t="s">
        <v>243</v>
      </c>
      <c r="F68" s="2" t="s">
        <v>244</v>
      </c>
      <c r="G68" s="2" t="s">
        <v>245</v>
      </c>
    </row>
    <row r="69" spans="1:7" ht="330" x14ac:dyDescent="0.25">
      <c r="A69" s="2" t="s">
        <v>804</v>
      </c>
      <c r="B69" s="2" t="s">
        <v>846</v>
      </c>
      <c r="C69" s="1" t="s">
        <v>246</v>
      </c>
      <c r="D69" s="2" t="s">
        <v>247</v>
      </c>
      <c r="E69" s="2" t="s">
        <v>248</v>
      </c>
      <c r="F69" s="2" t="s">
        <v>249</v>
      </c>
      <c r="G69" s="2" t="s">
        <v>805</v>
      </c>
    </row>
    <row r="70" spans="1:7" ht="120" x14ac:dyDescent="0.25">
      <c r="A70" s="2" t="s">
        <v>250</v>
      </c>
      <c r="B70" s="2" t="s">
        <v>846</v>
      </c>
      <c r="C70" s="1" t="s">
        <v>251</v>
      </c>
      <c r="D70" s="2" t="s">
        <v>252</v>
      </c>
      <c r="E70" s="2" t="s">
        <v>253</v>
      </c>
      <c r="F70" s="2" t="s">
        <v>254</v>
      </c>
      <c r="G70" s="2" t="s">
        <v>255</v>
      </c>
    </row>
    <row r="71" spans="1:7" ht="150" x14ac:dyDescent="0.25">
      <c r="A71" s="2" t="s">
        <v>256</v>
      </c>
      <c r="B71" s="2" t="s">
        <v>846</v>
      </c>
      <c r="C71" s="1" t="s">
        <v>257</v>
      </c>
      <c r="D71" s="2" t="s">
        <v>252</v>
      </c>
      <c r="E71" s="2" t="s">
        <v>258</v>
      </c>
      <c r="F71" s="2" t="s">
        <v>259</v>
      </c>
      <c r="G71" s="2" t="s">
        <v>260</v>
      </c>
    </row>
    <row r="72" spans="1:7" ht="150" x14ac:dyDescent="0.25">
      <c r="A72" s="2" t="s">
        <v>806</v>
      </c>
      <c r="B72" s="2" t="s">
        <v>846</v>
      </c>
      <c r="C72" s="1" t="s">
        <v>261</v>
      </c>
      <c r="D72" s="2" t="s">
        <v>252</v>
      </c>
      <c r="E72" s="2" t="s">
        <v>262</v>
      </c>
      <c r="F72" s="2" t="s">
        <v>263</v>
      </c>
      <c r="G72" s="2" t="s">
        <v>807</v>
      </c>
    </row>
    <row r="73" spans="1:7" ht="330" x14ac:dyDescent="0.25">
      <c r="A73" s="2" t="s">
        <v>808</v>
      </c>
      <c r="B73" s="2" t="s">
        <v>846</v>
      </c>
      <c r="C73" s="1" t="s">
        <v>264</v>
      </c>
      <c r="D73" s="2" t="s">
        <v>265</v>
      </c>
      <c r="E73" s="2" t="s">
        <v>266</v>
      </c>
      <c r="F73" s="2" t="s">
        <v>267</v>
      </c>
      <c r="G73" s="2" t="s">
        <v>809</v>
      </c>
    </row>
    <row r="74" spans="1:7" ht="165" x14ac:dyDescent="0.25">
      <c r="A74" s="2" t="s">
        <v>268</v>
      </c>
      <c r="B74" s="2" t="s">
        <v>846</v>
      </c>
      <c r="C74" s="1" t="s">
        <v>843</v>
      </c>
      <c r="D74" s="2" t="s">
        <v>265</v>
      </c>
      <c r="E74" s="2" t="s">
        <v>744</v>
      </c>
      <c r="F74" s="2" t="s">
        <v>745</v>
      </c>
      <c r="G74" s="2" t="s">
        <v>844</v>
      </c>
    </row>
    <row r="75" spans="1:7" ht="105" x14ac:dyDescent="0.25">
      <c r="A75" s="2" t="s">
        <v>746</v>
      </c>
      <c r="B75" s="2" t="s">
        <v>846</v>
      </c>
      <c r="C75" s="1" t="s">
        <v>747</v>
      </c>
      <c r="D75" s="2" t="s">
        <v>265</v>
      </c>
      <c r="E75" s="2" t="s">
        <v>748</v>
      </c>
      <c r="F75" s="2" t="s">
        <v>749</v>
      </c>
      <c r="G75" s="2" t="s">
        <v>750</v>
      </c>
    </row>
    <row r="76" spans="1:7" ht="105" x14ac:dyDescent="0.25">
      <c r="A76" s="2" t="s">
        <v>269</v>
      </c>
      <c r="B76" s="2" t="s">
        <v>846</v>
      </c>
      <c r="C76" s="1" t="s">
        <v>751</v>
      </c>
      <c r="D76" s="2" t="s">
        <v>265</v>
      </c>
      <c r="E76" s="2" t="s">
        <v>752</v>
      </c>
      <c r="F76" s="2" t="s">
        <v>270</v>
      </c>
      <c r="G76" s="2" t="s">
        <v>753</v>
      </c>
    </row>
    <row r="77" spans="1:7" ht="90" x14ac:dyDescent="0.25">
      <c r="A77" s="2" t="s">
        <v>689</v>
      </c>
      <c r="B77" s="2" t="s">
        <v>846</v>
      </c>
      <c r="C77" s="1" t="s">
        <v>754</v>
      </c>
      <c r="D77" s="2" t="s">
        <v>265</v>
      </c>
      <c r="E77" s="2" t="s">
        <v>755</v>
      </c>
      <c r="F77" s="2" t="s">
        <v>690</v>
      </c>
      <c r="G77" s="2" t="s">
        <v>756</v>
      </c>
    </row>
    <row r="78" spans="1:7" ht="105" x14ac:dyDescent="0.25">
      <c r="A78" s="2" t="s">
        <v>691</v>
      </c>
      <c r="B78" s="2" t="s">
        <v>846</v>
      </c>
      <c r="C78" s="1" t="s">
        <v>757</v>
      </c>
      <c r="D78" s="2" t="s">
        <v>265</v>
      </c>
      <c r="E78" s="2" t="s">
        <v>758</v>
      </c>
      <c r="F78" s="2" t="s">
        <v>692</v>
      </c>
      <c r="G78" s="2" t="s">
        <v>759</v>
      </c>
    </row>
    <row r="79" spans="1:7" ht="120" x14ac:dyDescent="0.25">
      <c r="A79" s="2" t="s">
        <v>693</v>
      </c>
      <c r="B79" s="2" t="s">
        <v>846</v>
      </c>
      <c r="C79" s="1" t="s">
        <v>694</v>
      </c>
      <c r="D79" s="2" t="s">
        <v>695</v>
      </c>
      <c r="E79" s="2" t="s">
        <v>696</v>
      </c>
      <c r="F79" s="2" t="s">
        <v>697</v>
      </c>
      <c r="G79" s="2" t="s">
        <v>698</v>
      </c>
    </row>
    <row r="80" spans="1:7" ht="120" x14ac:dyDescent="0.25">
      <c r="A80" s="2" t="s">
        <v>699</v>
      </c>
      <c r="B80" s="2" t="s">
        <v>846</v>
      </c>
      <c r="C80" s="1" t="s">
        <v>700</v>
      </c>
      <c r="D80" s="2" t="s">
        <v>701</v>
      </c>
      <c r="E80" s="2" t="s">
        <v>702</v>
      </c>
      <c r="F80" s="2" t="s">
        <v>703</v>
      </c>
      <c r="G80" s="2" t="s">
        <v>704</v>
      </c>
    </row>
    <row r="81" spans="1:7" ht="105" x14ac:dyDescent="0.25">
      <c r="A81" s="2" t="s">
        <v>705</v>
      </c>
      <c r="B81" s="2" t="s">
        <v>846</v>
      </c>
      <c r="C81" s="1" t="s">
        <v>706</v>
      </c>
      <c r="D81" s="2" t="s">
        <v>707</v>
      </c>
      <c r="E81" s="2" t="s">
        <v>708</v>
      </c>
      <c r="F81" s="2" t="s">
        <v>709</v>
      </c>
      <c r="G81" s="2" t="s">
        <v>710</v>
      </c>
    </row>
    <row r="82" spans="1:7" ht="135" x14ac:dyDescent="0.25">
      <c r="A82" s="2" t="s">
        <v>711</v>
      </c>
      <c r="B82" s="2" t="s">
        <v>846</v>
      </c>
      <c r="C82" s="1" t="s">
        <v>712</v>
      </c>
      <c r="D82" s="2" t="s">
        <v>713</v>
      </c>
      <c r="E82" s="2" t="s">
        <v>714</v>
      </c>
      <c r="F82" s="2" t="s">
        <v>715</v>
      </c>
      <c r="G82" s="2" t="s">
        <v>716</v>
      </c>
    </row>
    <row r="83" spans="1:7" ht="135" x14ac:dyDescent="0.25">
      <c r="A83" s="2" t="s">
        <v>717</v>
      </c>
      <c r="B83" s="2" t="s">
        <v>846</v>
      </c>
      <c r="C83" s="1" t="s">
        <v>718</v>
      </c>
      <c r="D83" s="2" t="s">
        <v>719</v>
      </c>
      <c r="E83" s="2" t="s">
        <v>720</v>
      </c>
      <c r="F83" s="2" t="s">
        <v>721</v>
      </c>
      <c r="G83" s="2" t="s">
        <v>722</v>
      </c>
    </row>
    <row r="84" spans="1:7" ht="195" x14ac:dyDescent="0.25">
      <c r="A84" s="2" t="s">
        <v>723</v>
      </c>
      <c r="B84" s="2" t="s">
        <v>846</v>
      </c>
      <c r="C84" s="1" t="s">
        <v>724</v>
      </c>
      <c r="D84" s="2" t="s">
        <v>725</v>
      </c>
      <c r="E84" s="2" t="s">
        <v>726</v>
      </c>
      <c r="F84" s="2" t="s">
        <v>727</v>
      </c>
      <c r="G84" s="2" t="s">
        <v>728</v>
      </c>
    </row>
    <row r="85" spans="1:7" ht="255" x14ac:dyDescent="0.25">
      <c r="A85" s="2" t="s">
        <v>729</v>
      </c>
      <c r="B85" s="2" t="s">
        <v>846</v>
      </c>
      <c r="C85" s="1" t="s">
        <v>730</v>
      </c>
      <c r="D85" s="2" t="s">
        <v>731</v>
      </c>
      <c r="E85" s="2" t="s">
        <v>732</v>
      </c>
      <c r="F85" s="2" t="s">
        <v>733</v>
      </c>
      <c r="G85" s="2" t="s">
        <v>734</v>
      </c>
    </row>
    <row r="86" spans="1:7" ht="180" x14ac:dyDescent="0.25">
      <c r="A86" s="2" t="s">
        <v>735</v>
      </c>
      <c r="B86" s="2" t="s">
        <v>846</v>
      </c>
      <c r="C86" s="1" t="s">
        <v>892</v>
      </c>
      <c r="D86" s="2" t="s">
        <v>736</v>
      </c>
      <c r="E86" s="2" t="s">
        <v>737</v>
      </c>
      <c r="F86" s="2" t="s">
        <v>738</v>
      </c>
      <c r="G86" s="2" t="s">
        <v>893</v>
      </c>
    </row>
    <row r="87" spans="1:7" ht="240" x14ac:dyDescent="0.25">
      <c r="A87" s="2" t="s">
        <v>810</v>
      </c>
      <c r="B87" s="2" t="s">
        <v>846</v>
      </c>
      <c r="C87" s="1" t="s">
        <v>271</v>
      </c>
      <c r="D87" s="2" t="s">
        <v>272</v>
      </c>
      <c r="E87" s="2" t="s">
        <v>273</v>
      </c>
      <c r="F87" s="2" t="s">
        <v>274</v>
      </c>
      <c r="G87" s="2" t="s">
        <v>811</v>
      </c>
    </row>
    <row r="88" spans="1:7" ht="180" x14ac:dyDescent="0.25">
      <c r="A88" s="2" t="s">
        <v>275</v>
      </c>
      <c r="B88" s="2" t="s">
        <v>846</v>
      </c>
      <c r="C88" s="1" t="s">
        <v>812</v>
      </c>
      <c r="D88" s="2" t="s">
        <v>276</v>
      </c>
      <c r="E88" s="2" t="s">
        <v>277</v>
      </c>
      <c r="F88" s="2" t="s">
        <v>278</v>
      </c>
      <c r="G88" s="2" t="s">
        <v>813</v>
      </c>
    </row>
    <row r="89" spans="1:7" ht="150" x14ac:dyDescent="0.25">
      <c r="A89" s="2" t="s">
        <v>279</v>
      </c>
      <c r="B89" s="2" t="s">
        <v>846</v>
      </c>
      <c r="C89" s="1" t="s">
        <v>280</v>
      </c>
      <c r="D89" s="2" t="s">
        <v>281</v>
      </c>
      <c r="E89" s="2" t="s">
        <v>282</v>
      </c>
      <c r="F89" s="2" t="s">
        <v>283</v>
      </c>
      <c r="G89" s="2" t="s">
        <v>284</v>
      </c>
    </row>
    <row r="90" spans="1:7" ht="135" x14ac:dyDescent="0.25">
      <c r="A90" s="2" t="s">
        <v>285</v>
      </c>
      <c r="B90" s="2" t="s">
        <v>846</v>
      </c>
      <c r="C90" s="1" t="s">
        <v>286</v>
      </c>
      <c r="D90" s="2" t="s">
        <v>287</v>
      </c>
      <c r="E90" s="2" t="s">
        <v>288</v>
      </c>
      <c r="F90" s="2" t="s">
        <v>289</v>
      </c>
      <c r="G90" s="2" t="s">
        <v>290</v>
      </c>
    </row>
    <row r="91" spans="1:7" ht="120" x14ac:dyDescent="0.25">
      <c r="A91" s="2" t="s">
        <v>291</v>
      </c>
      <c r="B91" s="2" t="s">
        <v>846</v>
      </c>
      <c r="C91" s="1" t="s">
        <v>292</v>
      </c>
      <c r="D91" s="2" t="s">
        <v>293</v>
      </c>
      <c r="E91" s="2" t="s">
        <v>294</v>
      </c>
      <c r="F91" s="2" t="s">
        <v>295</v>
      </c>
      <c r="G91" s="2" t="s">
        <v>296</v>
      </c>
    </row>
    <row r="92" spans="1:7" ht="135" x14ac:dyDescent="0.25">
      <c r="A92" s="2" t="s">
        <v>297</v>
      </c>
      <c r="B92" s="2" t="s">
        <v>846</v>
      </c>
      <c r="C92" s="1" t="s">
        <v>298</v>
      </c>
      <c r="D92" s="2" t="s">
        <v>299</v>
      </c>
      <c r="E92" s="2" t="s">
        <v>300</v>
      </c>
      <c r="F92" s="2" t="s">
        <v>301</v>
      </c>
      <c r="G92" s="2" t="s">
        <v>302</v>
      </c>
    </row>
    <row r="93" spans="1:7" ht="120" x14ac:dyDescent="0.25">
      <c r="A93" s="2" t="s">
        <v>303</v>
      </c>
      <c r="B93" s="2" t="s">
        <v>846</v>
      </c>
      <c r="C93" s="1" t="s">
        <v>304</v>
      </c>
      <c r="D93" s="2" t="s">
        <v>305</v>
      </c>
      <c r="E93" s="2" t="s">
        <v>306</v>
      </c>
      <c r="F93" s="2" t="s">
        <v>307</v>
      </c>
      <c r="G93" s="2" t="s">
        <v>308</v>
      </c>
    </row>
    <row r="94" spans="1:7" ht="180" x14ac:dyDescent="0.25">
      <c r="A94" s="2" t="s">
        <v>309</v>
      </c>
      <c r="B94" s="2" t="s">
        <v>846</v>
      </c>
      <c r="C94" s="1" t="s">
        <v>310</v>
      </c>
      <c r="D94" s="2" t="s">
        <v>311</v>
      </c>
      <c r="E94" s="2" t="s">
        <v>312</v>
      </c>
      <c r="F94" s="2" t="s">
        <v>313</v>
      </c>
      <c r="G94" s="2" t="s">
        <v>314</v>
      </c>
    </row>
    <row r="95" spans="1:7" ht="135" x14ac:dyDescent="0.25">
      <c r="A95" s="2" t="s">
        <v>315</v>
      </c>
      <c r="B95" s="2" t="s">
        <v>846</v>
      </c>
      <c r="C95" s="1" t="s">
        <v>316</v>
      </c>
      <c r="D95" s="2" t="s">
        <v>317</v>
      </c>
      <c r="E95" s="2" t="s">
        <v>318</v>
      </c>
      <c r="F95" s="2" t="s">
        <v>319</v>
      </c>
      <c r="G95" s="2" t="s">
        <v>320</v>
      </c>
    </row>
    <row r="96" spans="1:7" ht="180" x14ac:dyDescent="0.25">
      <c r="A96" s="2" t="s">
        <v>321</v>
      </c>
      <c r="B96" s="2" t="s">
        <v>846</v>
      </c>
      <c r="C96" s="1" t="s">
        <v>322</v>
      </c>
      <c r="D96" s="2" t="s">
        <v>323</v>
      </c>
      <c r="E96" s="2" t="s">
        <v>324</v>
      </c>
      <c r="F96" s="2" t="s">
        <v>325</v>
      </c>
      <c r="G96" s="2" t="s">
        <v>326</v>
      </c>
    </row>
    <row r="97" spans="1:7" ht="150" x14ac:dyDescent="0.25">
      <c r="A97" s="2" t="s">
        <v>327</v>
      </c>
      <c r="B97" s="2" t="s">
        <v>846</v>
      </c>
      <c r="C97" s="1" t="s">
        <v>328</v>
      </c>
      <c r="D97" s="2" t="s">
        <v>329</v>
      </c>
      <c r="E97" s="2" t="s">
        <v>330</v>
      </c>
      <c r="F97" s="2" t="s">
        <v>331</v>
      </c>
      <c r="G97" s="2" t="s">
        <v>332</v>
      </c>
    </row>
    <row r="98" spans="1:7" ht="135" x14ac:dyDescent="0.25">
      <c r="A98" s="2" t="s">
        <v>333</v>
      </c>
      <c r="B98" s="2" t="s">
        <v>846</v>
      </c>
      <c r="C98" s="1" t="s">
        <v>334</v>
      </c>
      <c r="D98" s="2" t="s">
        <v>335</v>
      </c>
      <c r="E98" s="2" t="s">
        <v>336</v>
      </c>
      <c r="F98" s="2" t="s">
        <v>337</v>
      </c>
      <c r="G98" s="2" t="s">
        <v>338</v>
      </c>
    </row>
    <row r="99" spans="1:7" ht="240" x14ac:dyDescent="0.25">
      <c r="A99" s="2" t="s">
        <v>760</v>
      </c>
      <c r="B99" s="2" t="s">
        <v>846</v>
      </c>
      <c r="C99" s="1" t="s">
        <v>739</v>
      </c>
      <c r="D99" s="2" t="s">
        <v>740</v>
      </c>
      <c r="E99" s="2" t="s">
        <v>741</v>
      </c>
      <c r="F99" s="2" t="s">
        <v>761</v>
      </c>
      <c r="G99" s="2" t="s">
        <v>762</v>
      </c>
    </row>
    <row r="100" spans="1:7" ht="225" x14ac:dyDescent="0.25">
      <c r="A100" s="2" t="s">
        <v>763</v>
      </c>
      <c r="B100" s="2" t="s">
        <v>846</v>
      </c>
      <c r="C100" s="1" t="s">
        <v>742</v>
      </c>
      <c r="D100" s="2" t="s">
        <v>740</v>
      </c>
      <c r="E100" s="2" t="s">
        <v>743</v>
      </c>
      <c r="F100" s="2" t="s">
        <v>764</v>
      </c>
      <c r="G100" s="2" t="s">
        <v>765</v>
      </c>
    </row>
    <row r="101" spans="1:7" ht="409.5" x14ac:dyDescent="0.25">
      <c r="A101" s="2" t="s">
        <v>820</v>
      </c>
      <c r="B101" s="2" t="s">
        <v>846</v>
      </c>
      <c r="C101" s="1" t="s">
        <v>821</v>
      </c>
      <c r="D101" s="2" t="s">
        <v>822</v>
      </c>
      <c r="E101" s="2" t="s">
        <v>823</v>
      </c>
      <c r="F101" s="2" t="s">
        <v>824</v>
      </c>
      <c r="G101" s="2" t="s">
        <v>825</v>
      </c>
    </row>
    <row r="102" spans="1:7" ht="390" x14ac:dyDescent="0.25">
      <c r="A102" s="2" t="s">
        <v>826</v>
      </c>
      <c r="B102" s="2" t="s">
        <v>846</v>
      </c>
      <c r="C102" s="1" t="s">
        <v>827</v>
      </c>
      <c r="D102" s="2" t="s">
        <v>822</v>
      </c>
      <c r="E102" s="2" t="s">
        <v>828</v>
      </c>
      <c r="F102" s="2" t="s">
        <v>829</v>
      </c>
      <c r="G102" s="2" t="s">
        <v>830</v>
      </c>
    </row>
    <row r="103" spans="1:7" ht="375" x14ac:dyDescent="0.25">
      <c r="A103" s="2" t="s">
        <v>907</v>
      </c>
      <c r="B103" s="2" t="s">
        <v>846</v>
      </c>
      <c r="C103" s="1" t="s">
        <v>954</v>
      </c>
      <c r="D103" s="2"/>
      <c r="E103" s="2" t="s">
        <v>955</v>
      </c>
      <c r="F103" s="2" t="s">
        <v>908</v>
      </c>
      <c r="G103" s="2" t="s">
        <v>956</v>
      </c>
    </row>
    <row r="104" spans="1:7" ht="409.5" x14ac:dyDescent="0.25">
      <c r="A104" s="2" t="s">
        <v>909</v>
      </c>
      <c r="B104" s="2" t="s">
        <v>846</v>
      </c>
      <c r="C104" s="1" t="s">
        <v>910</v>
      </c>
      <c r="D104" s="2" t="s">
        <v>911</v>
      </c>
      <c r="E104" s="2" t="s">
        <v>912</v>
      </c>
      <c r="F104" s="2" t="s">
        <v>913</v>
      </c>
      <c r="G104" s="2" t="s">
        <v>914</v>
      </c>
    </row>
    <row r="105" spans="1:7" ht="409.5" x14ac:dyDescent="0.25">
      <c r="A105" s="2" t="s">
        <v>915</v>
      </c>
      <c r="B105" s="2" t="s">
        <v>846</v>
      </c>
      <c r="C105" s="1" t="s">
        <v>916</v>
      </c>
      <c r="D105" s="2" t="s">
        <v>917</v>
      </c>
      <c r="E105" s="2" t="s">
        <v>918</v>
      </c>
      <c r="F105" s="2" t="s">
        <v>919</v>
      </c>
      <c r="G105" s="2" t="s">
        <v>920</v>
      </c>
    </row>
    <row r="106" spans="1:7" ht="285" x14ac:dyDescent="0.25">
      <c r="A106" s="2" t="s">
        <v>1706</v>
      </c>
      <c r="B106" s="2" t="s">
        <v>846</v>
      </c>
      <c r="C106" s="1" t="s">
        <v>1707</v>
      </c>
      <c r="D106" s="2" t="s">
        <v>1708</v>
      </c>
      <c r="E106" s="2" t="s">
        <v>1709</v>
      </c>
      <c r="F106" s="2" t="s">
        <v>1710</v>
      </c>
      <c r="G106" s="2" t="s">
        <v>1711</v>
      </c>
    </row>
    <row r="107" spans="1:7" ht="330" x14ac:dyDescent="0.25">
      <c r="A107" s="2" t="s">
        <v>1712</v>
      </c>
      <c r="B107" s="2" t="s">
        <v>846</v>
      </c>
      <c r="C107" s="1" t="s">
        <v>1713</v>
      </c>
      <c r="D107" s="2" t="s">
        <v>1714</v>
      </c>
      <c r="E107" s="2" t="s">
        <v>1715</v>
      </c>
      <c r="F107" s="2" t="s">
        <v>1716</v>
      </c>
      <c r="G107" s="2" t="s">
        <v>1717</v>
      </c>
    </row>
    <row r="108" spans="1:7" ht="285" x14ac:dyDescent="0.25">
      <c r="A108" s="2" t="s">
        <v>1718</v>
      </c>
      <c r="B108" s="2" t="s">
        <v>846</v>
      </c>
      <c r="C108" s="1" t="s">
        <v>1719</v>
      </c>
      <c r="D108" s="2" t="s">
        <v>1720</v>
      </c>
      <c r="E108" s="2" t="s">
        <v>1721</v>
      </c>
      <c r="F108" s="2" t="s">
        <v>1722</v>
      </c>
      <c r="G108" s="2" t="s">
        <v>1723</v>
      </c>
    </row>
    <row r="109" spans="1:7" ht="180" x14ac:dyDescent="0.25">
      <c r="A109" s="2" t="s">
        <v>1724</v>
      </c>
      <c r="B109" s="2" t="s">
        <v>846</v>
      </c>
      <c r="C109" s="1" t="s">
        <v>1725</v>
      </c>
      <c r="D109" s="2" t="s">
        <v>1726</v>
      </c>
      <c r="E109" s="2" t="s">
        <v>1727</v>
      </c>
      <c r="F109" s="2" t="s">
        <v>1728</v>
      </c>
      <c r="G109" s="2" t="s">
        <v>1729</v>
      </c>
    </row>
    <row r="110" spans="1:7" ht="135" x14ac:dyDescent="0.25">
      <c r="A110" s="2" t="s">
        <v>1730</v>
      </c>
      <c r="B110" s="2" t="s">
        <v>846</v>
      </c>
      <c r="C110" s="1" t="s">
        <v>1731</v>
      </c>
      <c r="D110" s="2" t="s">
        <v>1732</v>
      </c>
      <c r="E110" s="2" t="s">
        <v>1733</v>
      </c>
      <c r="F110" s="2" t="s">
        <v>1734</v>
      </c>
      <c r="G110" s="2" t="s">
        <v>1735</v>
      </c>
    </row>
    <row r="111" spans="1:7" ht="165" x14ac:dyDescent="0.25">
      <c r="A111" s="2" t="s">
        <v>847</v>
      </c>
      <c r="B111" s="2" t="s">
        <v>667</v>
      </c>
      <c r="C111" s="1" t="s">
        <v>867</v>
      </c>
      <c r="D111" s="2"/>
      <c r="E111" s="2" t="s">
        <v>848</v>
      </c>
      <c r="F111" s="2" t="s">
        <v>849</v>
      </c>
      <c r="G111" s="2" t="s">
        <v>850</v>
      </c>
    </row>
    <row r="112" spans="1:7" ht="105" x14ac:dyDescent="0.25">
      <c r="A112" s="2" t="s">
        <v>851</v>
      </c>
      <c r="B112" s="2" t="s">
        <v>667</v>
      </c>
      <c r="C112" s="1" t="s">
        <v>868</v>
      </c>
      <c r="D112" s="2"/>
      <c r="E112" s="2" t="s">
        <v>852</v>
      </c>
      <c r="F112" s="2" t="s">
        <v>853</v>
      </c>
      <c r="G112" s="2" t="s">
        <v>854</v>
      </c>
    </row>
    <row r="113" spans="1:7" ht="135" x14ac:dyDescent="0.25">
      <c r="A113" s="2" t="s">
        <v>855</v>
      </c>
      <c r="B113" s="2" t="s">
        <v>667</v>
      </c>
      <c r="C113" s="1" t="s">
        <v>869</v>
      </c>
      <c r="D113" s="2"/>
      <c r="E113" s="2" t="s">
        <v>856</v>
      </c>
      <c r="F113" s="2" t="s">
        <v>857</v>
      </c>
      <c r="G113" s="2" t="s">
        <v>858</v>
      </c>
    </row>
    <row r="114" spans="1:7" ht="210" x14ac:dyDescent="0.25">
      <c r="A114" s="2" t="s">
        <v>859</v>
      </c>
      <c r="B114" s="2" t="s">
        <v>667</v>
      </c>
      <c r="C114" s="1" t="s">
        <v>870</v>
      </c>
      <c r="D114" s="2"/>
      <c r="E114" s="2" t="s">
        <v>860</v>
      </c>
      <c r="F114" s="2" t="s">
        <v>861</v>
      </c>
      <c r="G114" s="2" t="s">
        <v>865</v>
      </c>
    </row>
    <row r="115" spans="1:7" ht="135" x14ac:dyDescent="0.25">
      <c r="A115" s="2" t="s">
        <v>862</v>
      </c>
      <c r="B115" s="2" t="s">
        <v>667</v>
      </c>
      <c r="C115" s="1" t="s">
        <v>871</v>
      </c>
      <c r="D115" s="2"/>
      <c r="E115" s="2" t="s">
        <v>863</v>
      </c>
      <c r="F115" s="2" t="s">
        <v>864</v>
      </c>
      <c r="G115" s="2" t="s">
        <v>866</v>
      </c>
    </row>
    <row r="116" spans="1:7" ht="255" x14ac:dyDescent="0.25">
      <c r="A116" s="2" t="s">
        <v>921</v>
      </c>
      <c r="B116" s="2" t="s">
        <v>667</v>
      </c>
      <c r="C116" s="1" t="s">
        <v>922</v>
      </c>
      <c r="D116" s="2"/>
      <c r="E116" s="2" t="s">
        <v>923</v>
      </c>
      <c r="F116" s="2" t="s">
        <v>924</v>
      </c>
      <c r="G116" s="2" t="s">
        <v>925</v>
      </c>
    </row>
    <row r="117" spans="1:7" ht="360" x14ac:dyDescent="0.25">
      <c r="A117" s="2" t="s">
        <v>926</v>
      </c>
      <c r="B117" s="2" t="s">
        <v>667</v>
      </c>
      <c r="C117" s="1" t="s">
        <v>927</v>
      </c>
      <c r="D117" s="2"/>
      <c r="E117" s="2" t="s">
        <v>928</v>
      </c>
      <c r="F117" s="2" t="s">
        <v>929</v>
      </c>
      <c r="G117" s="2" t="s">
        <v>930</v>
      </c>
    </row>
    <row r="118" spans="1:7" ht="390" x14ac:dyDescent="0.25">
      <c r="A118" s="2" t="s">
        <v>1736</v>
      </c>
      <c r="B118" s="2" t="s">
        <v>667</v>
      </c>
      <c r="C118" s="1" t="s">
        <v>1737</v>
      </c>
      <c r="D118" s="2"/>
      <c r="E118" s="2" t="s">
        <v>1738</v>
      </c>
      <c r="F118" s="2" t="s">
        <v>1739</v>
      </c>
      <c r="G118" s="2" t="s">
        <v>1740</v>
      </c>
    </row>
    <row r="119" spans="1:7" ht="315" x14ac:dyDescent="0.25">
      <c r="A119" s="2" t="s">
        <v>1741</v>
      </c>
      <c r="B119" s="2" t="s">
        <v>667</v>
      </c>
      <c r="C119" s="1" t="s">
        <v>1742</v>
      </c>
      <c r="D119" s="2"/>
      <c r="E119" s="2" t="s">
        <v>1743</v>
      </c>
      <c r="F119" s="2" t="s">
        <v>1744</v>
      </c>
      <c r="G119" s="2" t="s">
        <v>1745</v>
      </c>
    </row>
    <row r="120" spans="1:7" ht="390" x14ac:dyDescent="0.25">
      <c r="A120" s="2" t="s">
        <v>1746</v>
      </c>
      <c r="B120" s="2" t="s">
        <v>667</v>
      </c>
      <c r="C120" s="1" t="s">
        <v>1747</v>
      </c>
      <c r="D120" s="2"/>
      <c r="E120" s="2" t="s">
        <v>1748</v>
      </c>
      <c r="F120" s="2" t="s">
        <v>1749</v>
      </c>
      <c r="G120" s="2" t="s">
        <v>1750</v>
      </c>
    </row>
    <row r="121" spans="1:7" ht="345" x14ac:dyDescent="0.25">
      <c r="A121" s="2" t="s">
        <v>1751</v>
      </c>
      <c r="B121" s="2" t="s">
        <v>667</v>
      </c>
      <c r="C121" s="1" t="s">
        <v>1752</v>
      </c>
      <c r="D121" s="2"/>
      <c r="E121" s="2" t="s">
        <v>1753</v>
      </c>
      <c r="F121" s="2" t="s">
        <v>1754</v>
      </c>
      <c r="G121" s="2" t="s">
        <v>1755</v>
      </c>
    </row>
    <row r="122" spans="1:7" ht="409.5" x14ac:dyDescent="0.25">
      <c r="A122" s="2" t="s">
        <v>931</v>
      </c>
      <c r="B122" s="2" t="s">
        <v>667</v>
      </c>
      <c r="C122" s="1" t="s">
        <v>932</v>
      </c>
      <c r="D122" s="2"/>
      <c r="E122" s="2" t="s">
        <v>933</v>
      </c>
      <c r="F122" s="2" t="s">
        <v>934</v>
      </c>
      <c r="G122" s="2" t="s">
        <v>935</v>
      </c>
    </row>
    <row r="123" spans="1:7" ht="409.5" x14ac:dyDescent="0.25">
      <c r="A123" s="2" t="s">
        <v>936</v>
      </c>
      <c r="B123" s="2" t="s">
        <v>667</v>
      </c>
      <c r="C123" s="1" t="s">
        <v>937</v>
      </c>
      <c r="D123" s="2"/>
      <c r="E123" s="2" t="s">
        <v>938</v>
      </c>
      <c r="F123" s="2" t="s">
        <v>939</v>
      </c>
      <c r="G123" s="2" t="s">
        <v>940</v>
      </c>
    </row>
    <row r="124" spans="1:7" ht="315" x14ac:dyDescent="0.25">
      <c r="A124" s="2" t="s">
        <v>941</v>
      </c>
      <c r="B124" s="2" t="s">
        <v>667</v>
      </c>
      <c r="C124" s="1" t="s">
        <v>942</v>
      </c>
      <c r="D124" s="2"/>
      <c r="E124" s="2" t="s">
        <v>943</v>
      </c>
      <c r="F124" s="2" t="s">
        <v>944</v>
      </c>
      <c r="G124" s="2" t="s">
        <v>957</v>
      </c>
    </row>
    <row r="125" spans="1:7" ht="255" x14ac:dyDescent="0.25">
      <c r="A125" s="2" t="s">
        <v>945</v>
      </c>
      <c r="B125" s="2" t="s">
        <v>667</v>
      </c>
      <c r="C125" s="1" t="s">
        <v>946</v>
      </c>
      <c r="D125" s="2"/>
      <c r="E125" s="2" t="s">
        <v>947</v>
      </c>
      <c r="F125" s="2" t="s">
        <v>948</v>
      </c>
      <c r="G125" s="2" t="s">
        <v>949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13</vt:i4>
      </vt:variant>
    </vt:vector>
  </HeadingPairs>
  <TitlesOfParts>
    <vt:vector size="20" baseType="lpstr">
      <vt:lpstr>Mileage Data</vt:lpstr>
      <vt:lpstr>Life Expectancy Data</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2026-07-25T23:51:14Z</dcterms:modified>
</cp:coreProperties>
</file>