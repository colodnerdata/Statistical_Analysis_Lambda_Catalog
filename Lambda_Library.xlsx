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DF4B86A3-03F1-414D-A738-B2802574DBAC}" xr6:coauthVersionLast="47" xr6:coauthVersionMax="47" xr10:uidLastSave="{00000000-0000-0000-0000-000000000000}"/>
  <bookViews>
    <workbookView xWindow="-120" yWindow="-120" windowWidth="29040" windowHeight="15720" activeTab="3" xr2:uid="{4718ABCC-A48C-431C-A3F1-425D88656749}"/>
  </bookViews>
  <sheets>
    <sheet name="LAMBDA_functions" sheetId="1" r:id="rId1"/>
    <sheet name="Life Expectancy Data" sheetId="2" r:id="rId2"/>
    <sheet name="MLR_Scalar_Test" sheetId="3" r:id="rId3"/>
    <sheet name="MLR_Vector_Outputs_Test" sheetId="4" r:id="rId4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CI_Excludes_Zero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N]: confidence level (0–100); defau">_xlfn.LAMBDA(_xlpm.X_s,_xlpm.Y,_xlop.Allow_Intercept,_xlop.Filter,_xlop.N,_xlfn.LET(_xlpm.allow_arg,IF(_xlfn.ISOMITTED(_xlpm.Allow_Intercept),TRUE,_xlpm.Allow_Intercept),_xlpm.filt_arg,IF(_xlfn.ISOMITTED(_xlpm.Filter),TRUE,_xlpm.Filter),_xlpm.n_arg,IF(_xlfn.ISOMITTED(_xlpm.N),95,_xlpm.N),_xlpm.alpha_arg,(100-_xlpm.n_arg)/100,(CI_Lower(_xlpm.X_s,_xlpm.Y,_xlpm.allow_arg,_xlpm.filt_arg,_xlpm.n_arg)&gt;0)+(CI_Upper(_xlpm.X_s,_xlpm.Y,_xlpm.allow_arg,_xlpm.filt_arg,_xlpm.n_arg)&lt;0)&gt;0))</definedName>
    <definedName name="CI_Lower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N]: confidence level (0–100); defau">_xlfn.LAMBDA(_xlpm.X_s,_xlpm.Y,_xlop.Allow_Intercept,_xlop.Filter,_xlop.N,_xlfn.LET(_xlpm.allow_arg,IF(_xlfn.ISOMITTED(_xlpm.Allow_Intercept),TRUE,_xlpm.Allow_Intercept),_xlpm.filt_arg,IF(_xlfn.ISOMITTED(_xlpm.Filter),TRUE,_xlpm.Filter),_xlpm.n_arg,IF(_xlfn.ISOMITTED(_xlpm.N),95,_xlpm.N),_xlpm.alpha_arg,(100-_xlpm.n_arg)/100,Coefficients(_xlpm.X_s,_xlpm.Y,_xlpm.allow_arg,_xlpm.filt_arg)-_xlfn.T.INV.2T(_xlpm.alpha_arg,DF_Residual(_xlpm.X_s,_xlpm.Y,_xlpm.allow_arg,_xlpm.filt_arg))*SE_Coefficients(_xlpm.X_s,_xlpm.Y,_xlpm.allow_arg,_xlpm.filt_arg)))</definedName>
    <definedName name="CI_Upper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N]: confidence level (0–100); defau">_xlfn.LAMBDA(_xlpm.X_s,_xlpm.Y,_xlop.Allow_Intercept,_xlop.Filter,_xlop.N,_xlfn.LET(_xlpm.allow_arg,IF(_xlfn.ISOMITTED(_xlpm.Allow_Intercept),TRUE,_xlpm.Allow_Intercept),_xlpm.filt_arg,IF(_xlfn.ISOMITTED(_xlpm.Filter),TRUE,_xlpm.Filter),_xlpm.n_arg,IF(_xlfn.ISOMITTED(_xlpm.N),95,_xlpm.N),_xlpm.alpha_arg,(100-_xlpm.n_arg)/100,Coefficients(_xlpm.X_s,_xlpm.Y,_xlpm.allow_arg,_xlpm.filt_arg)+_xlfn.T.INV.2T(_xlpm.alpha_arg,DF_Residual(_xlpm.X_s,_xlpm.Y,_xlpm.allow_arg,_xlpm.filt_arg))*SE_Coefficients(_xlpm.X_s,_xlpm.Y,_xlpm.allow_arg,_xlpm.filt_arg)))</definedName>
    <definedName name="Coefficien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FALSE),_xlpm.k,COLUMNS(_xlpm.X_s),TRANSPOSE(IF(_xlpm.allow_arg,_xlfn.HSTACK(INDEX(_xlpm.ls,1,_xlpm.k+1),_xlfn.CHOOSECOLS(_xlpm.ls,_xlfn.SEQUENCE(1,_xlpm.k,_xlpm.k,-1))),_xlfn.CHOOSECOLS(_xlpm.ls,_xlfn.SEQUENCE(1,_xlpm.k,_xlpm.k,-1)))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fil" localSheetId="3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P_Value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fn.T.DIST.2T(ABS(T_Stats(_xlpm.X_s,_xlpm.Y,_xlpm.allow_arg,_xlpm.filt_arg)),DF_Residual(_xlpm.X_s,_xlpm.Y,_xlpm.allow_arg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Regression_Vector_Outputs" comment="X_s: column range of predictors (single or multi-column)_x000a__x000a_Y: single-column outcome range_x000a__x000a_Names: vertical array of coefficient/term labels (including &quot;Intercept&quot; when intercept is fitted)_x000a__x000a_[Allow_Intercept]: TRUE/FALSE — fit intercept? Default TRUE_x000a__x000a_[Filt">_xlfn.LAMBDA(_xlpm.X_s,_xlpm.Y,_xlpm.Names,_xlop.Allow_Intercept,_xlop.Filter,_xlop.N,_xlfn.LET(_xlpm.allow_arg,IF(_xlfn.ISOMITTED(_xlpm.Allow_Intercept),TRUE,_xlpm.Allow_Intercept),_xlpm.filt_arg,IF(_xlfn.ISOMITTED(_xlpm.Filter),TRUE,_xlpm.Filter),_xlpm.n_arg,IF(_xlfn.ISOMITTED(_xlpm.N),95,_xlpm.N),_xlfn.HSTACK(_xlfn.VSTACK("Term",_xlpm.Names),_xlfn.VSTACK("Coefficients",Coefficients(_xlpm.X_s,_xlpm.Y,_xlpm.allow_arg,_xlpm.filt_arg)),_xlfn.VSTACK("SE_Coefficients",SE_Coefficients(_xlpm.X_s,_xlpm.Y,_xlpm.allow_arg,_xlpm.filt_arg)),_xlfn.VSTACK("T_Stats",T_Stats(_xlpm.X_s,_xlpm.Y,_xlpm.allow_arg,_xlpm.filt_arg)),_xlfn.VSTACK("P_Values",P_Values(_xlpm.X_s,_xlpm.Y,_xlpm.allow_arg,_xlpm.filt_arg)),_xlfn.VSTACK("CI_Lower "&amp;_xlpm.n_arg&amp;"%",CI_Lower(_xlpm.X_s,_xlpm.Y,_xlpm.allow_arg,_xlpm.filt_arg,_xlpm.n_arg)),_xlfn.VSTACK("CI_Upper "&amp;_xlpm.n_arg&amp;"%",CI_Upper(_xlpm.X_s,_xlpm.Y,_xlpm.allow_arg,_xlpm.filt_arg,_xlpm.n_arg)),_xlfn.VSTACK("CI_Excludes_Zero",CI_Excludes_Zero(_xlpm.X_s,_xlpm.Y,_xlpm.allow_arg,_xlpm.filt_arg,_xlpm.n_arg)))))</definedName>
    <definedName name="SE_Coefficien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TRUE),_xlpm.ses,INDEX(_xlpm.ls,2),_xlpm.k,COLUMNS(_xlpm.X_s),TRANSPOSE(IF(_xlpm.allow_arg,_xlfn.HSTACK(INDEX(_xlpm.ses,1,_xlpm.k+1),_xlfn.CHOOSECOLS(_xlpm.ses,_xlfn.SEQUENCE(1,_xlpm.k,_xlpm.k,-1))),_xlfn.CHOOSECOLS(_xlpm.ses,_xlfn.SEQUENCE(1,_xlpm.k,_xlpm.k,-1))))))</definedName>
    <definedName name="SE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T_Sta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Coefficients(_xlpm.X_s,_xlpm.Y,_xlpm.allow_arg,_xlpm.filt_arg)/SE_Coefficients(_xlpm.X_s,_xlpm.Y,_xlpm.allow_arg,_xlpm.filt_arg)))</definedName>
    <definedName name="y" localSheetId="2">LifeExpectancyData[Life expectancy]</definedName>
    <definedName name="y" localSheetId="3">LifeExpectancyData[Life expectancy]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3" l="1"/>
  <c r="J2" i="3" s="1"/>
  <c r="I3" i="3"/>
  <c r="J3" i="3" s="1"/>
  <c r="I4" i="3"/>
  <c r="J4" i="3" s="1"/>
  <c r="I5" i="3"/>
  <c r="J5" i="3" s="1"/>
  <c r="I6" i="3"/>
  <c r="J6" i="3" s="1"/>
  <c r="I7" i="3"/>
  <c r="J7" i="3" s="1"/>
  <c r="I8" i="3"/>
  <c r="J8" i="3" s="1"/>
  <c r="I9" i="3"/>
  <c r="J9" i="3" s="1"/>
  <c r="A2" i="3"/>
  <c r="A3" i="3"/>
  <c r="A4" i="3"/>
  <c r="A5" i="3"/>
  <c r="A6" i="3"/>
  <c r="A7" i="3"/>
  <c r="A8" i="3"/>
  <c r="A9" i="3"/>
  <c r="W2" i="2"/>
  <c r="O50" i="4" s="1" a="1"/>
  <c r="W3" i="2"/>
  <c r="W4" i="2"/>
  <c r="O4" i="3" s="1"/>
  <c r="P4" i="3" s="1"/>
  <c r="W5" i="2"/>
  <c r="W6" i="2"/>
  <c r="X8" i="3" s="1"/>
  <c r="Y8" i="3" s="1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O50" i="4" l="1"/>
  <c r="G50" i="4" a="1"/>
  <c r="G50" i="4" s="1"/>
  <c r="F9" i="3"/>
  <c r="G9" i="3" s="1"/>
  <c r="L5" i="3"/>
  <c r="M5" i="3" s="1"/>
  <c r="O9" i="3"/>
  <c r="P9" i="3" s="1"/>
  <c r="U5" i="3"/>
  <c r="V5" i="3" s="1"/>
  <c r="X9" i="3"/>
  <c r="Y9" i="3" s="1"/>
  <c r="AD5" i="3"/>
  <c r="AE5" i="3" s="1"/>
  <c r="AG9" i="3"/>
  <c r="AH9" i="3" s="1"/>
  <c r="J18" i="4" a="1"/>
  <c r="M18" i="4" a="1"/>
  <c r="P18" i="4" a="1"/>
  <c r="K71" i="4" a="1"/>
  <c r="N71" i="4" a="1"/>
  <c r="F8" i="3"/>
  <c r="G8" i="3" s="1"/>
  <c r="L4" i="3"/>
  <c r="M4" i="3" s="1"/>
  <c r="O8" i="3"/>
  <c r="P8" i="3" s="1"/>
  <c r="U4" i="3"/>
  <c r="V4" i="3" s="1"/>
  <c r="AD4" i="3"/>
  <c r="AE4" i="3" s="1"/>
  <c r="AG8" i="3"/>
  <c r="AH8" i="3" s="1"/>
  <c r="K3" i="4" a="1"/>
  <c r="N3" i="4" a="1"/>
  <c r="L25" i="4" a="1"/>
  <c r="O25" i="4" a="1"/>
  <c r="F7" i="3"/>
  <c r="G7" i="3" s="1"/>
  <c r="L3" i="3"/>
  <c r="M3" i="3" s="1"/>
  <c r="O7" i="3"/>
  <c r="P7" i="3" s="1"/>
  <c r="U3" i="3"/>
  <c r="V3" i="3" s="1"/>
  <c r="X7" i="3"/>
  <c r="Y7" i="3" s="1"/>
  <c r="AD3" i="3"/>
  <c r="AE3" i="3" s="1"/>
  <c r="AG7" i="3"/>
  <c r="AH7" i="3" s="1"/>
  <c r="J7" i="4" a="1"/>
  <c r="M7" i="4" a="1"/>
  <c r="P7" i="4" a="1"/>
  <c r="K38" i="4" a="1"/>
  <c r="N38" i="4" a="1"/>
  <c r="F6" i="3"/>
  <c r="G6" i="3" s="1"/>
  <c r="L2" i="3"/>
  <c r="M2" i="3" s="1"/>
  <c r="O6" i="3"/>
  <c r="P6" i="3" s="1"/>
  <c r="U2" i="3"/>
  <c r="V2" i="3" s="1"/>
  <c r="X6" i="3"/>
  <c r="Y6" i="3" s="1"/>
  <c r="AD2" i="3"/>
  <c r="AE2" i="3" s="1"/>
  <c r="AG6" i="3"/>
  <c r="AH6" i="3" s="1"/>
  <c r="L10" i="4" a="1"/>
  <c r="O10" i="4" a="1"/>
  <c r="J50" i="4" a="1"/>
  <c r="M50" i="4" a="1"/>
  <c r="P50" i="4" a="1"/>
  <c r="F5" i="3"/>
  <c r="G5" i="3" s="1"/>
  <c r="O5" i="3"/>
  <c r="P5" i="3" s="1"/>
  <c r="R9" i="3"/>
  <c r="S9" i="3" s="1"/>
  <c r="X5" i="3"/>
  <c r="Y5" i="3" s="1"/>
  <c r="AA9" i="3"/>
  <c r="AB9" i="3" s="1"/>
  <c r="AG5" i="3"/>
  <c r="AH5" i="3" s="1"/>
  <c r="AJ9" i="3"/>
  <c r="AK9" i="3" s="1"/>
  <c r="K18" i="4" a="1"/>
  <c r="N18" i="4" a="1"/>
  <c r="L71" i="4" a="1"/>
  <c r="O71" i="4" a="1"/>
  <c r="F4" i="3"/>
  <c r="G4" i="3" s="1"/>
  <c r="R8" i="3"/>
  <c r="S8" i="3" s="1"/>
  <c r="X4" i="3"/>
  <c r="Y4" i="3" s="1"/>
  <c r="AA8" i="3"/>
  <c r="AB8" i="3" s="1"/>
  <c r="AG4" i="3"/>
  <c r="AH4" i="3" s="1"/>
  <c r="AJ8" i="3"/>
  <c r="AK8" i="3" s="1"/>
  <c r="L3" i="4" a="1"/>
  <c r="O3" i="4" a="1"/>
  <c r="J25" i="4" a="1"/>
  <c r="M25" i="4" a="1"/>
  <c r="P25" i="4" a="1"/>
  <c r="F3" i="3"/>
  <c r="G3" i="3" s="1"/>
  <c r="O3" i="3"/>
  <c r="P3" i="3" s="1"/>
  <c r="R7" i="3"/>
  <c r="S7" i="3" s="1"/>
  <c r="X3" i="3"/>
  <c r="Y3" i="3" s="1"/>
  <c r="AA7" i="3"/>
  <c r="AB7" i="3" s="1"/>
  <c r="AG3" i="3"/>
  <c r="AH3" i="3" s="1"/>
  <c r="AJ7" i="3"/>
  <c r="AK7" i="3" s="1"/>
  <c r="K7" i="4" a="1"/>
  <c r="N7" i="4" a="1"/>
  <c r="L38" i="4" a="1"/>
  <c r="O38" i="4" a="1"/>
  <c r="F2" i="3"/>
  <c r="G2" i="3" s="1"/>
  <c r="O2" i="3"/>
  <c r="P2" i="3" s="1"/>
  <c r="R6" i="3"/>
  <c r="S6" i="3" s="1"/>
  <c r="X2" i="3"/>
  <c r="Y2" i="3" s="1"/>
  <c r="AA6" i="3"/>
  <c r="AB6" i="3" s="1"/>
  <c r="AG2" i="3"/>
  <c r="AH2" i="3" s="1"/>
  <c r="AJ6" i="3"/>
  <c r="AK6" i="3" s="1"/>
  <c r="J10" i="4" a="1"/>
  <c r="M10" i="4" a="1"/>
  <c r="P10" i="4" a="1"/>
  <c r="K50" i="4" a="1"/>
  <c r="N50" i="4" a="1"/>
  <c r="L9" i="3"/>
  <c r="M9" i="3" s="1"/>
  <c r="R5" i="3"/>
  <c r="S5" i="3" s="1"/>
  <c r="U9" i="3"/>
  <c r="V9" i="3" s="1"/>
  <c r="AA5" i="3"/>
  <c r="AB5" i="3" s="1"/>
  <c r="AD9" i="3"/>
  <c r="AE9" i="3" s="1"/>
  <c r="AJ5" i="3"/>
  <c r="AK5" i="3" s="1"/>
  <c r="L18" i="4" a="1"/>
  <c r="O18" i="4" a="1"/>
  <c r="J71" i="4" a="1"/>
  <c r="M71" i="4" a="1"/>
  <c r="P71" i="4" a="1"/>
  <c r="L8" i="3"/>
  <c r="M8" i="3" s="1"/>
  <c r="R4" i="3"/>
  <c r="S4" i="3" s="1"/>
  <c r="U8" i="3"/>
  <c r="V8" i="3" s="1"/>
  <c r="AA4" i="3"/>
  <c r="AB4" i="3" s="1"/>
  <c r="AD8" i="3"/>
  <c r="AE8" i="3" s="1"/>
  <c r="AJ4" i="3"/>
  <c r="AK4" i="3" s="1"/>
  <c r="J3" i="4" a="1"/>
  <c r="M3" i="4" a="1"/>
  <c r="P3" i="4" a="1"/>
  <c r="K25" i="4" a="1"/>
  <c r="N25" i="4" a="1"/>
  <c r="L7" i="3"/>
  <c r="M7" i="3" s="1"/>
  <c r="R3" i="3"/>
  <c r="S3" i="3" s="1"/>
  <c r="U7" i="3"/>
  <c r="V7" i="3" s="1"/>
  <c r="AA3" i="3"/>
  <c r="AB3" i="3" s="1"/>
  <c r="AD7" i="3"/>
  <c r="AE7" i="3" s="1"/>
  <c r="AJ3" i="3"/>
  <c r="AK3" i="3" s="1"/>
  <c r="L7" i="4" a="1"/>
  <c r="O7" i="4" a="1"/>
  <c r="J38" i="4" a="1"/>
  <c r="M38" i="4" a="1"/>
  <c r="P38" i="4" a="1"/>
  <c r="L6" i="3"/>
  <c r="M6" i="3" s="1"/>
  <c r="R2" i="3"/>
  <c r="S2" i="3" s="1"/>
  <c r="U6" i="3"/>
  <c r="V6" i="3" s="1"/>
  <c r="AA2" i="3"/>
  <c r="AB2" i="3" s="1"/>
  <c r="AD6" i="3"/>
  <c r="AE6" i="3" s="1"/>
  <c r="AJ2" i="3"/>
  <c r="AK2" i="3" s="1"/>
  <c r="K10" i="4" a="1"/>
  <c r="N10" i="4" a="1"/>
  <c r="L50" i="4" a="1"/>
  <c r="H50" i="4" l="1" a="1"/>
  <c r="H50" i="4" s="1"/>
  <c r="P50" i="4"/>
  <c r="F38" i="4" a="1"/>
  <c r="F38" i="4" s="1"/>
  <c r="N38" i="4"/>
  <c r="G25" i="4" a="1"/>
  <c r="G25" i="4" s="1"/>
  <c r="O25" i="4"/>
  <c r="P18" i="4"/>
  <c r="H18" i="4" a="1"/>
  <c r="H18" i="4" s="1"/>
  <c r="D4" i="3"/>
  <c r="M50" i="4"/>
  <c r="E50" i="4" s="1" a="1"/>
  <c r="E50" i="4" s="1"/>
  <c r="C38" i="4" a="1"/>
  <c r="C38" i="4" s="1"/>
  <c r="K38" i="4"/>
  <c r="L25" i="4"/>
  <c r="D25" i="4" s="1" a="1"/>
  <c r="D25" i="4" s="1"/>
  <c r="M18" i="4"/>
  <c r="E18" i="4" a="1"/>
  <c r="E18" i="4" s="1"/>
  <c r="D71" i="4" a="1"/>
  <c r="D71" i="4" s="1"/>
  <c r="L71" i="4"/>
  <c r="J50" i="4"/>
  <c r="B50" i="4" s="1" a="1"/>
  <c r="B50" i="4" s="1"/>
  <c r="P7" i="4"/>
  <c r="H7" i="4" s="1" a="1"/>
  <c r="H7" i="4" s="1"/>
  <c r="N3" i="4"/>
  <c r="F3" i="4" s="1" a="1"/>
  <c r="F3" i="4" s="1"/>
  <c r="J18" i="4"/>
  <c r="B18" i="4" s="1" a="1"/>
  <c r="B18" i="4" s="1"/>
  <c r="N50" i="4"/>
  <c r="F50" i="4" s="1" a="1"/>
  <c r="F50" i="4" s="1"/>
  <c r="G38" i="4" a="1"/>
  <c r="G38" i="4" s="1"/>
  <c r="O38" i="4"/>
  <c r="M25" i="4"/>
  <c r="E25" i="4" s="1" a="1"/>
  <c r="E25" i="4" s="1"/>
  <c r="F18" i="4" a="1"/>
  <c r="F18" i="4" s="1"/>
  <c r="N18" i="4"/>
  <c r="O10" i="4"/>
  <c r="G10" i="4" s="1" a="1"/>
  <c r="G10" i="4" s="1"/>
  <c r="M7" i="4"/>
  <c r="E7" i="4" s="1" a="1"/>
  <c r="E7" i="4" s="1"/>
  <c r="K3" i="4"/>
  <c r="C3" i="4" s="1" a="1"/>
  <c r="C3" i="4" s="1"/>
  <c r="K50" i="4"/>
  <c r="C50" i="4" s="1" a="1"/>
  <c r="C50" i="4" s="1"/>
  <c r="L38" i="4"/>
  <c r="D38" i="4" s="1" a="1"/>
  <c r="D38" i="4" s="1"/>
  <c r="B25" i="4" a="1"/>
  <c r="B25" i="4" s="1"/>
  <c r="J25" i="4"/>
  <c r="K18" i="4"/>
  <c r="C18" i="4" s="1" a="1"/>
  <c r="C18" i="4" s="1"/>
  <c r="L10" i="4"/>
  <c r="D10" i="4" s="1" a="1"/>
  <c r="D10" i="4" s="1"/>
  <c r="J7" i="4"/>
  <c r="B7" i="4" s="1" a="1"/>
  <c r="B7" i="4" s="1"/>
  <c r="N25" i="4"/>
  <c r="F25" i="4" s="1" a="1"/>
  <c r="F25" i="4" s="1"/>
  <c r="E71" i="4" a="1"/>
  <c r="E71" i="4" s="1"/>
  <c r="M71" i="4"/>
  <c r="P38" i="4"/>
  <c r="H38" i="4" s="1" a="1"/>
  <c r="H38" i="4" s="1"/>
  <c r="K25" i="4"/>
  <c r="C25" i="4" s="1" a="1"/>
  <c r="C25" i="4" s="1"/>
  <c r="J71" i="4"/>
  <c r="B71" i="4" s="1" a="1"/>
  <c r="B71" i="4" s="1"/>
  <c r="E10" i="4" a="1"/>
  <c r="E10" i="4" s="1"/>
  <c r="M10" i="4"/>
  <c r="K7" i="4"/>
  <c r="C7" i="4" s="1" a="1"/>
  <c r="C7" i="4" s="1"/>
  <c r="L3" i="4"/>
  <c r="D3" i="4" s="1" a="1"/>
  <c r="D3" i="4" s="1"/>
  <c r="H71" i="4" a="1"/>
  <c r="H71" i="4" s="1"/>
  <c r="P71" i="4"/>
  <c r="P25" i="4"/>
  <c r="H25" i="4" s="1" a="1"/>
  <c r="H25" i="4" s="1"/>
  <c r="M38" i="4"/>
  <c r="E38" i="4" s="1" a="1"/>
  <c r="E38" i="4" s="1"/>
  <c r="P3" i="4"/>
  <c r="H3" i="4" s="1" a="1"/>
  <c r="H3" i="4" s="1"/>
  <c r="O18" i="4"/>
  <c r="G18" i="4" s="1" a="1"/>
  <c r="G18" i="4" s="1"/>
  <c r="J10" i="4"/>
  <c r="B10" i="4" s="1" a="1"/>
  <c r="B10" i="4" s="1"/>
  <c r="J38" i="4"/>
  <c r="B38" i="4" s="1" a="1"/>
  <c r="B38" i="4" s="1"/>
  <c r="E3" i="4" a="1"/>
  <c r="E3" i="4" s="1"/>
  <c r="M3" i="4"/>
  <c r="L18" i="4"/>
  <c r="D18" i="4" s="1" a="1"/>
  <c r="D18" i="4" s="1"/>
  <c r="D2" i="3"/>
  <c r="L50" i="4"/>
  <c r="D50" i="4" s="1" a="1"/>
  <c r="D50" i="4" s="1"/>
  <c r="O7" i="4"/>
  <c r="G7" i="4" a="1"/>
  <c r="G7" i="4" s="1"/>
  <c r="J3" i="4"/>
  <c r="B3" i="4" s="1" a="1"/>
  <c r="B3" i="4" s="1"/>
  <c r="D8" i="3"/>
  <c r="D9" i="3"/>
  <c r="D3" i="3"/>
  <c r="N71" i="4"/>
  <c r="F71" i="4" a="1"/>
  <c r="F71" i="4" s="1"/>
  <c r="O71" i="4"/>
  <c r="G71" i="4" s="1" a="1"/>
  <c r="G71" i="4" s="1"/>
  <c r="P10" i="4"/>
  <c r="H10" i="4" s="1" a="1"/>
  <c r="H10" i="4" s="1"/>
  <c r="N7" i="4"/>
  <c r="F7" i="4" s="1" a="1"/>
  <c r="F7" i="4" s="1"/>
  <c r="O3" i="4"/>
  <c r="G3" i="4" s="1" a="1"/>
  <c r="G3" i="4" s="1"/>
  <c r="N10" i="4"/>
  <c r="F10" i="4" s="1" a="1"/>
  <c r="F10" i="4" s="1"/>
  <c r="L7" i="4"/>
  <c r="D7" i="4" a="1"/>
  <c r="D7" i="4" s="1"/>
  <c r="K10" i="4"/>
  <c r="C10" i="4" a="1"/>
  <c r="C10" i="4" s="1"/>
  <c r="D5" i="3"/>
  <c r="D6" i="3"/>
  <c r="D7" i="3"/>
  <c r="K71" i="4"/>
  <c r="C71" i="4" s="1" a="1"/>
  <c r="C71" i="4" s="1"/>
  <c r="A7" i="4" l="1"/>
  <c r="A3" i="4"/>
  <c r="A38" i="4"/>
  <c r="A25" i="4"/>
  <c r="A50" i="4"/>
  <c r="A10" i="4"/>
  <c r="A18" i="4"/>
  <c r="A71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<sst xmlns="http://schemas.openxmlformats.org/spreadsheetml/2006/main" count="6134" uniqueCount="363">
  <si>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</si>
  <si>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</si>
  <si>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</si>
  <si>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</si>
  <si>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</si>
  <si>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</si>
  <si>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</si>
  <si>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</si>
  <si>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</si>
  <si>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</si>
  <si>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</si>
  <si>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</si>
  <si>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</si>
  <si>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</si>
  <si>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</si>
  <si>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</si>
  <si>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</si>
  <si>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</si>
  <si>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</si>
  <si>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</si>
  <si>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</si>
  <si>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</si>
  <si>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</si>
  <si>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</si>
  <si>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</si>
  <si>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</si>
  <si>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</si>
  <si>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</si>
  <si>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</si>
  <si>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</si>
  <si>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</si>
  <si>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</si>
  <si>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</si>
  <si>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</si>
  <si>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</si>
  <si>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</si>
  <si>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</si>
  <si>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</si>
  <si>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</si>
  <si>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</si>
  <si>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</si>
  <si>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</si>
  <si>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</si>
  <si>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</si>
  <si>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</si>
  <si>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</si>
  <si>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</si>
  <si>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</si>
  <si>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</si>
  <si>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</si>
  <si>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</si>
  <si>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</si>
  <si>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</si>
  <si>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</si>
  <si>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FALSE),
    k,         COLUMNS(X_s),
    TRANSPOSE(IF(allow_arg,
      HSTACK(INDEX(ls, 1, k + 1), CHOOSECOLS(ls, SEQUENCE(1, k, k, -1))),
      CHOOSECOLS(ls, SEQUENCE(1, k, k, -1))
    ))
  ))</t>
  </si>
  <si>
    <t>vertical array of fitted OLS coefficients — intercept first (when included), then predictors in input order</t>
  </si>
  <si>
    <t>Returns a vertical spill array of the fitted OLS regression coefficients. When Allow_Intercept is TRUE the intercept is the first element, followed by the coefficients for each column of X_s in input order. When Allow_Intercept is FALSE the output contains only the k predictor coefficients.
Uses LINEST with stats=FALSE (row 1 only), then reverses and optionally prepends the intercept to match X_s column order.</t>
  </si>
  <si>
    <t>SE_Coefficients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</si>
  <si>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TRUE),
    ses,       INDEX(ls, 2),
    k,         COLUMNS(X_s),
    TRANSPOSE(IF(allow_arg,
      HSTACK(INDEX(ses, 1, k + 1), CHOOSECOLS(ses, SEQUENCE(1, k, k, -1))),
      CHOOSECOLS(ses, SEQUENCE(1, k, k, -1))
    ))
  ))</t>
  </si>
  <si>
    <t>vertical array of standard errors of the OLS coefficients — same order as Coefficients</t>
  </si>
  <si>
    <t>Returns a vertical spill array of the standard errors of the fitted OLS coefficients, in the same order as Coefficients (intercept first when included).
Uses LINEST with stats=TRUE and extracts row 2 (the standard error row), then applies the same reversal as Coefficients.</t>
  </si>
  <si>
    <t>T_Stats</t>
  </si>
  <si>
    <t>=LAMBDA(X_s, Y, [Allow_Intercept], [Filter],
  LET(
    allow_arg, IF(ISOMITTED(Allow_Intercept), TRUE, Allow_Intercept),
    filt_arg,  IF(ISOMITTED(Filter),          TRUE, Filter),
    Coefficients(X_s, Y, allow_arg, filt_arg) / SE_Coefficients(X_s, Y, allow_arg, filt_arg)
  ))</t>
  </si>
  <si>
    <t>vertical array of t-statistics for each coefficient (coefficient / standard error)</t>
  </si>
  <si>
    <t>Returns a vertical spill array of t-statistics for each OLS coefficient. Each element equals the corresponding Coefficients value divided by its SE_Coefficients value.
Computed as Coefficients(...) / SE_Coefficients(...).</t>
  </si>
  <si>
    <t>P_Values</t>
  </si>
  <si>
    <t>=LAMBDA(X_s, Y, [Allow_Intercept], [Filter],
  LET(
    allow_arg, IF(ISOMITTED(Allow_Intercept), TRUE, Allow_Intercept),
    filt_arg,  IF(ISOMITTED(Filter),          TRUE, Filter),
    T.DIST.2T(ABS(T_Stats(X_s, Y, allow_arg, filt_arg)), DF_Residual(X_s, Y, allow_arg, filt_arg))
  ))</t>
  </si>
  <si>
    <t>vertical array of two-tailed p-values for each coefficient</t>
  </si>
  <si>
    <t>Returns a vertical spill array of two-tailed p-values for each OLS coefficient, testing the null hypothesis that the true coefficient equals zero.
Computed as T.DIST.2T(ABS(T_Stats(...)), DF_Residual(...)).</t>
  </si>
  <si>
    <t>CI_Lower</t>
  </si>
  <si>
    <t>=LAMBDA(X_s, Y, [Allow_Intercept], [Filter], [N],
  LET(
    allow_arg, IF(ISOMITTED(Allow_Intercept), TRUE, Allow_Intercept),
    filt_arg,  IF(ISOMITTED(Filter),          TRUE, Filter),
    n_arg,     IF(ISOMITTED(N),               95,   N),
    alpha_arg, (100 - n_arg) / 100,
    Coefficients(X_s, Y, allow_arg, filt_arg)
      - T.INV.2T(alpha_arg, DF_Residual(X_s, Y, allow_arg, filt_arg))
        * SE_Coefficients(X_s, Y, allow_arg, filt_arg)
  ))</t>
  </si>
  <si>
    <t>X_s: column range of predictors (single or multi-column)
Y: single-column outcome range
[Allow_Intercept]: TRUE/FALSE — fit intercept? Default TRUE
[Filter]: boolean array — TRUE includes the row, FALSE excludes it
[N]: confidence level (0–100); default 95 yields 95% CIs</t>
  </si>
  <si>
    <t>vertical array of lower confidence interval bounds for each coefficient</t>
  </si>
  <si>
    <t>Returns a vertical spill array of the lower bounds of the confidence intervals for each OLS coefficient. Uses a two-tailed t critical value at the specified confidence level.
Computed as Coefficients(...) - T.INV.2T((100-N)/100, DF_Residual(...)) * SE_Coefficients(...).</t>
  </si>
  <si>
    <t>CI_Upper</t>
  </si>
  <si>
    <t>=LAMBDA(X_s, Y, [Allow_Intercept], [Filter], [N],
  LET(
    allow_arg, IF(ISOMITTED(Allow_Intercept), TRUE, Allow_Intercept),
    filt_arg,  IF(ISOMITTED(Filter),          TRUE, Filter),
    n_arg,     IF(ISOMITTED(N),               95,   N),
    alpha_arg, (100 - n_arg) / 100,
    Coefficients(X_s, Y, allow_arg, filt_arg)
      + T.INV.2T(alpha_arg, DF_Residual(X_s, Y, allow_arg, filt_arg))
        * SE_Coefficients(X_s, Y, allow_arg, filt_arg)
  ))</t>
  </si>
  <si>
    <t>vertical array of upper confidence interval bounds for each coefficient</t>
  </si>
  <si>
    <t>Returns a vertical spill array of the upper bounds of the confidence intervals for each OLS coefficient. Uses a two-tailed t critical value at the specified confidence level.
Computed as Coefficients(...) + T.INV.2T((100-N)/100, DF_Residual(...)) * SE_Coefficients(...).</t>
  </si>
  <si>
    <t>CI_Excludes_Zero</t>
  </si>
  <si>
    <t>=LAMBDA(X_s, Y, [Allow_Intercept], [Filter], [N],
  LET(
    allow_arg, IF(ISOMITTED(Allow_Intercept), TRUE, Allow_Intercept),
    filt_arg,  IF(ISOMITTED(Filter),          TRUE, Filter),
    n_arg,     IF(ISOMITTED(N),               95,   N),
    alpha_arg, (100 - n_arg) / 100,
    (CI_Lower(X_s, Y, allow_arg, filt_arg, n_arg) &gt; 0)
      + (CI_Upper(X_s, Y, allow_arg, filt_arg, n_arg) &lt; 0) &gt; 0
  ))</t>
  </si>
  <si>
    <t>vertical array of booleans — TRUE when the confidence interval for that coefficient does not straddle zero</t>
  </si>
  <si>
    <t>Returns a vertical spill array of booleans indicating whether each coefficient's confidence interval excludes zero, i.e. whether the coefficient is statistically distinguishable from zero at the given confidence level.
TRUE when CI_Lower &gt; 0 (entirely positive) or CI_Upper &lt; 0 (entirely negative). Computed as (CI_Lower(...) &gt; 0) + (CI_Upper(...) &lt; 0) &gt; 0.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</si>
  <si>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</si>
  <si>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</si>
  <si>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</si>
  <si>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</si>
  <si>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</si>
  <si>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</si>
  <si>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</si>
  <si>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</si>
  <si>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</si>
  <si>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</si>
  <si>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</si>
  <si>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</si>
  <si>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</si>
  <si>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</si>
  <si>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</si>
  <si>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</si>
  <si>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</si>
  <si>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</si>
  <si>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</si>
  <si>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</si>
  <si>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</si>
  <si>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</si>
  <si>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</si>
  <si>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</si>
  <si>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</si>
  <si>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</si>
  <si>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</si>
  <si>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</si>
  <si>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</si>
  <si>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</si>
  <si>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</si>
  <si>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</si>
  <si>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</si>
  <si>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</si>
  <si>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</si>
  <si>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</si>
  <si>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</si>
  <si>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</si>
  <si>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</si>
  <si>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</si>
  <si>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</si>
  <si>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</si>
  <si>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</si>
  <si>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</si>
  <si>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</si>
  <si>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</si>
  <si>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</si>
  <si>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</si>
  <si>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</si>
  <si>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</si>
  <si>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</si>
  <si>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</si>
  <si>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</si>
  <si>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</si>
  <si>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</si>
  <si>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</si>
  <si>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</si>
  <si>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</si>
  <si>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</si>
  <si>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</si>
  <si>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</si>
  <si>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</si>
  <si>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</si>
  <si>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</si>
  <si>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</si>
  <si>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</si>
  <si>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</si>
  <si>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</si>
  <si>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</si>
  <si>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</si>
  <si>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</si>
  <si>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</si>
  <si>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</si>
  <si>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</si>
  <si>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</si>
  <si>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</si>
  <si>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</si>
  <si>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</si>
  <si>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</si>
  <si>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</si>
  <si>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</si>
  <si>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</si>
  <si>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</si>
  <si>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</si>
  <si>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</si>
  <si>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</si>
  <si>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</si>
  <si>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</si>
  <si>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</si>
  <si>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</si>
  <si>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</si>
  <si>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</si>
  <si>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</si>
  <si>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</si>
  <si>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</si>
  <si>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</si>
  <si>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</si>
  <si>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</si>
  <si>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</si>
  <si>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</si>
  <si>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</si>
  <si>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</si>
  <si>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</si>
  <si>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</si>
  <si>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</si>
  <si>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</si>
  <si>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</si>
  <si>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</si>
  <si>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</si>
  <si>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</si>
  <si>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</si>
  <si>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</si>
  <si>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</si>
  <si>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</si>
  <si>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</si>
  <si>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</si>
  <si>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</si>
  <si>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</si>
  <si>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</si>
  <si>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</si>
  <si>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</si>
  <si>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</si>
  <si>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</si>
  <si>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</si>
  <si>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</si>
  <si>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</si>
  <si>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</si>
  <si>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</si>
  <si>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</si>
  <si>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</si>
  <si>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</si>
  <si>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</si>
  <si>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</si>
  <si>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</si>
  <si>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</si>
  <si>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</si>
  <si>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</si>
  <si>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</si>
  <si>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</si>
  <si>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</si>
  <si>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</si>
  <si>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</si>
  <si>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</si>
  <si>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</si>
  <si>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</si>
  <si>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</si>
  <si>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</si>
  <si>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</si>
  <si>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</si>
  <si>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</si>
  <si>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</si>
  <si>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</si>
  <si>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</si>
  <si>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</si>
  <si>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</si>
  <si>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</si>
  <si>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</si>
  <si>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</si>
  <si>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</si>
  <si>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</si>
  <si>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</si>
  <si>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</si>
  <si>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</si>
  <si>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</si>
  <si>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</si>
  <si>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</si>
  <si>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</si>
  <si>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</si>
  <si>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</si>
  <si>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</si>
  <si>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</si>
  <si>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</si>
  <si>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</si>
  <si>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</si>
  <si>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</si>
  <si>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</si>
  <si>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</si>
  <si>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</si>
  <si>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</si>
  <si>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</si>
  <si>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</si>
  <si>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</si>
  <si>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</si>
  <si>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</si>
  <si>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</si>
  <si>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</si>
  <si>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</si>
  <si>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</si>
  <si>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</si>
  <si>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</si>
  <si>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</si>
  <si>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</si>
  <si>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</si>
  <si>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</si>
  <si>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</si>
  <si>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</si>
  <si>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</si>
  <si>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</si>
  <si>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</si>
  <si>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</si>
  <si>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</si>
  <si>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</si>
  <si>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</si>
  <si>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</si>
  <si>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</si>
  <si>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</si>
  <si>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</si>
  <si>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</si>
  <si>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</si>
  <si>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</si>
  <si>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</si>
  <si>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</si>
  <si>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</si>
  <si>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</si>
  <si>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</si>
  <si>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</si>
  <si>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</si>
  <si>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</si>
  <si>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X_Variables</t>
  </si>
  <si>
    <t>ind_vars</t>
  </si>
  <si>
    <t>Allow_Intercept</t>
  </si>
  <si>
    <t>Smoke Test</t>
  </si>
  <si>
    <t>Observations
(Exp.)</t>
  </si>
  <si>
    <t>Observations
(Calc.)</t>
  </si>
  <si>
    <t>Observations
(Match)</t>
  </si>
  <si>
    <t>DF_Regression
(Exp.)</t>
  </si>
  <si>
    <t>DF_Regression
(Calc.)</t>
  </si>
  <si>
    <t>DF_Regression
(Match)</t>
  </si>
  <si>
    <t>DF_Total
(Exp.)</t>
  </si>
  <si>
    <t>DF_Total
(Calc.)</t>
  </si>
  <si>
    <t>DF_Total
(Match)</t>
  </si>
  <si>
    <t>R_squared
(Exp.)</t>
  </si>
  <si>
    <t>R_squared
(Calc.)</t>
  </si>
  <si>
    <t>R_squared
(Match)</t>
  </si>
  <si>
    <t>DF_Residual
(Exp.)</t>
  </si>
  <si>
    <t>DF_Residual
(Calc.)</t>
  </si>
  <si>
    <t>DF_Residual
(Match)</t>
  </si>
  <si>
    <t>Multiple_R
(Exp.)</t>
  </si>
  <si>
    <t>Multiple_R
(Calc.)</t>
  </si>
  <si>
    <t>Multiple_R
(Match)</t>
  </si>
  <si>
    <t>Adjusted_R2
(Exp.)</t>
  </si>
  <si>
    <t>Adjusted_R2
(Calc.)</t>
  </si>
  <si>
    <t>Adjusted_R2
(Match)</t>
  </si>
  <si>
    <t>SS_Total
(Exp.)</t>
  </si>
  <si>
    <t>SS_Total
(Calc.)</t>
  </si>
  <si>
    <t>SS_Total
(Match)</t>
  </si>
  <si>
    <t>SS_Residual
(Exp.)</t>
  </si>
  <si>
    <t>SS_Residual
(Calc.)</t>
  </si>
  <si>
    <t>SS_Residual
(Match)</t>
  </si>
  <si>
    <t>SS_Regression
(Exp.)</t>
  </si>
  <si>
    <t>SS_Regression
(Calc.)</t>
  </si>
  <si>
    <t>SS_Regression
(Match)</t>
  </si>
  <si>
    <t>SE_Regression
(Exp.)</t>
  </si>
  <si>
    <t>SE_Regression
(Calc.)</t>
  </si>
  <si>
    <t>SE_Regression
(Match)</t>
  </si>
  <si>
    <t>Coefficients
(Match)</t>
  </si>
  <si>
    <t>SE_Coefficients
(Match)</t>
  </si>
  <si>
    <t>T_Stats
(Match)</t>
  </si>
  <si>
    <t>P_Values
(Match)</t>
  </si>
  <si>
    <t>CI_Lower 95%
(Match)</t>
  </si>
  <si>
    <t>CI_Upper 95%
(Match)</t>
  </si>
  <si>
    <t>CI_Excludes_Zero
(Match)</t>
  </si>
  <si>
    <t>Term</t>
  </si>
  <si>
    <t>CI_Lower 95%</t>
  </si>
  <si>
    <t>CI_Upper 95%</t>
  </si>
  <si>
    <t>Coefficients
(Exp.)</t>
  </si>
  <si>
    <t>SE_Coefficients
(Exp.)</t>
  </si>
  <si>
    <t>T_Stats
(Exp.)</t>
  </si>
  <si>
    <t>P_Values
(Exp.)</t>
  </si>
  <si>
    <t>CI_Lower 95%
(Exp.)</t>
  </si>
  <si>
    <t>CI_Upper 95%
(Exp.)</t>
  </si>
  <si>
    <t>CI_Excludes_Zero
(Exp.)</t>
  </si>
  <si>
    <t>k=1 | Intercept=TRUE</t>
  </si>
  <si>
    <t>k=1 | Intercept=FALSE</t>
  </si>
  <si>
    <t>k=5 | Intercept=TRUE</t>
  </si>
  <si>
    <t>k=5 | Intercept=FALSE</t>
  </si>
  <si>
    <t>k=10 | Intercept=TRUE</t>
  </si>
  <si>
    <t>k=10 | Intercept=FALSE</t>
  </si>
  <si>
    <t>k=18 | Intercept=TRUE</t>
  </si>
  <si>
    <t>k=18 | Intercept=FALSE</t>
  </si>
  <si>
    <t>Intercept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</si>
</sst>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32">
    <dxf>
      <numFmt numFmtId="0" formatCode="General"/>
    </dxf>
    <dxf>
      <numFmt numFmtId="164" formatCode="0.0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164" formatCode="0.00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409E81-9E11-408A-B41C-DCBE8A3154E8}" name="LAMBDAFunctionsCatalog" displayName="LAMBDAFunctionsCatalog" ref="A1:E19" totalsRowShown="0" headerRowDxfId="31" dataDxfId="30">
  <autoFilter ref="A1:E19" xr:uid="{B8409E81-9E11-408A-B41C-DCBE8A3154E8}"/>
  <tableColumns count="5">
    <tableColumn id="1" xr3:uid="{D61B618E-B5AC-4C24-999D-0FC38209C753}" name="Function Name" dataDxfId="29"/>
    <tableColumn id="2" xr3:uid="{B12574B1-CEEC-431E-BA08-CDFE94CD5ECA}" name="Definition" dataDxfId="28"/>
    <tableColumn id="3" xr3:uid="{52A3450C-ABE7-4AC1-9CFC-66A795DBED62}" name="Arguments" dataDxfId="27"/>
    <tableColumn id="4" xr3:uid="{015CE73A-7767-462D-ADEA-BA43C739B6E6}" name="Yields" dataDxfId="26"/>
    <tableColumn id="5" xr3:uid="{B9F8524A-26DB-4453-A4E8-7C88F7F9504A}" name="Description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D450C3-E01C-417A-9268-EAF08A182BEB}" name="LifeExpectancyData" displayName="LifeExpectancyData" ref="A1:W2939" totalsRowShown="0">
  <autoFilter ref="A1:W2939" xr:uid="{98D450C3-E01C-417A-9268-EAF08A182BEB}"/>
  <tableColumns count="23">
    <tableColumn id="1" xr3:uid="{564DC417-51E4-450A-8E64-DA5AC2DC4E63}" name="Country"/>
    <tableColumn id="2" xr3:uid="{9DDA40D4-6E98-4F0F-A17D-ACD40AF9C976}" name="Year"/>
    <tableColumn id="3" xr3:uid="{7F457B01-7F98-4D21-B3FD-9240329AFA79}" name="Status"/>
    <tableColumn id="4" xr3:uid="{6C869F7A-46D4-4B17-9C1B-0B2AC3B333D3}" name="Life expectancy"/>
    <tableColumn id="5" xr3:uid="{10A5B56E-08DA-4FC2-89F4-9D4B8B99A469}" name="Adult Mortality"/>
    <tableColumn id="6" xr3:uid="{9BB7A520-7FDB-46AF-B4B0-E6DD51D25DA6}" name="infant deaths"/>
    <tableColumn id="7" xr3:uid="{52217B43-5F27-47D9-B824-052903171447}" name="Alcohol"/>
    <tableColumn id="8" xr3:uid="{2890D52A-3046-4501-9EB6-4326DCAA859B}" name="percentage expenditure"/>
    <tableColumn id="9" xr3:uid="{7AF1DB78-B1C5-4376-800A-A277397BE791}" name="Hepatitis B"/>
    <tableColumn id="10" xr3:uid="{674EB471-F7C3-4DB6-AEEE-E46FFAFE6909}" name="Measles"/>
    <tableColumn id="11" xr3:uid="{4384B0E4-04FA-43D1-BBEB-4EE5FE71C414}" name="BMI"/>
    <tableColumn id="12" xr3:uid="{CCF2C30F-0702-42ED-B34B-B513AB9F3F50}" name="under-five deaths"/>
    <tableColumn id="13" xr3:uid="{AE53092D-E6D7-4F48-9FD3-82BB904E0880}" name="Polio"/>
    <tableColumn id="14" xr3:uid="{C1DA4265-97AF-4460-AE66-B9FDE8E6DD15}" name="Total expenditure"/>
    <tableColumn id="15" xr3:uid="{55A28678-3116-4828-A6F2-3840015F0121}" name="Diphtheria"/>
    <tableColumn id="16" xr3:uid="{5F636692-8265-4CE1-AC82-1537B8D12775}" name="HIV/AIDS"/>
    <tableColumn id="17" xr3:uid="{3CA23C66-C3E6-43E8-A546-D9E795F46801}" name="GDP"/>
    <tableColumn id="18" xr3:uid="{47F44D87-D496-4510-8E83-91AEB7690937}" name="Population"/>
    <tableColumn id="19" xr3:uid="{BB2209C8-C457-4BAC-A7B1-07B7DA34479A}" name="thinness 1-19 years"/>
    <tableColumn id="20" xr3:uid="{AE5DDFE7-CFBB-4E6F-BB88-44023E8CBC0C}" name="thinness 5-9 years"/>
    <tableColumn id="21" xr3:uid="{C69820FF-4808-42EB-AAB1-EC0659768618}" name="Income composition of resources"/>
    <tableColumn id="22" xr3:uid="{F3F25C47-836C-4074-9200-5FCA30AF1A6E}" name="Schooling"/>
    <tableColumn id="23" xr3:uid="{1BCC0D6A-CB2D-442E-AB31-DC630D3CEC37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294AA3-239D-4AF7-AB14-014F61CC6042}" name="MLR_Scalar_Test" displayName="MLR_Scalar_Test" ref="A1:AK9" totalsRowShown="0" headerRowDxfId="24">
  <autoFilter ref="A1:AK9" xr:uid="{71294AA3-239D-4AF7-AB14-014F61CC6042}"/>
  <tableColumns count="37">
    <tableColumn id="1" xr3:uid="{0D30BFE0-F538-48FF-967D-18DBA9F5B983}" name="X_Variables" dataDxfId="23">
      <calculatedColumnFormula>_xlfn.TEXTJOIN(", ",TRUE,OFFSET(y,-1,1,1,MLR_Scalar_Test[[#This Row],[ind_vars]]))</calculatedColumnFormula>
    </tableColumn>
    <tableColumn id="2" xr3:uid="{15F6323C-5E38-4909-BC0E-AC2FD5A6D873}" name="ind_vars"/>
    <tableColumn id="3" xr3:uid="{47B88352-F267-4005-86EA-3E6D13790842}" name="Allow_Intercept"/>
    <tableColumn id="4" xr3:uid="{B8862972-2F00-4720-A10A-721170C9B5B6}" name="Smoke Test" dataDxfId="22">
      <calculatedColumnFormula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calculatedColumnFormula>
    </tableColumn>
    <tableColumn id="5" xr3:uid="{6CC791B3-02D7-4616-9927-A048C7AD7D60}" name="Observations_x000a_(Exp.)"/>
    <tableColumn id="6" xr3:uid="{AC3815CE-2287-457A-8C94-79370FEC2D91}" name="Observations_x000a_(Calc.)" dataDxfId="21">
      <calculatedColumnFormula>Observations(y, fil)</calculatedColumnFormula>
    </tableColumn>
    <tableColumn id="7" xr3:uid="{DC083B52-A87B-4B98-8E01-86B99A446DD9}" name="Observations_x000a_(Match)" dataDxfId="20">
      <calculatedColumnFormula>MLR_Scalar_Test[[#This Row],[Observations
(Exp.)]]=MLR_Scalar_Test[[#This Row],[Observations
(Calc.)]]</calculatedColumnFormula>
    </tableColumn>
    <tableColumn id="8" xr3:uid="{FA3DEB66-8DA6-4FC0-BEA8-FD9355B034CA}" name="DF_Regression_x000a_(Exp.)"/>
    <tableColumn id="9" xr3:uid="{EB57D9E2-BDE0-4521-A2F6-CDDC889C0072}" name="DF_Regression_x000a_(Calc.)" dataDxfId="19">
      <calculatedColumnFormula>_xlfn.LET(_xlpm.x_s, OFFSET(y,0,1,ROWS(y),MLR_Scalar_Test[[#This Row],[ind_vars]]), DF_Regression(_xlpm.x_s))</calculatedColumnFormula>
    </tableColumn>
    <tableColumn id="10" xr3:uid="{F7F84962-0CA3-4170-A6AE-0F6F314F753C}" name="DF_Regression_x000a_(Match)" dataDxfId="18">
      <calculatedColumnFormula>MLR_Scalar_Test[[#This Row],[DF_Regression
(Exp.)]]=MLR_Scalar_Test[[#This Row],[DF_Regression
(Calc.)]]</calculatedColumnFormula>
    </tableColumn>
    <tableColumn id="11" xr3:uid="{A3E1D28A-3E5E-424D-8DFF-39E88A2D9F0E}" name="DF_Total_x000a_(Exp.)"/>
    <tableColumn id="12" xr3:uid="{9C286157-7EB9-42F9-827B-3478980E8944}" name="DF_Total_x000a_(Calc.)" dataDxfId="17">
      <calculatedColumnFormula>DF_Total(y, MLR_Scalar_Test[[#This Row],[Allow_Intercept]], fil)</calculatedColumnFormula>
    </tableColumn>
    <tableColumn id="13" xr3:uid="{D946F4F7-EA66-42E8-8F2E-12BD63C28F5E}" name="DF_Total_x000a_(Match)" dataDxfId="16">
      <calculatedColumnFormula>MLR_Scalar_Test[[#This Row],[DF_Total
(Exp.)]]=MLR_Scalar_Test[[#This Row],[DF_Total
(Calc.)]]</calculatedColumnFormula>
    </tableColumn>
    <tableColumn id="14" xr3:uid="{39E1BC11-9462-4BA9-82A1-1A37D6067530}" name="R_squared_x000a_(Exp.)"/>
    <tableColumn id="15" xr3:uid="{982A6AF4-93DA-4E15-8777-C59347014E18}" name="R_squared_x000a_(Calc.)" dataDxfId="15">
      <calculatedColumnFormula>_xlfn.LET(_xlpm.x_s, OFFSET(y,0,1,ROWS(y),MLR_Scalar_Test[[#This Row],[ind_vars]]), R_squared(_xlpm.x_s, y, MLR_Scalar_Test[[#This Row],[Allow_Intercept]], fil))</calculatedColumnFormula>
    </tableColumn>
    <tableColumn id="16" xr3:uid="{F589DBF3-5352-47E3-B82B-69E2291CA2BC}" name="R_squared_x000a_(Match)" dataDxfId="14">
      <calculatedColumnFormula>ROUND(MLR_Scalar_Test[[#This Row],[R_squared
(Exp.)]],6)=ROUND(MLR_Scalar_Test[[#This Row],[R_squared
(Calc.)]],6)</calculatedColumnFormula>
    </tableColumn>
    <tableColumn id="17" xr3:uid="{3D4668D1-80FA-4F56-9539-E5DCAC11B3BC}" name="DF_Residual_x000a_(Exp.)"/>
    <tableColumn id="18" xr3:uid="{D13F2BCB-AC8D-42E5-BE3D-60EC654D8C7E}" name="DF_Residual_x000a_(Calc.)" dataDxfId="13">
      <calculatedColumnFormula>_xlfn.LET(_xlpm.x_s, OFFSET(y,0,1,ROWS(y),MLR_Scalar_Test[[#This Row],[ind_vars]]), DF_Residual(_xlpm.x_s, y, MLR_Scalar_Test[[#This Row],[Allow_Intercept]], fil))</calculatedColumnFormula>
    </tableColumn>
    <tableColumn id="19" xr3:uid="{07808298-47AE-4A6C-82F8-7D375A494EEB}" name="DF_Residual_x000a_(Match)" dataDxfId="12">
      <calculatedColumnFormula>MLR_Scalar_Test[[#This Row],[DF_Residual
(Exp.)]]=MLR_Scalar_Test[[#This Row],[DF_Residual
(Calc.)]]</calculatedColumnFormula>
    </tableColumn>
    <tableColumn id="20" xr3:uid="{CE76F789-2E70-4F1A-8DB6-E11EB8E69050}" name="Multiple_R_x000a_(Exp.)"/>
    <tableColumn id="21" xr3:uid="{AD0EC44A-ED44-4766-991F-7D6A2E772FFC}" name="Multiple_R_x000a_(Calc.)" dataDxfId="11">
      <calculatedColumnFormula>_xlfn.LET(_xlpm.x_s, OFFSET(y,0,1,ROWS(y),MLR_Scalar_Test[[#This Row],[ind_vars]]), Multiple_R(_xlpm.x_s, y, MLR_Scalar_Test[[#This Row],[Allow_Intercept]], fil))</calculatedColumnFormula>
    </tableColumn>
    <tableColumn id="22" xr3:uid="{6A1DCF05-324F-4B18-8246-F9DF50F9C432}" name="Multiple_R_x000a_(Match)" dataDxfId="10">
      <calculatedColumnFormula>ROUND(MLR_Scalar_Test[[#This Row],[Multiple_R
(Exp.)]],6)=ROUND(MLR_Scalar_Test[[#This Row],[Multiple_R
(Calc.)]],6)</calculatedColumnFormula>
    </tableColumn>
    <tableColumn id="23" xr3:uid="{34A33849-5CBA-4AA7-B5DE-8FA532DC8032}" name="Adjusted_R2_x000a_(Exp.)"/>
    <tableColumn id="24" xr3:uid="{C6BCC9C6-8E9A-4C55-8747-4FEAF8308B70}" name="Adjusted_R2_x000a_(Calc.)" dataDxfId="9">
      <calculatedColumnFormula>_xlfn.LET(_xlpm.x_s, OFFSET(y,0,1,ROWS(y),MLR_Scalar_Test[[#This Row],[ind_vars]]), Adjusted_R2(_xlpm.x_s, y, MLR_Scalar_Test[[#This Row],[Allow_Intercept]], fil))</calculatedColumnFormula>
    </tableColumn>
    <tableColumn id="25" xr3:uid="{553D639C-F7DF-4E22-BE2C-F46ABBBA08F0}" name="Adjusted_R2_x000a_(Match)" dataDxfId="8">
      <calculatedColumnFormula>ROUND(MLR_Scalar_Test[[#This Row],[Adjusted_R2
(Exp.)]],6)=ROUND(MLR_Scalar_Test[[#This Row],[Adjusted_R2
(Calc.)]],6)</calculatedColumnFormula>
    </tableColumn>
    <tableColumn id="26" xr3:uid="{05136170-8105-4E27-903E-FC17A48ADF55}" name="SS_Total_x000a_(Exp.)"/>
    <tableColumn id="27" xr3:uid="{B0D1005C-117F-4876-B951-FACE1DDF98E4}" name="SS_Total_x000a_(Calc.)" dataDxfId="7">
      <calculatedColumnFormula>SS_Total(y, MLR_Scalar_Test[[#This Row],[Allow_Intercept]], fil)</calculatedColumnFormula>
    </tableColumn>
    <tableColumn id="28" xr3:uid="{F3B754D1-99C6-4327-A8DF-D40A1A797965}" name="SS_Total_x000a_(Match)" dataDxfId="6">
      <calculatedColumnFormula>ROUND(MLR_Scalar_Test[[#This Row],[SS_Total
(Exp.)]],4)=ROUND(MLR_Scalar_Test[[#This Row],[SS_Total
(Calc.)]],4)</calculatedColumnFormula>
    </tableColumn>
    <tableColumn id="29" xr3:uid="{D0E6DEF6-8E31-4AF4-AE18-2D1EE575F430}" name="SS_Residual_x000a_(Exp.)"/>
    <tableColumn id="30" xr3:uid="{19267081-223D-436F-A6AD-2BD840FD9EC1}" name="SS_Residual_x000a_(Calc.)" dataDxfId="5">
      <calculatedColumnFormula>_xlfn.LET(_xlpm.x_s, OFFSET(y,0,1,ROWS(y),MLR_Scalar_Test[[#This Row],[ind_vars]]), SS_Residual(_xlpm.x_s, y, MLR_Scalar_Test[[#This Row],[Allow_Intercept]], fil))</calculatedColumnFormula>
    </tableColumn>
    <tableColumn id="31" xr3:uid="{99D11E07-79D3-4E03-9E23-8605AFEAB545}" name="SS_Residual_x000a_(Match)" dataDxfId="4">
      <calculatedColumnFormula>ROUND(MLR_Scalar_Test[[#This Row],[SS_Residual
(Exp.)]],4)=ROUND(MLR_Scalar_Test[[#This Row],[SS_Residual
(Calc.)]],4)</calculatedColumnFormula>
    </tableColumn>
    <tableColumn id="32" xr3:uid="{987ED0F6-ADEF-4BBF-B015-5A5A8A7C471D}" name="SS_Regression_x000a_(Exp.)"/>
    <tableColumn id="33" xr3:uid="{9DB16D48-CBE5-4FCD-BBC8-8811197E29CC}" name="SS_Regression_x000a_(Calc.)" dataDxfId="3">
      <calculatedColumnFormula>_xlfn.LET(_xlpm.x_s, OFFSET(y,0,1,ROWS(y),MLR_Scalar_Test[[#This Row],[ind_vars]]), SS_Regression(_xlpm.x_s, y, MLR_Scalar_Test[[#This Row],[Allow_Intercept]], fil))</calculatedColumnFormula>
    </tableColumn>
    <tableColumn id="34" xr3:uid="{750CDCBE-BEE5-481F-AC07-D12BE72FD897}" name="SS_Regression_x000a_(Match)" dataDxfId="2">
      <calculatedColumnFormula>ROUND(MLR_Scalar_Test[[#This Row],[SS_Regression
(Exp.)]],4)=ROUND(MLR_Scalar_Test[[#This Row],[SS_Regression
(Calc.)]],4)</calculatedColumnFormula>
    </tableColumn>
    <tableColumn id="35" xr3:uid="{B6267C6E-352A-4826-8F66-081D4C310DEE}" name="SE_Regression_x000a_(Exp.)"/>
    <tableColumn id="36" xr3:uid="{F69B0E1D-0F0C-4267-B9AE-86AB981CAC03}" name="SE_Regression_x000a_(Calc.)" dataDxfId="1">
      <calculatedColumnFormula>_xlfn.LET(_xlpm.x_s, OFFSET(y,0,1,ROWS(y),MLR_Scalar_Test[[#This Row],[ind_vars]]), SE_Regression(_xlpm.x_s, y, MLR_Scalar_Test[[#This Row],[Allow_Intercept]], fil))</calculatedColumnFormula>
    </tableColumn>
    <tableColumn id="37" xr3:uid="{4D65D0C4-F240-4901-8B09-87877BE847CF}" name="SE_Regression_x000a_(Match)" dataDxfId="0">
      <calculatedColumnFormula>ROUND(MLR_Scalar_Test[[#This Row],[SE_Regression
(Exp.)]],6)=ROUND(MLR_Scalar_Test[[#This Row],[SE_Regression
(Calc.)]],6)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F4692-8F48-4BE9-8E5F-2E5399A33BC0}">
  <dimension ref="A1:E1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37</v>
      </c>
      <c r="B9" s="1" t="s">
        <v>38</v>
      </c>
      <c r="C9" s="2" t="s">
        <v>17</v>
      </c>
      <c r="D9" s="2" t="s">
        <v>39</v>
      </c>
      <c r="E9" s="2" t="s">
        <v>40</v>
      </c>
    </row>
    <row r="10" spans="1:5" ht="120" x14ac:dyDescent="0.25">
      <c r="A10" s="2" t="s">
        <v>41</v>
      </c>
      <c r="B10" s="1" t="s">
        <v>42</v>
      </c>
      <c r="C10" s="2" t="s">
        <v>22</v>
      </c>
      <c r="D10" s="2" t="s">
        <v>43</v>
      </c>
      <c r="E10" s="2" t="s">
        <v>44</v>
      </c>
    </row>
    <row r="11" spans="1:5" ht="120" x14ac:dyDescent="0.25">
      <c r="A11" s="2" t="s">
        <v>45</v>
      </c>
      <c r="B11" s="1" t="s">
        <v>46</v>
      </c>
      <c r="C11" s="2" t="s">
        <v>22</v>
      </c>
      <c r="D11" s="2" t="s">
        <v>47</v>
      </c>
      <c r="E11" s="2" t="s">
        <v>48</v>
      </c>
    </row>
    <row r="12" spans="1:5" ht="120" x14ac:dyDescent="0.25">
      <c r="A12" s="2" t="s">
        <v>49</v>
      </c>
      <c r="B12" s="1" t="s">
        <v>50</v>
      </c>
      <c r="C12" s="2" t="s">
        <v>22</v>
      </c>
      <c r="D12" s="2" t="s">
        <v>51</v>
      </c>
      <c r="E12" s="2" t="s">
        <v>52</v>
      </c>
    </row>
    <row r="13" spans="1:5" ht="165" x14ac:dyDescent="0.25">
      <c r="A13" s="2" t="s">
        <v>53</v>
      </c>
      <c r="B13" s="1" t="s">
        <v>54</v>
      </c>
      <c r="C13" s="2" t="s">
        <v>22</v>
      </c>
      <c r="D13" s="2" t="s">
        <v>55</v>
      </c>
      <c r="E13" s="2" t="s">
        <v>56</v>
      </c>
    </row>
    <row r="14" spans="1:5" ht="180" x14ac:dyDescent="0.25">
      <c r="A14" s="2" t="s">
        <v>57</v>
      </c>
      <c r="B14" s="1" t="s">
        <v>58</v>
      </c>
      <c r="C14" s="2" t="s">
        <v>22</v>
      </c>
      <c r="D14" s="2" t="s">
        <v>59</v>
      </c>
      <c r="E14" s="2" t="s">
        <v>60</v>
      </c>
    </row>
    <row r="15" spans="1:5" ht="120" x14ac:dyDescent="0.25">
      <c r="A15" s="2" t="s">
        <v>61</v>
      </c>
      <c r="B15" s="1" t="s">
        <v>62</v>
      </c>
      <c r="C15" s="2" t="s">
        <v>22</v>
      </c>
      <c r="D15" s="2" t="s">
        <v>63</v>
      </c>
      <c r="E15" s="2" t="s">
        <v>64</v>
      </c>
    </row>
    <row r="16" spans="1:5" ht="120" x14ac:dyDescent="0.25">
      <c r="A16" s="2" t="s">
        <v>65</v>
      </c>
      <c r="B16" s="1" t="s">
        <v>66</v>
      </c>
      <c r="C16" s="2" t="s">
        <v>22</v>
      </c>
      <c r="D16" s="2" t="s">
        <v>67</v>
      </c>
      <c r="E16" s="2" t="s">
        <v>68</v>
      </c>
    </row>
    <row r="17" spans="1:5" ht="150" x14ac:dyDescent="0.25">
      <c r="A17" s="2" t="s">
        <v>69</v>
      </c>
      <c r="B17" s="1" t="s">
        <v>70</v>
      </c>
      <c r="C17" s="2" t="s">
        <v>71</v>
      </c>
      <c r="D17" s="2" t="s">
        <v>72</v>
      </c>
      <c r="E17" s="2" t="s">
        <v>73</v>
      </c>
    </row>
    <row r="18" spans="1:5" ht="150" x14ac:dyDescent="0.25">
      <c r="A18" s="2" t="s">
        <v>74</v>
      </c>
      <c r="B18" s="1" t="s">
        <v>75</v>
      </c>
      <c r="C18" s="2" t="s">
        <v>71</v>
      </c>
      <c r="D18" s="2" t="s">
        <v>76</v>
      </c>
      <c r="E18" s="2" t="s">
        <v>77</v>
      </c>
    </row>
    <row r="19" spans="1:5" ht="150" x14ac:dyDescent="0.25">
      <c r="A19" s="2" t="s">
        <v>78</v>
      </c>
      <c r="B19" s="1" t="s">
        <v>79</v>
      </c>
      <c r="C19" s="2" t="s">
        <v>71</v>
      </c>
      <c r="D19" s="2" t="s">
        <v>80</v>
      </c>
      <c r="E19" s="2" t="s">
        <v>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435A-8B56-4F28-A863-8ECA59BC9D4B}">
  <dimension ref="A1:W293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82</v>
      </c>
      <c r="B1" t="s">
        <v>83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94</v>
      </c>
      <c r="N1" t="s">
        <v>95</v>
      </c>
      <c r="O1" t="s">
        <v>96</v>
      </c>
      <c r="P1" t="s">
        <v>97</v>
      </c>
      <c r="Q1" t="s">
        <v>98</v>
      </c>
      <c r="R1" t="s">
        <v>99</v>
      </c>
      <c r="S1" t="s">
        <v>100</v>
      </c>
      <c r="T1" t="s">
        <v>101</v>
      </c>
      <c r="U1" t="s">
        <v>102</v>
      </c>
      <c r="V1" t="s">
        <v>103</v>
      </c>
      <c r="W1" t="s">
        <v>104</v>
      </c>
    </row>
    <row r="2" spans="1:23" x14ac:dyDescent="0.25">
      <c r="A2" t="s">
        <v>105</v>
      </c>
      <c r="B2">
        <v>2015</v>
      </c>
      <c r="C2" t="s">
        <v>106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105</v>
      </c>
      <c r="B3">
        <v>2014</v>
      </c>
      <c r="C3" t="s">
        <v>106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105</v>
      </c>
      <c r="B4">
        <v>2013</v>
      </c>
      <c r="C4" t="s">
        <v>106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105</v>
      </c>
      <c r="B5">
        <v>2012</v>
      </c>
      <c r="C5" t="s">
        <v>106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105</v>
      </c>
      <c r="B6">
        <v>2011</v>
      </c>
      <c r="C6" t="s">
        <v>106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105</v>
      </c>
      <c r="B7">
        <v>2010</v>
      </c>
      <c r="C7" t="s">
        <v>106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105</v>
      </c>
      <c r="B8">
        <v>2009</v>
      </c>
      <c r="C8" t="s">
        <v>106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105</v>
      </c>
      <c r="B9">
        <v>2008</v>
      </c>
      <c r="C9" t="s">
        <v>106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105</v>
      </c>
      <c r="B10">
        <v>2007</v>
      </c>
      <c r="C10" t="s">
        <v>106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105</v>
      </c>
      <c r="B11">
        <v>2006</v>
      </c>
      <c r="C11" t="s">
        <v>106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105</v>
      </c>
      <c r="B12">
        <v>2005</v>
      </c>
      <c r="C12" t="s">
        <v>106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105</v>
      </c>
      <c r="B13">
        <v>2004</v>
      </c>
      <c r="C13" t="s">
        <v>106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105</v>
      </c>
      <c r="B14">
        <v>2003</v>
      </c>
      <c r="C14" t="s">
        <v>106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105</v>
      </c>
      <c r="B15">
        <v>2002</v>
      </c>
      <c r="C15" t="s">
        <v>106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105</v>
      </c>
      <c r="B16">
        <v>2001</v>
      </c>
      <c r="C16" t="s">
        <v>106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105</v>
      </c>
      <c r="B17">
        <v>2000</v>
      </c>
      <c r="C17" t="s">
        <v>106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107</v>
      </c>
      <c r="B18">
        <v>2015</v>
      </c>
      <c r="C18" t="s">
        <v>106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107</v>
      </c>
      <c r="B19">
        <v>2014</v>
      </c>
      <c r="C19" t="s">
        <v>106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107</v>
      </c>
      <c r="B20">
        <v>2013</v>
      </c>
      <c r="C20" t="s">
        <v>106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107</v>
      </c>
      <c r="B21">
        <v>2012</v>
      </c>
      <c r="C21" t="s">
        <v>106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107</v>
      </c>
      <c r="B22">
        <v>2011</v>
      </c>
      <c r="C22" t="s">
        <v>106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107</v>
      </c>
      <c r="B23">
        <v>2010</v>
      </c>
      <c r="C23" t="s">
        <v>106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107</v>
      </c>
      <c r="B24">
        <v>2009</v>
      </c>
      <c r="C24" t="s">
        <v>106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107</v>
      </c>
      <c r="B25">
        <v>2008</v>
      </c>
      <c r="C25" t="s">
        <v>106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107</v>
      </c>
      <c r="B26">
        <v>2007</v>
      </c>
      <c r="C26" t="s">
        <v>106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107</v>
      </c>
      <c r="B27">
        <v>2006</v>
      </c>
      <c r="C27" t="s">
        <v>106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107</v>
      </c>
      <c r="B28">
        <v>2005</v>
      </c>
      <c r="C28" t="s">
        <v>106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107</v>
      </c>
      <c r="B29">
        <v>2004</v>
      </c>
      <c r="C29" t="s">
        <v>106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107</v>
      </c>
      <c r="B30">
        <v>2003</v>
      </c>
      <c r="C30" t="s">
        <v>106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107</v>
      </c>
      <c r="B31">
        <v>2002</v>
      </c>
      <c r="C31" t="s">
        <v>106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107</v>
      </c>
      <c r="B32">
        <v>2001</v>
      </c>
      <c r="C32" t="s">
        <v>106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107</v>
      </c>
      <c r="B33">
        <v>2000</v>
      </c>
      <c r="C33" t="s">
        <v>106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108</v>
      </c>
      <c r="B34">
        <v>2015</v>
      </c>
      <c r="C34" t="s">
        <v>106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108</v>
      </c>
      <c r="B35">
        <v>2014</v>
      </c>
      <c r="C35" t="s">
        <v>106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108</v>
      </c>
      <c r="B36">
        <v>2013</v>
      </c>
      <c r="C36" t="s">
        <v>106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108</v>
      </c>
      <c r="B37">
        <v>2012</v>
      </c>
      <c r="C37" t="s">
        <v>106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108</v>
      </c>
      <c r="B38">
        <v>2011</v>
      </c>
      <c r="C38" t="s">
        <v>106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108</v>
      </c>
      <c r="B39">
        <v>2010</v>
      </c>
      <c r="C39" t="s">
        <v>106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108</v>
      </c>
      <c r="B40">
        <v>2009</v>
      </c>
      <c r="C40" t="s">
        <v>106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108</v>
      </c>
      <c r="B41">
        <v>2008</v>
      </c>
      <c r="C41" t="s">
        <v>106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108</v>
      </c>
      <c r="B42">
        <v>2007</v>
      </c>
      <c r="C42" t="s">
        <v>106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108</v>
      </c>
      <c r="B43">
        <v>2006</v>
      </c>
      <c r="C43" t="s">
        <v>106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108</v>
      </c>
      <c r="B44">
        <v>2005</v>
      </c>
      <c r="C44" t="s">
        <v>106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108</v>
      </c>
      <c r="B45">
        <v>2004</v>
      </c>
      <c r="C45" t="s">
        <v>106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108</v>
      </c>
      <c r="B46">
        <v>2003</v>
      </c>
      <c r="C46" t="s">
        <v>106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108</v>
      </c>
      <c r="B47">
        <v>2002</v>
      </c>
      <c r="C47" t="s">
        <v>106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108</v>
      </c>
      <c r="B48">
        <v>2001</v>
      </c>
      <c r="C48" t="s">
        <v>106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108</v>
      </c>
      <c r="B49">
        <v>2000</v>
      </c>
      <c r="C49" t="s">
        <v>106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109</v>
      </c>
      <c r="B50">
        <v>2015</v>
      </c>
      <c r="C50" t="s">
        <v>106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109</v>
      </c>
      <c r="B51">
        <v>2014</v>
      </c>
      <c r="C51" t="s">
        <v>106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109</v>
      </c>
      <c r="B52">
        <v>2013</v>
      </c>
      <c r="C52" t="s">
        <v>106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109</v>
      </c>
      <c r="B53">
        <v>2012</v>
      </c>
      <c r="C53" t="s">
        <v>106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109</v>
      </c>
      <c r="B54">
        <v>2011</v>
      </c>
      <c r="C54" t="s">
        <v>106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109</v>
      </c>
      <c r="B55">
        <v>2010</v>
      </c>
      <c r="C55" t="s">
        <v>106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109</v>
      </c>
      <c r="B56">
        <v>2009</v>
      </c>
      <c r="C56" t="s">
        <v>106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109</v>
      </c>
      <c r="B57">
        <v>2008</v>
      </c>
      <c r="C57" t="s">
        <v>106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109</v>
      </c>
      <c r="B58">
        <v>2007</v>
      </c>
      <c r="C58" t="s">
        <v>106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109</v>
      </c>
      <c r="B59">
        <v>2006</v>
      </c>
      <c r="C59" t="s">
        <v>106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109</v>
      </c>
      <c r="B60">
        <v>2005</v>
      </c>
      <c r="C60" t="s">
        <v>106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109</v>
      </c>
      <c r="B61">
        <v>2004</v>
      </c>
      <c r="C61" t="s">
        <v>106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109</v>
      </c>
      <c r="B62">
        <v>2003</v>
      </c>
      <c r="C62" t="s">
        <v>106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109</v>
      </c>
      <c r="B63">
        <v>2002</v>
      </c>
      <c r="C63" t="s">
        <v>106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109</v>
      </c>
      <c r="B64">
        <v>2001</v>
      </c>
      <c r="C64" t="s">
        <v>106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109</v>
      </c>
      <c r="B65">
        <v>2000</v>
      </c>
      <c r="C65" t="s">
        <v>106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110</v>
      </c>
      <c r="B66">
        <v>2015</v>
      </c>
      <c r="C66" t="s">
        <v>106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110</v>
      </c>
      <c r="B67">
        <v>2014</v>
      </c>
      <c r="C67" t="s">
        <v>106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110</v>
      </c>
      <c r="B68">
        <v>2013</v>
      </c>
      <c r="C68" t="s">
        <v>106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110</v>
      </c>
      <c r="B69">
        <v>2012</v>
      </c>
      <c r="C69" t="s">
        <v>106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110</v>
      </c>
      <c r="B70">
        <v>2011</v>
      </c>
      <c r="C70" t="s">
        <v>106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110</v>
      </c>
      <c r="B71">
        <v>2010</v>
      </c>
      <c r="C71" t="s">
        <v>106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110</v>
      </c>
      <c r="B72">
        <v>2009</v>
      </c>
      <c r="C72" t="s">
        <v>106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110</v>
      </c>
      <c r="B73">
        <v>2008</v>
      </c>
      <c r="C73" t="s">
        <v>106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110</v>
      </c>
      <c r="B74">
        <v>2007</v>
      </c>
      <c r="C74" t="s">
        <v>106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110</v>
      </c>
      <c r="B75">
        <v>2006</v>
      </c>
      <c r="C75" t="s">
        <v>106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110</v>
      </c>
      <c r="B76">
        <v>2005</v>
      </c>
      <c r="C76" t="s">
        <v>106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110</v>
      </c>
      <c r="B77">
        <v>2004</v>
      </c>
      <c r="C77" t="s">
        <v>106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110</v>
      </c>
      <c r="B78">
        <v>2003</v>
      </c>
      <c r="C78" t="s">
        <v>106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110</v>
      </c>
      <c r="B79">
        <v>2002</v>
      </c>
      <c r="C79" t="s">
        <v>106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110</v>
      </c>
      <c r="B80">
        <v>2001</v>
      </c>
      <c r="C80" t="s">
        <v>106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110</v>
      </c>
      <c r="B81">
        <v>2000</v>
      </c>
      <c r="C81" t="s">
        <v>106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111</v>
      </c>
      <c r="B82">
        <v>2015</v>
      </c>
      <c r="C82" t="s">
        <v>106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111</v>
      </c>
      <c r="B83">
        <v>2014</v>
      </c>
      <c r="C83" t="s">
        <v>106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111</v>
      </c>
      <c r="B84">
        <v>2013</v>
      </c>
      <c r="C84" t="s">
        <v>106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111</v>
      </c>
      <c r="B85">
        <v>2012</v>
      </c>
      <c r="C85" t="s">
        <v>106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111</v>
      </c>
      <c r="B86">
        <v>2011</v>
      </c>
      <c r="C86" t="s">
        <v>106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111</v>
      </c>
      <c r="B87">
        <v>2010</v>
      </c>
      <c r="C87" t="s">
        <v>106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111</v>
      </c>
      <c r="B88">
        <v>2009</v>
      </c>
      <c r="C88" t="s">
        <v>106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111</v>
      </c>
      <c r="B89">
        <v>2008</v>
      </c>
      <c r="C89" t="s">
        <v>106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111</v>
      </c>
      <c r="B90">
        <v>2007</v>
      </c>
      <c r="C90" t="s">
        <v>106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111</v>
      </c>
      <c r="B91">
        <v>2006</v>
      </c>
      <c r="C91" t="s">
        <v>106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111</v>
      </c>
      <c r="B92">
        <v>2005</v>
      </c>
      <c r="C92" t="s">
        <v>106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111</v>
      </c>
      <c r="B93">
        <v>2004</v>
      </c>
      <c r="C93" t="s">
        <v>106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111</v>
      </c>
      <c r="B94">
        <v>2003</v>
      </c>
      <c r="C94" t="s">
        <v>106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111</v>
      </c>
      <c r="B95">
        <v>2002</v>
      </c>
      <c r="C95" t="s">
        <v>106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111</v>
      </c>
      <c r="B96">
        <v>2001</v>
      </c>
      <c r="C96" t="s">
        <v>106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111</v>
      </c>
      <c r="B97">
        <v>2000</v>
      </c>
      <c r="C97" t="s">
        <v>106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112</v>
      </c>
      <c r="B98">
        <v>2015</v>
      </c>
      <c r="C98" t="s">
        <v>106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112</v>
      </c>
      <c r="B99">
        <v>2014</v>
      </c>
      <c r="C99" t="s">
        <v>106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112</v>
      </c>
      <c r="B100">
        <v>2013</v>
      </c>
      <c r="C100" t="s">
        <v>106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112</v>
      </c>
      <c r="B101">
        <v>2012</v>
      </c>
      <c r="C101" t="s">
        <v>106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112</v>
      </c>
      <c r="B102">
        <v>2011</v>
      </c>
      <c r="C102" t="s">
        <v>106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112</v>
      </c>
      <c r="B103">
        <v>2010</v>
      </c>
      <c r="C103" t="s">
        <v>106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112</v>
      </c>
      <c r="B104">
        <v>2009</v>
      </c>
      <c r="C104" t="s">
        <v>106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112</v>
      </c>
      <c r="B105">
        <v>2008</v>
      </c>
      <c r="C105" t="s">
        <v>106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112</v>
      </c>
      <c r="B106">
        <v>2007</v>
      </c>
      <c r="C106" t="s">
        <v>106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112</v>
      </c>
      <c r="B107">
        <v>2006</v>
      </c>
      <c r="C107" t="s">
        <v>106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112</v>
      </c>
      <c r="B108">
        <v>2005</v>
      </c>
      <c r="C108" t="s">
        <v>106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112</v>
      </c>
      <c r="B109">
        <v>2004</v>
      </c>
      <c r="C109" t="s">
        <v>106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112</v>
      </c>
      <c r="B110">
        <v>2003</v>
      </c>
      <c r="C110" t="s">
        <v>106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112</v>
      </c>
      <c r="B111">
        <v>2002</v>
      </c>
      <c r="C111" t="s">
        <v>106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112</v>
      </c>
      <c r="B112">
        <v>2001</v>
      </c>
      <c r="C112" t="s">
        <v>106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112</v>
      </c>
      <c r="B113">
        <v>2000</v>
      </c>
      <c r="C113" t="s">
        <v>106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113</v>
      </c>
      <c r="B114">
        <v>2015</v>
      </c>
      <c r="C114" t="s">
        <v>114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113</v>
      </c>
      <c r="B115">
        <v>2014</v>
      </c>
      <c r="C115" t="s">
        <v>114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113</v>
      </c>
      <c r="B116">
        <v>2013</v>
      </c>
      <c r="C116" t="s">
        <v>114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113</v>
      </c>
      <c r="B117">
        <v>2012</v>
      </c>
      <c r="C117" t="s">
        <v>114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113</v>
      </c>
      <c r="B118">
        <v>2011</v>
      </c>
      <c r="C118" t="s">
        <v>114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113</v>
      </c>
      <c r="B119">
        <v>2010</v>
      </c>
      <c r="C119" t="s">
        <v>114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113</v>
      </c>
      <c r="B120">
        <v>2009</v>
      </c>
      <c r="C120" t="s">
        <v>114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113</v>
      </c>
      <c r="B121">
        <v>2008</v>
      </c>
      <c r="C121" t="s">
        <v>114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113</v>
      </c>
      <c r="B122">
        <v>2007</v>
      </c>
      <c r="C122" t="s">
        <v>114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113</v>
      </c>
      <c r="B123">
        <v>2006</v>
      </c>
      <c r="C123" t="s">
        <v>114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113</v>
      </c>
      <c r="B124">
        <v>2005</v>
      </c>
      <c r="C124" t="s">
        <v>114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113</v>
      </c>
      <c r="B125">
        <v>2004</v>
      </c>
      <c r="C125" t="s">
        <v>114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113</v>
      </c>
      <c r="B126">
        <v>2003</v>
      </c>
      <c r="C126" t="s">
        <v>114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113</v>
      </c>
      <c r="B127">
        <v>2002</v>
      </c>
      <c r="C127" t="s">
        <v>114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113</v>
      </c>
      <c r="B128">
        <v>2001</v>
      </c>
      <c r="C128" t="s">
        <v>114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113</v>
      </c>
      <c r="B129">
        <v>2000</v>
      </c>
      <c r="C129" t="s">
        <v>114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115</v>
      </c>
      <c r="B130">
        <v>2015</v>
      </c>
      <c r="C130" t="s">
        <v>114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115</v>
      </c>
      <c r="B131">
        <v>2014</v>
      </c>
      <c r="C131" t="s">
        <v>114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115</v>
      </c>
      <c r="B132">
        <v>2013</v>
      </c>
      <c r="C132" t="s">
        <v>114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115</v>
      </c>
      <c r="B133">
        <v>2012</v>
      </c>
      <c r="C133" t="s">
        <v>114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115</v>
      </c>
      <c r="B134">
        <v>2011</v>
      </c>
      <c r="C134" t="s">
        <v>114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115</v>
      </c>
      <c r="B135">
        <v>2010</v>
      </c>
      <c r="C135" t="s">
        <v>114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115</v>
      </c>
      <c r="B136">
        <v>2009</v>
      </c>
      <c r="C136" t="s">
        <v>114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115</v>
      </c>
      <c r="B137">
        <v>2008</v>
      </c>
      <c r="C137" t="s">
        <v>114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115</v>
      </c>
      <c r="B138">
        <v>2007</v>
      </c>
      <c r="C138" t="s">
        <v>114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115</v>
      </c>
      <c r="B139">
        <v>2006</v>
      </c>
      <c r="C139" t="s">
        <v>114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115</v>
      </c>
      <c r="B140">
        <v>2005</v>
      </c>
      <c r="C140" t="s">
        <v>114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115</v>
      </c>
      <c r="B141">
        <v>2004</v>
      </c>
      <c r="C141" t="s">
        <v>114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115</v>
      </c>
      <c r="B142">
        <v>2003</v>
      </c>
      <c r="C142" t="s">
        <v>114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115</v>
      </c>
      <c r="B143">
        <v>2002</v>
      </c>
      <c r="C143" t="s">
        <v>114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115</v>
      </c>
      <c r="B144">
        <v>2001</v>
      </c>
      <c r="C144" t="s">
        <v>114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115</v>
      </c>
      <c r="B145">
        <v>2000</v>
      </c>
      <c r="C145" t="s">
        <v>114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116</v>
      </c>
      <c r="B146">
        <v>2015</v>
      </c>
      <c r="C146" t="s">
        <v>106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116</v>
      </c>
      <c r="B147">
        <v>2014</v>
      </c>
      <c r="C147" t="s">
        <v>106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116</v>
      </c>
      <c r="B148">
        <v>2013</v>
      </c>
      <c r="C148" t="s">
        <v>106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116</v>
      </c>
      <c r="B149">
        <v>2012</v>
      </c>
      <c r="C149" t="s">
        <v>106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116</v>
      </c>
      <c r="B150">
        <v>2011</v>
      </c>
      <c r="C150" t="s">
        <v>106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116</v>
      </c>
      <c r="B151">
        <v>2010</v>
      </c>
      <c r="C151" t="s">
        <v>106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116</v>
      </c>
      <c r="B152">
        <v>2009</v>
      </c>
      <c r="C152" t="s">
        <v>106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116</v>
      </c>
      <c r="B153">
        <v>2008</v>
      </c>
      <c r="C153" t="s">
        <v>106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116</v>
      </c>
      <c r="B154">
        <v>2007</v>
      </c>
      <c r="C154" t="s">
        <v>106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116</v>
      </c>
      <c r="B155">
        <v>2006</v>
      </c>
      <c r="C155" t="s">
        <v>106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116</v>
      </c>
      <c r="B156">
        <v>2005</v>
      </c>
      <c r="C156" t="s">
        <v>106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116</v>
      </c>
      <c r="B157">
        <v>2004</v>
      </c>
      <c r="C157" t="s">
        <v>106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116</v>
      </c>
      <c r="B158">
        <v>2003</v>
      </c>
      <c r="C158" t="s">
        <v>106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116</v>
      </c>
      <c r="B159">
        <v>2002</v>
      </c>
      <c r="C159" t="s">
        <v>106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116</v>
      </c>
      <c r="B160">
        <v>2001</v>
      </c>
      <c r="C160" t="s">
        <v>106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116</v>
      </c>
      <c r="B161">
        <v>2000</v>
      </c>
      <c r="C161" t="s">
        <v>106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117</v>
      </c>
      <c r="B162">
        <v>2015</v>
      </c>
      <c r="C162" t="s">
        <v>106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117</v>
      </c>
      <c r="B163">
        <v>2014</v>
      </c>
      <c r="C163" t="s">
        <v>106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117</v>
      </c>
      <c r="B164">
        <v>2013</v>
      </c>
      <c r="C164" t="s">
        <v>106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117</v>
      </c>
      <c r="B165">
        <v>2012</v>
      </c>
      <c r="C165" t="s">
        <v>106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117</v>
      </c>
      <c r="B166">
        <v>2011</v>
      </c>
      <c r="C166" t="s">
        <v>106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117</v>
      </c>
      <c r="B167">
        <v>2010</v>
      </c>
      <c r="C167" t="s">
        <v>106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117</v>
      </c>
      <c r="B168">
        <v>2009</v>
      </c>
      <c r="C168" t="s">
        <v>106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117</v>
      </c>
      <c r="B169">
        <v>2008</v>
      </c>
      <c r="C169" t="s">
        <v>106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117</v>
      </c>
      <c r="B170">
        <v>2007</v>
      </c>
      <c r="C170" t="s">
        <v>106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117</v>
      </c>
      <c r="B171">
        <v>2006</v>
      </c>
      <c r="C171" t="s">
        <v>106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117</v>
      </c>
      <c r="B172">
        <v>2005</v>
      </c>
      <c r="C172" t="s">
        <v>106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117</v>
      </c>
      <c r="B173">
        <v>2004</v>
      </c>
      <c r="C173" t="s">
        <v>106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117</v>
      </c>
      <c r="B174">
        <v>2003</v>
      </c>
      <c r="C174" t="s">
        <v>106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117</v>
      </c>
      <c r="B175">
        <v>2002</v>
      </c>
      <c r="C175" t="s">
        <v>106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117</v>
      </c>
      <c r="B176">
        <v>2001</v>
      </c>
      <c r="C176" t="s">
        <v>106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117</v>
      </c>
      <c r="B177">
        <v>2000</v>
      </c>
      <c r="C177" t="s">
        <v>106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118</v>
      </c>
      <c r="B178">
        <v>2015</v>
      </c>
      <c r="C178" t="s">
        <v>106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118</v>
      </c>
      <c r="B179">
        <v>2014</v>
      </c>
      <c r="C179" t="s">
        <v>106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118</v>
      </c>
      <c r="B180">
        <v>2013</v>
      </c>
      <c r="C180" t="s">
        <v>106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118</v>
      </c>
      <c r="B181">
        <v>2012</v>
      </c>
      <c r="C181" t="s">
        <v>106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118</v>
      </c>
      <c r="B182">
        <v>2011</v>
      </c>
      <c r="C182" t="s">
        <v>106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118</v>
      </c>
      <c r="B183">
        <v>2010</v>
      </c>
      <c r="C183" t="s">
        <v>106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118</v>
      </c>
      <c r="B184">
        <v>2009</v>
      </c>
      <c r="C184" t="s">
        <v>106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118</v>
      </c>
      <c r="B185">
        <v>2008</v>
      </c>
      <c r="C185" t="s">
        <v>106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118</v>
      </c>
      <c r="B186">
        <v>2007</v>
      </c>
      <c r="C186" t="s">
        <v>106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118</v>
      </c>
      <c r="B187">
        <v>2006</v>
      </c>
      <c r="C187" t="s">
        <v>106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118</v>
      </c>
      <c r="B188">
        <v>2005</v>
      </c>
      <c r="C188" t="s">
        <v>106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118</v>
      </c>
      <c r="B189">
        <v>2004</v>
      </c>
      <c r="C189" t="s">
        <v>106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118</v>
      </c>
      <c r="B190">
        <v>2003</v>
      </c>
      <c r="C190" t="s">
        <v>106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118</v>
      </c>
      <c r="B191">
        <v>2002</v>
      </c>
      <c r="C191" t="s">
        <v>106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118</v>
      </c>
      <c r="B192">
        <v>2001</v>
      </c>
      <c r="C192" t="s">
        <v>106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118</v>
      </c>
      <c r="B193">
        <v>2000</v>
      </c>
      <c r="C193" t="s">
        <v>106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119</v>
      </c>
      <c r="B194">
        <v>2015</v>
      </c>
      <c r="C194" t="s">
        <v>106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119</v>
      </c>
      <c r="B195">
        <v>2014</v>
      </c>
      <c r="C195" t="s">
        <v>106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119</v>
      </c>
      <c r="B196">
        <v>2013</v>
      </c>
      <c r="C196" t="s">
        <v>106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119</v>
      </c>
      <c r="B197">
        <v>2012</v>
      </c>
      <c r="C197" t="s">
        <v>106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119</v>
      </c>
      <c r="B198">
        <v>2011</v>
      </c>
      <c r="C198" t="s">
        <v>106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119</v>
      </c>
      <c r="B199">
        <v>2010</v>
      </c>
      <c r="C199" t="s">
        <v>106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119</v>
      </c>
      <c r="B200">
        <v>2009</v>
      </c>
      <c r="C200" t="s">
        <v>106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119</v>
      </c>
      <c r="B201">
        <v>2008</v>
      </c>
      <c r="C201" t="s">
        <v>106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119</v>
      </c>
      <c r="B202">
        <v>2007</v>
      </c>
      <c r="C202" t="s">
        <v>106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119</v>
      </c>
      <c r="B203">
        <v>2006</v>
      </c>
      <c r="C203" t="s">
        <v>106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119</v>
      </c>
      <c r="B204">
        <v>2005</v>
      </c>
      <c r="C204" t="s">
        <v>106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119</v>
      </c>
      <c r="B205">
        <v>2004</v>
      </c>
      <c r="C205" t="s">
        <v>106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119</v>
      </c>
      <c r="B206">
        <v>2003</v>
      </c>
      <c r="C206" t="s">
        <v>106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119</v>
      </c>
      <c r="B207">
        <v>2002</v>
      </c>
      <c r="C207" t="s">
        <v>106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119</v>
      </c>
      <c r="B208">
        <v>2001</v>
      </c>
      <c r="C208" t="s">
        <v>106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119</v>
      </c>
      <c r="B209">
        <v>2000</v>
      </c>
      <c r="C209" t="s">
        <v>106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120</v>
      </c>
      <c r="B210">
        <v>2015</v>
      </c>
      <c r="C210" t="s">
        <v>106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120</v>
      </c>
      <c r="B211">
        <v>2014</v>
      </c>
      <c r="C211" t="s">
        <v>106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120</v>
      </c>
      <c r="B212">
        <v>2013</v>
      </c>
      <c r="C212" t="s">
        <v>106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120</v>
      </c>
      <c r="B213">
        <v>2012</v>
      </c>
      <c r="C213" t="s">
        <v>106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120</v>
      </c>
      <c r="B214">
        <v>2011</v>
      </c>
      <c r="C214" t="s">
        <v>106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120</v>
      </c>
      <c r="B215">
        <v>2010</v>
      </c>
      <c r="C215" t="s">
        <v>106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120</v>
      </c>
      <c r="B216">
        <v>2009</v>
      </c>
      <c r="C216" t="s">
        <v>106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120</v>
      </c>
      <c r="B217">
        <v>2008</v>
      </c>
      <c r="C217" t="s">
        <v>106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120</v>
      </c>
      <c r="B218">
        <v>2007</v>
      </c>
      <c r="C218" t="s">
        <v>106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120</v>
      </c>
      <c r="B219">
        <v>2006</v>
      </c>
      <c r="C219" t="s">
        <v>106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120</v>
      </c>
      <c r="B220">
        <v>2005</v>
      </c>
      <c r="C220" t="s">
        <v>106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120</v>
      </c>
      <c r="B221">
        <v>2004</v>
      </c>
      <c r="C221" t="s">
        <v>106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120</v>
      </c>
      <c r="B222">
        <v>2003</v>
      </c>
      <c r="C222" t="s">
        <v>106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120</v>
      </c>
      <c r="B223">
        <v>2002</v>
      </c>
      <c r="C223" t="s">
        <v>106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120</v>
      </c>
      <c r="B224">
        <v>2001</v>
      </c>
      <c r="C224" t="s">
        <v>106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120</v>
      </c>
      <c r="B225">
        <v>2000</v>
      </c>
      <c r="C225" t="s">
        <v>106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121</v>
      </c>
      <c r="B226">
        <v>2015</v>
      </c>
      <c r="C226" t="s">
        <v>106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121</v>
      </c>
      <c r="B227">
        <v>2014</v>
      </c>
      <c r="C227" t="s">
        <v>106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121</v>
      </c>
      <c r="B228">
        <v>2013</v>
      </c>
      <c r="C228" t="s">
        <v>106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121</v>
      </c>
      <c r="B229">
        <v>2012</v>
      </c>
      <c r="C229" t="s">
        <v>106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121</v>
      </c>
      <c r="B230">
        <v>2011</v>
      </c>
      <c r="C230" t="s">
        <v>106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121</v>
      </c>
      <c r="B231">
        <v>2010</v>
      </c>
      <c r="C231" t="s">
        <v>106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121</v>
      </c>
      <c r="B232">
        <v>2009</v>
      </c>
      <c r="C232" t="s">
        <v>106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121</v>
      </c>
      <c r="B233">
        <v>2008</v>
      </c>
      <c r="C233" t="s">
        <v>106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121</v>
      </c>
      <c r="B234">
        <v>2007</v>
      </c>
      <c r="C234" t="s">
        <v>106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121</v>
      </c>
      <c r="B235">
        <v>2006</v>
      </c>
      <c r="C235" t="s">
        <v>106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121</v>
      </c>
      <c r="B236">
        <v>2005</v>
      </c>
      <c r="C236" t="s">
        <v>106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121</v>
      </c>
      <c r="B237">
        <v>2004</v>
      </c>
      <c r="C237" t="s">
        <v>106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121</v>
      </c>
      <c r="B238">
        <v>2003</v>
      </c>
      <c r="C238" t="s">
        <v>106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121</v>
      </c>
      <c r="B239">
        <v>2002</v>
      </c>
      <c r="C239" t="s">
        <v>106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121</v>
      </c>
      <c r="B240">
        <v>2001</v>
      </c>
      <c r="C240" t="s">
        <v>106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121</v>
      </c>
      <c r="B241">
        <v>2000</v>
      </c>
      <c r="C241" t="s">
        <v>106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122</v>
      </c>
      <c r="B242">
        <v>2015</v>
      </c>
      <c r="C242" t="s">
        <v>114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122</v>
      </c>
      <c r="B243">
        <v>2014</v>
      </c>
      <c r="C243" t="s">
        <v>114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122</v>
      </c>
      <c r="B244">
        <v>2013</v>
      </c>
      <c r="C244" t="s">
        <v>114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122</v>
      </c>
      <c r="B245">
        <v>2012</v>
      </c>
      <c r="C245" t="s">
        <v>114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122</v>
      </c>
      <c r="B246">
        <v>2011</v>
      </c>
      <c r="C246" t="s">
        <v>114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122</v>
      </c>
      <c r="B247">
        <v>2010</v>
      </c>
      <c r="C247" t="s">
        <v>114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122</v>
      </c>
      <c r="B248">
        <v>2009</v>
      </c>
      <c r="C248" t="s">
        <v>114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122</v>
      </c>
      <c r="B249">
        <v>2008</v>
      </c>
      <c r="C249" t="s">
        <v>114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122</v>
      </c>
      <c r="B250">
        <v>2007</v>
      </c>
      <c r="C250" t="s">
        <v>114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122</v>
      </c>
      <c r="B251">
        <v>2006</v>
      </c>
      <c r="C251" t="s">
        <v>114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122</v>
      </c>
      <c r="B252">
        <v>2005</v>
      </c>
      <c r="C252" t="s">
        <v>114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122</v>
      </c>
      <c r="B253">
        <v>2004</v>
      </c>
      <c r="C253" t="s">
        <v>114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122</v>
      </c>
      <c r="B254">
        <v>2003</v>
      </c>
      <c r="C254" t="s">
        <v>114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122</v>
      </c>
      <c r="B255">
        <v>2002</v>
      </c>
      <c r="C255" t="s">
        <v>114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122</v>
      </c>
      <c r="B256">
        <v>2001</v>
      </c>
      <c r="C256" t="s">
        <v>114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122</v>
      </c>
      <c r="B257">
        <v>2000</v>
      </c>
      <c r="C257" t="s">
        <v>114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123</v>
      </c>
      <c r="B258">
        <v>2015</v>
      </c>
      <c r="C258" t="s">
        <v>106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123</v>
      </c>
      <c r="B259">
        <v>2014</v>
      </c>
      <c r="C259" t="s">
        <v>106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123</v>
      </c>
      <c r="B260">
        <v>2013</v>
      </c>
      <c r="C260" t="s">
        <v>106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123</v>
      </c>
      <c r="B261">
        <v>2012</v>
      </c>
      <c r="C261" t="s">
        <v>106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123</v>
      </c>
      <c r="B262">
        <v>2011</v>
      </c>
      <c r="C262" t="s">
        <v>106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123</v>
      </c>
      <c r="B263">
        <v>2010</v>
      </c>
      <c r="C263" t="s">
        <v>106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123</v>
      </c>
      <c r="B264">
        <v>2009</v>
      </c>
      <c r="C264" t="s">
        <v>106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123</v>
      </c>
      <c r="B265">
        <v>2008</v>
      </c>
      <c r="C265" t="s">
        <v>106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123</v>
      </c>
      <c r="B266">
        <v>2007</v>
      </c>
      <c r="C266" t="s">
        <v>106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123</v>
      </c>
      <c r="B267">
        <v>2006</v>
      </c>
      <c r="C267" t="s">
        <v>106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123</v>
      </c>
      <c r="B268">
        <v>2005</v>
      </c>
      <c r="C268" t="s">
        <v>106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123</v>
      </c>
      <c r="B269">
        <v>2004</v>
      </c>
      <c r="C269" t="s">
        <v>106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123</v>
      </c>
      <c r="B270">
        <v>2003</v>
      </c>
      <c r="C270" t="s">
        <v>106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123</v>
      </c>
      <c r="B271">
        <v>2002</v>
      </c>
      <c r="C271" t="s">
        <v>106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123</v>
      </c>
      <c r="B272">
        <v>2001</v>
      </c>
      <c r="C272" t="s">
        <v>106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123</v>
      </c>
      <c r="B273">
        <v>2000</v>
      </c>
      <c r="C273" t="s">
        <v>106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124</v>
      </c>
      <c r="B274">
        <v>2015</v>
      </c>
      <c r="C274" t="s">
        <v>106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124</v>
      </c>
      <c r="B275">
        <v>2014</v>
      </c>
      <c r="C275" t="s">
        <v>106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124</v>
      </c>
      <c r="B276">
        <v>2013</v>
      </c>
      <c r="C276" t="s">
        <v>106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124</v>
      </c>
      <c r="B277">
        <v>2012</v>
      </c>
      <c r="C277" t="s">
        <v>106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124</v>
      </c>
      <c r="B278">
        <v>2011</v>
      </c>
      <c r="C278" t="s">
        <v>106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124</v>
      </c>
      <c r="B279">
        <v>2010</v>
      </c>
      <c r="C279" t="s">
        <v>106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124</v>
      </c>
      <c r="B280">
        <v>2009</v>
      </c>
      <c r="C280" t="s">
        <v>106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124</v>
      </c>
      <c r="B281">
        <v>2008</v>
      </c>
      <c r="C281" t="s">
        <v>106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124</v>
      </c>
      <c r="B282">
        <v>2007</v>
      </c>
      <c r="C282" t="s">
        <v>106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124</v>
      </c>
      <c r="B283">
        <v>2006</v>
      </c>
      <c r="C283" t="s">
        <v>106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124</v>
      </c>
      <c r="B284">
        <v>2005</v>
      </c>
      <c r="C284" t="s">
        <v>106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124</v>
      </c>
      <c r="B285">
        <v>2004</v>
      </c>
      <c r="C285" t="s">
        <v>106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124</v>
      </c>
      <c r="B286">
        <v>2003</v>
      </c>
      <c r="C286" t="s">
        <v>106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124</v>
      </c>
      <c r="B287">
        <v>2002</v>
      </c>
      <c r="C287" t="s">
        <v>106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124</v>
      </c>
      <c r="B288">
        <v>2001</v>
      </c>
      <c r="C288" t="s">
        <v>106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124</v>
      </c>
      <c r="B289">
        <v>2000</v>
      </c>
      <c r="C289" t="s">
        <v>106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125</v>
      </c>
      <c r="B290">
        <v>2015</v>
      </c>
      <c r="C290" t="s">
        <v>106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125</v>
      </c>
      <c r="B291">
        <v>2014</v>
      </c>
      <c r="C291" t="s">
        <v>106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125</v>
      </c>
      <c r="B292">
        <v>2013</v>
      </c>
      <c r="C292" t="s">
        <v>106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125</v>
      </c>
      <c r="B293">
        <v>2012</v>
      </c>
      <c r="C293" t="s">
        <v>106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125</v>
      </c>
      <c r="B294">
        <v>2011</v>
      </c>
      <c r="C294" t="s">
        <v>106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125</v>
      </c>
      <c r="B295">
        <v>2010</v>
      </c>
      <c r="C295" t="s">
        <v>106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125</v>
      </c>
      <c r="B296">
        <v>2009</v>
      </c>
      <c r="C296" t="s">
        <v>106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125</v>
      </c>
      <c r="B297">
        <v>2008</v>
      </c>
      <c r="C297" t="s">
        <v>106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125</v>
      </c>
      <c r="B298">
        <v>2007</v>
      </c>
      <c r="C298" t="s">
        <v>106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125</v>
      </c>
      <c r="B299">
        <v>2006</v>
      </c>
      <c r="C299" t="s">
        <v>106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125</v>
      </c>
      <c r="B300">
        <v>2005</v>
      </c>
      <c r="C300" t="s">
        <v>106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125</v>
      </c>
      <c r="B301">
        <v>2004</v>
      </c>
      <c r="C301" t="s">
        <v>106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125</v>
      </c>
      <c r="B302">
        <v>2003</v>
      </c>
      <c r="C302" t="s">
        <v>106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125</v>
      </c>
      <c r="B303">
        <v>2002</v>
      </c>
      <c r="C303" t="s">
        <v>106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125</v>
      </c>
      <c r="B304">
        <v>2001</v>
      </c>
      <c r="C304" t="s">
        <v>106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125</v>
      </c>
      <c r="B305">
        <v>2000</v>
      </c>
      <c r="C305" t="s">
        <v>106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126</v>
      </c>
      <c r="B306">
        <v>2015</v>
      </c>
      <c r="C306" t="s">
        <v>106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126</v>
      </c>
      <c r="B307">
        <v>2014</v>
      </c>
      <c r="C307" t="s">
        <v>106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126</v>
      </c>
      <c r="B308">
        <v>2013</v>
      </c>
      <c r="C308" t="s">
        <v>106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126</v>
      </c>
      <c r="B309">
        <v>2012</v>
      </c>
      <c r="C309" t="s">
        <v>106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126</v>
      </c>
      <c r="B310">
        <v>2011</v>
      </c>
      <c r="C310" t="s">
        <v>106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126</v>
      </c>
      <c r="B311">
        <v>2010</v>
      </c>
      <c r="C311" t="s">
        <v>106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126</v>
      </c>
      <c r="B312">
        <v>2009</v>
      </c>
      <c r="C312" t="s">
        <v>106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126</v>
      </c>
      <c r="B313">
        <v>2008</v>
      </c>
      <c r="C313" t="s">
        <v>106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126</v>
      </c>
      <c r="B314">
        <v>2007</v>
      </c>
      <c r="C314" t="s">
        <v>106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126</v>
      </c>
      <c r="B315">
        <v>2006</v>
      </c>
      <c r="C315" t="s">
        <v>106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126</v>
      </c>
      <c r="B316">
        <v>2005</v>
      </c>
      <c r="C316" t="s">
        <v>106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126</v>
      </c>
      <c r="B317">
        <v>2004</v>
      </c>
      <c r="C317" t="s">
        <v>106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126</v>
      </c>
      <c r="B318">
        <v>2003</v>
      </c>
      <c r="C318" t="s">
        <v>106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126</v>
      </c>
      <c r="B319">
        <v>2002</v>
      </c>
      <c r="C319" t="s">
        <v>106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126</v>
      </c>
      <c r="B320">
        <v>2001</v>
      </c>
      <c r="C320" t="s">
        <v>106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126</v>
      </c>
      <c r="B321">
        <v>2000</v>
      </c>
      <c r="C321" t="s">
        <v>106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127</v>
      </c>
      <c r="B322">
        <v>2015</v>
      </c>
      <c r="C322" t="s">
        <v>106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127</v>
      </c>
      <c r="B323">
        <v>2014</v>
      </c>
      <c r="C323" t="s">
        <v>106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127</v>
      </c>
      <c r="B324">
        <v>2013</v>
      </c>
      <c r="C324" t="s">
        <v>106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127</v>
      </c>
      <c r="B325">
        <v>2012</v>
      </c>
      <c r="C325" t="s">
        <v>106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127</v>
      </c>
      <c r="B326">
        <v>2011</v>
      </c>
      <c r="C326" t="s">
        <v>106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127</v>
      </c>
      <c r="B327">
        <v>2010</v>
      </c>
      <c r="C327" t="s">
        <v>106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127</v>
      </c>
      <c r="B328">
        <v>2009</v>
      </c>
      <c r="C328" t="s">
        <v>106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127</v>
      </c>
      <c r="B329">
        <v>2008</v>
      </c>
      <c r="C329" t="s">
        <v>106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127</v>
      </c>
      <c r="B330">
        <v>2007</v>
      </c>
      <c r="C330" t="s">
        <v>106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127</v>
      </c>
      <c r="B331">
        <v>2006</v>
      </c>
      <c r="C331" t="s">
        <v>106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127</v>
      </c>
      <c r="B332">
        <v>2005</v>
      </c>
      <c r="C332" t="s">
        <v>106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127</v>
      </c>
      <c r="B333">
        <v>2004</v>
      </c>
      <c r="C333" t="s">
        <v>106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127</v>
      </c>
      <c r="B334">
        <v>2003</v>
      </c>
      <c r="C334" t="s">
        <v>106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127</v>
      </c>
      <c r="B335">
        <v>2002</v>
      </c>
      <c r="C335" t="s">
        <v>106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127</v>
      </c>
      <c r="B336">
        <v>2001</v>
      </c>
      <c r="C336" t="s">
        <v>106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127</v>
      </c>
      <c r="B337">
        <v>2000</v>
      </c>
      <c r="C337" t="s">
        <v>106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128</v>
      </c>
      <c r="B338">
        <v>2015</v>
      </c>
      <c r="C338" t="s">
        <v>106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128</v>
      </c>
      <c r="B339">
        <v>2014</v>
      </c>
      <c r="C339" t="s">
        <v>106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128</v>
      </c>
      <c r="B340">
        <v>2013</v>
      </c>
      <c r="C340" t="s">
        <v>106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128</v>
      </c>
      <c r="B341">
        <v>2012</v>
      </c>
      <c r="C341" t="s">
        <v>106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128</v>
      </c>
      <c r="B342">
        <v>2011</v>
      </c>
      <c r="C342" t="s">
        <v>106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128</v>
      </c>
      <c r="B343">
        <v>2010</v>
      </c>
      <c r="C343" t="s">
        <v>106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128</v>
      </c>
      <c r="B344">
        <v>2009</v>
      </c>
      <c r="C344" t="s">
        <v>106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128</v>
      </c>
      <c r="B345">
        <v>2008</v>
      </c>
      <c r="C345" t="s">
        <v>106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128</v>
      </c>
      <c r="B346">
        <v>2007</v>
      </c>
      <c r="C346" t="s">
        <v>106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128</v>
      </c>
      <c r="B347">
        <v>2006</v>
      </c>
      <c r="C347" t="s">
        <v>106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128</v>
      </c>
      <c r="B348">
        <v>2005</v>
      </c>
      <c r="C348" t="s">
        <v>106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128</v>
      </c>
      <c r="B349">
        <v>2004</v>
      </c>
      <c r="C349" t="s">
        <v>106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128</v>
      </c>
      <c r="B350">
        <v>2003</v>
      </c>
      <c r="C350" t="s">
        <v>106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128</v>
      </c>
      <c r="B351">
        <v>2002</v>
      </c>
      <c r="C351" t="s">
        <v>106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128</v>
      </c>
      <c r="B352">
        <v>2001</v>
      </c>
      <c r="C352" t="s">
        <v>106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128</v>
      </c>
      <c r="B353">
        <v>2000</v>
      </c>
      <c r="C353" t="s">
        <v>106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129</v>
      </c>
      <c r="B354">
        <v>2015</v>
      </c>
      <c r="C354" t="s">
        <v>106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129</v>
      </c>
      <c r="B355">
        <v>2014</v>
      </c>
      <c r="C355" t="s">
        <v>106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129</v>
      </c>
      <c r="B356">
        <v>2013</v>
      </c>
      <c r="C356" t="s">
        <v>106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129</v>
      </c>
      <c r="B357">
        <v>2012</v>
      </c>
      <c r="C357" t="s">
        <v>106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129</v>
      </c>
      <c r="B358">
        <v>2011</v>
      </c>
      <c r="C358" t="s">
        <v>106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129</v>
      </c>
      <c r="B359">
        <v>2010</v>
      </c>
      <c r="C359" t="s">
        <v>106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129</v>
      </c>
      <c r="B360">
        <v>2009</v>
      </c>
      <c r="C360" t="s">
        <v>106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129</v>
      </c>
      <c r="B361">
        <v>2008</v>
      </c>
      <c r="C361" t="s">
        <v>106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129</v>
      </c>
      <c r="B362">
        <v>2007</v>
      </c>
      <c r="C362" t="s">
        <v>106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129</v>
      </c>
      <c r="B363">
        <v>2006</v>
      </c>
      <c r="C363" t="s">
        <v>106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129</v>
      </c>
      <c r="B364">
        <v>2005</v>
      </c>
      <c r="C364" t="s">
        <v>106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129</v>
      </c>
      <c r="B365">
        <v>2004</v>
      </c>
      <c r="C365" t="s">
        <v>106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129</v>
      </c>
      <c r="B366">
        <v>2003</v>
      </c>
      <c r="C366" t="s">
        <v>106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129</v>
      </c>
      <c r="B367">
        <v>2002</v>
      </c>
      <c r="C367" t="s">
        <v>106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129</v>
      </c>
      <c r="B368">
        <v>2001</v>
      </c>
      <c r="C368" t="s">
        <v>106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129</v>
      </c>
      <c r="B369">
        <v>2000</v>
      </c>
      <c r="C369" t="s">
        <v>106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130</v>
      </c>
      <c r="B370">
        <v>2015</v>
      </c>
      <c r="C370" t="s">
        <v>106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130</v>
      </c>
      <c r="B371">
        <v>2014</v>
      </c>
      <c r="C371" t="s">
        <v>106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130</v>
      </c>
      <c r="B372">
        <v>2013</v>
      </c>
      <c r="C372" t="s">
        <v>106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130</v>
      </c>
      <c r="B373">
        <v>2012</v>
      </c>
      <c r="C373" t="s">
        <v>106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130</v>
      </c>
      <c r="B374">
        <v>2011</v>
      </c>
      <c r="C374" t="s">
        <v>106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130</v>
      </c>
      <c r="B375">
        <v>2010</v>
      </c>
      <c r="C375" t="s">
        <v>106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130</v>
      </c>
      <c r="B376">
        <v>2009</v>
      </c>
      <c r="C376" t="s">
        <v>106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130</v>
      </c>
      <c r="B377">
        <v>2008</v>
      </c>
      <c r="C377" t="s">
        <v>106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130</v>
      </c>
      <c r="B378">
        <v>2007</v>
      </c>
      <c r="C378" t="s">
        <v>106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130</v>
      </c>
      <c r="B379">
        <v>2006</v>
      </c>
      <c r="C379" t="s">
        <v>106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130</v>
      </c>
      <c r="B380">
        <v>2005</v>
      </c>
      <c r="C380" t="s">
        <v>106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130</v>
      </c>
      <c r="B381">
        <v>2004</v>
      </c>
      <c r="C381" t="s">
        <v>106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130</v>
      </c>
      <c r="B382">
        <v>2003</v>
      </c>
      <c r="C382" t="s">
        <v>106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130</v>
      </c>
      <c r="B383">
        <v>2002</v>
      </c>
      <c r="C383" t="s">
        <v>106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130</v>
      </c>
      <c r="B384">
        <v>2001</v>
      </c>
      <c r="C384" t="s">
        <v>106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130</v>
      </c>
      <c r="B385">
        <v>2000</v>
      </c>
      <c r="C385" t="s">
        <v>106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131</v>
      </c>
      <c r="B386">
        <v>2015</v>
      </c>
      <c r="C386" t="s">
        <v>114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131</v>
      </c>
      <c r="B387">
        <v>2014</v>
      </c>
      <c r="C387" t="s">
        <v>114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131</v>
      </c>
      <c r="B388">
        <v>2013</v>
      </c>
      <c r="C388" t="s">
        <v>114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131</v>
      </c>
      <c r="B389">
        <v>2012</v>
      </c>
      <c r="C389" t="s">
        <v>114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131</v>
      </c>
      <c r="B390">
        <v>2011</v>
      </c>
      <c r="C390" t="s">
        <v>114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131</v>
      </c>
      <c r="B391">
        <v>2010</v>
      </c>
      <c r="C391" t="s">
        <v>114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131</v>
      </c>
      <c r="B392">
        <v>2009</v>
      </c>
      <c r="C392" t="s">
        <v>114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131</v>
      </c>
      <c r="B393">
        <v>2008</v>
      </c>
      <c r="C393" t="s">
        <v>114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131</v>
      </c>
      <c r="B394">
        <v>2007</v>
      </c>
      <c r="C394" t="s">
        <v>114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131</v>
      </c>
      <c r="B395">
        <v>2006</v>
      </c>
      <c r="C395" t="s">
        <v>114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131</v>
      </c>
      <c r="B396">
        <v>2005</v>
      </c>
      <c r="C396" t="s">
        <v>114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131</v>
      </c>
      <c r="B397">
        <v>2004</v>
      </c>
      <c r="C397" t="s">
        <v>114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131</v>
      </c>
      <c r="B398">
        <v>2003</v>
      </c>
      <c r="C398" t="s">
        <v>114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131</v>
      </c>
      <c r="B399">
        <v>2002</v>
      </c>
      <c r="C399" t="s">
        <v>114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131</v>
      </c>
      <c r="B400">
        <v>2001</v>
      </c>
      <c r="C400" t="s">
        <v>114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131</v>
      </c>
      <c r="B401">
        <v>2000</v>
      </c>
      <c r="C401" t="s">
        <v>114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132</v>
      </c>
      <c r="B402">
        <v>2015</v>
      </c>
      <c r="C402" t="s">
        <v>106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132</v>
      </c>
      <c r="B403">
        <v>2014</v>
      </c>
      <c r="C403" t="s">
        <v>106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132</v>
      </c>
      <c r="B404">
        <v>2013</v>
      </c>
      <c r="C404" t="s">
        <v>106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132</v>
      </c>
      <c r="B405">
        <v>2012</v>
      </c>
      <c r="C405" t="s">
        <v>106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132</v>
      </c>
      <c r="B406">
        <v>2011</v>
      </c>
      <c r="C406" t="s">
        <v>106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132</v>
      </c>
      <c r="B407">
        <v>2010</v>
      </c>
      <c r="C407" t="s">
        <v>106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132</v>
      </c>
      <c r="B408">
        <v>2009</v>
      </c>
      <c r="C408" t="s">
        <v>106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132</v>
      </c>
      <c r="B409">
        <v>2008</v>
      </c>
      <c r="C409" t="s">
        <v>106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132</v>
      </c>
      <c r="B410">
        <v>2007</v>
      </c>
      <c r="C410" t="s">
        <v>106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132</v>
      </c>
      <c r="B411">
        <v>2006</v>
      </c>
      <c r="C411" t="s">
        <v>106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132</v>
      </c>
      <c r="B412">
        <v>2005</v>
      </c>
      <c r="C412" t="s">
        <v>106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132</v>
      </c>
      <c r="B413">
        <v>2004</v>
      </c>
      <c r="C413" t="s">
        <v>106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132</v>
      </c>
      <c r="B414">
        <v>2003</v>
      </c>
      <c r="C414" t="s">
        <v>106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132</v>
      </c>
      <c r="B415">
        <v>2002</v>
      </c>
      <c r="C415" t="s">
        <v>106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132</v>
      </c>
      <c r="B416">
        <v>2001</v>
      </c>
      <c r="C416" t="s">
        <v>106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132</v>
      </c>
      <c r="B417">
        <v>2000</v>
      </c>
      <c r="C417" t="s">
        <v>106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133</v>
      </c>
      <c r="B418">
        <v>2015</v>
      </c>
      <c r="C418" t="s">
        <v>106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133</v>
      </c>
      <c r="B419">
        <v>2014</v>
      </c>
      <c r="C419" t="s">
        <v>106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133</v>
      </c>
      <c r="B420">
        <v>2013</v>
      </c>
      <c r="C420" t="s">
        <v>106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133</v>
      </c>
      <c r="B421">
        <v>2012</v>
      </c>
      <c r="C421" t="s">
        <v>106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133</v>
      </c>
      <c r="B422">
        <v>2011</v>
      </c>
      <c r="C422" t="s">
        <v>106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133</v>
      </c>
      <c r="B423">
        <v>2010</v>
      </c>
      <c r="C423" t="s">
        <v>106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133</v>
      </c>
      <c r="B424">
        <v>2009</v>
      </c>
      <c r="C424" t="s">
        <v>106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133</v>
      </c>
      <c r="B425">
        <v>2008</v>
      </c>
      <c r="C425" t="s">
        <v>106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133</v>
      </c>
      <c r="B426">
        <v>2007</v>
      </c>
      <c r="C426" t="s">
        <v>106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133</v>
      </c>
      <c r="B427">
        <v>2006</v>
      </c>
      <c r="C427" t="s">
        <v>106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133</v>
      </c>
      <c r="B428">
        <v>2005</v>
      </c>
      <c r="C428" t="s">
        <v>106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133</v>
      </c>
      <c r="B429">
        <v>2004</v>
      </c>
      <c r="C429" t="s">
        <v>106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133</v>
      </c>
      <c r="B430">
        <v>2003</v>
      </c>
      <c r="C430" t="s">
        <v>106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133</v>
      </c>
      <c r="B431">
        <v>2002</v>
      </c>
      <c r="C431" t="s">
        <v>106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133</v>
      </c>
      <c r="B432">
        <v>2001</v>
      </c>
      <c r="C432" t="s">
        <v>106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133</v>
      </c>
      <c r="B433">
        <v>2000</v>
      </c>
      <c r="C433" t="s">
        <v>106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134</v>
      </c>
      <c r="B434">
        <v>2015</v>
      </c>
      <c r="C434" t="s">
        <v>106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134</v>
      </c>
      <c r="B435">
        <v>2014</v>
      </c>
      <c r="C435" t="s">
        <v>106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134</v>
      </c>
      <c r="B436">
        <v>2013</v>
      </c>
      <c r="C436" t="s">
        <v>106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134</v>
      </c>
      <c r="B437">
        <v>2012</v>
      </c>
      <c r="C437" t="s">
        <v>106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134</v>
      </c>
      <c r="B438">
        <v>2011</v>
      </c>
      <c r="C438" t="s">
        <v>106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134</v>
      </c>
      <c r="B439">
        <v>2010</v>
      </c>
      <c r="C439" t="s">
        <v>106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134</v>
      </c>
      <c r="B440">
        <v>2009</v>
      </c>
      <c r="C440" t="s">
        <v>106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134</v>
      </c>
      <c r="B441">
        <v>2008</v>
      </c>
      <c r="C441" t="s">
        <v>106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134</v>
      </c>
      <c r="B442">
        <v>2007</v>
      </c>
      <c r="C442" t="s">
        <v>106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134</v>
      </c>
      <c r="B443">
        <v>2006</v>
      </c>
      <c r="C443" t="s">
        <v>106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134</v>
      </c>
      <c r="B444">
        <v>2005</v>
      </c>
      <c r="C444" t="s">
        <v>106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134</v>
      </c>
      <c r="B445">
        <v>2004</v>
      </c>
      <c r="C445" t="s">
        <v>106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134</v>
      </c>
      <c r="B446">
        <v>2003</v>
      </c>
      <c r="C446" t="s">
        <v>106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134</v>
      </c>
      <c r="B447">
        <v>2002</v>
      </c>
      <c r="C447" t="s">
        <v>106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134</v>
      </c>
      <c r="B448">
        <v>2001</v>
      </c>
      <c r="C448" t="s">
        <v>106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134</v>
      </c>
      <c r="B449">
        <v>2000</v>
      </c>
      <c r="C449" t="s">
        <v>106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135</v>
      </c>
      <c r="B450">
        <v>2015</v>
      </c>
      <c r="C450" t="s">
        <v>106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135</v>
      </c>
      <c r="B451">
        <v>2014</v>
      </c>
      <c r="C451" t="s">
        <v>106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135</v>
      </c>
      <c r="B452">
        <v>2013</v>
      </c>
      <c r="C452" t="s">
        <v>106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135</v>
      </c>
      <c r="B453">
        <v>2012</v>
      </c>
      <c r="C453" t="s">
        <v>106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135</v>
      </c>
      <c r="B454">
        <v>2011</v>
      </c>
      <c r="C454" t="s">
        <v>106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135</v>
      </c>
      <c r="B455">
        <v>2010</v>
      </c>
      <c r="C455" t="s">
        <v>106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135</v>
      </c>
      <c r="B456">
        <v>2009</v>
      </c>
      <c r="C456" t="s">
        <v>106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135</v>
      </c>
      <c r="B457">
        <v>2008</v>
      </c>
      <c r="C457" t="s">
        <v>106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135</v>
      </c>
      <c r="B458">
        <v>2007</v>
      </c>
      <c r="C458" t="s">
        <v>106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135</v>
      </c>
      <c r="B459">
        <v>2006</v>
      </c>
      <c r="C459" t="s">
        <v>106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135</v>
      </c>
      <c r="B460">
        <v>2005</v>
      </c>
      <c r="C460" t="s">
        <v>106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135</v>
      </c>
      <c r="B461">
        <v>2004</v>
      </c>
      <c r="C461" t="s">
        <v>106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135</v>
      </c>
      <c r="B462">
        <v>2003</v>
      </c>
      <c r="C462" t="s">
        <v>106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135</v>
      </c>
      <c r="B463">
        <v>2002</v>
      </c>
      <c r="C463" t="s">
        <v>106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135</v>
      </c>
      <c r="B464">
        <v>2001</v>
      </c>
      <c r="C464" t="s">
        <v>106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135</v>
      </c>
      <c r="B465">
        <v>2000</v>
      </c>
      <c r="C465" t="s">
        <v>106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136</v>
      </c>
      <c r="B466">
        <v>2015</v>
      </c>
      <c r="C466" t="s">
        <v>106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136</v>
      </c>
      <c r="B467">
        <v>2014</v>
      </c>
      <c r="C467" t="s">
        <v>106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136</v>
      </c>
      <c r="B468">
        <v>2013</v>
      </c>
      <c r="C468" t="s">
        <v>106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136</v>
      </c>
      <c r="B469">
        <v>2012</v>
      </c>
      <c r="C469" t="s">
        <v>106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136</v>
      </c>
      <c r="B470">
        <v>2011</v>
      </c>
      <c r="C470" t="s">
        <v>106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136</v>
      </c>
      <c r="B471">
        <v>2010</v>
      </c>
      <c r="C471" t="s">
        <v>106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136</v>
      </c>
      <c r="B472">
        <v>2009</v>
      </c>
      <c r="C472" t="s">
        <v>106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136</v>
      </c>
      <c r="B473">
        <v>2008</v>
      </c>
      <c r="C473" t="s">
        <v>106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136</v>
      </c>
      <c r="B474">
        <v>2007</v>
      </c>
      <c r="C474" t="s">
        <v>106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136</v>
      </c>
      <c r="B475">
        <v>2006</v>
      </c>
      <c r="C475" t="s">
        <v>106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136</v>
      </c>
      <c r="B476">
        <v>2005</v>
      </c>
      <c r="C476" t="s">
        <v>106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136</v>
      </c>
      <c r="B477">
        <v>2004</v>
      </c>
      <c r="C477" t="s">
        <v>106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136</v>
      </c>
      <c r="B478">
        <v>2003</v>
      </c>
      <c r="C478" t="s">
        <v>106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136</v>
      </c>
      <c r="B479">
        <v>2002</v>
      </c>
      <c r="C479" t="s">
        <v>106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136</v>
      </c>
      <c r="B480">
        <v>2001</v>
      </c>
      <c r="C480" t="s">
        <v>106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136</v>
      </c>
      <c r="B481">
        <v>2000</v>
      </c>
      <c r="C481" t="s">
        <v>106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137</v>
      </c>
      <c r="B482">
        <v>2015</v>
      </c>
      <c r="C482" t="s">
        <v>106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137</v>
      </c>
      <c r="B483">
        <v>2014</v>
      </c>
      <c r="C483" t="s">
        <v>106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137</v>
      </c>
      <c r="B484">
        <v>2013</v>
      </c>
      <c r="C484" t="s">
        <v>106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137</v>
      </c>
      <c r="B485">
        <v>2012</v>
      </c>
      <c r="C485" t="s">
        <v>106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137</v>
      </c>
      <c r="B486">
        <v>2011</v>
      </c>
      <c r="C486" t="s">
        <v>106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137</v>
      </c>
      <c r="B487">
        <v>2010</v>
      </c>
      <c r="C487" t="s">
        <v>106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137</v>
      </c>
      <c r="B488">
        <v>2009</v>
      </c>
      <c r="C488" t="s">
        <v>106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137</v>
      </c>
      <c r="B489">
        <v>2008</v>
      </c>
      <c r="C489" t="s">
        <v>106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137</v>
      </c>
      <c r="B490">
        <v>2007</v>
      </c>
      <c r="C490" t="s">
        <v>106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137</v>
      </c>
      <c r="B491">
        <v>2006</v>
      </c>
      <c r="C491" t="s">
        <v>106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137</v>
      </c>
      <c r="B492">
        <v>2005</v>
      </c>
      <c r="C492" t="s">
        <v>106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137</v>
      </c>
      <c r="B493">
        <v>2004</v>
      </c>
      <c r="C493" t="s">
        <v>106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137</v>
      </c>
      <c r="B494">
        <v>2003</v>
      </c>
      <c r="C494" t="s">
        <v>106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137</v>
      </c>
      <c r="B495">
        <v>2002</v>
      </c>
      <c r="C495" t="s">
        <v>106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137</v>
      </c>
      <c r="B496">
        <v>2001</v>
      </c>
      <c r="C496" t="s">
        <v>106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137</v>
      </c>
      <c r="B497">
        <v>2000</v>
      </c>
      <c r="C497" t="s">
        <v>106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138</v>
      </c>
      <c r="B498">
        <v>2015</v>
      </c>
      <c r="C498" t="s">
        <v>106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138</v>
      </c>
      <c r="B499">
        <v>2014</v>
      </c>
      <c r="C499" t="s">
        <v>106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138</v>
      </c>
      <c r="B500">
        <v>2013</v>
      </c>
      <c r="C500" t="s">
        <v>106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138</v>
      </c>
      <c r="B501">
        <v>2012</v>
      </c>
      <c r="C501" t="s">
        <v>106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138</v>
      </c>
      <c r="B502">
        <v>2011</v>
      </c>
      <c r="C502" t="s">
        <v>106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138</v>
      </c>
      <c r="B503">
        <v>2010</v>
      </c>
      <c r="C503" t="s">
        <v>106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138</v>
      </c>
      <c r="B504">
        <v>2009</v>
      </c>
      <c r="C504" t="s">
        <v>106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138</v>
      </c>
      <c r="B505">
        <v>2008</v>
      </c>
      <c r="C505" t="s">
        <v>106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138</v>
      </c>
      <c r="B506">
        <v>2007</v>
      </c>
      <c r="C506" t="s">
        <v>106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138</v>
      </c>
      <c r="B507">
        <v>2006</v>
      </c>
      <c r="C507" t="s">
        <v>106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138</v>
      </c>
      <c r="B508">
        <v>2005</v>
      </c>
      <c r="C508" t="s">
        <v>106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138</v>
      </c>
      <c r="B509">
        <v>2004</v>
      </c>
      <c r="C509" t="s">
        <v>106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138</v>
      </c>
      <c r="B510">
        <v>2003</v>
      </c>
      <c r="C510" t="s">
        <v>106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138</v>
      </c>
      <c r="B511">
        <v>2002</v>
      </c>
      <c r="C511" t="s">
        <v>106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138</v>
      </c>
      <c r="B512">
        <v>2001</v>
      </c>
      <c r="C512" t="s">
        <v>106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138</v>
      </c>
      <c r="B513">
        <v>2000</v>
      </c>
      <c r="C513" t="s">
        <v>106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139</v>
      </c>
      <c r="B514">
        <v>2015</v>
      </c>
      <c r="C514" t="s">
        <v>106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139</v>
      </c>
      <c r="B515">
        <v>2014</v>
      </c>
      <c r="C515" t="s">
        <v>106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139</v>
      </c>
      <c r="B516">
        <v>2013</v>
      </c>
      <c r="C516" t="s">
        <v>106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139</v>
      </c>
      <c r="B517">
        <v>2012</v>
      </c>
      <c r="C517" t="s">
        <v>106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139</v>
      </c>
      <c r="B518">
        <v>2011</v>
      </c>
      <c r="C518" t="s">
        <v>106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139</v>
      </c>
      <c r="B519">
        <v>2010</v>
      </c>
      <c r="C519" t="s">
        <v>106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139</v>
      </c>
      <c r="B520">
        <v>2009</v>
      </c>
      <c r="C520" t="s">
        <v>106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139</v>
      </c>
      <c r="B521">
        <v>2008</v>
      </c>
      <c r="C521" t="s">
        <v>106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139</v>
      </c>
      <c r="B522">
        <v>2007</v>
      </c>
      <c r="C522" t="s">
        <v>106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139</v>
      </c>
      <c r="B523">
        <v>2006</v>
      </c>
      <c r="C523" t="s">
        <v>106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139</v>
      </c>
      <c r="B524">
        <v>2005</v>
      </c>
      <c r="C524" t="s">
        <v>106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139</v>
      </c>
      <c r="B525">
        <v>2004</v>
      </c>
      <c r="C525" t="s">
        <v>106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139</v>
      </c>
      <c r="B526">
        <v>2003</v>
      </c>
      <c r="C526" t="s">
        <v>106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139</v>
      </c>
      <c r="B527">
        <v>2002</v>
      </c>
      <c r="C527" t="s">
        <v>106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139</v>
      </c>
      <c r="B528">
        <v>2001</v>
      </c>
      <c r="C528" t="s">
        <v>106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139</v>
      </c>
      <c r="B529">
        <v>2000</v>
      </c>
      <c r="C529" t="s">
        <v>106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140</v>
      </c>
      <c r="B530">
        <v>2015</v>
      </c>
      <c r="C530" t="s">
        <v>106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140</v>
      </c>
      <c r="B531">
        <v>2014</v>
      </c>
      <c r="C531" t="s">
        <v>106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140</v>
      </c>
      <c r="B532">
        <v>2013</v>
      </c>
      <c r="C532" t="s">
        <v>106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140</v>
      </c>
      <c r="B533">
        <v>2012</v>
      </c>
      <c r="C533" t="s">
        <v>106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140</v>
      </c>
      <c r="B534">
        <v>2011</v>
      </c>
      <c r="C534" t="s">
        <v>106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140</v>
      </c>
      <c r="B535">
        <v>2010</v>
      </c>
      <c r="C535" t="s">
        <v>106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140</v>
      </c>
      <c r="B536">
        <v>2009</v>
      </c>
      <c r="C536" t="s">
        <v>106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140</v>
      </c>
      <c r="B537">
        <v>2008</v>
      </c>
      <c r="C537" t="s">
        <v>106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140</v>
      </c>
      <c r="B538">
        <v>2007</v>
      </c>
      <c r="C538" t="s">
        <v>106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140</v>
      </c>
      <c r="B539">
        <v>2006</v>
      </c>
      <c r="C539" t="s">
        <v>106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140</v>
      </c>
      <c r="B540">
        <v>2005</v>
      </c>
      <c r="C540" t="s">
        <v>106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140</v>
      </c>
      <c r="B541">
        <v>2004</v>
      </c>
      <c r="C541" t="s">
        <v>106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140</v>
      </c>
      <c r="B542">
        <v>2003</v>
      </c>
      <c r="C542" t="s">
        <v>106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140</v>
      </c>
      <c r="B543">
        <v>2002</v>
      </c>
      <c r="C543" t="s">
        <v>106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140</v>
      </c>
      <c r="B544">
        <v>2001</v>
      </c>
      <c r="C544" t="s">
        <v>106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140</v>
      </c>
      <c r="B545">
        <v>2000</v>
      </c>
      <c r="C545" t="s">
        <v>106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141</v>
      </c>
      <c r="B546">
        <v>2015</v>
      </c>
      <c r="C546" t="s">
        <v>106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141</v>
      </c>
      <c r="B547">
        <v>2014</v>
      </c>
      <c r="C547" t="s">
        <v>106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141</v>
      </c>
      <c r="B548">
        <v>2013</v>
      </c>
      <c r="C548" t="s">
        <v>106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141</v>
      </c>
      <c r="B549">
        <v>2012</v>
      </c>
      <c r="C549" t="s">
        <v>106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141</v>
      </c>
      <c r="B550">
        <v>2011</v>
      </c>
      <c r="C550" t="s">
        <v>106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141</v>
      </c>
      <c r="B551">
        <v>2010</v>
      </c>
      <c r="C551" t="s">
        <v>106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141</v>
      </c>
      <c r="B552">
        <v>2009</v>
      </c>
      <c r="C552" t="s">
        <v>106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141</v>
      </c>
      <c r="B553">
        <v>2008</v>
      </c>
      <c r="C553" t="s">
        <v>106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141</v>
      </c>
      <c r="B554">
        <v>2007</v>
      </c>
      <c r="C554" t="s">
        <v>106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141</v>
      </c>
      <c r="B555">
        <v>2006</v>
      </c>
      <c r="C555" t="s">
        <v>106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141</v>
      </c>
      <c r="B556">
        <v>2005</v>
      </c>
      <c r="C556" t="s">
        <v>106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141</v>
      </c>
      <c r="B557">
        <v>2004</v>
      </c>
      <c r="C557" t="s">
        <v>106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141</v>
      </c>
      <c r="B558">
        <v>2003</v>
      </c>
      <c r="C558" t="s">
        <v>106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141</v>
      </c>
      <c r="B559">
        <v>2002</v>
      </c>
      <c r="C559" t="s">
        <v>106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141</v>
      </c>
      <c r="B560">
        <v>2001</v>
      </c>
      <c r="C560" t="s">
        <v>106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141</v>
      </c>
      <c r="B561">
        <v>2000</v>
      </c>
      <c r="C561" t="s">
        <v>106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142</v>
      </c>
      <c r="B562">
        <v>2015</v>
      </c>
      <c r="C562" t="s">
        <v>106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142</v>
      </c>
      <c r="B563">
        <v>2014</v>
      </c>
      <c r="C563" t="s">
        <v>106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142</v>
      </c>
      <c r="B564">
        <v>2013</v>
      </c>
      <c r="C564" t="s">
        <v>106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142</v>
      </c>
      <c r="B565">
        <v>2012</v>
      </c>
      <c r="C565" t="s">
        <v>106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142</v>
      </c>
      <c r="B566">
        <v>2011</v>
      </c>
      <c r="C566" t="s">
        <v>106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142</v>
      </c>
      <c r="B567">
        <v>2010</v>
      </c>
      <c r="C567" t="s">
        <v>106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142</v>
      </c>
      <c r="B568">
        <v>2009</v>
      </c>
      <c r="C568" t="s">
        <v>106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142</v>
      </c>
      <c r="B569">
        <v>2008</v>
      </c>
      <c r="C569" t="s">
        <v>106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142</v>
      </c>
      <c r="B570">
        <v>2007</v>
      </c>
      <c r="C570" t="s">
        <v>106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142</v>
      </c>
      <c r="B571">
        <v>2006</v>
      </c>
      <c r="C571" t="s">
        <v>106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142</v>
      </c>
      <c r="B572">
        <v>2005</v>
      </c>
      <c r="C572" t="s">
        <v>106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142</v>
      </c>
      <c r="B573">
        <v>2004</v>
      </c>
      <c r="C573" t="s">
        <v>106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142</v>
      </c>
      <c r="B574">
        <v>2003</v>
      </c>
      <c r="C574" t="s">
        <v>106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142</v>
      </c>
      <c r="B575">
        <v>2002</v>
      </c>
      <c r="C575" t="s">
        <v>106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142</v>
      </c>
      <c r="B576">
        <v>2001</v>
      </c>
      <c r="C576" t="s">
        <v>106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142</v>
      </c>
      <c r="B577">
        <v>2000</v>
      </c>
      <c r="C577" t="s">
        <v>106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143</v>
      </c>
      <c r="B578">
        <v>2015</v>
      </c>
      <c r="C578" t="s">
        <v>106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143</v>
      </c>
      <c r="B579">
        <v>2014</v>
      </c>
      <c r="C579" t="s">
        <v>106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143</v>
      </c>
      <c r="B580">
        <v>2013</v>
      </c>
      <c r="C580" t="s">
        <v>106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143</v>
      </c>
      <c r="B581">
        <v>2012</v>
      </c>
      <c r="C581" t="s">
        <v>106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143</v>
      </c>
      <c r="B582">
        <v>2011</v>
      </c>
      <c r="C582" t="s">
        <v>106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143</v>
      </c>
      <c r="B583">
        <v>2010</v>
      </c>
      <c r="C583" t="s">
        <v>106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143</v>
      </c>
      <c r="B584">
        <v>2009</v>
      </c>
      <c r="C584" t="s">
        <v>106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143</v>
      </c>
      <c r="B585">
        <v>2008</v>
      </c>
      <c r="C585" t="s">
        <v>106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143</v>
      </c>
      <c r="B586">
        <v>2007</v>
      </c>
      <c r="C586" t="s">
        <v>106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143</v>
      </c>
      <c r="B587">
        <v>2006</v>
      </c>
      <c r="C587" t="s">
        <v>106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143</v>
      </c>
      <c r="B588">
        <v>2005</v>
      </c>
      <c r="C588" t="s">
        <v>106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143</v>
      </c>
      <c r="B589">
        <v>2004</v>
      </c>
      <c r="C589" t="s">
        <v>106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143</v>
      </c>
      <c r="B590">
        <v>2003</v>
      </c>
      <c r="C590" t="s">
        <v>106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143</v>
      </c>
      <c r="B591">
        <v>2002</v>
      </c>
      <c r="C591" t="s">
        <v>106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143</v>
      </c>
      <c r="B592">
        <v>2001</v>
      </c>
      <c r="C592" t="s">
        <v>106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143</v>
      </c>
      <c r="B593">
        <v>2000</v>
      </c>
      <c r="C593" t="s">
        <v>106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144</v>
      </c>
      <c r="B594">
        <v>2015</v>
      </c>
      <c r="C594" t="s">
        <v>106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144</v>
      </c>
      <c r="B595">
        <v>2014</v>
      </c>
      <c r="C595" t="s">
        <v>106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144</v>
      </c>
      <c r="B596">
        <v>2013</v>
      </c>
      <c r="C596" t="s">
        <v>106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144</v>
      </c>
      <c r="B597">
        <v>2012</v>
      </c>
      <c r="C597" t="s">
        <v>106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144</v>
      </c>
      <c r="B598">
        <v>2011</v>
      </c>
      <c r="C598" t="s">
        <v>106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144</v>
      </c>
      <c r="B599">
        <v>2010</v>
      </c>
      <c r="C599" t="s">
        <v>106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144</v>
      </c>
      <c r="B600">
        <v>2009</v>
      </c>
      <c r="C600" t="s">
        <v>106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144</v>
      </c>
      <c r="B601">
        <v>2008</v>
      </c>
      <c r="C601" t="s">
        <v>106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144</v>
      </c>
      <c r="B602">
        <v>2007</v>
      </c>
      <c r="C602" t="s">
        <v>106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144</v>
      </c>
      <c r="B603">
        <v>2006</v>
      </c>
      <c r="C603" t="s">
        <v>106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144</v>
      </c>
      <c r="B604">
        <v>2005</v>
      </c>
      <c r="C604" t="s">
        <v>106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144</v>
      </c>
      <c r="B605">
        <v>2004</v>
      </c>
      <c r="C605" t="s">
        <v>106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144</v>
      </c>
      <c r="B606">
        <v>2003</v>
      </c>
      <c r="C606" t="s">
        <v>106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144</v>
      </c>
      <c r="B607">
        <v>2002</v>
      </c>
      <c r="C607" t="s">
        <v>106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144</v>
      </c>
      <c r="B608">
        <v>2001</v>
      </c>
      <c r="C608" t="s">
        <v>106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144</v>
      </c>
      <c r="B609">
        <v>2000</v>
      </c>
      <c r="C609" t="s">
        <v>106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145</v>
      </c>
      <c r="B610">
        <v>2015</v>
      </c>
      <c r="C610" t="s">
        <v>106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145</v>
      </c>
      <c r="B611">
        <v>2014</v>
      </c>
      <c r="C611" t="s">
        <v>106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145</v>
      </c>
      <c r="B612">
        <v>2013</v>
      </c>
      <c r="C612" t="s">
        <v>106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145</v>
      </c>
      <c r="B613">
        <v>2012</v>
      </c>
      <c r="C613" t="s">
        <v>106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145</v>
      </c>
      <c r="B614">
        <v>2011</v>
      </c>
      <c r="C614" t="s">
        <v>106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145</v>
      </c>
      <c r="B615">
        <v>2010</v>
      </c>
      <c r="C615" t="s">
        <v>106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145</v>
      </c>
      <c r="B616">
        <v>2009</v>
      </c>
      <c r="C616" t="s">
        <v>106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145</v>
      </c>
      <c r="B617">
        <v>2008</v>
      </c>
      <c r="C617" t="s">
        <v>106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145</v>
      </c>
      <c r="B618">
        <v>2007</v>
      </c>
      <c r="C618" t="s">
        <v>106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145</v>
      </c>
      <c r="B619">
        <v>2006</v>
      </c>
      <c r="C619" t="s">
        <v>106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145</v>
      </c>
      <c r="B620">
        <v>2005</v>
      </c>
      <c r="C620" t="s">
        <v>106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145</v>
      </c>
      <c r="B621">
        <v>2004</v>
      </c>
      <c r="C621" t="s">
        <v>106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145</v>
      </c>
      <c r="B622">
        <v>2003</v>
      </c>
      <c r="C622" t="s">
        <v>106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145</v>
      </c>
      <c r="B623">
        <v>2002</v>
      </c>
      <c r="C623" t="s">
        <v>106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145</v>
      </c>
      <c r="B624">
        <v>2001</v>
      </c>
      <c r="C624" t="s">
        <v>106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145</v>
      </c>
      <c r="B625">
        <v>2000</v>
      </c>
      <c r="C625" t="s">
        <v>106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146</v>
      </c>
      <c r="B626">
        <v>2013</v>
      </c>
      <c r="C626" t="s">
        <v>106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147</v>
      </c>
      <c r="B627">
        <v>2015</v>
      </c>
      <c r="C627" t="s">
        <v>106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147</v>
      </c>
      <c r="B628">
        <v>2014</v>
      </c>
      <c r="C628" t="s">
        <v>106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147</v>
      </c>
      <c r="B629">
        <v>2013</v>
      </c>
      <c r="C629" t="s">
        <v>106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147</v>
      </c>
      <c r="B630">
        <v>2012</v>
      </c>
      <c r="C630" t="s">
        <v>106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147</v>
      </c>
      <c r="B631">
        <v>2011</v>
      </c>
      <c r="C631" t="s">
        <v>106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147</v>
      </c>
      <c r="B632">
        <v>2010</v>
      </c>
      <c r="C632" t="s">
        <v>106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147</v>
      </c>
      <c r="B633">
        <v>2009</v>
      </c>
      <c r="C633" t="s">
        <v>106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147</v>
      </c>
      <c r="B634">
        <v>2008</v>
      </c>
      <c r="C634" t="s">
        <v>106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147</v>
      </c>
      <c r="B635">
        <v>2007</v>
      </c>
      <c r="C635" t="s">
        <v>106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147</v>
      </c>
      <c r="B636">
        <v>2006</v>
      </c>
      <c r="C636" t="s">
        <v>106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147</v>
      </c>
      <c r="B637">
        <v>2005</v>
      </c>
      <c r="C637" t="s">
        <v>106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147</v>
      </c>
      <c r="B638">
        <v>2004</v>
      </c>
      <c r="C638" t="s">
        <v>106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147</v>
      </c>
      <c r="B639">
        <v>2003</v>
      </c>
      <c r="C639" t="s">
        <v>106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147</v>
      </c>
      <c r="B640">
        <v>2002</v>
      </c>
      <c r="C640" t="s">
        <v>106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147</v>
      </c>
      <c r="B641">
        <v>2001</v>
      </c>
      <c r="C641" t="s">
        <v>106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147</v>
      </c>
      <c r="B642">
        <v>2000</v>
      </c>
      <c r="C642" t="s">
        <v>106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148</v>
      </c>
      <c r="B643">
        <v>2015</v>
      </c>
      <c r="C643" t="s">
        <v>114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148</v>
      </c>
      <c r="B644">
        <v>2014</v>
      </c>
      <c r="C644" t="s">
        <v>114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148</v>
      </c>
      <c r="B645">
        <v>2013</v>
      </c>
      <c r="C645" t="s">
        <v>114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148</v>
      </c>
      <c r="B646">
        <v>2012</v>
      </c>
      <c r="C646" t="s">
        <v>114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148</v>
      </c>
      <c r="B647">
        <v>2011</v>
      </c>
      <c r="C647" t="s">
        <v>114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148</v>
      </c>
      <c r="B648">
        <v>2010</v>
      </c>
      <c r="C648" t="s">
        <v>114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148</v>
      </c>
      <c r="B649">
        <v>2009</v>
      </c>
      <c r="C649" t="s">
        <v>114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148</v>
      </c>
      <c r="B650">
        <v>2008</v>
      </c>
      <c r="C650" t="s">
        <v>114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148</v>
      </c>
      <c r="B651">
        <v>2007</v>
      </c>
      <c r="C651" t="s">
        <v>114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148</v>
      </c>
      <c r="B652">
        <v>2006</v>
      </c>
      <c r="C652" t="s">
        <v>114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148</v>
      </c>
      <c r="B653">
        <v>2005</v>
      </c>
      <c r="C653" t="s">
        <v>114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148</v>
      </c>
      <c r="B654">
        <v>2004</v>
      </c>
      <c r="C654" t="s">
        <v>114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148</v>
      </c>
      <c r="B655">
        <v>2003</v>
      </c>
      <c r="C655" t="s">
        <v>114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148</v>
      </c>
      <c r="B656">
        <v>2002</v>
      </c>
      <c r="C656" t="s">
        <v>114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148</v>
      </c>
      <c r="B657">
        <v>2001</v>
      </c>
      <c r="C657" t="s">
        <v>114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148</v>
      </c>
      <c r="B658">
        <v>2000</v>
      </c>
      <c r="C658" t="s">
        <v>114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149</v>
      </c>
      <c r="B659">
        <v>2015</v>
      </c>
      <c r="C659" t="s">
        <v>106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149</v>
      </c>
      <c r="B660">
        <v>2014</v>
      </c>
      <c r="C660" t="s">
        <v>106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149</v>
      </c>
      <c r="B661">
        <v>2013</v>
      </c>
      <c r="C661" t="s">
        <v>106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149</v>
      </c>
      <c r="B662">
        <v>2012</v>
      </c>
      <c r="C662" t="s">
        <v>106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149</v>
      </c>
      <c r="B663">
        <v>2011</v>
      </c>
      <c r="C663" t="s">
        <v>106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149</v>
      </c>
      <c r="B664">
        <v>2010</v>
      </c>
      <c r="C664" t="s">
        <v>106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149</v>
      </c>
      <c r="B665">
        <v>2009</v>
      </c>
      <c r="C665" t="s">
        <v>106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149</v>
      </c>
      <c r="B666">
        <v>2008</v>
      </c>
      <c r="C666" t="s">
        <v>106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149</v>
      </c>
      <c r="B667">
        <v>2007</v>
      </c>
      <c r="C667" t="s">
        <v>106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149</v>
      </c>
      <c r="B668">
        <v>2006</v>
      </c>
      <c r="C668" t="s">
        <v>106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149</v>
      </c>
      <c r="B669">
        <v>2005</v>
      </c>
      <c r="C669" t="s">
        <v>106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149</v>
      </c>
      <c r="B670">
        <v>2004</v>
      </c>
      <c r="C670" t="s">
        <v>106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149</v>
      </c>
      <c r="B671">
        <v>2003</v>
      </c>
      <c r="C671" t="s">
        <v>106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149</v>
      </c>
      <c r="B672">
        <v>2002</v>
      </c>
      <c r="C672" t="s">
        <v>106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149</v>
      </c>
      <c r="B673">
        <v>2001</v>
      </c>
      <c r="C673" t="s">
        <v>106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149</v>
      </c>
      <c r="B674">
        <v>2000</v>
      </c>
      <c r="C674" t="s">
        <v>106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150</v>
      </c>
      <c r="B675">
        <v>2015</v>
      </c>
      <c r="C675" t="s">
        <v>114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150</v>
      </c>
      <c r="B676">
        <v>2014</v>
      </c>
      <c r="C676" t="s">
        <v>114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150</v>
      </c>
      <c r="B677">
        <v>2013</v>
      </c>
      <c r="C677" t="s">
        <v>114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150</v>
      </c>
      <c r="B678">
        <v>2012</v>
      </c>
      <c r="C678" t="s">
        <v>114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150</v>
      </c>
      <c r="B679">
        <v>2011</v>
      </c>
      <c r="C679" t="s">
        <v>114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150</v>
      </c>
      <c r="B680">
        <v>2010</v>
      </c>
      <c r="C680" t="s">
        <v>114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150</v>
      </c>
      <c r="B681">
        <v>2009</v>
      </c>
      <c r="C681" t="s">
        <v>114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150</v>
      </c>
      <c r="B682">
        <v>2008</v>
      </c>
      <c r="C682" t="s">
        <v>114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150</v>
      </c>
      <c r="B683">
        <v>2007</v>
      </c>
      <c r="C683" t="s">
        <v>114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150</v>
      </c>
      <c r="B684">
        <v>2006</v>
      </c>
      <c r="C684" t="s">
        <v>114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150</v>
      </c>
      <c r="B685">
        <v>2005</v>
      </c>
      <c r="C685" t="s">
        <v>114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150</v>
      </c>
      <c r="B686">
        <v>2004</v>
      </c>
      <c r="C686" t="s">
        <v>114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150</v>
      </c>
      <c r="B687">
        <v>2003</v>
      </c>
      <c r="C687" t="s">
        <v>114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150</v>
      </c>
      <c r="B688">
        <v>2002</v>
      </c>
      <c r="C688" t="s">
        <v>114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150</v>
      </c>
      <c r="B689">
        <v>2001</v>
      </c>
      <c r="C689" t="s">
        <v>114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150</v>
      </c>
      <c r="B690">
        <v>2000</v>
      </c>
      <c r="C690" t="s">
        <v>114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151</v>
      </c>
      <c r="B691">
        <v>2015</v>
      </c>
      <c r="C691" t="s">
        <v>114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151</v>
      </c>
      <c r="B692">
        <v>2014</v>
      </c>
      <c r="C692" t="s">
        <v>114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151</v>
      </c>
      <c r="B693">
        <v>2013</v>
      </c>
      <c r="C693" t="s">
        <v>114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151</v>
      </c>
      <c r="B694">
        <v>2012</v>
      </c>
      <c r="C694" t="s">
        <v>114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151</v>
      </c>
      <c r="B695">
        <v>2011</v>
      </c>
      <c r="C695" t="s">
        <v>114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151</v>
      </c>
      <c r="B696">
        <v>2010</v>
      </c>
      <c r="C696" t="s">
        <v>114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151</v>
      </c>
      <c r="B697">
        <v>2009</v>
      </c>
      <c r="C697" t="s">
        <v>114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151</v>
      </c>
      <c r="B698">
        <v>2008</v>
      </c>
      <c r="C698" t="s">
        <v>114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151</v>
      </c>
      <c r="B699">
        <v>2007</v>
      </c>
      <c r="C699" t="s">
        <v>114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151</v>
      </c>
      <c r="B700">
        <v>2006</v>
      </c>
      <c r="C700" t="s">
        <v>114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151</v>
      </c>
      <c r="B701">
        <v>2005</v>
      </c>
      <c r="C701" t="s">
        <v>114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151</v>
      </c>
      <c r="B702">
        <v>2004</v>
      </c>
      <c r="C702" t="s">
        <v>114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151</v>
      </c>
      <c r="B703">
        <v>2003</v>
      </c>
      <c r="C703" t="s">
        <v>114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151</v>
      </c>
      <c r="B704">
        <v>2002</v>
      </c>
      <c r="C704" t="s">
        <v>114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151</v>
      </c>
      <c r="B705">
        <v>2001</v>
      </c>
      <c r="C705" t="s">
        <v>114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151</v>
      </c>
      <c r="B706">
        <v>2000</v>
      </c>
      <c r="C706" t="s">
        <v>114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152</v>
      </c>
      <c r="B707">
        <v>2015</v>
      </c>
      <c r="C707" t="s">
        <v>106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152</v>
      </c>
      <c r="B708">
        <v>2014</v>
      </c>
      <c r="C708" t="s">
        <v>106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152</v>
      </c>
      <c r="B709">
        <v>2013</v>
      </c>
      <c r="C709" t="s">
        <v>106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152</v>
      </c>
      <c r="B710">
        <v>2012</v>
      </c>
      <c r="C710" t="s">
        <v>106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152</v>
      </c>
      <c r="B711">
        <v>2011</v>
      </c>
      <c r="C711" t="s">
        <v>106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152</v>
      </c>
      <c r="B712">
        <v>2010</v>
      </c>
      <c r="C712" t="s">
        <v>106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152</v>
      </c>
      <c r="B713">
        <v>2009</v>
      </c>
      <c r="C713" t="s">
        <v>106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152</v>
      </c>
      <c r="B714">
        <v>2008</v>
      </c>
      <c r="C714" t="s">
        <v>106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152</v>
      </c>
      <c r="B715">
        <v>2007</v>
      </c>
      <c r="C715" t="s">
        <v>106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152</v>
      </c>
      <c r="B716">
        <v>2006</v>
      </c>
      <c r="C716" t="s">
        <v>106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152</v>
      </c>
      <c r="B717">
        <v>2005</v>
      </c>
      <c r="C717" t="s">
        <v>106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152</v>
      </c>
      <c r="B718">
        <v>2004</v>
      </c>
      <c r="C718" t="s">
        <v>106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152</v>
      </c>
      <c r="B719">
        <v>2003</v>
      </c>
      <c r="C719" t="s">
        <v>106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152</v>
      </c>
      <c r="B720">
        <v>2002</v>
      </c>
      <c r="C720" t="s">
        <v>106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152</v>
      </c>
      <c r="B721">
        <v>2001</v>
      </c>
      <c r="C721" t="s">
        <v>106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152</v>
      </c>
      <c r="B722">
        <v>2000</v>
      </c>
      <c r="C722" t="s">
        <v>106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153</v>
      </c>
      <c r="B723">
        <v>2015</v>
      </c>
      <c r="C723" t="s">
        <v>106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153</v>
      </c>
      <c r="B724">
        <v>2014</v>
      </c>
      <c r="C724" t="s">
        <v>106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153</v>
      </c>
      <c r="B725">
        <v>2013</v>
      </c>
      <c r="C725" t="s">
        <v>106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153</v>
      </c>
      <c r="B726">
        <v>2012</v>
      </c>
      <c r="C726" t="s">
        <v>106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153</v>
      </c>
      <c r="B727">
        <v>2011</v>
      </c>
      <c r="C727" t="s">
        <v>106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153</v>
      </c>
      <c r="B728">
        <v>2010</v>
      </c>
      <c r="C728" t="s">
        <v>106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153</v>
      </c>
      <c r="B729">
        <v>2009</v>
      </c>
      <c r="C729" t="s">
        <v>106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153</v>
      </c>
      <c r="B730">
        <v>2008</v>
      </c>
      <c r="C730" t="s">
        <v>106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153</v>
      </c>
      <c r="B731">
        <v>2007</v>
      </c>
      <c r="C731" t="s">
        <v>106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153</v>
      </c>
      <c r="B732">
        <v>2006</v>
      </c>
      <c r="C732" t="s">
        <v>106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153</v>
      </c>
      <c r="B733">
        <v>2005</v>
      </c>
      <c r="C733" t="s">
        <v>106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153</v>
      </c>
      <c r="B734">
        <v>2004</v>
      </c>
      <c r="C734" t="s">
        <v>106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153</v>
      </c>
      <c r="B735">
        <v>2003</v>
      </c>
      <c r="C735" t="s">
        <v>106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153</v>
      </c>
      <c r="B736">
        <v>2002</v>
      </c>
      <c r="C736" t="s">
        <v>106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153</v>
      </c>
      <c r="B737">
        <v>2001</v>
      </c>
      <c r="C737" t="s">
        <v>106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153</v>
      </c>
      <c r="B738">
        <v>2000</v>
      </c>
      <c r="C738" t="s">
        <v>106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154</v>
      </c>
      <c r="B739">
        <v>2015</v>
      </c>
      <c r="C739" t="s">
        <v>114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154</v>
      </c>
      <c r="B740">
        <v>2014</v>
      </c>
      <c r="C740" t="s">
        <v>114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154</v>
      </c>
      <c r="B741">
        <v>2013</v>
      </c>
      <c r="C741" t="s">
        <v>114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154</v>
      </c>
      <c r="B742">
        <v>2012</v>
      </c>
      <c r="C742" t="s">
        <v>114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154</v>
      </c>
      <c r="B743">
        <v>2011</v>
      </c>
      <c r="C743" t="s">
        <v>114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154</v>
      </c>
      <c r="B744">
        <v>2010</v>
      </c>
      <c r="C744" t="s">
        <v>114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154</v>
      </c>
      <c r="B745">
        <v>2009</v>
      </c>
      <c r="C745" t="s">
        <v>114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154</v>
      </c>
      <c r="B746">
        <v>2008</v>
      </c>
      <c r="C746" t="s">
        <v>114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154</v>
      </c>
      <c r="B747">
        <v>2007</v>
      </c>
      <c r="C747" t="s">
        <v>114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154</v>
      </c>
      <c r="B748">
        <v>2006</v>
      </c>
      <c r="C748" t="s">
        <v>114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154</v>
      </c>
      <c r="B749">
        <v>2005</v>
      </c>
      <c r="C749" t="s">
        <v>114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154</v>
      </c>
      <c r="B750">
        <v>2004</v>
      </c>
      <c r="C750" t="s">
        <v>114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154</v>
      </c>
      <c r="B751">
        <v>2003</v>
      </c>
      <c r="C751" t="s">
        <v>114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154</v>
      </c>
      <c r="B752">
        <v>2002</v>
      </c>
      <c r="C752" t="s">
        <v>114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154</v>
      </c>
      <c r="B753">
        <v>2001</v>
      </c>
      <c r="C753" t="s">
        <v>114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154</v>
      </c>
      <c r="B754">
        <v>2000</v>
      </c>
      <c r="C754" t="s">
        <v>114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155</v>
      </c>
      <c r="B755">
        <v>2015</v>
      </c>
      <c r="C755" t="s">
        <v>106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155</v>
      </c>
      <c r="B756">
        <v>2014</v>
      </c>
      <c r="C756" t="s">
        <v>106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155</v>
      </c>
      <c r="B757">
        <v>2013</v>
      </c>
      <c r="C757" t="s">
        <v>106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155</v>
      </c>
      <c r="B758">
        <v>2012</v>
      </c>
      <c r="C758" t="s">
        <v>106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155</v>
      </c>
      <c r="B759">
        <v>2011</v>
      </c>
      <c r="C759" t="s">
        <v>106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155</v>
      </c>
      <c r="B760">
        <v>2010</v>
      </c>
      <c r="C760" t="s">
        <v>106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155</v>
      </c>
      <c r="B761">
        <v>2009</v>
      </c>
      <c r="C761" t="s">
        <v>106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155</v>
      </c>
      <c r="B762">
        <v>2008</v>
      </c>
      <c r="C762" t="s">
        <v>106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155</v>
      </c>
      <c r="B763">
        <v>2007</v>
      </c>
      <c r="C763" t="s">
        <v>106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155</v>
      </c>
      <c r="B764">
        <v>2006</v>
      </c>
      <c r="C764" t="s">
        <v>106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155</v>
      </c>
      <c r="B765">
        <v>2005</v>
      </c>
      <c r="C765" t="s">
        <v>106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155</v>
      </c>
      <c r="B766">
        <v>2004</v>
      </c>
      <c r="C766" t="s">
        <v>106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155</v>
      </c>
      <c r="B767">
        <v>2003</v>
      </c>
      <c r="C767" t="s">
        <v>106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155</v>
      </c>
      <c r="B768">
        <v>2002</v>
      </c>
      <c r="C768" t="s">
        <v>106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155</v>
      </c>
      <c r="B769">
        <v>2001</v>
      </c>
      <c r="C769" t="s">
        <v>106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155</v>
      </c>
      <c r="B770">
        <v>2000</v>
      </c>
      <c r="C770" t="s">
        <v>106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156</v>
      </c>
      <c r="B771">
        <v>2013</v>
      </c>
      <c r="C771" t="s">
        <v>106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157</v>
      </c>
      <c r="B772">
        <v>2015</v>
      </c>
      <c r="C772" t="s">
        <v>106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157</v>
      </c>
      <c r="B773">
        <v>2014</v>
      </c>
      <c r="C773" t="s">
        <v>106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157</v>
      </c>
      <c r="B774">
        <v>2013</v>
      </c>
      <c r="C774" t="s">
        <v>106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157</v>
      </c>
      <c r="B775">
        <v>2012</v>
      </c>
      <c r="C775" t="s">
        <v>106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157</v>
      </c>
      <c r="B776">
        <v>2011</v>
      </c>
      <c r="C776" t="s">
        <v>106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157</v>
      </c>
      <c r="B777">
        <v>2010</v>
      </c>
      <c r="C777" t="s">
        <v>106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157</v>
      </c>
      <c r="B778">
        <v>2009</v>
      </c>
      <c r="C778" t="s">
        <v>106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157</v>
      </c>
      <c r="B779">
        <v>2008</v>
      </c>
      <c r="C779" t="s">
        <v>106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157</v>
      </c>
      <c r="B780">
        <v>2007</v>
      </c>
      <c r="C780" t="s">
        <v>106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157</v>
      </c>
      <c r="B781">
        <v>2006</v>
      </c>
      <c r="C781" t="s">
        <v>106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157</v>
      </c>
      <c r="B782">
        <v>2005</v>
      </c>
      <c r="C782" t="s">
        <v>106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157</v>
      </c>
      <c r="B783">
        <v>2004</v>
      </c>
      <c r="C783" t="s">
        <v>106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157</v>
      </c>
      <c r="B784">
        <v>2003</v>
      </c>
      <c r="C784" t="s">
        <v>106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157</v>
      </c>
      <c r="B785">
        <v>2002</v>
      </c>
      <c r="C785" t="s">
        <v>106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157</v>
      </c>
      <c r="B786">
        <v>2001</v>
      </c>
      <c r="C786" t="s">
        <v>106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157</v>
      </c>
      <c r="B787">
        <v>2000</v>
      </c>
      <c r="C787" t="s">
        <v>106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158</v>
      </c>
      <c r="B788">
        <v>2015</v>
      </c>
      <c r="C788" t="s">
        <v>106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158</v>
      </c>
      <c r="B789">
        <v>2014</v>
      </c>
      <c r="C789" t="s">
        <v>106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158</v>
      </c>
      <c r="B790">
        <v>2013</v>
      </c>
      <c r="C790" t="s">
        <v>106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158</v>
      </c>
      <c r="B791">
        <v>2012</v>
      </c>
      <c r="C791" t="s">
        <v>106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158</v>
      </c>
      <c r="B792">
        <v>2011</v>
      </c>
      <c r="C792" t="s">
        <v>106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158</v>
      </c>
      <c r="B793">
        <v>2010</v>
      </c>
      <c r="C793" t="s">
        <v>106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158</v>
      </c>
      <c r="B794">
        <v>2009</v>
      </c>
      <c r="C794" t="s">
        <v>106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158</v>
      </c>
      <c r="B795">
        <v>2008</v>
      </c>
      <c r="C795" t="s">
        <v>106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158</v>
      </c>
      <c r="B796">
        <v>2007</v>
      </c>
      <c r="C796" t="s">
        <v>106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158</v>
      </c>
      <c r="B797">
        <v>2006</v>
      </c>
      <c r="C797" t="s">
        <v>106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158</v>
      </c>
      <c r="B798">
        <v>2005</v>
      </c>
      <c r="C798" t="s">
        <v>106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158</v>
      </c>
      <c r="B799">
        <v>2004</v>
      </c>
      <c r="C799" t="s">
        <v>106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158</v>
      </c>
      <c r="B800">
        <v>2003</v>
      </c>
      <c r="C800" t="s">
        <v>106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158</v>
      </c>
      <c r="B801">
        <v>2002</v>
      </c>
      <c r="C801" t="s">
        <v>106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158</v>
      </c>
      <c r="B802">
        <v>2001</v>
      </c>
      <c r="C802" t="s">
        <v>106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158</v>
      </c>
      <c r="B803">
        <v>2000</v>
      </c>
      <c r="C803" t="s">
        <v>106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159</v>
      </c>
      <c r="B804">
        <v>2015</v>
      </c>
      <c r="C804" t="s">
        <v>106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159</v>
      </c>
      <c r="B805">
        <v>2014</v>
      </c>
      <c r="C805" t="s">
        <v>106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159</v>
      </c>
      <c r="B806">
        <v>2013</v>
      </c>
      <c r="C806" t="s">
        <v>106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159</v>
      </c>
      <c r="B807">
        <v>2012</v>
      </c>
      <c r="C807" t="s">
        <v>106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159</v>
      </c>
      <c r="B808">
        <v>2011</v>
      </c>
      <c r="C808" t="s">
        <v>106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159</v>
      </c>
      <c r="B809">
        <v>2010</v>
      </c>
      <c r="C809" t="s">
        <v>106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159</v>
      </c>
      <c r="B810">
        <v>2009</v>
      </c>
      <c r="C810" t="s">
        <v>106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159</v>
      </c>
      <c r="B811">
        <v>2008</v>
      </c>
      <c r="C811" t="s">
        <v>106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159</v>
      </c>
      <c r="B812">
        <v>2007</v>
      </c>
      <c r="C812" t="s">
        <v>106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159</v>
      </c>
      <c r="B813">
        <v>2006</v>
      </c>
      <c r="C813" t="s">
        <v>106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159</v>
      </c>
      <c r="B814">
        <v>2005</v>
      </c>
      <c r="C814" t="s">
        <v>106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159</v>
      </c>
      <c r="B815">
        <v>2004</v>
      </c>
      <c r="C815" t="s">
        <v>106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159</v>
      </c>
      <c r="B816">
        <v>2003</v>
      </c>
      <c r="C816" t="s">
        <v>106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159</v>
      </c>
      <c r="B817">
        <v>2002</v>
      </c>
      <c r="C817" t="s">
        <v>106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159</v>
      </c>
      <c r="B818">
        <v>2001</v>
      </c>
      <c r="C818" t="s">
        <v>106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159</v>
      </c>
      <c r="B819">
        <v>2000</v>
      </c>
      <c r="C819" t="s">
        <v>106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160</v>
      </c>
      <c r="B820">
        <v>2015</v>
      </c>
      <c r="C820" t="s">
        <v>106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160</v>
      </c>
      <c r="B821">
        <v>2014</v>
      </c>
      <c r="C821" t="s">
        <v>106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160</v>
      </c>
      <c r="B822">
        <v>2013</v>
      </c>
      <c r="C822" t="s">
        <v>106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160</v>
      </c>
      <c r="B823">
        <v>2012</v>
      </c>
      <c r="C823" t="s">
        <v>106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160</v>
      </c>
      <c r="B824">
        <v>2011</v>
      </c>
      <c r="C824" t="s">
        <v>106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160</v>
      </c>
      <c r="B825">
        <v>2010</v>
      </c>
      <c r="C825" t="s">
        <v>106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160</v>
      </c>
      <c r="B826">
        <v>2009</v>
      </c>
      <c r="C826" t="s">
        <v>106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160</v>
      </c>
      <c r="B827">
        <v>2008</v>
      </c>
      <c r="C827" t="s">
        <v>106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160</v>
      </c>
      <c r="B828">
        <v>2007</v>
      </c>
      <c r="C828" t="s">
        <v>106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160</v>
      </c>
      <c r="B829">
        <v>2006</v>
      </c>
      <c r="C829" t="s">
        <v>106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160</v>
      </c>
      <c r="B830">
        <v>2005</v>
      </c>
      <c r="C830" t="s">
        <v>106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160</v>
      </c>
      <c r="B831">
        <v>2004</v>
      </c>
      <c r="C831" t="s">
        <v>106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160</v>
      </c>
      <c r="B832">
        <v>2003</v>
      </c>
      <c r="C832" t="s">
        <v>106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160</v>
      </c>
      <c r="B833">
        <v>2002</v>
      </c>
      <c r="C833" t="s">
        <v>106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160</v>
      </c>
      <c r="B834">
        <v>2001</v>
      </c>
      <c r="C834" t="s">
        <v>106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160</v>
      </c>
      <c r="B835">
        <v>2000</v>
      </c>
      <c r="C835" t="s">
        <v>106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161</v>
      </c>
      <c r="B836">
        <v>2015</v>
      </c>
      <c r="C836" t="s">
        <v>106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161</v>
      </c>
      <c r="B837">
        <v>2014</v>
      </c>
      <c r="C837" t="s">
        <v>106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161</v>
      </c>
      <c r="B838">
        <v>2013</v>
      </c>
      <c r="C838" t="s">
        <v>106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161</v>
      </c>
      <c r="B839">
        <v>2012</v>
      </c>
      <c r="C839" t="s">
        <v>106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161</v>
      </c>
      <c r="B840">
        <v>2011</v>
      </c>
      <c r="C840" t="s">
        <v>106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161</v>
      </c>
      <c r="B841">
        <v>2010</v>
      </c>
      <c r="C841" t="s">
        <v>106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161</v>
      </c>
      <c r="B842">
        <v>2009</v>
      </c>
      <c r="C842" t="s">
        <v>106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161</v>
      </c>
      <c r="B843">
        <v>2008</v>
      </c>
      <c r="C843" t="s">
        <v>106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161</v>
      </c>
      <c r="B844">
        <v>2007</v>
      </c>
      <c r="C844" t="s">
        <v>106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161</v>
      </c>
      <c r="B845">
        <v>2006</v>
      </c>
      <c r="C845" t="s">
        <v>106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161</v>
      </c>
      <c r="B846">
        <v>2005</v>
      </c>
      <c r="C846" t="s">
        <v>106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161</v>
      </c>
      <c r="B847">
        <v>2004</v>
      </c>
      <c r="C847" t="s">
        <v>106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161</v>
      </c>
      <c r="B848">
        <v>2003</v>
      </c>
      <c r="C848" t="s">
        <v>106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161</v>
      </c>
      <c r="B849">
        <v>2002</v>
      </c>
      <c r="C849" t="s">
        <v>106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161</v>
      </c>
      <c r="B850">
        <v>2001</v>
      </c>
      <c r="C850" t="s">
        <v>106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161</v>
      </c>
      <c r="B851">
        <v>2000</v>
      </c>
      <c r="C851" t="s">
        <v>106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162</v>
      </c>
      <c r="B852">
        <v>2015</v>
      </c>
      <c r="C852" t="s">
        <v>106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162</v>
      </c>
      <c r="B853">
        <v>2014</v>
      </c>
      <c r="C853" t="s">
        <v>106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162</v>
      </c>
      <c r="B854">
        <v>2013</v>
      </c>
      <c r="C854" t="s">
        <v>106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162</v>
      </c>
      <c r="B855">
        <v>2012</v>
      </c>
      <c r="C855" t="s">
        <v>106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162</v>
      </c>
      <c r="B856">
        <v>2011</v>
      </c>
      <c r="C856" t="s">
        <v>106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162</v>
      </c>
      <c r="B857">
        <v>2010</v>
      </c>
      <c r="C857" t="s">
        <v>106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162</v>
      </c>
      <c r="B858">
        <v>2009</v>
      </c>
      <c r="C858" t="s">
        <v>106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162</v>
      </c>
      <c r="B859">
        <v>2008</v>
      </c>
      <c r="C859" t="s">
        <v>106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162</v>
      </c>
      <c r="B860">
        <v>2007</v>
      </c>
      <c r="C860" t="s">
        <v>106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162</v>
      </c>
      <c r="B861">
        <v>2006</v>
      </c>
      <c r="C861" t="s">
        <v>106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162</v>
      </c>
      <c r="B862">
        <v>2005</v>
      </c>
      <c r="C862" t="s">
        <v>106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162</v>
      </c>
      <c r="B863">
        <v>2004</v>
      </c>
      <c r="C863" t="s">
        <v>106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162</v>
      </c>
      <c r="B864">
        <v>2003</v>
      </c>
      <c r="C864" t="s">
        <v>106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162</v>
      </c>
      <c r="B865">
        <v>2002</v>
      </c>
      <c r="C865" t="s">
        <v>106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162</v>
      </c>
      <c r="B866">
        <v>2001</v>
      </c>
      <c r="C866" t="s">
        <v>106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162</v>
      </c>
      <c r="B867">
        <v>2000</v>
      </c>
      <c r="C867" t="s">
        <v>106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163</v>
      </c>
      <c r="B868">
        <v>2015</v>
      </c>
      <c r="C868" t="s">
        <v>106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163</v>
      </c>
      <c r="B869">
        <v>2014</v>
      </c>
      <c r="C869" t="s">
        <v>106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163</v>
      </c>
      <c r="B870">
        <v>2013</v>
      </c>
      <c r="C870" t="s">
        <v>106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163</v>
      </c>
      <c r="B871">
        <v>2012</v>
      </c>
      <c r="C871" t="s">
        <v>106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163</v>
      </c>
      <c r="B872">
        <v>2011</v>
      </c>
      <c r="C872" t="s">
        <v>106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163</v>
      </c>
      <c r="B873">
        <v>2010</v>
      </c>
      <c r="C873" t="s">
        <v>106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163</v>
      </c>
      <c r="B874">
        <v>2009</v>
      </c>
      <c r="C874" t="s">
        <v>106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163</v>
      </c>
      <c r="B875">
        <v>2008</v>
      </c>
      <c r="C875" t="s">
        <v>106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163</v>
      </c>
      <c r="B876">
        <v>2007</v>
      </c>
      <c r="C876" t="s">
        <v>106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163</v>
      </c>
      <c r="B877">
        <v>2006</v>
      </c>
      <c r="C877" t="s">
        <v>106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163</v>
      </c>
      <c r="B878">
        <v>2005</v>
      </c>
      <c r="C878" t="s">
        <v>106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163</v>
      </c>
      <c r="B879">
        <v>2004</v>
      </c>
      <c r="C879" t="s">
        <v>106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163</v>
      </c>
      <c r="B880">
        <v>2003</v>
      </c>
      <c r="C880" t="s">
        <v>106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163</v>
      </c>
      <c r="B881">
        <v>2002</v>
      </c>
      <c r="C881" t="s">
        <v>106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163</v>
      </c>
      <c r="B882">
        <v>2001</v>
      </c>
      <c r="C882" t="s">
        <v>106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163</v>
      </c>
      <c r="B883">
        <v>2000</v>
      </c>
      <c r="C883" t="s">
        <v>106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164</v>
      </c>
      <c r="B884">
        <v>2015</v>
      </c>
      <c r="C884" t="s">
        <v>106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164</v>
      </c>
      <c r="B885">
        <v>2014</v>
      </c>
      <c r="C885" t="s">
        <v>106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164</v>
      </c>
      <c r="B886">
        <v>2013</v>
      </c>
      <c r="C886" t="s">
        <v>106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164</v>
      </c>
      <c r="B887">
        <v>2012</v>
      </c>
      <c r="C887" t="s">
        <v>106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164</v>
      </c>
      <c r="B888">
        <v>2011</v>
      </c>
      <c r="C888" t="s">
        <v>106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164</v>
      </c>
      <c r="B889">
        <v>2010</v>
      </c>
      <c r="C889" t="s">
        <v>106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164</v>
      </c>
      <c r="B890">
        <v>2009</v>
      </c>
      <c r="C890" t="s">
        <v>106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164</v>
      </c>
      <c r="B891">
        <v>2008</v>
      </c>
      <c r="C891" t="s">
        <v>106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164</v>
      </c>
      <c r="B892">
        <v>2007</v>
      </c>
      <c r="C892" t="s">
        <v>106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164</v>
      </c>
      <c r="B893">
        <v>2006</v>
      </c>
      <c r="C893" t="s">
        <v>106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164</v>
      </c>
      <c r="B894">
        <v>2005</v>
      </c>
      <c r="C894" t="s">
        <v>106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164</v>
      </c>
      <c r="B895">
        <v>2004</v>
      </c>
      <c r="C895" t="s">
        <v>106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164</v>
      </c>
      <c r="B896">
        <v>2003</v>
      </c>
      <c r="C896" t="s">
        <v>106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164</v>
      </c>
      <c r="B897">
        <v>2002</v>
      </c>
      <c r="C897" t="s">
        <v>106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164</v>
      </c>
      <c r="B898">
        <v>2001</v>
      </c>
      <c r="C898" t="s">
        <v>106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164</v>
      </c>
      <c r="B899">
        <v>2000</v>
      </c>
      <c r="C899" t="s">
        <v>106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165</v>
      </c>
      <c r="B900">
        <v>2015</v>
      </c>
      <c r="C900" t="s">
        <v>106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165</v>
      </c>
      <c r="B901">
        <v>2014</v>
      </c>
      <c r="C901" t="s">
        <v>106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165</v>
      </c>
      <c r="B902">
        <v>2013</v>
      </c>
      <c r="C902" t="s">
        <v>106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165</v>
      </c>
      <c r="B903">
        <v>2012</v>
      </c>
      <c r="C903" t="s">
        <v>106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165</v>
      </c>
      <c r="B904">
        <v>2011</v>
      </c>
      <c r="C904" t="s">
        <v>106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165</v>
      </c>
      <c r="B905">
        <v>2010</v>
      </c>
      <c r="C905" t="s">
        <v>106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165</v>
      </c>
      <c r="B906">
        <v>2009</v>
      </c>
      <c r="C906" t="s">
        <v>106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165</v>
      </c>
      <c r="B907">
        <v>2008</v>
      </c>
      <c r="C907" t="s">
        <v>106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165</v>
      </c>
      <c r="B908">
        <v>2007</v>
      </c>
      <c r="C908" t="s">
        <v>106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165</v>
      </c>
      <c r="B909">
        <v>2006</v>
      </c>
      <c r="C909" t="s">
        <v>106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165</v>
      </c>
      <c r="B910">
        <v>2005</v>
      </c>
      <c r="C910" t="s">
        <v>106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165</v>
      </c>
      <c r="B911">
        <v>2004</v>
      </c>
      <c r="C911" t="s">
        <v>106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165</v>
      </c>
      <c r="B912">
        <v>2003</v>
      </c>
      <c r="C912" t="s">
        <v>106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165</v>
      </c>
      <c r="B913">
        <v>2002</v>
      </c>
      <c r="C913" t="s">
        <v>106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165</v>
      </c>
      <c r="B914">
        <v>2001</v>
      </c>
      <c r="C914" t="s">
        <v>106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165</v>
      </c>
      <c r="B915">
        <v>2000</v>
      </c>
      <c r="C915" t="s">
        <v>106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166</v>
      </c>
      <c r="B916">
        <v>2015</v>
      </c>
      <c r="C916" t="s">
        <v>106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166</v>
      </c>
      <c r="B917">
        <v>2014</v>
      </c>
      <c r="C917" t="s">
        <v>106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166</v>
      </c>
      <c r="B918">
        <v>2013</v>
      </c>
      <c r="C918" t="s">
        <v>106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166</v>
      </c>
      <c r="B919">
        <v>2012</v>
      </c>
      <c r="C919" t="s">
        <v>106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166</v>
      </c>
      <c r="B920">
        <v>2011</v>
      </c>
      <c r="C920" t="s">
        <v>106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166</v>
      </c>
      <c r="B921">
        <v>2010</v>
      </c>
      <c r="C921" t="s">
        <v>106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166</v>
      </c>
      <c r="B922">
        <v>2009</v>
      </c>
      <c r="C922" t="s">
        <v>106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166</v>
      </c>
      <c r="B923">
        <v>2008</v>
      </c>
      <c r="C923" t="s">
        <v>106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166</v>
      </c>
      <c r="B924">
        <v>2007</v>
      </c>
      <c r="C924" t="s">
        <v>106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166</v>
      </c>
      <c r="B925">
        <v>2006</v>
      </c>
      <c r="C925" t="s">
        <v>106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166</v>
      </c>
      <c r="B926">
        <v>2005</v>
      </c>
      <c r="C926" t="s">
        <v>106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166</v>
      </c>
      <c r="B927">
        <v>2004</v>
      </c>
      <c r="C927" t="s">
        <v>106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166</v>
      </c>
      <c r="B928">
        <v>2003</v>
      </c>
      <c r="C928" t="s">
        <v>106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166</v>
      </c>
      <c r="B929">
        <v>2002</v>
      </c>
      <c r="C929" t="s">
        <v>106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166</v>
      </c>
      <c r="B930">
        <v>2001</v>
      </c>
      <c r="C930" t="s">
        <v>106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166</v>
      </c>
      <c r="B931">
        <v>2000</v>
      </c>
      <c r="C931" t="s">
        <v>106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167</v>
      </c>
      <c r="B932">
        <v>2015</v>
      </c>
      <c r="C932" t="s">
        <v>106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167</v>
      </c>
      <c r="B933">
        <v>2014</v>
      </c>
      <c r="C933" t="s">
        <v>106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167</v>
      </c>
      <c r="B934">
        <v>2013</v>
      </c>
      <c r="C934" t="s">
        <v>106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167</v>
      </c>
      <c r="B935">
        <v>2012</v>
      </c>
      <c r="C935" t="s">
        <v>106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167</v>
      </c>
      <c r="B936">
        <v>2011</v>
      </c>
      <c r="C936" t="s">
        <v>106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167</v>
      </c>
      <c r="B937">
        <v>2010</v>
      </c>
      <c r="C937" t="s">
        <v>106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167</v>
      </c>
      <c r="B938">
        <v>2009</v>
      </c>
      <c r="C938" t="s">
        <v>106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167</v>
      </c>
      <c r="B939">
        <v>2008</v>
      </c>
      <c r="C939" t="s">
        <v>106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167</v>
      </c>
      <c r="B940">
        <v>2007</v>
      </c>
      <c r="C940" t="s">
        <v>106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167</v>
      </c>
      <c r="B941">
        <v>2006</v>
      </c>
      <c r="C941" t="s">
        <v>106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167</v>
      </c>
      <c r="B942">
        <v>2005</v>
      </c>
      <c r="C942" t="s">
        <v>106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167</v>
      </c>
      <c r="B943">
        <v>2004</v>
      </c>
      <c r="C943" t="s">
        <v>106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167</v>
      </c>
      <c r="B944">
        <v>2003</v>
      </c>
      <c r="C944" t="s">
        <v>106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167</v>
      </c>
      <c r="B945">
        <v>2002</v>
      </c>
      <c r="C945" t="s">
        <v>106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167</v>
      </c>
      <c r="B946">
        <v>2001</v>
      </c>
      <c r="C946" t="s">
        <v>106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167</v>
      </c>
      <c r="B947">
        <v>2000</v>
      </c>
      <c r="C947" t="s">
        <v>106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168</v>
      </c>
      <c r="B948">
        <v>2015</v>
      </c>
      <c r="C948" t="s">
        <v>106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168</v>
      </c>
      <c r="B949">
        <v>2014</v>
      </c>
      <c r="C949" t="s">
        <v>106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168</v>
      </c>
      <c r="B950">
        <v>2013</v>
      </c>
      <c r="C950" t="s">
        <v>106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168</v>
      </c>
      <c r="B951">
        <v>2012</v>
      </c>
      <c r="C951" t="s">
        <v>106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168</v>
      </c>
      <c r="B952">
        <v>2011</v>
      </c>
      <c r="C952" t="s">
        <v>106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168</v>
      </c>
      <c r="B953">
        <v>2010</v>
      </c>
      <c r="C953" t="s">
        <v>106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168</v>
      </c>
      <c r="B954">
        <v>2009</v>
      </c>
      <c r="C954" t="s">
        <v>106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168</v>
      </c>
      <c r="B955">
        <v>2008</v>
      </c>
      <c r="C955" t="s">
        <v>106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168</v>
      </c>
      <c r="B956">
        <v>2007</v>
      </c>
      <c r="C956" t="s">
        <v>106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168</v>
      </c>
      <c r="B957">
        <v>2006</v>
      </c>
      <c r="C957" t="s">
        <v>106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168</v>
      </c>
      <c r="B958">
        <v>2005</v>
      </c>
      <c r="C958" t="s">
        <v>106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168</v>
      </c>
      <c r="B959">
        <v>2004</v>
      </c>
      <c r="C959" t="s">
        <v>106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168</v>
      </c>
      <c r="B960">
        <v>2003</v>
      </c>
      <c r="C960" t="s">
        <v>106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168</v>
      </c>
      <c r="B961">
        <v>2002</v>
      </c>
      <c r="C961" t="s">
        <v>106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168</v>
      </c>
      <c r="B962">
        <v>2001</v>
      </c>
      <c r="C962" t="s">
        <v>106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168</v>
      </c>
      <c r="B963">
        <v>2000</v>
      </c>
      <c r="C963" t="s">
        <v>106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169</v>
      </c>
      <c r="B964">
        <v>2015</v>
      </c>
      <c r="C964" t="s">
        <v>106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169</v>
      </c>
      <c r="B965">
        <v>2014</v>
      </c>
      <c r="C965" t="s">
        <v>106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169</v>
      </c>
      <c r="B966">
        <v>2013</v>
      </c>
      <c r="C966" t="s">
        <v>106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169</v>
      </c>
      <c r="B967">
        <v>2012</v>
      </c>
      <c r="C967" t="s">
        <v>106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169</v>
      </c>
      <c r="B968">
        <v>2011</v>
      </c>
      <c r="C968" t="s">
        <v>106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169</v>
      </c>
      <c r="B969">
        <v>2010</v>
      </c>
      <c r="C969" t="s">
        <v>106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169</v>
      </c>
      <c r="B970">
        <v>2009</v>
      </c>
      <c r="C970" t="s">
        <v>106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169</v>
      </c>
      <c r="B971">
        <v>2008</v>
      </c>
      <c r="C971" t="s">
        <v>106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169</v>
      </c>
      <c r="B972">
        <v>2007</v>
      </c>
      <c r="C972" t="s">
        <v>106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169</v>
      </c>
      <c r="B973">
        <v>2006</v>
      </c>
      <c r="C973" t="s">
        <v>106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169</v>
      </c>
      <c r="B974">
        <v>2005</v>
      </c>
      <c r="C974" t="s">
        <v>106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169</v>
      </c>
      <c r="B975">
        <v>2004</v>
      </c>
      <c r="C975" t="s">
        <v>106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169</v>
      </c>
      <c r="B976">
        <v>2003</v>
      </c>
      <c r="C976" t="s">
        <v>106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169</v>
      </c>
      <c r="B977">
        <v>2002</v>
      </c>
      <c r="C977" t="s">
        <v>106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169</v>
      </c>
      <c r="B978">
        <v>2001</v>
      </c>
      <c r="C978" t="s">
        <v>106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169</v>
      </c>
      <c r="B979">
        <v>2000</v>
      </c>
      <c r="C979" t="s">
        <v>106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170</v>
      </c>
      <c r="B980">
        <v>2015</v>
      </c>
      <c r="C980" t="s">
        <v>106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170</v>
      </c>
      <c r="B981">
        <v>2014</v>
      </c>
      <c r="C981" t="s">
        <v>106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170</v>
      </c>
      <c r="B982">
        <v>2013</v>
      </c>
      <c r="C982" t="s">
        <v>106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170</v>
      </c>
      <c r="B983">
        <v>2012</v>
      </c>
      <c r="C983" t="s">
        <v>106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170</v>
      </c>
      <c r="B984">
        <v>2011</v>
      </c>
      <c r="C984" t="s">
        <v>106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170</v>
      </c>
      <c r="B985">
        <v>2010</v>
      </c>
      <c r="C985" t="s">
        <v>106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170</v>
      </c>
      <c r="B986">
        <v>2009</v>
      </c>
      <c r="C986" t="s">
        <v>106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170</v>
      </c>
      <c r="B987">
        <v>2008</v>
      </c>
      <c r="C987" t="s">
        <v>106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170</v>
      </c>
      <c r="B988">
        <v>2007</v>
      </c>
      <c r="C988" t="s">
        <v>106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170</v>
      </c>
      <c r="B989">
        <v>2006</v>
      </c>
      <c r="C989" t="s">
        <v>106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170</v>
      </c>
      <c r="B990">
        <v>2005</v>
      </c>
      <c r="C990" t="s">
        <v>106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170</v>
      </c>
      <c r="B991">
        <v>2004</v>
      </c>
      <c r="C991" t="s">
        <v>106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170</v>
      </c>
      <c r="B992">
        <v>2003</v>
      </c>
      <c r="C992" t="s">
        <v>106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170</v>
      </c>
      <c r="B993">
        <v>2002</v>
      </c>
      <c r="C993" t="s">
        <v>106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170</v>
      </c>
      <c r="B994">
        <v>2001</v>
      </c>
      <c r="C994" t="s">
        <v>106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170</v>
      </c>
      <c r="B995">
        <v>2000</v>
      </c>
      <c r="C995" t="s">
        <v>106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171</v>
      </c>
      <c r="B996">
        <v>2015</v>
      </c>
      <c r="C996" t="s">
        <v>114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171</v>
      </c>
      <c r="B997">
        <v>2014</v>
      </c>
      <c r="C997" t="s">
        <v>114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171</v>
      </c>
      <c r="B998">
        <v>2013</v>
      </c>
      <c r="C998" t="s">
        <v>114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171</v>
      </c>
      <c r="B999">
        <v>2012</v>
      </c>
      <c r="C999" t="s">
        <v>114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171</v>
      </c>
      <c r="B1000">
        <v>2011</v>
      </c>
      <c r="C1000" t="s">
        <v>114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171</v>
      </c>
      <c r="B1001">
        <v>2010</v>
      </c>
      <c r="C1001" t="s">
        <v>114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171</v>
      </c>
      <c r="B1002">
        <v>2009</v>
      </c>
      <c r="C1002" t="s">
        <v>114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171</v>
      </c>
      <c r="B1003">
        <v>2008</v>
      </c>
      <c r="C1003" t="s">
        <v>114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171</v>
      </c>
      <c r="B1004">
        <v>2007</v>
      </c>
      <c r="C1004" t="s">
        <v>114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171</v>
      </c>
      <c r="B1005">
        <v>2006</v>
      </c>
      <c r="C1005" t="s">
        <v>114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171</v>
      </c>
      <c r="B1006">
        <v>2005</v>
      </c>
      <c r="C1006" t="s">
        <v>114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171</v>
      </c>
      <c r="B1007">
        <v>2004</v>
      </c>
      <c r="C1007" t="s">
        <v>114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171</v>
      </c>
      <c r="B1008">
        <v>2003</v>
      </c>
      <c r="C1008" t="s">
        <v>114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171</v>
      </c>
      <c r="B1009">
        <v>2002</v>
      </c>
      <c r="C1009" t="s">
        <v>114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171</v>
      </c>
      <c r="B1010">
        <v>2001</v>
      </c>
      <c r="C1010" t="s">
        <v>114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171</v>
      </c>
      <c r="B1011">
        <v>2000</v>
      </c>
      <c r="C1011" t="s">
        <v>114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172</v>
      </c>
      <c r="B1012">
        <v>2015</v>
      </c>
      <c r="C1012" t="s">
        <v>106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172</v>
      </c>
      <c r="B1013">
        <v>2014</v>
      </c>
      <c r="C1013" t="s">
        <v>106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172</v>
      </c>
      <c r="B1014">
        <v>2013</v>
      </c>
      <c r="C1014" t="s">
        <v>106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172</v>
      </c>
      <c r="B1015">
        <v>2012</v>
      </c>
      <c r="C1015" t="s">
        <v>106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172</v>
      </c>
      <c r="B1016">
        <v>2011</v>
      </c>
      <c r="C1016" t="s">
        <v>106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172</v>
      </c>
      <c r="B1017">
        <v>2010</v>
      </c>
      <c r="C1017" t="s">
        <v>106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172</v>
      </c>
      <c r="B1018">
        <v>2009</v>
      </c>
      <c r="C1018" t="s">
        <v>106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172</v>
      </c>
      <c r="B1019">
        <v>2008</v>
      </c>
      <c r="C1019" t="s">
        <v>106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172</v>
      </c>
      <c r="B1020">
        <v>2007</v>
      </c>
      <c r="C1020" t="s">
        <v>106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172</v>
      </c>
      <c r="B1021">
        <v>2006</v>
      </c>
      <c r="C1021" t="s">
        <v>106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172</v>
      </c>
      <c r="B1022">
        <v>2005</v>
      </c>
      <c r="C1022" t="s">
        <v>106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172</v>
      </c>
      <c r="B1023">
        <v>2004</v>
      </c>
      <c r="C1023" t="s">
        <v>106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172</v>
      </c>
      <c r="B1024">
        <v>2003</v>
      </c>
      <c r="C1024" t="s">
        <v>106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172</v>
      </c>
      <c r="B1025">
        <v>2002</v>
      </c>
      <c r="C1025" t="s">
        <v>106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172</v>
      </c>
      <c r="B1026">
        <v>2001</v>
      </c>
      <c r="C1026" t="s">
        <v>106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172</v>
      </c>
      <c r="B1027">
        <v>2000</v>
      </c>
      <c r="C1027" t="s">
        <v>106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173</v>
      </c>
      <c r="B1028">
        <v>2015</v>
      </c>
      <c r="C1028" t="s">
        <v>106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173</v>
      </c>
      <c r="B1029">
        <v>2014</v>
      </c>
      <c r="C1029" t="s">
        <v>106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173</v>
      </c>
      <c r="B1030">
        <v>2013</v>
      </c>
      <c r="C1030" t="s">
        <v>106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173</v>
      </c>
      <c r="B1031">
        <v>2012</v>
      </c>
      <c r="C1031" t="s">
        <v>106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173</v>
      </c>
      <c r="B1032">
        <v>2011</v>
      </c>
      <c r="C1032" t="s">
        <v>106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173</v>
      </c>
      <c r="B1033">
        <v>2010</v>
      </c>
      <c r="C1033" t="s">
        <v>106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173</v>
      </c>
      <c r="B1034">
        <v>2009</v>
      </c>
      <c r="C1034" t="s">
        <v>106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173</v>
      </c>
      <c r="B1035">
        <v>2008</v>
      </c>
      <c r="C1035" t="s">
        <v>106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173</v>
      </c>
      <c r="B1036">
        <v>2007</v>
      </c>
      <c r="C1036" t="s">
        <v>106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173</v>
      </c>
      <c r="B1037">
        <v>2006</v>
      </c>
      <c r="C1037" t="s">
        <v>106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173</v>
      </c>
      <c r="B1038">
        <v>2005</v>
      </c>
      <c r="C1038" t="s">
        <v>106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173</v>
      </c>
      <c r="B1039">
        <v>2004</v>
      </c>
      <c r="C1039" t="s">
        <v>106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173</v>
      </c>
      <c r="B1040">
        <v>2003</v>
      </c>
      <c r="C1040" t="s">
        <v>106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173</v>
      </c>
      <c r="B1041">
        <v>2002</v>
      </c>
      <c r="C1041" t="s">
        <v>106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173</v>
      </c>
      <c r="B1042">
        <v>2001</v>
      </c>
      <c r="C1042" t="s">
        <v>106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173</v>
      </c>
      <c r="B1043">
        <v>2000</v>
      </c>
      <c r="C1043" t="s">
        <v>106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174</v>
      </c>
      <c r="B1044">
        <v>2015</v>
      </c>
      <c r="C1044" t="s">
        <v>106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174</v>
      </c>
      <c r="B1045">
        <v>2014</v>
      </c>
      <c r="C1045" t="s">
        <v>106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174</v>
      </c>
      <c r="B1046">
        <v>2013</v>
      </c>
      <c r="C1046" t="s">
        <v>106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174</v>
      </c>
      <c r="B1047">
        <v>2012</v>
      </c>
      <c r="C1047" t="s">
        <v>106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174</v>
      </c>
      <c r="B1048">
        <v>2011</v>
      </c>
      <c r="C1048" t="s">
        <v>106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174</v>
      </c>
      <c r="B1049">
        <v>2010</v>
      </c>
      <c r="C1049" t="s">
        <v>106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174</v>
      </c>
      <c r="B1050">
        <v>2009</v>
      </c>
      <c r="C1050" t="s">
        <v>106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174</v>
      </c>
      <c r="B1051">
        <v>2008</v>
      </c>
      <c r="C1051" t="s">
        <v>106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174</v>
      </c>
      <c r="B1052">
        <v>2007</v>
      </c>
      <c r="C1052" t="s">
        <v>106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174</v>
      </c>
      <c r="B1053">
        <v>2006</v>
      </c>
      <c r="C1053" t="s">
        <v>106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174</v>
      </c>
      <c r="B1054">
        <v>2005</v>
      </c>
      <c r="C1054" t="s">
        <v>106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174</v>
      </c>
      <c r="B1055">
        <v>2004</v>
      </c>
      <c r="C1055" t="s">
        <v>106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174</v>
      </c>
      <c r="B1056">
        <v>2003</v>
      </c>
      <c r="C1056" t="s">
        <v>106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174</v>
      </c>
      <c r="B1057">
        <v>2002</v>
      </c>
      <c r="C1057" t="s">
        <v>106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174</v>
      </c>
      <c r="B1058">
        <v>2001</v>
      </c>
      <c r="C1058" t="s">
        <v>106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174</v>
      </c>
      <c r="B1059">
        <v>2000</v>
      </c>
      <c r="C1059" t="s">
        <v>106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175</v>
      </c>
      <c r="B1060">
        <v>2015</v>
      </c>
      <c r="C1060" t="s">
        <v>106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175</v>
      </c>
      <c r="B1061">
        <v>2014</v>
      </c>
      <c r="C1061" t="s">
        <v>106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175</v>
      </c>
      <c r="B1062">
        <v>2013</v>
      </c>
      <c r="C1062" t="s">
        <v>106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175</v>
      </c>
      <c r="B1063">
        <v>2012</v>
      </c>
      <c r="C1063" t="s">
        <v>106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175</v>
      </c>
      <c r="B1064">
        <v>2011</v>
      </c>
      <c r="C1064" t="s">
        <v>106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175</v>
      </c>
      <c r="B1065">
        <v>2010</v>
      </c>
      <c r="C1065" t="s">
        <v>106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175</v>
      </c>
      <c r="B1066">
        <v>2009</v>
      </c>
      <c r="C1066" t="s">
        <v>106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175</v>
      </c>
      <c r="B1067">
        <v>2008</v>
      </c>
      <c r="C1067" t="s">
        <v>106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175</v>
      </c>
      <c r="B1068">
        <v>2007</v>
      </c>
      <c r="C1068" t="s">
        <v>106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175</v>
      </c>
      <c r="B1069">
        <v>2006</v>
      </c>
      <c r="C1069" t="s">
        <v>106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175</v>
      </c>
      <c r="B1070">
        <v>2005</v>
      </c>
      <c r="C1070" t="s">
        <v>106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175</v>
      </c>
      <c r="B1071">
        <v>2004</v>
      </c>
      <c r="C1071" t="s">
        <v>106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175</v>
      </c>
      <c r="B1072">
        <v>2003</v>
      </c>
      <c r="C1072" t="s">
        <v>106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175</v>
      </c>
      <c r="B1073">
        <v>2002</v>
      </c>
      <c r="C1073" t="s">
        <v>106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175</v>
      </c>
      <c r="B1074">
        <v>2001</v>
      </c>
      <c r="C1074" t="s">
        <v>106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175</v>
      </c>
      <c r="B1075">
        <v>2000</v>
      </c>
      <c r="C1075" t="s">
        <v>106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176</v>
      </c>
      <c r="B1076">
        <v>2015</v>
      </c>
      <c r="C1076" t="s">
        <v>106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176</v>
      </c>
      <c r="B1077">
        <v>2014</v>
      </c>
      <c r="C1077" t="s">
        <v>106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176</v>
      </c>
      <c r="B1078">
        <v>2013</v>
      </c>
      <c r="C1078" t="s">
        <v>106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176</v>
      </c>
      <c r="B1079">
        <v>2012</v>
      </c>
      <c r="C1079" t="s">
        <v>106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176</v>
      </c>
      <c r="B1080">
        <v>2011</v>
      </c>
      <c r="C1080" t="s">
        <v>106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176</v>
      </c>
      <c r="B1081">
        <v>2010</v>
      </c>
      <c r="C1081" t="s">
        <v>106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176</v>
      </c>
      <c r="B1082">
        <v>2009</v>
      </c>
      <c r="C1082" t="s">
        <v>106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176</v>
      </c>
      <c r="B1083">
        <v>2008</v>
      </c>
      <c r="C1083" t="s">
        <v>106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176</v>
      </c>
      <c r="B1084">
        <v>2007</v>
      </c>
      <c r="C1084" t="s">
        <v>106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176</v>
      </c>
      <c r="B1085">
        <v>2006</v>
      </c>
      <c r="C1085" t="s">
        <v>106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176</v>
      </c>
      <c r="B1086">
        <v>2005</v>
      </c>
      <c r="C1086" t="s">
        <v>106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176</v>
      </c>
      <c r="B1087">
        <v>2004</v>
      </c>
      <c r="C1087" t="s">
        <v>106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176</v>
      </c>
      <c r="B1088">
        <v>2003</v>
      </c>
      <c r="C1088" t="s">
        <v>106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176</v>
      </c>
      <c r="B1089">
        <v>2002</v>
      </c>
      <c r="C1089" t="s">
        <v>106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176</v>
      </c>
      <c r="B1090">
        <v>2001</v>
      </c>
      <c r="C1090" t="s">
        <v>106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176</v>
      </c>
      <c r="B1091">
        <v>2000</v>
      </c>
      <c r="C1091" t="s">
        <v>106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177</v>
      </c>
      <c r="B1092">
        <v>2015</v>
      </c>
      <c r="C1092" t="s">
        <v>106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177</v>
      </c>
      <c r="B1093">
        <v>2014</v>
      </c>
      <c r="C1093" t="s">
        <v>106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177</v>
      </c>
      <c r="B1094">
        <v>2013</v>
      </c>
      <c r="C1094" t="s">
        <v>106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177</v>
      </c>
      <c r="B1095">
        <v>2012</v>
      </c>
      <c r="C1095" t="s">
        <v>106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177</v>
      </c>
      <c r="B1096">
        <v>2011</v>
      </c>
      <c r="C1096" t="s">
        <v>106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177</v>
      </c>
      <c r="B1097">
        <v>2010</v>
      </c>
      <c r="C1097" t="s">
        <v>106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177</v>
      </c>
      <c r="B1098">
        <v>2009</v>
      </c>
      <c r="C1098" t="s">
        <v>106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177</v>
      </c>
      <c r="B1099">
        <v>2008</v>
      </c>
      <c r="C1099" t="s">
        <v>106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177</v>
      </c>
      <c r="B1100">
        <v>2007</v>
      </c>
      <c r="C1100" t="s">
        <v>106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177</v>
      </c>
      <c r="B1101">
        <v>2006</v>
      </c>
      <c r="C1101" t="s">
        <v>106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177</v>
      </c>
      <c r="B1102">
        <v>2005</v>
      </c>
      <c r="C1102" t="s">
        <v>106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177</v>
      </c>
      <c r="B1103">
        <v>2004</v>
      </c>
      <c r="C1103" t="s">
        <v>106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177</v>
      </c>
      <c r="B1104">
        <v>2003</v>
      </c>
      <c r="C1104" t="s">
        <v>106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177</v>
      </c>
      <c r="B1105">
        <v>2002</v>
      </c>
      <c r="C1105" t="s">
        <v>106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177</v>
      </c>
      <c r="B1106">
        <v>2001</v>
      </c>
      <c r="C1106" t="s">
        <v>106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177</v>
      </c>
      <c r="B1107">
        <v>2000</v>
      </c>
      <c r="C1107" t="s">
        <v>106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178</v>
      </c>
      <c r="B1108">
        <v>2015</v>
      </c>
      <c r="C1108" t="s">
        <v>106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178</v>
      </c>
      <c r="B1109">
        <v>2014</v>
      </c>
      <c r="C1109" t="s">
        <v>106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178</v>
      </c>
      <c r="B1110">
        <v>2013</v>
      </c>
      <c r="C1110" t="s">
        <v>106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178</v>
      </c>
      <c r="B1111">
        <v>2012</v>
      </c>
      <c r="C1111" t="s">
        <v>106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178</v>
      </c>
      <c r="B1112">
        <v>2011</v>
      </c>
      <c r="C1112" t="s">
        <v>106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178</v>
      </c>
      <c r="B1113">
        <v>2010</v>
      </c>
      <c r="C1113" t="s">
        <v>106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178</v>
      </c>
      <c r="B1114">
        <v>2009</v>
      </c>
      <c r="C1114" t="s">
        <v>106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178</v>
      </c>
      <c r="B1115">
        <v>2008</v>
      </c>
      <c r="C1115" t="s">
        <v>106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178</v>
      </c>
      <c r="B1116">
        <v>2007</v>
      </c>
      <c r="C1116" t="s">
        <v>106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178</v>
      </c>
      <c r="B1117">
        <v>2006</v>
      </c>
      <c r="C1117" t="s">
        <v>106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178</v>
      </c>
      <c r="B1118">
        <v>2005</v>
      </c>
      <c r="C1118" t="s">
        <v>106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178</v>
      </c>
      <c r="B1119">
        <v>2004</v>
      </c>
      <c r="C1119" t="s">
        <v>106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178</v>
      </c>
      <c r="B1120">
        <v>2003</v>
      </c>
      <c r="C1120" t="s">
        <v>106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178</v>
      </c>
      <c r="B1121">
        <v>2002</v>
      </c>
      <c r="C1121" t="s">
        <v>106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178</v>
      </c>
      <c r="B1122">
        <v>2001</v>
      </c>
      <c r="C1122" t="s">
        <v>106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178</v>
      </c>
      <c r="B1123">
        <v>2000</v>
      </c>
      <c r="C1123" t="s">
        <v>106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179</v>
      </c>
      <c r="B1124">
        <v>2015</v>
      </c>
      <c r="C1124" t="s">
        <v>106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179</v>
      </c>
      <c r="B1125">
        <v>2014</v>
      </c>
      <c r="C1125" t="s">
        <v>106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179</v>
      </c>
      <c r="B1126">
        <v>2013</v>
      </c>
      <c r="C1126" t="s">
        <v>106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179</v>
      </c>
      <c r="B1127">
        <v>2012</v>
      </c>
      <c r="C1127" t="s">
        <v>106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179</v>
      </c>
      <c r="B1128">
        <v>2011</v>
      </c>
      <c r="C1128" t="s">
        <v>106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179</v>
      </c>
      <c r="B1129">
        <v>2010</v>
      </c>
      <c r="C1129" t="s">
        <v>106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179</v>
      </c>
      <c r="B1130">
        <v>2009</v>
      </c>
      <c r="C1130" t="s">
        <v>106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179</v>
      </c>
      <c r="B1131">
        <v>2008</v>
      </c>
      <c r="C1131" t="s">
        <v>106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179</v>
      </c>
      <c r="B1132">
        <v>2007</v>
      </c>
      <c r="C1132" t="s">
        <v>106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179</v>
      </c>
      <c r="B1133">
        <v>2006</v>
      </c>
      <c r="C1133" t="s">
        <v>106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179</v>
      </c>
      <c r="B1134">
        <v>2005</v>
      </c>
      <c r="C1134" t="s">
        <v>106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179</v>
      </c>
      <c r="B1135">
        <v>2004</v>
      </c>
      <c r="C1135" t="s">
        <v>106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179</v>
      </c>
      <c r="B1136">
        <v>2003</v>
      </c>
      <c r="C1136" t="s">
        <v>106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179</v>
      </c>
      <c r="B1137">
        <v>2002</v>
      </c>
      <c r="C1137" t="s">
        <v>106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179</v>
      </c>
      <c r="B1138">
        <v>2001</v>
      </c>
      <c r="C1138" t="s">
        <v>106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179</v>
      </c>
      <c r="B1139">
        <v>2000</v>
      </c>
      <c r="C1139" t="s">
        <v>106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180</v>
      </c>
      <c r="B1140">
        <v>2015</v>
      </c>
      <c r="C1140" t="s">
        <v>106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180</v>
      </c>
      <c r="B1141">
        <v>2014</v>
      </c>
      <c r="C1141" t="s">
        <v>106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180</v>
      </c>
      <c r="B1142">
        <v>2013</v>
      </c>
      <c r="C1142" t="s">
        <v>106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180</v>
      </c>
      <c r="B1143">
        <v>2012</v>
      </c>
      <c r="C1143" t="s">
        <v>106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180</v>
      </c>
      <c r="B1144">
        <v>2011</v>
      </c>
      <c r="C1144" t="s">
        <v>106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180</v>
      </c>
      <c r="B1145">
        <v>2010</v>
      </c>
      <c r="C1145" t="s">
        <v>106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180</v>
      </c>
      <c r="B1146">
        <v>2009</v>
      </c>
      <c r="C1146" t="s">
        <v>106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180</v>
      </c>
      <c r="B1147">
        <v>2008</v>
      </c>
      <c r="C1147" t="s">
        <v>106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180</v>
      </c>
      <c r="B1148">
        <v>2007</v>
      </c>
      <c r="C1148" t="s">
        <v>106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180</v>
      </c>
      <c r="B1149">
        <v>2006</v>
      </c>
      <c r="C1149" t="s">
        <v>106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180</v>
      </c>
      <c r="B1150">
        <v>2005</v>
      </c>
      <c r="C1150" t="s">
        <v>106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180</v>
      </c>
      <c r="B1151">
        <v>2004</v>
      </c>
      <c r="C1151" t="s">
        <v>106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180</v>
      </c>
      <c r="B1152">
        <v>2003</v>
      </c>
      <c r="C1152" t="s">
        <v>106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180</v>
      </c>
      <c r="B1153">
        <v>2002</v>
      </c>
      <c r="C1153" t="s">
        <v>106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180</v>
      </c>
      <c r="B1154">
        <v>2001</v>
      </c>
      <c r="C1154" t="s">
        <v>106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180</v>
      </c>
      <c r="B1155">
        <v>2000</v>
      </c>
      <c r="C1155" t="s">
        <v>106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181</v>
      </c>
      <c r="B1156">
        <v>2015</v>
      </c>
      <c r="C1156" t="s">
        <v>114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181</v>
      </c>
      <c r="B1157">
        <v>2014</v>
      </c>
      <c r="C1157" t="s">
        <v>114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181</v>
      </c>
      <c r="B1158">
        <v>2013</v>
      </c>
      <c r="C1158" t="s">
        <v>114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181</v>
      </c>
      <c r="B1159">
        <v>2012</v>
      </c>
      <c r="C1159" t="s">
        <v>114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181</v>
      </c>
      <c r="B1160">
        <v>2011</v>
      </c>
      <c r="C1160" t="s">
        <v>114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181</v>
      </c>
      <c r="B1161">
        <v>2010</v>
      </c>
      <c r="C1161" t="s">
        <v>114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181</v>
      </c>
      <c r="B1162">
        <v>2009</v>
      </c>
      <c r="C1162" t="s">
        <v>114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181</v>
      </c>
      <c r="B1163">
        <v>2008</v>
      </c>
      <c r="C1163" t="s">
        <v>114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181</v>
      </c>
      <c r="B1164">
        <v>2007</v>
      </c>
      <c r="C1164" t="s">
        <v>114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181</v>
      </c>
      <c r="B1165">
        <v>2006</v>
      </c>
      <c r="C1165" t="s">
        <v>114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181</v>
      </c>
      <c r="B1166">
        <v>2005</v>
      </c>
      <c r="C1166" t="s">
        <v>114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181</v>
      </c>
      <c r="B1167">
        <v>2004</v>
      </c>
      <c r="C1167" t="s">
        <v>114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181</v>
      </c>
      <c r="B1168">
        <v>2003</v>
      </c>
      <c r="C1168" t="s">
        <v>114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181</v>
      </c>
      <c r="B1169">
        <v>2002</v>
      </c>
      <c r="C1169" t="s">
        <v>114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181</v>
      </c>
      <c r="B1170">
        <v>2001</v>
      </c>
      <c r="C1170" t="s">
        <v>114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181</v>
      </c>
      <c r="B1171">
        <v>2000</v>
      </c>
      <c r="C1171" t="s">
        <v>114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182</v>
      </c>
      <c r="B1172">
        <v>2015</v>
      </c>
      <c r="C1172" t="s">
        <v>114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182</v>
      </c>
      <c r="B1173">
        <v>2014</v>
      </c>
      <c r="C1173" t="s">
        <v>114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182</v>
      </c>
      <c r="B1174">
        <v>2013</v>
      </c>
      <c r="C1174" t="s">
        <v>114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182</v>
      </c>
      <c r="B1175">
        <v>2012</v>
      </c>
      <c r="C1175" t="s">
        <v>114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182</v>
      </c>
      <c r="B1176">
        <v>2011</v>
      </c>
      <c r="C1176" t="s">
        <v>114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182</v>
      </c>
      <c r="B1177">
        <v>2010</v>
      </c>
      <c r="C1177" t="s">
        <v>114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182</v>
      </c>
      <c r="B1178">
        <v>2009</v>
      </c>
      <c r="C1178" t="s">
        <v>114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182</v>
      </c>
      <c r="B1179">
        <v>2008</v>
      </c>
      <c r="C1179" t="s">
        <v>114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182</v>
      </c>
      <c r="B1180">
        <v>2007</v>
      </c>
      <c r="C1180" t="s">
        <v>114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182</v>
      </c>
      <c r="B1181">
        <v>2006</v>
      </c>
      <c r="C1181" t="s">
        <v>114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182</v>
      </c>
      <c r="B1182">
        <v>2005</v>
      </c>
      <c r="C1182" t="s">
        <v>114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182</v>
      </c>
      <c r="B1183">
        <v>2004</v>
      </c>
      <c r="C1183" t="s">
        <v>114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182</v>
      </c>
      <c r="B1184">
        <v>2003</v>
      </c>
      <c r="C1184" t="s">
        <v>114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182</v>
      </c>
      <c r="B1185">
        <v>2002</v>
      </c>
      <c r="C1185" t="s">
        <v>114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182</v>
      </c>
      <c r="B1186">
        <v>2001</v>
      </c>
      <c r="C1186" t="s">
        <v>114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182</v>
      </c>
      <c r="B1187">
        <v>2000</v>
      </c>
      <c r="C1187" t="s">
        <v>114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183</v>
      </c>
      <c r="B1188">
        <v>2015</v>
      </c>
      <c r="C1188" t="s">
        <v>106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183</v>
      </c>
      <c r="B1189">
        <v>2014</v>
      </c>
      <c r="C1189" t="s">
        <v>106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183</v>
      </c>
      <c r="B1190">
        <v>2013</v>
      </c>
      <c r="C1190" t="s">
        <v>106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183</v>
      </c>
      <c r="B1191">
        <v>2012</v>
      </c>
      <c r="C1191" t="s">
        <v>106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183</v>
      </c>
      <c r="B1192">
        <v>2011</v>
      </c>
      <c r="C1192" t="s">
        <v>106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183</v>
      </c>
      <c r="B1193">
        <v>2010</v>
      </c>
      <c r="C1193" t="s">
        <v>106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183</v>
      </c>
      <c r="B1194">
        <v>2009</v>
      </c>
      <c r="C1194" t="s">
        <v>106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183</v>
      </c>
      <c r="B1195">
        <v>2008</v>
      </c>
      <c r="C1195" t="s">
        <v>106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183</v>
      </c>
      <c r="B1196">
        <v>2007</v>
      </c>
      <c r="C1196" t="s">
        <v>106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183</v>
      </c>
      <c r="B1197">
        <v>2006</v>
      </c>
      <c r="C1197" t="s">
        <v>106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183</v>
      </c>
      <c r="B1198">
        <v>2005</v>
      </c>
      <c r="C1198" t="s">
        <v>106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183</v>
      </c>
      <c r="B1199">
        <v>2004</v>
      </c>
      <c r="C1199" t="s">
        <v>106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183</v>
      </c>
      <c r="B1200">
        <v>2003</v>
      </c>
      <c r="C1200" t="s">
        <v>106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183</v>
      </c>
      <c r="B1201">
        <v>2002</v>
      </c>
      <c r="C1201" t="s">
        <v>106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183</v>
      </c>
      <c r="B1202">
        <v>2001</v>
      </c>
      <c r="C1202" t="s">
        <v>106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183</v>
      </c>
      <c r="B1203">
        <v>2000</v>
      </c>
      <c r="C1203" t="s">
        <v>106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184</v>
      </c>
      <c r="B1204">
        <v>2015</v>
      </c>
      <c r="C1204" t="s">
        <v>106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184</v>
      </c>
      <c r="B1205">
        <v>2014</v>
      </c>
      <c r="C1205" t="s">
        <v>106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184</v>
      </c>
      <c r="B1206">
        <v>2013</v>
      </c>
      <c r="C1206" t="s">
        <v>106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184</v>
      </c>
      <c r="B1207">
        <v>2012</v>
      </c>
      <c r="C1207" t="s">
        <v>106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184</v>
      </c>
      <c r="B1208">
        <v>2011</v>
      </c>
      <c r="C1208" t="s">
        <v>106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184</v>
      </c>
      <c r="B1209">
        <v>2010</v>
      </c>
      <c r="C1209" t="s">
        <v>106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184</v>
      </c>
      <c r="B1210">
        <v>2009</v>
      </c>
      <c r="C1210" t="s">
        <v>106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184</v>
      </c>
      <c r="B1211">
        <v>2008</v>
      </c>
      <c r="C1211" t="s">
        <v>106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184</v>
      </c>
      <c r="B1212">
        <v>2007</v>
      </c>
      <c r="C1212" t="s">
        <v>106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184</v>
      </c>
      <c r="B1213">
        <v>2006</v>
      </c>
      <c r="C1213" t="s">
        <v>106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184</v>
      </c>
      <c r="B1214">
        <v>2005</v>
      </c>
      <c r="C1214" t="s">
        <v>106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184</v>
      </c>
      <c r="B1215">
        <v>2004</v>
      </c>
      <c r="C1215" t="s">
        <v>106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184</v>
      </c>
      <c r="B1216">
        <v>2003</v>
      </c>
      <c r="C1216" t="s">
        <v>106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184</v>
      </c>
      <c r="B1217">
        <v>2002</v>
      </c>
      <c r="C1217" t="s">
        <v>106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184</v>
      </c>
      <c r="B1218">
        <v>2001</v>
      </c>
      <c r="C1218" t="s">
        <v>106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184</v>
      </c>
      <c r="B1219">
        <v>2000</v>
      </c>
      <c r="C1219" t="s">
        <v>106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185</v>
      </c>
      <c r="B1220">
        <v>2015</v>
      </c>
      <c r="C1220" t="s">
        <v>106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185</v>
      </c>
      <c r="B1221">
        <v>2014</v>
      </c>
      <c r="C1221" t="s">
        <v>106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185</v>
      </c>
      <c r="B1222">
        <v>2013</v>
      </c>
      <c r="C1222" t="s">
        <v>106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185</v>
      </c>
      <c r="B1223">
        <v>2012</v>
      </c>
      <c r="C1223" t="s">
        <v>106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185</v>
      </c>
      <c r="B1224">
        <v>2011</v>
      </c>
      <c r="C1224" t="s">
        <v>106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185</v>
      </c>
      <c r="B1225">
        <v>2010</v>
      </c>
      <c r="C1225" t="s">
        <v>106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185</v>
      </c>
      <c r="B1226">
        <v>2009</v>
      </c>
      <c r="C1226" t="s">
        <v>106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185</v>
      </c>
      <c r="B1227">
        <v>2008</v>
      </c>
      <c r="C1227" t="s">
        <v>106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185</v>
      </c>
      <c r="B1228">
        <v>2007</v>
      </c>
      <c r="C1228" t="s">
        <v>106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185</v>
      </c>
      <c r="B1229">
        <v>2006</v>
      </c>
      <c r="C1229" t="s">
        <v>106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185</v>
      </c>
      <c r="B1230">
        <v>2005</v>
      </c>
      <c r="C1230" t="s">
        <v>106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185</v>
      </c>
      <c r="B1231">
        <v>2004</v>
      </c>
      <c r="C1231" t="s">
        <v>106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185</v>
      </c>
      <c r="B1232">
        <v>2003</v>
      </c>
      <c r="C1232" t="s">
        <v>106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185</v>
      </c>
      <c r="B1233">
        <v>2002</v>
      </c>
      <c r="C1233" t="s">
        <v>106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185</v>
      </c>
      <c r="B1234">
        <v>2001</v>
      </c>
      <c r="C1234" t="s">
        <v>106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185</v>
      </c>
      <c r="B1235">
        <v>2000</v>
      </c>
      <c r="C1235" t="s">
        <v>106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186</v>
      </c>
      <c r="B1236">
        <v>2015</v>
      </c>
      <c r="C1236" t="s">
        <v>106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186</v>
      </c>
      <c r="B1237">
        <v>2014</v>
      </c>
      <c r="C1237" t="s">
        <v>106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186</v>
      </c>
      <c r="B1238">
        <v>2013</v>
      </c>
      <c r="C1238" t="s">
        <v>106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186</v>
      </c>
      <c r="B1239">
        <v>2012</v>
      </c>
      <c r="C1239" t="s">
        <v>106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186</v>
      </c>
      <c r="B1240">
        <v>2011</v>
      </c>
      <c r="C1240" t="s">
        <v>106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186</v>
      </c>
      <c r="B1241">
        <v>2010</v>
      </c>
      <c r="C1241" t="s">
        <v>106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186</v>
      </c>
      <c r="B1242">
        <v>2009</v>
      </c>
      <c r="C1242" t="s">
        <v>106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186</v>
      </c>
      <c r="B1243">
        <v>2008</v>
      </c>
      <c r="C1243" t="s">
        <v>106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186</v>
      </c>
      <c r="B1244">
        <v>2007</v>
      </c>
      <c r="C1244" t="s">
        <v>106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186</v>
      </c>
      <c r="B1245">
        <v>2006</v>
      </c>
      <c r="C1245" t="s">
        <v>106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186</v>
      </c>
      <c r="B1246">
        <v>2005</v>
      </c>
      <c r="C1246" t="s">
        <v>106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186</v>
      </c>
      <c r="B1247">
        <v>2004</v>
      </c>
      <c r="C1247" t="s">
        <v>106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186</v>
      </c>
      <c r="B1248">
        <v>2003</v>
      </c>
      <c r="C1248" t="s">
        <v>106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186</v>
      </c>
      <c r="B1249">
        <v>2002</v>
      </c>
      <c r="C1249" t="s">
        <v>106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186</v>
      </c>
      <c r="B1250">
        <v>2001</v>
      </c>
      <c r="C1250" t="s">
        <v>106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186</v>
      </c>
      <c r="B1251">
        <v>2000</v>
      </c>
      <c r="C1251" t="s">
        <v>106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187</v>
      </c>
      <c r="B1252">
        <v>2015</v>
      </c>
      <c r="C1252" t="s">
        <v>114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187</v>
      </c>
      <c r="B1253">
        <v>2014</v>
      </c>
      <c r="C1253" t="s">
        <v>114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187</v>
      </c>
      <c r="B1254">
        <v>2013</v>
      </c>
      <c r="C1254" t="s">
        <v>114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187</v>
      </c>
      <c r="B1255">
        <v>2012</v>
      </c>
      <c r="C1255" t="s">
        <v>114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187</v>
      </c>
      <c r="B1256">
        <v>2011</v>
      </c>
      <c r="C1256" t="s">
        <v>114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187</v>
      </c>
      <c r="B1257">
        <v>2010</v>
      </c>
      <c r="C1257" t="s">
        <v>114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187</v>
      </c>
      <c r="B1258">
        <v>2009</v>
      </c>
      <c r="C1258" t="s">
        <v>114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187</v>
      </c>
      <c r="B1259">
        <v>2008</v>
      </c>
      <c r="C1259" t="s">
        <v>114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187</v>
      </c>
      <c r="B1260">
        <v>2007</v>
      </c>
      <c r="C1260" t="s">
        <v>114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187</v>
      </c>
      <c r="B1261">
        <v>2006</v>
      </c>
      <c r="C1261" t="s">
        <v>114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187</v>
      </c>
      <c r="B1262">
        <v>2005</v>
      </c>
      <c r="C1262" t="s">
        <v>114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187</v>
      </c>
      <c r="B1263">
        <v>2004</v>
      </c>
      <c r="C1263" t="s">
        <v>114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187</v>
      </c>
      <c r="B1264">
        <v>2003</v>
      </c>
      <c r="C1264" t="s">
        <v>114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187</v>
      </c>
      <c r="B1265">
        <v>2002</v>
      </c>
      <c r="C1265" t="s">
        <v>114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187</v>
      </c>
      <c r="B1266">
        <v>2001</v>
      </c>
      <c r="C1266" t="s">
        <v>114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187</v>
      </c>
      <c r="B1267">
        <v>2000</v>
      </c>
      <c r="C1267" t="s">
        <v>114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188</v>
      </c>
      <c r="B1268">
        <v>2015</v>
      </c>
      <c r="C1268" t="s">
        <v>106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188</v>
      </c>
      <c r="B1269">
        <v>2014</v>
      </c>
      <c r="C1269" t="s">
        <v>106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188</v>
      </c>
      <c r="B1270">
        <v>2013</v>
      </c>
      <c r="C1270" t="s">
        <v>106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188</v>
      </c>
      <c r="B1271">
        <v>2012</v>
      </c>
      <c r="C1271" t="s">
        <v>106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188</v>
      </c>
      <c r="B1272">
        <v>2011</v>
      </c>
      <c r="C1272" t="s">
        <v>106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188</v>
      </c>
      <c r="B1273">
        <v>2010</v>
      </c>
      <c r="C1273" t="s">
        <v>106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188</v>
      </c>
      <c r="B1274">
        <v>2009</v>
      </c>
      <c r="C1274" t="s">
        <v>106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188</v>
      </c>
      <c r="B1275">
        <v>2008</v>
      </c>
      <c r="C1275" t="s">
        <v>106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188</v>
      </c>
      <c r="B1276">
        <v>2007</v>
      </c>
      <c r="C1276" t="s">
        <v>106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188</v>
      </c>
      <c r="B1277">
        <v>2006</v>
      </c>
      <c r="C1277" t="s">
        <v>106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188</v>
      </c>
      <c r="B1278">
        <v>2005</v>
      </c>
      <c r="C1278" t="s">
        <v>106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188</v>
      </c>
      <c r="B1279">
        <v>2004</v>
      </c>
      <c r="C1279" t="s">
        <v>106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188</v>
      </c>
      <c r="B1280">
        <v>2003</v>
      </c>
      <c r="C1280" t="s">
        <v>106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188</v>
      </c>
      <c r="B1281">
        <v>2002</v>
      </c>
      <c r="C1281" t="s">
        <v>106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188</v>
      </c>
      <c r="B1282">
        <v>2001</v>
      </c>
      <c r="C1282" t="s">
        <v>106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188</v>
      </c>
      <c r="B1283">
        <v>2000</v>
      </c>
      <c r="C1283" t="s">
        <v>106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189</v>
      </c>
      <c r="B1284">
        <v>2015</v>
      </c>
      <c r="C1284" t="s">
        <v>114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189</v>
      </c>
      <c r="B1285">
        <v>2014</v>
      </c>
      <c r="C1285" t="s">
        <v>114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189</v>
      </c>
      <c r="B1286">
        <v>2013</v>
      </c>
      <c r="C1286" t="s">
        <v>114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189</v>
      </c>
      <c r="B1287">
        <v>2012</v>
      </c>
      <c r="C1287" t="s">
        <v>114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189</v>
      </c>
      <c r="B1288">
        <v>2011</v>
      </c>
      <c r="C1288" t="s">
        <v>114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189</v>
      </c>
      <c r="B1289">
        <v>2010</v>
      </c>
      <c r="C1289" t="s">
        <v>114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189</v>
      </c>
      <c r="B1290">
        <v>2009</v>
      </c>
      <c r="C1290" t="s">
        <v>114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189</v>
      </c>
      <c r="B1291">
        <v>2008</v>
      </c>
      <c r="C1291" t="s">
        <v>114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189</v>
      </c>
      <c r="B1292">
        <v>2007</v>
      </c>
      <c r="C1292" t="s">
        <v>114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189</v>
      </c>
      <c r="B1293">
        <v>2006</v>
      </c>
      <c r="C1293" t="s">
        <v>114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189</v>
      </c>
      <c r="B1294">
        <v>2005</v>
      </c>
      <c r="C1294" t="s">
        <v>114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189</v>
      </c>
      <c r="B1295">
        <v>2004</v>
      </c>
      <c r="C1295" t="s">
        <v>114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189</v>
      </c>
      <c r="B1296">
        <v>2003</v>
      </c>
      <c r="C1296" t="s">
        <v>114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189</v>
      </c>
      <c r="B1297">
        <v>2002</v>
      </c>
      <c r="C1297" t="s">
        <v>114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189</v>
      </c>
      <c r="B1298">
        <v>2001</v>
      </c>
      <c r="C1298" t="s">
        <v>114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189</v>
      </c>
      <c r="B1299">
        <v>2000</v>
      </c>
      <c r="C1299" t="s">
        <v>114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190</v>
      </c>
      <c r="B1300">
        <v>2015</v>
      </c>
      <c r="C1300" t="s">
        <v>106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190</v>
      </c>
      <c r="B1301">
        <v>2014</v>
      </c>
      <c r="C1301" t="s">
        <v>106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190</v>
      </c>
      <c r="B1302">
        <v>2013</v>
      </c>
      <c r="C1302" t="s">
        <v>106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190</v>
      </c>
      <c r="B1303">
        <v>2012</v>
      </c>
      <c r="C1303" t="s">
        <v>106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190</v>
      </c>
      <c r="B1304">
        <v>2011</v>
      </c>
      <c r="C1304" t="s">
        <v>106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190</v>
      </c>
      <c r="B1305">
        <v>2010</v>
      </c>
      <c r="C1305" t="s">
        <v>106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190</v>
      </c>
      <c r="B1306">
        <v>2009</v>
      </c>
      <c r="C1306" t="s">
        <v>106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190</v>
      </c>
      <c r="B1307">
        <v>2008</v>
      </c>
      <c r="C1307" t="s">
        <v>106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190</v>
      </c>
      <c r="B1308">
        <v>2007</v>
      </c>
      <c r="C1308" t="s">
        <v>106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190</v>
      </c>
      <c r="B1309">
        <v>2006</v>
      </c>
      <c r="C1309" t="s">
        <v>106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190</v>
      </c>
      <c r="B1310">
        <v>2005</v>
      </c>
      <c r="C1310" t="s">
        <v>106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190</v>
      </c>
      <c r="B1311">
        <v>2004</v>
      </c>
      <c r="C1311" t="s">
        <v>106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190</v>
      </c>
      <c r="B1312">
        <v>2003</v>
      </c>
      <c r="C1312" t="s">
        <v>106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190</v>
      </c>
      <c r="B1313">
        <v>2002</v>
      </c>
      <c r="C1313" t="s">
        <v>106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190</v>
      </c>
      <c r="B1314">
        <v>2001</v>
      </c>
      <c r="C1314" t="s">
        <v>106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190</v>
      </c>
      <c r="B1315">
        <v>2000</v>
      </c>
      <c r="C1315" t="s">
        <v>106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191</v>
      </c>
      <c r="B1316">
        <v>2015</v>
      </c>
      <c r="C1316" t="s">
        <v>114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191</v>
      </c>
      <c r="B1317">
        <v>2014</v>
      </c>
      <c r="C1317" t="s">
        <v>114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191</v>
      </c>
      <c r="B1318">
        <v>2013</v>
      </c>
      <c r="C1318" t="s">
        <v>114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191</v>
      </c>
      <c r="B1319">
        <v>2012</v>
      </c>
      <c r="C1319" t="s">
        <v>114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191</v>
      </c>
      <c r="B1320">
        <v>2011</v>
      </c>
      <c r="C1320" t="s">
        <v>114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191</v>
      </c>
      <c r="B1321">
        <v>2010</v>
      </c>
      <c r="C1321" t="s">
        <v>114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191</v>
      </c>
      <c r="B1322">
        <v>2009</v>
      </c>
      <c r="C1322" t="s">
        <v>114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191</v>
      </c>
      <c r="B1323">
        <v>2008</v>
      </c>
      <c r="C1323" t="s">
        <v>114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191</v>
      </c>
      <c r="B1324">
        <v>2007</v>
      </c>
      <c r="C1324" t="s">
        <v>114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191</v>
      </c>
      <c r="B1325">
        <v>2006</v>
      </c>
      <c r="C1325" t="s">
        <v>114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191</v>
      </c>
      <c r="B1326">
        <v>2005</v>
      </c>
      <c r="C1326" t="s">
        <v>114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191</v>
      </c>
      <c r="B1327">
        <v>2004</v>
      </c>
      <c r="C1327" t="s">
        <v>114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191</v>
      </c>
      <c r="B1328">
        <v>2003</v>
      </c>
      <c r="C1328" t="s">
        <v>114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191</v>
      </c>
      <c r="B1329">
        <v>2002</v>
      </c>
      <c r="C1329" t="s">
        <v>114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191</v>
      </c>
      <c r="B1330">
        <v>2001</v>
      </c>
      <c r="C1330" t="s">
        <v>114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191</v>
      </c>
      <c r="B1331">
        <v>2000</v>
      </c>
      <c r="C1331" t="s">
        <v>114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192</v>
      </c>
      <c r="B1332">
        <v>2015</v>
      </c>
      <c r="C1332" t="s">
        <v>106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192</v>
      </c>
      <c r="B1333">
        <v>2014</v>
      </c>
      <c r="C1333" t="s">
        <v>106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192</v>
      </c>
      <c r="B1334">
        <v>2013</v>
      </c>
      <c r="C1334" t="s">
        <v>106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192</v>
      </c>
      <c r="B1335">
        <v>2012</v>
      </c>
      <c r="C1335" t="s">
        <v>106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192</v>
      </c>
      <c r="B1336">
        <v>2011</v>
      </c>
      <c r="C1336" t="s">
        <v>106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192</v>
      </c>
      <c r="B1337">
        <v>2010</v>
      </c>
      <c r="C1337" t="s">
        <v>106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192</v>
      </c>
      <c r="B1338">
        <v>2009</v>
      </c>
      <c r="C1338" t="s">
        <v>106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192</v>
      </c>
      <c r="B1339">
        <v>2008</v>
      </c>
      <c r="C1339" t="s">
        <v>106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192</v>
      </c>
      <c r="B1340">
        <v>2007</v>
      </c>
      <c r="C1340" t="s">
        <v>106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192</v>
      </c>
      <c r="B1341">
        <v>2006</v>
      </c>
      <c r="C1341" t="s">
        <v>106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192</v>
      </c>
      <c r="B1342">
        <v>2005</v>
      </c>
      <c r="C1342" t="s">
        <v>106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192</v>
      </c>
      <c r="B1343">
        <v>2004</v>
      </c>
      <c r="C1343" t="s">
        <v>106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192</v>
      </c>
      <c r="B1344">
        <v>2003</v>
      </c>
      <c r="C1344" t="s">
        <v>106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192</v>
      </c>
      <c r="B1345">
        <v>2002</v>
      </c>
      <c r="C1345" t="s">
        <v>106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192</v>
      </c>
      <c r="B1346">
        <v>2001</v>
      </c>
      <c r="C1346" t="s">
        <v>106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192</v>
      </c>
      <c r="B1347">
        <v>2000</v>
      </c>
      <c r="C1347" t="s">
        <v>106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193</v>
      </c>
      <c r="B1348">
        <v>2015</v>
      </c>
      <c r="C1348" t="s">
        <v>106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193</v>
      </c>
      <c r="B1349">
        <v>2014</v>
      </c>
      <c r="C1349" t="s">
        <v>106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193</v>
      </c>
      <c r="B1350">
        <v>2013</v>
      </c>
      <c r="C1350" t="s">
        <v>106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193</v>
      </c>
      <c r="B1351">
        <v>2012</v>
      </c>
      <c r="C1351" t="s">
        <v>106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193</v>
      </c>
      <c r="B1352">
        <v>2011</v>
      </c>
      <c r="C1352" t="s">
        <v>106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193</v>
      </c>
      <c r="B1353">
        <v>2010</v>
      </c>
      <c r="C1353" t="s">
        <v>106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193</v>
      </c>
      <c r="B1354">
        <v>2009</v>
      </c>
      <c r="C1354" t="s">
        <v>106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193</v>
      </c>
      <c r="B1355">
        <v>2008</v>
      </c>
      <c r="C1355" t="s">
        <v>106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193</v>
      </c>
      <c r="B1356">
        <v>2007</v>
      </c>
      <c r="C1356" t="s">
        <v>106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193</v>
      </c>
      <c r="B1357">
        <v>2006</v>
      </c>
      <c r="C1357" t="s">
        <v>106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193</v>
      </c>
      <c r="B1358">
        <v>2005</v>
      </c>
      <c r="C1358" t="s">
        <v>106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193</v>
      </c>
      <c r="B1359">
        <v>2004</v>
      </c>
      <c r="C1359" t="s">
        <v>106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193</v>
      </c>
      <c r="B1360">
        <v>2003</v>
      </c>
      <c r="C1360" t="s">
        <v>106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193</v>
      </c>
      <c r="B1361">
        <v>2002</v>
      </c>
      <c r="C1361" t="s">
        <v>106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193</v>
      </c>
      <c r="B1362">
        <v>2001</v>
      </c>
      <c r="C1362" t="s">
        <v>106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193</v>
      </c>
      <c r="B1363">
        <v>2000</v>
      </c>
      <c r="C1363" t="s">
        <v>106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194</v>
      </c>
      <c r="B1364">
        <v>2015</v>
      </c>
      <c r="C1364" t="s">
        <v>106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194</v>
      </c>
      <c r="B1365">
        <v>2014</v>
      </c>
      <c r="C1365" t="s">
        <v>106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194</v>
      </c>
      <c r="B1366">
        <v>2013</v>
      </c>
      <c r="C1366" t="s">
        <v>106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194</v>
      </c>
      <c r="B1367">
        <v>2012</v>
      </c>
      <c r="C1367" t="s">
        <v>106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194</v>
      </c>
      <c r="B1368">
        <v>2011</v>
      </c>
      <c r="C1368" t="s">
        <v>106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194</v>
      </c>
      <c r="B1369">
        <v>2010</v>
      </c>
      <c r="C1369" t="s">
        <v>106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194</v>
      </c>
      <c r="B1370">
        <v>2009</v>
      </c>
      <c r="C1370" t="s">
        <v>106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194</v>
      </c>
      <c r="B1371">
        <v>2008</v>
      </c>
      <c r="C1371" t="s">
        <v>106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194</v>
      </c>
      <c r="B1372">
        <v>2007</v>
      </c>
      <c r="C1372" t="s">
        <v>106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194</v>
      </c>
      <c r="B1373">
        <v>2006</v>
      </c>
      <c r="C1373" t="s">
        <v>106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194</v>
      </c>
      <c r="B1374">
        <v>2005</v>
      </c>
      <c r="C1374" t="s">
        <v>106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194</v>
      </c>
      <c r="B1375">
        <v>2004</v>
      </c>
      <c r="C1375" t="s">
        <v>106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194</v>
      </c>
      <c r="B1376">
        <v>2003</v>
      </c>
      <c r="C1376" t="s">
        <v>106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194</v>
      </c>
      <c r="B1377">
        <v>2002</v>
      </c>
      <c r="C1377" t="s">
        <v>106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194</v>
      </c>
      <c r="B1378">
        <v>2001</v>
      </c>
      <c r="C1378" t="s">
        <v>106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194</v>
      </c>
      <c r="B1379">
        <v>2000</v>
      </c>
      <c r="C1379" t="s">
        <v>106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195</v>
      </c>
      <c r="B1380">
        <v>2015</v>
      </c>
      <c r="C1380" t="s">
        <v>106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195</v>
      </c>
      <c r="B1381">
        <v>2014</v>
      </c>
      <c r="C1381" t="s">
        <v>106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195</v>
      </c>
      <c r="B1382">
        <v>2013</v>
      </c>
      <c r="C1382" t="s">
        <v>106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195</v>
      </c>
      <c r="B1383">
        <v>2012</v>
      </c>
      <c r="C1383" t="s">
        <v>106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195</v>
      </c>
      <c r="B1384">
        <v>2011</v>
      </c>
      <c r="C1384" t="s">
        <v>106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195</v>
      </c>
      <c r="B1385">
        <v>2010</v>
      </c>
      <c r="C1385" t="s">
        <v>106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195</v>
      </c>
      <c r="B1386">
        <v>2009</v>
      </c>
      <c r="C1386" t="s">
        <v>106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195</v>
      </c>
      <c r="B1387">
        <v>2008</v>
      </c>
      <c r="C1387" t="s">
        <v>106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195</v>
      </c>
      <c r="B1388">
        <v>2007</v>
      </c>
      <c r="C1388" t="s">
        <v>106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195</v>
      </c>
      <c r="B1389">
        <v>2006</v>
      </c>
      <c r="C1389" t="s">
        <v>106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195</v>
      </c>
      <c r="B1390">
        <v>2005</v>
      </c>
      <c r="C1390" t="s">
        <v>106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195</v>
      </c>
      <c r="B1391">
        <v>2004</v>
      </c>
      <c r="C1391" t="s">
        <v>106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195</v>
      </c>
      <c r="B1392">
        <v>2003</v>
      </c>
      <c r="C1392" t="s">
        <v>106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195</v>
      </c>
      <c r="B1393">
        <v>2002</v>
      </c>
      <c r="C1393" t="s">
        <v>106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195</v>
      </c>
      <c r="B1394">
        <v>2001</v>
      </c>
      <c r="C1394" t="s">
        <v>106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195</v>
      </c>
      <c r="B1395">
        <v>2000</v>
      </c>
      <c r="C1395" t="s">
        <v>106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196</v>
      </c>
      <c r="B1396">
        <v>2015</v>
      </c>
      <c r="C1396" t="s">
        <v>106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196</v>
      </c>
      <c r="B1397">
        <v>2014</v>
      </c>
      <c r="C1397" t="s">
        <v>106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196</v>
      </c>
      <c r="B1398">
        <v>2013</v>
      </c>
      <c r="C1398" t="s">
        <v>106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196</v>
      </c>
      <c r="B1399">
        <v>2012</v>
      </c>
      <c r="C1399" t="s">
        <v>106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196</v>
      </c>
      <c r="B1400">
        <v>2011</v>
      </c>
      <c r="C1400" t="s">
        <v>106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196</v>
      </c>
      <c r="B1401">
        <v>2010</v>
      </c>
      <c r="C1401" t="s">
        <v>106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196</v>
      </c>
      <c r="B1402">
        <v>2009</v>
      </c>
      <c r="C1402" t="s">
        <v>106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196</v>
      </c>
      <c r="B1403">
        <v>2008</v>
      </c>
      <c r="C1403" t="s">
        <v>106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196</v>
      </c>
      <c r="B1404">
        <v>2007</v>
      </c>
      <c r="C1404" t="s">
        <v>106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196</v>
      </c>
      <c r="B1405">
        <v>2006</v>
      </c>
      <c r="C1405" t="s">
        <v>106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196</v>
      </c>
      <c r="B1406">
        <v>2005</v>
      </c>
      <c r="C1406" t="s">
        <v>106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196</v>
      </c>
      <c r="B1407">
        <v>2004</v>
      </c>
      <c r="C1407" t="s">
        <v>106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196</v>
      </c>
      <c r="B1408">
        <v>2003</v>
      </c>
      <c r="C1408" t="s">
        <v>106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196</v>
      </c>
      <c r="B1409">
        <v>2002</v>
      </c>
      <c r="C1409" t="s">
        <v>106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196</v>
      </c>
      <c r="B1410">
        <v>2001</v>
      </c>
      <c r="C1410" t="s">
        <v>106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196</v>
      </c>
      <c r="B1411">
        <v>2000</v>
      </c>
      <c r="C1411" t="s">
        <v>106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197</v>
      </c>
      <c r="B1412">
        <v>2015</v>
      </c>
      <c r="C1412" t="s">
        <v>106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197</v>
      </c>
      <c r="B1413">
        <v>2014</v>
      </c>
      <c r="C1413" t="s">
        <v>106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197</v>
      </c>
      <c r="B1414">
        <v>2013</v>
      </c>
      <c r="C1414" t="s">
        <v>106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197</v>
      </c>
      <c r="B1415">
        <v>2012</v>
      </c>
      <c r="C1415" t="s">
        <v>106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197</v>
      </c>
      <c r="B1416">
        <v>2011</v>
      </c>
      <c r="C1416" t="s">
        <v>106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197</v>
      </c>
      <c r="B1417">
        <v>2010</v>
      </c>
      <c r="C1417" t="s">
        <v>106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197</v>
      </c>
      <c r="B1418">
        <v>2009</v>
      </c>
      <c r="C1418" t="s">
        <v>106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197</v>
      </c>
      <c r="B1419">
        <v>2008</v>
      </c>
      <c r="C1419" t="s">
        <v>106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197</v>
      </c>
      <c r="B1420">
        <v>2007</v>
      </c>
      <c r="C1420" t="s">
        <v>106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197</v>
      </c>
      <c r="B1421">
        <v>2006</v>
      </c>
      <c r="C1421" t="s">
        <v>106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197</v>
      </c>
      <c r="B1422">
        <v>2005</v>
      </c>
      <c r="C1422" t="s">
        <v>106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197</v>
      </c>
      <c r="B1423">
        <v>2004</v>
      </c>
      <c r="C1423" t="s">
        <v>106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197</v>
      </c>
      <c r="B1424">
        <v>2003</v>
      </c>
      <c r="C1424" t="s">
        <v>106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197</v>
      </c>
      <c r="B1425">
        <v>2002</v>
      </c>
      <c r="C1425" t="s">
        <v>106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197</v>
      </c>
      <c r="B1426">
        <v>2001</v>
      </c>
      <c r="C1426" t="s">
        <v>106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197</v>
      </c>
      <c r="B1427">
        <v>2000</v>
      </c>
      <c r="C1427" t="s">
        <v>106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198</v>
      </c>
      <c r="B1428">
        <v>2015</v>
      </c>
      <c r="C1428" t="s">
        <v>106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198</v>
      </c>
      <c r="B1429">
        <v>2014</v>
      </c>
      <c r="C1429" t="s">
        <v>106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198</v>
      </c>
      <c r="B1430">
        <v>2013</v>
      </c>
      <c r="C1430" t="s">
        <v>106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198</v>
      </c>
      <c r="B1431">
        <v>2012</v>
      </c>
      <c r="C1431" t="s">
        <v>106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198</v>
      </c>
      <c r="B1432">
        <v>2011</v>
      </c>
      <c r="C1432" t="s">
        <v>106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198</v>
      </c>
      <c r="B1433">
        <v>2010</v>
      </c>
      <c r="C1433" t="s">
        <v>106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198</v>
      </c>
      <c r="B1434">
        <v>2009</v>
      </c>
      <c r="C1434" t="s">
        <v>106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198</v>
      </c>
      <c r="B1435">
        <v>2008</v>
      </c>
      <c r="C1435" t="s">
        <v>106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198</v>
      </c>
      <c r="B1436">
        <v>2007</v>
      </c>
      <c r="C1436" t="s">
        <v>106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198</v>
      </c>
      <c r="B1437">
        <v>2006</v>
      </c>
      <c r="C1437" t="s">
        <v>106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198</v>
      </c>
      <c r="B1438">
        <v>2005</v>
      </c>
      <c r="C1438" t="s">
        <v>106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198</v>
      </c>
      <c r="B1439">
        <v>2004</v>
      </c>
      <c r="C1439" t="s">
        <v>106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198</v>
      </c>
      <c r="B1440">
        <v>2003</v>
      </c>
      <c r="C1440" t="s">
        <v>106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198</v>
      </c>
      <c r="B1441">
        <v>2002</v>
      </c>
      <c r="C1441" t="s">
        <v>106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198</v>
      </c>
      <c r="B1442">
        <v>2001</v>
      </c>
      <c r="C1442" t="s">
        <v>106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198</v>
      </c>
      <c r="B1443">
        <v>2000</v>
      </c>
      <c r="C1443" t="s">
        <v>106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199</v>
      </c>
      <c r="B1444">
        <v>2015</v>
      </c>
      <c r="C1444" t="s">
        <v>114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199</v>
      </c>
      <c r="B1445">
        <v>2014</v>
      </c>
      <c r="C1445" t="s">
        <v>114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199</v>
      </c>
      <c r="B1446">
        <v>2013</v>
      </c>
      <c r="C1446" t="s">
        <v>114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199</v>
      </c>
      <c r="B1447">
        <v>2012</v>
      </c>
      <c r="C1447" t="s">
        <v>114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199</v>
      </c>
      <c r="B1448">
        <v>2011</v>
      </c>
      <c r="C1448" t="s">
        <v>114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199</v>
      </c>
      <c r="B1449">
        <v>2010</v>
      </c>
      <c r="C1449" t="s">
        <v>114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199</v>
      </c>
      <c r="B1450">
        <v>2009</v>
      </c>
      <c r="C1450" t="s">
        <v>114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199</v>
      </c>
      <c r="B1451">
        <v>2008</v>
      </c>
      <c r="C1451" t="s">
        <v>114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199</v>
      </c>
      <c r="B1452">
        <v>2007</v>
      </c>
      <c r="C1452" t="s">
        <v>114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199</v>
      </c>
      <c r="B1453">
        <v>2006</v>
      </c>
      <c r="C1453" t="s">
        <v>114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199</v>
      </c>
      <c r="B1454">
        <v>2005</v>
      </c>
      <c r="C1454" t="s">
        <v>114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199</v>
      </c>
      <c r="B1455">
        <v>2004</v>
      </c>
      <c r="C1455" t="s">
        <v>114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199</v>
      </c>
      <c r="B1456">
        <v>2003</v>
      </c>
      <c r="C1456" t="s">
        <v>114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199</v>
      </c>
      <c r="B1457">
        <v>2002</v>
      </c>
      <c r="C1457" t="s">
        <v>114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199</v>
      </c>
      <c r="B1458">
        <v>2001</v>
      </c>
      <c r="C1458" t="s">
        <v>114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199</v>
      </c>
      <c r="B1459">
        <v>2000</v>
      </c>
      <c r="C1459" t="s">
        <v>114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200</v>
      </c>
      <c r="B1460">
        <v>2015</v>
      </c>
      <c r="C1460" t="s">
        <v>106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200</v>
      </c>
      <c r="B1461">
        <v>2014</v>
      </c>
      <c r="C1461" t="s">
        <v>106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200</v>
      </c>
      <c r="B1462">
        <v>2013</v>
      </c>
      <c r="C1462" t="s">
        <v>106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200</v>
      </c>
      <c r="B1463">
        <v>2012</v>
      </c>
      <c r="C1463" t="s">
        <v>106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200</v>
      </c>
      <c r="B1464">
        <v>2011</v>
      </c>
      <c r="C1464" t="s">
        <v>106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200</v>
      </c>
      <c r="B1465">
        <v>2010</v>
      </c>
      <c r="C1465" t="s">
        <v>106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200</v>
      </c>
      <c r="B1466">
        <v>2009</v>
      </c>
      <c r="C1466" t="s">
        <v>106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200</v>
      </c>
      <c r="B1467">
        <v>2008</v>
      </c>
      <c r="C1467" t="s">
        <v>106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200</v>
      </c>
      <c r="B1468">
        <v>2007</v>
      </c>
      <c r="C1468" t="s">
        <v>106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200</v>
      </c>
      <c r="B1469">
        <v>2006</v>
      </c>
      <c r="C1469" t="s">
        <v>106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200</v>
      </c>
      <c r="B1470">
        <v>2005</v>
      </c>
      <c r="C1470" t="s">
        <v>106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200</v>
      </c>
      <c r="B1471">
        <v>2004</v>
      </c>
      <c r="C1471" t="s">
        <v>106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200</v>
      </c>
      <c r="B1472">
        <v>2003</v>
      </c>
      <c r="C1472" t="s">
        <v>106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200</v>
      </c>
      <c r="B1473">
        <v>2002</v>
      </c>
      <c r="C1473" t="s">
        <v>106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200</v>
      </c>
      <c r="B1474">
        <v>2001</v>
      </c>
      <c r="C1474" t="s">
        <v>106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200</v>
      </c>
      <c r="B1475">
        <v>2000</v>
      </c>
      <c r="C1475" t="s">
        <v>106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201</v>
      </c>
      <c r="B1476">
        <v>2015</v>
      </c>
      <c r="C1476" t="s">
        <v>106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201</v>
      </c>
      <c r="B1477">
        <v>2014</v>
      </c>
      <c r="C1477" t="s">
        <v>106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201</v>
      </c>
      <c r="B1478">
        <v>2013</v>
      </c>
      <c r="C1478" t="s">
        <v>106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201</v>
      </c>
      <c r="B1479">
        <v>2012</v>
      </c>
      <c r="C1479" t="s">
        <v>106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201</v>
      </c>
      <c r="B1480">
        <v>2011</v>
      </c>
      <c r="C1480" t="s">
        <v>106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201</v>
      </c>
      <c r="B1481">
        <v>2010</v>
      </c>
      <c r="C1481" t="s">
        <v>106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201</v>
      </c>
      <c r="B1482">
        <v>2009</v>
      </c>
      <c r="C1482" t="s">
        <v>106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201</v>
      </c>
      <c r="B1483">
        <v>2008</v>
      </c>
      <c r="C1483" t="s">
        <v>106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201</v>
      </c>
      <c r="B1484">
        <v>2007</v>
      </c>
      <c r="C1484" t="s">
        <v>106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201</v>
      </c>
      <c r="B1485">
        <v>2006</v>
      </c>
      <c r="C1485" t="s">
        <v>106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201</v>
      </c>
      <c r="B1486">
        <v>2005</v>
      </c>
      <c r="C1486" t="s">
        <v>106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201</v>
      </c>
      <c r="B1487">
        <v>2004</v>
      </c>
      <c r="C1487" t="s">
        <v>106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201</v>
      </c>
      <c r="B1488">
        <v>2003</v>
      </c>
      <c r="C1488" t="s">
        <v>106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201</v>
      </c>
      <c r="B1489">
        <v>2002</v>
      </c>
      <c r="C1489" t="s">
        <v>106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201</v>
      </c>
      <c r="B1490">
        <v>2001</v>
      </c>
      <c r="C1490" t="s">
        <v>106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201</v>
      </c>
      <c r="B1491">
        <v>2000</v>
      </c>
      <c r="C1491" t="s">
        <v>106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202</v>
      </c>
      <c r="B1492">
        <v>2015</v>
      </c>
      <c r="C1492" t="s">
        <v>106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202</v>
      </c>
      <c r="B1493">
        <v>2014</v>
      </c>
      <c r="C1493" t="s">
        <v>106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202</v>
      </c>
      <c r="B1494">
        <v>2013</v>
      </c>
      <c r="C1494" t="s">
        <v>106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202</v>
      </c>
      <c r="B1495">
        <v>2012</v>
      </c>
      <c r="C1495" t="s">
        <v>106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202</v>
      </c>
      <c r="B1496">
        <v>2011</v>
      </c>
      <c r="C1496" t="s">
        <v>106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202</v>
      </c>
      <c r="B1497">
        <v>2010</v>
      </c>
      <c r="C1497" t="s">
        <v>106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202</v>
      </c>
      <c r="B1498">
        <v>2009</v>
      </c>
      <c r="C1498" t="s">
        <v>106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202</v>
      </c>
      <c r="B1499">
        <v>2008</v>
      </c>
      <c r="C1499" t="s">
        <v>106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202</v>
      </c>
      <c r="B1500">
        <v>2007</v>
      </c>
      <c r="C1500" t="s">
        <v>106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202</v>
      </c>
      <c r="B1501">
        <v>2006</v>
      </c>
      <c r="C1501" t="s">
        <v>106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202</v>
      </c>
      <c r="B1502">
        <v>2005</v>
      </c>
      <c r="C1502" t="s">
        <v>106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202</v>
      </c>
      <c r="B1503">
        <v>2004</v>
      </c>
      <c r="C1503" t="s">
        <v>106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202</v>
      </c>
      <c r="B1504">
        <v>2003</v>
      </c>
      <c r="C1504" t="s">
        <v>106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202</v>
      </c>
      <c r="B1505">
        <v>2002</v>
      </c>
      <c r="C1505" t="s">
        <v>106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202</v>
      </c>
      <c r="B1506">
        <v>2001</v>
      </c>
      <c r="C1506" t="s">
        <v>106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202</v>
      </c>
      <c r="B1507">
        <v>2000</v>
      </c>
      <c r="C1507" t="s">
        <v>106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203</v>
      </c>
      <c r="B1508">
        <v>2015</v>
      </c>
      <c r="C1508" t="s">
        <v>106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203</v>
      </c>
      <c r="B1509">
        <v>2014</v>
      </c>
      <c r="C1509" t="s">
        <v>106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203</v>
      </c>
      <c r="B1510">
        <v>2013</v>
      </c>
      <c r="C1510" t="s">
        <v>106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203</v>
      </c>
      <c r="B1511">
        <v>2012</v>
      </c>
      <c r="C1511" t="s">
        <v>106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203</v>
      </c>
      <c r="B1512">
        <v>2011</v>
      </c>
      <c r="C1512" t="s">
        <v>106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203</v>
      </c>
      <c r="B1513">
        <v>2010</v>
      </c>
      <c r="C1513" t="s">
        <v>106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203</v>
      </c>
      <c r="B1514">
        <v>2009</v>
      </c>
      <c r="C1514" t="s">
        <v>106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203</v>
      </c>
      <c r="B1515">
        <v>2008</v>
      </c>
      <c r="C1515" t="s">
        <v>106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203</v>
      </c>
      <c r="B1516">
        <v>2007</v>
      </c>
      <c r="C1516" t="s">
        <v>106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203</v>
      </c>
      <c r="B1517">
        <v>2006</v>
      </c>
      <c r="C1517" t="s">
        <v>106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203</v>
      </c>
      <c r="B1518">
        <v>2005</v>
      </c>
      <c r="C1518" t="s">
        <v>106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203</v>
      </c>
      <c r="B1519">
        <v>2004</v>
      </c>
      <c r="C1519" t="s">
        <v>106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203</v>
      </c>
      <c r="B1520">
        <v>2003</v>
      </c>
      <c r="C1520" t="s">
        <v>106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203</v>
      </c>
      <c r="B1521">
        <v>2002</v>
      </c>
      <c r="C1521" t="s">
        <v>106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203</v>
      </c>
      <c r="B1522">
        <v>2001</v>
      </c>
      <c r="C1522" t="s">
        <v>106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203</v>
      </c>
      <c r="B1523">
        <v>2000</v>
      </c>
      <c r="C1523" t="s">
        <v>106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204</v>
      </c>
      <c r="B1524">
        <v>2015</v>
      </c>
      <c r="C1524" t="s">
        <v>114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204</v>
      </c>
      <c r="B1525">
        <v>2014</v>
      </c>
      <c r="C1525" t="s">
        <v>114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204</v>
      </c>
      <c r="B1526">
        <v>2013</v>
      </c>
      <c r="C1526" t="s">
        <v>114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204</v>
      </c>
      <c r="B1527">
        <v>2012</v>
      </c>
      <c r="C1527" t="s">
        <v>114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204</v>
      </c>
      <c r="B1528">
        <v>2011</v>
      </c>
      <c r="C1528" t="s">
        <v>114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204</v>
      </c>
      <c r="B1529">
        <v>2010</v>
      </c>
      <c r="C1529" t="s">
        <v>114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204</v>
      </c>
      <c r="B1530">
        <v>2009</v>
      </c>
      <c r="C1530" t="s">
        <v>114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204</v>
      </c>
      <c r="B1531">
        <v>2008</v>
      </c>
      <c r="C1531" t="s">
        <v>114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204</v>
      </c>
      <c r="B1532">
        <v>2007</v>
      </c>
      <c r="C1532" t="s">
        <v>114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204</v>
      </c>
      <c r="B1533">
        <v>2006</v>
      </c>
      <c r="C1533" t="s">
        <v>114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204</v>
      </c>
      <c r="B1534">
        <v>2005</v>
      </c>
      <c r="C1534" t="s">
        <v>114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204</v>
      </c>
      <c r="B1535">
        <v>2004</v>
      </c>
      <c r="C1535" t="s">
        <v>114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204</v>
      </c>
      <c r="B1536">
        <v>2003</v>
      </c>
      <c r="C1536" t="s">
        <v>114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204</v>
      </c>
      <c r="B1537">
        <v>2002</v>
      </c>
      <c r="C1537" t="s">
        <v>114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204</v>
      </c>
      <c r="B1538">
        <v>2001</v>
      </c>
      <c r="C1538" t="s">
        <v>114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204</v>
      </c>
      <c r="B1539">
        <v>2000</v>
      </c>
      <c r="C1539" t="s">
        <v>114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205</v>
      </c>
      <c r="B1540">
        <v>2015</v>
      </c>
      <c r="C1540" t="s">
        <v>114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205</v>
      </c>
      <c r="B1541">
        <v>2014</v>
      </c>
      <c r="C1541" t="s">
        <v>114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205</v>
      </c>
      <c r="B1542">
        <v>2013</v>
      </c>
      <c r="C1542" t="s">
        <v>114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205</v>
      </c>
      <c r="B1543">
        <v>2012</v>
      </c>
      <c r="C1543" t="s">
        <v>114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205</v>
      </c>
      <c r="B1544">
        <v>2011</v>
      </c>
      <c r="C1544" t="s">
        <v>114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205</v>
      </c>
      <c r="B1545">
        <v>2010</v>
      </c>
      <c r="C1545" t="s">
        <v>114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205</v>
      </c>
      <c r="B1546">
        <v>2009</v>
      </c>
      <c r="C1546" t="s">
        <v>114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205</v>
      </c>
      <c r="B1547">
        <v>2008</v>
      </c>
      <c r="C1547" t="s">
        <v>114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205</v>
      </c>
      <c r="B1548">
        <v>2007</v>
      </c>
      <c r="C1548" t="s">
        <v>114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205</v>
      </c>
      <c r="B1549">
        <v>2006</v>
      </c>
      <c r="C1549" t="s">
        <v>114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205</v>
      </c>
      <c r="B1550">
        <v>2005</v>
      </c>
      <c r="C1550" t="s">
        <v>114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205</v>
      </c>
      <c r="B1551">
        <v>2004</v>
      </c>
      <c r="C1551" t="s">
        <v>114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205</v>
      </c>
      <c r="B1552">
        <v>2003</v>
      </c>
      <c r="C1552" t="s">
        <v>114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205</v>
      </c>
      <c r="B1553">
        <v>2002</v>
      </c>
      <c r="C1553" t="s">
        <v>114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205</v>
      </c>
      <c r="B1554">
        <v>2001</v>
      </c>
      <c r="C1554" t="s">
        <v>114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205</v>
      </c>
      <c r="B1555">
        <v>2000</v>
      </c>
      <c r="C1555" t="s">
        <v>114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206</v>
      </c>
      <c r="B1556">
        <v>2015</v>
      </c>
      <c r="C1556" t="s">
        <v>106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206</v>
      </c>
      <c r="B1557">
        <v>2014</v>
      </c>
      <c r="C1557" t="s">
        <v>106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206</v>
      </c>
      <c r="B1558">
        <v>2013</v>
      </c>
      <c r="C1558" t="s">
        <v>106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206</v>
      </c>
      <c r="B1559">
        <v>2012</v>
      </c>
      <c r="C1559" t="s">
        <v>106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206</v>
      </c>
      <c r="B1560">
        <v>2011</v>
      </c>
      <c r="C1560" t="s">
        <v>106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206</v>
      </c>
      <c r="B1561">
        <v>2010</v>
      </c>
      <c r="C1561" t="s">
        <v>106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206</v>
      </c>
      <c r="B1562">
        <v>2009</v>
      </c>
      <c r="C1562" t="s">
        <v>106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206</v>
      </c>
      <c r="B1563">
        <v>2008</v>
      </c>
      <c r="C1563" t="s">
        <v>106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206</v>
      </c>
      <c r="B1564">
        <v>2007</v>
      </c>
      <c r="C1564" t="s">
        <v>106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206</v>
      </c>
      <c r="B1565">
        <v>2006</v>
      </c>
      <c r="C1565" t="s">
        <v>106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206</v>
      </c>
      <c r="B1566">
        <v>2005</v>
      </c>
      <c r="C1566" t="s">
        <v>106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206</v>
      </c>
      <c r="B1567">
        <v>2004</v>
      </c>
      <c r="C1567" t="s">
        <v>106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206</v>
      </c>
      <c r="B1568">
        <v>2003</v>
      </c>
      <c r="C1568" t="s">
        <v>106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206</v>
      </c>
      <c r="B1569">
        <v>2002</v>
      </c>
      <c r="C1569" t="s">
        <v>106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206</v>
      </c>
      <c r="B1570">
        <v>2001</v>
      </c>
      <c r="C1570" t="s">
        <v>106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206</v>
      </c>
      <c r="B1571">
        <v>2000</v>
      </c>
      <c r="C1571" t="s">
        <v>106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207</v>
      </c>
      <c r="B1572">
        <v>2015</v>
      </c>
      <c r="C1572" t="s">
        <v>106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207</v>
      </c>
      <c r="B1573">
        <v>2014</v>
      </c>
      <c r="C1573" t="s">
        <v>106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207</v>
      </c>
      <c r="B1574">
        <v>2013</v>
      </c>
      <c r="C1574" t="s">
        <v>106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207</v>
      </c>
      <c r="B1575">
        <v>2012</v>
      </c>
      <c r="C1575" t="s">
        <v>106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207</v>
      </c>
      <c r="B1576">
        <v>2011</v>
      </c>
      <c r="C1576" t="s">
        <v>106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207</v>
      </c>
      <c r="B1577">
        <v>2010</v>
      </c>
      <c r="C1577" t="s">
        <v>106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207</v>
      </c>
      <c r="B1578">
        <v>2009</v>
      </c>
      <c r="C1578" t="s">
        <v>106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207</v>
      </c>
      <c r="B1579">
        <v>2008</v>
      </c>
      <c r="C1579" t="s">
        <v>106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207</v>
      </c>
      <c r="B1580">
        <v>2007</v>
      </c>
      <c r="C1580" t="s">
        <v>106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207</v>
      </c>
      <c r="B1581">
        <v>2006</v>
      </c>
      <c r="C1581" t="s">
        <v>106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207</v>
      </c>
      <c r="B1582">
        <v>2005</v>
      </c>
      <c r="C1582" t="s">
        <v>106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207</v>
      </c>
      <c r="B1583">
        <v>2004</v>
      </c>
      <c r="C1583" t="s">
        <v>106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207</v>
      </c>
      <c r="B1584">
        <v>2003</v>
      </c>
      <c r="C1584" t="s">
        <v>106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207</v>
      </c>
      <c r="B1585">
        <v>2002</v>
      </c>
      <c r="C1585" t="s">
        <v>106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207</v>
      </c>
      <c r="B1586">
        <v>2001</v>
      </c>
      <c r="C1586" t="s">
        <v>106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207</v>
      </c>
      <c r="B1587">
        <v>2000</v>
      </c>
      <c r="C1587" t="s">
        <v>106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208</v>
      </c>
      <c r="B1588">
        <v>2015</v>
      </c>
      <c r="C1588" t="s">
        <v>106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208</v>
      </c>
      <c r="B1589">
        <v>2014</v>
      </c>
      <c r="C1589" t="s">
        <v>106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208</v>
      </c>
      <c r="B1590">
        <v>2013</v>
      </c>
      <c r="C1590" t="s">
        <v>106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208</v>
      </c>
      <c r="B1591">
        <v>2012</v>
      </c>
      <c r="C1591" t="s">
        <v>106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208</v>
      </c>
      <c r="B1592">
        <v>2011</v>
      </c>
      <c r="C1592" t="s">
        <v>106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208</v>
      </c>
      <c r="B1593">
        <v>2010</v>
      </c>
      <c r="C1593" t="s">
        <v>106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208</v>
      </c>
      <c r="B1594">
        <v>2009</v>
      </c>
      <c r="C1594" t="s">
        <v>106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208</v>
      </c>
      <c r="B1595">
        <v>2008</v>
      </c>
      <c r="C1595" t="s">
        <v>106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208</v>
      </c>
      <c r="B1596">
        <v>2007</v>
      </c>
      <c r="C1596" t="s">
        <v>106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208</v>
      </c>
      <c r="B1597">
        <v>2006</v>
      </c>
      <c r="C1597" t="s">
        <v>106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208</v>
      </c>
      <c r="B1598">
        <v>2005</v>
      </c>
      <c r="C1598" t="s">
        <v>106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208</v>
      </c>
      <c r="B1599">
        <v>2004</v>
      </c>
      <c r="C1599" t="s">
        <v>106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208</v>
      </c>
      <c r="B1600">
        <v>2003</v>
      </c>
      <c r="C1600" t="s">
        <v>106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208</v>
      </c>
      <c r="B1601">
        <v>2002</v>
      </c>
      <c r="C1601" t="s">
        <v>106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208</v>
      </c>
      <c r="B1602">
        <v>2001</v>
      </c>
      <c r="C1602" t="s">
        <v>106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208</v>
      </c>
      <c r="B1603">
        <v>2000</v>
      </c>
      <c r="C1603" t="s">
        <v>106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209</v>
      </c>
      <c r="B1604">
        <v>2015</v>
      </c>
      <c r="C1604" t="s">
        <v>106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209</v>
      </c>
      <c r="B1605">
        <v>2014</v>
      </c>
      <c r="C1605" t="s">
        <v>106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209</v>
      </c>
      <c r="B1606">
        <v>2013</v>
      </c>
      <c r="C1606" t="s">
        <v>106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209</v>
      </c>
      <c r="B1607">
        <v>2012</v>
      </c>
      <c r="C1607" t="s">
        <v>106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209</v>
      </c>
      <c r="B1608">
        <v>2011</v>
      </c>
      <c r="C1608" t="s">
        <v>106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209</v>
      </c>
      <c r="B1609">
        <v>2010</v>
      </c>
      <c r="C1609" t="s">
        <v>106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209</v>
      </c>
      <c r="B1610">
        <v>2009</v>
      </c>
      <c r="C1610" t="s">
        <v>106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209</v>
      </c>
      <c r="B1611">
        <v>2008</v>
      </c>
      <c r="C1611" t="s">
        <v>106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209</v>
      </c>
      <c r="B1612">
        <v>2007</v>
      </c>
      <c r="C1612" t="s">
        <v>106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209</v>
      </c>
      <c r="B1613">
        <v>2006</v>
      </c>
      <c r="C1613" t="s">
        <v>106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209</v>
      </c>
      <c r="B1614">
        <v>2005</v>
      </c>
      <c r="C1614" t="s">
        <v>106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209</v>
      </c>
      <c r="B1615">
        <v>2004</v>
      </c>
      <c r="C1615" t="s">
        <v>106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209</v>
      </c>
      <c r="B1616">
        <v>2003</v>
      </c>
      <c r="C1616" t="s">
        <v>106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209</v>
      </c>
      <c r="B1617">
        <v>2002</v>
      </c>
      <c r="C1617" t="s">
        <v>106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209</v>
      </c>
      <c r="B1618">
        <v>2001</v>
      </c>
      <c r="C1618" t="s">
        <v>106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209</v>
      </c>
      <c r="B1619">
        <v>2000</v>
      </c>
      <c r="C1619" t="s">
        <v>106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210</v>
      </c>
      <c r="B1620">
        <v>2015</v>
      </c>
      <c r="C1620" t="s">
        <v>106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210</v>
      </c>
      <c r="B1621">
        <v>2014</v>
      </c>
      <c r="C1621" t="s">
        <v>106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210</v>
      </c>
      <c r="B1622">
        <v>2013</v>
      </c>
      <c r="C1622" t="s">
        <v>106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210</v>
      </c>
      <c r="B1623">
        <v>2012</v>
      </c>
      <c r="C1623" t="s">
        <v>106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210</v>
      </c>
      <c r="B1624">
        <v>2011</v>
      </c>
      <c r="C1624" t="s">
        <v>106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210</v>
      </c>
      <c r="B1625">
        <v>2010</v>
      </c>
      <c r="C1625" t="s">
        <v>106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210</v>
      </c>
      <c r="B1626">
        <v>2009</v>
      </c>
      <c r="C1626" t="s">
        <v>106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210</v>
      </c>
      <c r="B1627">
        <v>2008</v>
      </c>
      <c r="C1627" t="s">
        <v>106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210</v>
      </c>
      <c r="B1628">
        <v>2007</v>
      </c>
      <c r="C1628" t="s">
        <v>106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210</v>
      </c>
      <c r="B1629">
        <v>2006</v>
      </c>
      <c r="C1629" t="s">
        <v>106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210</v>
      </c>
      <c r="B1630">
        <v>2005</v>
      </c>
      <c r="C1630" t="s">
        <v>106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210</v>
      </c>
      <c r="B1631">
        <v>2004</v>
      </c>
      <c r="C1631" t="s">
        <v>106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210</v>
      </c>
      <c r="B1632">
        <v>2003</v>
      </c>
      <c r="C1632" t="s">
        <v>106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210</v>
      </c>
      <c r="B1633">
        <v>2002</v>
      </c>
      <c r="C1633" t="s">
        <v>106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210</v>
      </c>
      <c r="B1634">
        <v>2001</v>
      </c>
      <c r="C1634" t="s">
        <v>106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210</v>
      </c>
      <c r="B1635">
        <v>2000</v>
      </c>
      <c r="C1635" t="s">
        <v>106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211</v>
      </c>
      <c r="B1636">
        <v>2015</v>
      </c>
      <c r="C1636" t="s">
        <v>114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211</v>
      </c>
      <c r="B1637">
        <v>2014</v>
      </c>
      <c r="C1637" t="s">
        <v>114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211</v>
      </c>
      <c r="B1638">
        <v>2013</v>
      </c>
      <c r="C1638" t="s">
        <v>114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211</v>
      </c>
      <c r="B1639">
        <v>2012</v>
      </c>
      <c r="C1639" t="s">
        <v>114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211</v>
      </c>
      <c r="B1640">
        <v>2011</v>
      </c>
      <c r="C1640" t="s">
        <v>114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211</v>
      </c>
      <c r="B1641">
        <v>2010</v>
      </c>
      <c r="C1641" t="s">
        <v>114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211</v>
      </c>
      <c r="B1642">
        <v>2009</v>
      </c>
      <c r="C1642" t="s">
        <v>114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211</v>
      </c>
      <c r="B1643">
        <v>2008</v>
      </c>
      <c r="C1643" t="s">
        <v>114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211</v>
      </c>
      <c r="B1644">
        <v>2007</v>
      </c>
      <c r="C1644" t="s">
        <v>114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211</v>
      </c>
      <c r="B1645">
        <v>2006</v>
      </c>
      <c r="C1645" t="s">
        <v>114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211</v>
      </c>
      <c r="B1646">
        <v>2005</v>
      </c>
      <c r="C1646" t="s">
        <v>114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211</v>
      </c>
      <c r="B1647">
        <v>2004</v>
      </c>
      <c r="C1647" t="s">
        <v>114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211</v>
      </c>
      <c r="B1648">
        <v>2003</v>
      </c>
      <c r="C1648" t="s">
        <v>114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211</v>
      </c>
      <c r="B1649">
        <v>2002</v>
      </c>
      <c r="C1649" t="s">
        <v>114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211</v>
      </c>
      <c r="B1650">
        <v>2001</v>
      </c>
      <c r="C1650" t="s">
        <v>114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211</v>
      </c>
      <c r="B1651">
        <v>2000</v>
      </c>
      <c r="C1651" t="s">
        <v>114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212</v>
      </c>
      <c r="B1652">
        <v>2013</v>
      </c>
      <c r="C1652" t="s">
        <v>106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213</v>
      </c>
      <c r="B1653">
        <v>2015</v>
      </c>
      <c r="C1653" t="s">
        <v>106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213</v>
      </c>
      <c r="B1654">
        <v>2014</v>
      </c>
      <c r="C1654" t="s">
        <v>106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213</v>
      </c>
      <c r="B1655">
        <v>2013</v>
      </c>
      <c r="C1655" t="s">
        <v>106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213</v>
      </c>
      <c r="B1656">
        <v>2012</v>
      </c>
      <c r="C1656" t="s">
        <v>106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213</v>
      </c>
      <c r="B1657">
        <v>2011</v>
      </c>
      <c r="C1657" t="s">
        <v>106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213</v>
      </c>
      <c r="B1658">
        <v>2010</v>
      </c>
      <c r="C1658" t="s">
        <v>106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213</v>
      </c>
      <c r="B1659">
        <v>2009</v>
      </c>
      <c r="C1659" t="s">
        <v>106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213</v>
      </c>
      <c r="B1660">
        <v>2008</v>
      </c>
      <c r="C1660" t="s">
        <v>106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213</v>
      </c>
      <c r="B1661">
        <v>2007</v>
      </c>
      <c r="C1661" t="s">
        <v>106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213</v>
      </c>
      <c r="B1662">
        <v>2006</v>
      </c>
      <c r="C1662" t="s">
        <v>106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213</v>
      </c>
      <c r="B1663">
        <v>2005</v>
      </c>
      <c r="C1663" t="s">
        <v>106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213</v>
      </c>
      <c r="B1664">
        <v>2004</v>
      </c>
      <c r="C1664" t="s">
        <v>106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213</v>
      </c>
      <c r="B1665">
        <v>2003</v>
      </c>
      <c r="C1665" t="s">
        <v>106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213</v>
      </c>
      <c r="B1666">
        <v>2002</v>
      </c>
      <c r="C1666" t="s">
        <v>106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213</v>
      </c>
      <c r="B1667">
        <v>2001</v>
      </c>
      <c r="C1667" t="s">
        <v>106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213</v>
      </c>
      <c r="B1668">
        <v>2000</v>
      </c>
      <c r="C1668" t="s">
        <v>106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214</v>
      </c>
      <c r="B1669">
        <v>2015</v>
      </c>
      <c r="C1669" t="s">
        <v>106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214</v>
      </c>
      <c r="B1670">
        <v>2014</v>
      </c>
      <c r="C1670" t="s">
        <v>106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214</v>
      </c>
      <c r="B1671">
        <v>2013</v>
      </c>
      <c r="C1671" t="s">
        <v>106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214</v>
      </c>
      <c r="B1672">
        <v>2012</v>
      </c>
      <c r="C1672" t="s">
        <v>106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214</v>
      </c>
      <c r="B1673">
        <v>2011</v>
      </c>
      <c r="C1673" t="s">
        <v>106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214</v>
      </c>
      <c r="B1674">
        <v>2010</v>
      </c>
      <c r="C1674" t="s">
        <v>106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214</v>
      </c>
      <c r="B1675">
        <v>2009</v>
      </c>
      <c r="C1675" t="s">
        <v>106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214</v>
      </c>
      <c r="B1676">
        <v>2008</v>
      </c>
      <c r="C1676" t="s">
        <v>106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214</v>
      </c>
      <c r="B1677">
        <v>2007</v>
      </c>
      <c r="C1677" t="s">
        <v>106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214</v>
      </c>
      <c r="B1678">
        <v>2006</v>
      </c>
      <c r="C1678" t="s">
        <v>106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214</v>
      </c>
      <c r="B1679">
        <v>2005</v>
      </c>
      <c r="C1679" t="s">
        <v>106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214</v>
      </c>
      <c r="B1680">
        <v>2004</v>
      </c>
      <c r="C1680" t="s">
        <v>106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214</v>
      </c>
      <c r="B1681">
        <v>2003</v>
      </c>
      <c r="C1681" t="s">
        <v>106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214</v>
      </c>
      <c r="B1682">
        <v>2002</v>
      </c>
      <c r="C1682" t="s">
        <v>106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214</v>
      </c>
      <c r="B1683">
        <v>2001</v>
      </c>
      <c r="C1683" t="s">
        <v>106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214</v>
      </c>
      <c r="B1684">
        <v>2000</v>
      </c>
      <c r="C1684" t="s">
        <v>106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215</v>
      </c>
      <c r="B1685">
        <v>2015</v>
      </c>
      <c r="C1685" t="s">
        <v>106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215</v>
      </c>
      <c r="B1686">
        <v>2014</v>
      </c>
      <c r="C1686" t="s">
        <v>106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215</v>
      </c>
      <c r="B1687">
        <v>2013</v>
      </c>
      <c r="C1687" t="s">
        <v>106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215</v>
      </c>
      <c r="B1688">
        <v>2012</v>
      </c>
      <c r="C1688" t="s">
        <v>106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215</v>
      </c>
      <c r="B1689">
        <v>2011</v>
      </c>
      <c r="C1689" t="s">
        <v>106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215</v>
      </c>
      <c r="B1690">
        <v>2010</v>
      </c>
      <c r="C1690" t="s">
        <v>106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215</v>
      </c>
      <c r="B1691">
        <v>2009</v>
      </c>
      <c r="C1691" t="s">
        <v>106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215</v>
      </c>
      <c r="B1692">
        <v>2008</v>
      </c>
      <c r="C1692" t="s">
        <v>106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215</v>
      </c>
      <c r="B1693">
        <v>2007</v>
      </c>
      <c r="C1693" t="s">
        <v>106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215</v>
      </c>
      <c r="B1694">
        <v>2006</v>
      </c>
      <c r="C1694" t="s">
        <v>106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215</v>
      </c>
      <c r="B1695">
        <v>2005</v>
      </c>
      <c r="C1695" t="s">
        <v>106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215</v>
      </c>
      <c r="B1696">
        <v>2004</v>
      </c>
      <c r="C1696" t="s">
        <v>106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215</v>
      </c>
      <c r="B1697">
        <v>2003</v>
      </c>
      <c r="C1697" t="s">
        <v>106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215</v>
      </c>
      <c r="B1698">
        <v>2002</v>
      </c>
      <c r="C1698" t="s">
        <v>106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215</v>
      </c>
      <c r="B1699">
        <v>2001</v>
      </c>
      <c r="C1699" t="s">
        <v>106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215</v>
      </c>
      <c r="B1700">
        <v>2000</v>
      </c>
      <c r="C1700" t="s">
        <v>106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216</v>
      </c>
      <c r="B1701">
        <v>2015</v>
      </c>
      <c r="C1701" t="s">
        <v>106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216</v>
      </c>
      <c r="B1702">
        <v>2014</v>
      </c>
      <c r="C1702" t="s">
        <v>106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216</v>
      </c>
      <c r="B1703">
        <v>2013</v>
      </c>
      <c r="C1703" t="s">
        <v>106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216</v>
      </c>
      <c r="B1704">
        <v>2012</v>
      </c>
      <c r="C1704" t="s">
        <v>106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216</v>
      </c>
      <c r="B1705">
        <v>2011</v>
      </c>
      <c r="C1705" t="s">
        <v>106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216</v>
      </c>
      <c r="B1706">
        <v>2010</v>
      </c>
      <c r="C1706" t="s">
        <v>106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216</v>
      </c>
      <c r="B1707">
        <v>2009</v>
      </c>
      <c r="C1707" t="s">
        <v>106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216</v>
      </c>
      <c r="B1708">
        <v>2008</v>
      </c>
      <c r="C1708" t="s">
        <v>106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216</v>
      </c>
      <c r="B1709">
        <v>2007</v>
      </c>
      <c r="C1709" t="s">
        <v>106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216</v>
      </c>
      <c r="B1710">
        <v>2006</v>
      </c>
      <c r="C1710" t="s">
        <v>106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216</v>
      </c>
      <c r="B1711">
        <v>2005</v>
      </c>
      <c r="C1711" t="s">
        <v>106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216</v>
      </c>
      <c r="B1712">
        <v>2004</v>
      </c>
      <c r="C1712" t="s">
        <v>106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216</v>
      </c>
      <c r="B1713">
        <v>2003</v>
      </c>
      <c r="C1713" t="s">
        <v>106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216</v>
      </c>
      <c r="B1714">
        <v>2002</v>
      </c>
      <c r="C1714" t="s">
        <v>106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216</v>
      </c>
      <c r="B1715">
        <v>2001</v>
      </c>
      <c r="C1715" t="s">
        <v>106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216</v>
      </c>
      <c r="B1716">
        <v>2000</v>
      </c>
      <c r="C1716" t="s">
        <v>106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217</v>
      </c>
      <c r="B1717">
        <v>2013</v>
      </c>
      <c r="C1717" t="s">
        <v>106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218</v>
      </c>
      <c r="B1718">
        <v>2015</v>
      </c>
      <c r="C1718" t="s">
        <v>106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218</v>
      </c>
      <c r="B1719">
        <v>2014</v>
      </c>
      <c r="C1719" t="s">
        <v>106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218</v>
      </c>
      <c r="B1720">
        <v>2013</v>
      </c>
      <c r="C1720" t="s">
        <v>106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218</v>
      </c>
      <c r="B1721">
        <v>2012</v>
      </c>
      <c r="C1721" t="s">
        <v>106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218</v>
      </c>
      <c r="B1722">
        <v>2011</v>
      </c>
      <c r="C1722" t="s">
        <v>106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218</v>
      </c>
      <c r="B1723">
        <v>2010</v>
      </c>
      <c r="C1723" t="s">
        <v>106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218</v>
      </c>
      <c r="B1724">
        <v>2009</v>
      </c>
      <c r="C1724" t="s">
        <v>106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218</v>
      </c>
      <c r="B1725">
        <v>2008</v>
      </c>
      <c r="C1725" t="s">
        <v>106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218</v>
      </c>
      <c r="B1726">
        <v>2007</v>
      </c>
      <c r="C1726" t="s">
        <v>106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218</v>
      </c>
      <c r="B1727">
        <v>2006</v>
      </c>
      <c r="C1727" t="s">
        <v>106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218</v>
      </c>
      <c r="B1728">
        <v>2005</v>
      </c>
      <c r="C1728" t="s">
        <v>106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218</v>
      </c>
      <c r="B1729">
        <v>2004</v>
      </c>
      <c r="C1729" t="s">
        <v>106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218</v>
      </c>
      <c r="B1730">
        <v>2003</v>
      </c>
      <c r="C1730" t="s">
        <v>106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218</v>
      </c>
      <c r="B1731">
        <v>2002</v>
      </c>
      <c r="C1731" t="s">
        <v>106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218</v>
      </c>
      <c r="B1732">
        <v>2001</v>
      </c>
      <c r="C1732" t="s">
        <v>106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218</v>
      </c>
      <c r="B1733">
        <v>2000</v>
      </c>
      <c r="C1733" t="s">
        <v>106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219</v>
      </c>
      <c r="B1734">
        <v>2015</v>
      </c>
      <c r="C1734" t="s">
        <v>106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219</v>
      </c>
      <c r="B1735">
        <v>2014</v>
      </c>
      <c r="C1735" t="s">
        <v>106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219</v>
      </c>
      <c r="B1736">
        <v>2013</v>
      </c>
      <c r="C1736" t="s">
        <v>106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219</v>
      </c>
      <c r="B1737">
        <v>2012</v>
      </c>
      <c r="C1737" t="s">
        <v>106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219</v>
      </c>
      <c r="B1738">
        <v>2011</v>
      </c>
      <c r="C1738" t="s">
        <v>106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219</v>
      </c>
      <c r="B1739">
        <v>2010</v>
      </c>
      <c r="C1739" t="s">
        <v>106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219</v>
      </c>
      <c r="B1740">
        <v>2009</v>
      </c>
      <c r="C1740" t="s">
        <v>106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219</v>
      </c>
      <c r="B1741">
        <v>2008</v>
      </c>
      <c r="C1741" t="s">
        <v>106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219</v>
      </c>
      <c r="B1742">
        <v>2007</v>
      </c>
      <c r="C1742" t="s">
        <v>106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219</v>
      </c>
      <c r="B1743">
        <v>2006</v>
      </c>
      <c r="C1743" t="s">
        <v>106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219</v>
      </c>
      <c r="B1744">
        <v>2005</v>
      </c>
      <c r="C1744" t="s">
        <v>106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219</v>
      </c>
      <c r="B1745">
        <v>2004</v>
      </c>
      <c r="C1745" t="s">
        <v>106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219</v>
      </c>
      <c r="B1746">
        <v>2003</v>
      </c>
      <c r="C1746" t="s">
        <v>106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219</v>
      </c>
      <c r="B1747">
        <v>2002</v>
      </c>
      <c r="C1747" t="s">
        <v>106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219</v>
      </c>
      <c r="B1748">
        <v>2001</v>
      </c>
      <c r="C1748" t="s">
        <v>106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219</v>
      </c>
      <c r="B1749">
        <v>2000</v>
      </c>
      <c r="C1749" t="s">
        <v>106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220</v>
      </c>
      <c r="B1750">
        <v>2015</v>
      </c>
      <c r="C1750" t="s">
        <v>106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220</v>
      </c>
      <c r="B1751">
        <v>2014</v>
      </c>
      <c r="C1751" t="s">
        <v>106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220</v>
      </c>
      <c r="B1752">
        <v>2013</v>
      </c>
      <c r="C1752" t="s">
        <v>106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220</v>
      </c>
      <c r="B1753">
        <v>2012</v>
      </c>
      <c r="C1753" t="s">
        <v>106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220</v>
      </c>
      <c r="B1754">
        <v>2011</v>
      </c>
      <c r="C1754" t="s">
        <v>106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220</v>
      </c>
      <c r="B1755">
        <v>2010</v>
      </c>
      <c r="C1755" t="s">
        <v>106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220</v>
      </c>
      <c r="B1756">
        <v>2009</v>
      </c>
      <c r="C1756" t="s">
        <v>106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220</v>
      </c>
      <c r="B1757">
        <v>2008</v>
      </c>
      <c r="C1757" t="s">
        <v>106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220</v>
      </c>
      <c r="B1758">
        <v>2007</v>
      </c>
      <c r="C1758" t="s">
        <v>106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220</v>
      </c>
      <c r="B1759">
        <v>2006</v>
      </c>
      <c r="C1759" t="s">
        <v>106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220</v>
      </c>
      <c r="B1760">
        <v>2005</v>
      </c>
      <c r="C1760" t="s">
        <v>106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220</v>
      </c>
      <c r="B1761">
        <v>2004</v>
      </c>
      <c r="C1761" t="s">
        <v>106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220</v>
      </c>
      <c r="B1762">
        <v>2003</v>
      </c>
      <c r="C1762" t="s">
        <v>106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220</v>
      </c>
      <c r="B1763">
        <v>2002</v>
      </c>
      <c r="C1763" t="s">
        <v>106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220</v>
      </c>
      <c r="B1764">
        <v>2001</v>
      </c>
      <c r="C1764" t="s">
        <v>106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220</v>
      </c>
      <c r="B1765">
        <v>2000</v>
      </c>
      <c r="C1765" t="s">
        <v>106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221</v>
      </c>
      <c r="B1766">
        <v>2015</v>
      </c>
      <c r="C1766" t="s">
        <v>106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221</v>
      </c>
      <c r="B1767">
        <v>2014</v>
      </c>
      <c r="C1767" t="s">
        <v>106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221</v>
      </c>
      <c r="B1768">
        <v>2013</v>
      </c>
      <c r="C1768" t="s">
        <v>106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221</v>
      </c>
      <c r="B1769">
        <v>2012</v>
      </c>
      <c r="C1769" t="s">
        <v>106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221</v>
      </c>
      <c r="B1770">
        <v>2011</v>
      </c>
      <c r="C1770" t="s">
        <v>106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221</v>
      </c>
      <c r="B1771">
        <v>2010</v>
      </c>
      <c r="C1771" t="s">
        <v>106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221</v>
      </c>
      <c r="B1772">
        <v>2009</v>
      </c>
      <c r="C1772" t="s">
        <v>106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221</v>
      </c>
      <c r="B1773">
        <v>2008</v>
      </c>
      <c r="C1773" t="s">
        <v>106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221</v>
      </c>
      <c r="B1774">
        <v>2007</v>
      </c>
      <c r="C1774" t="s">
        <v>106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221</v>
      </c>
      <c r="B1775">
        <v>2006</v>
      </c>
      <c r="C1775" t="s">
        <v>106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221</v>
      </c>
      <c r="B1776">
        <v>2005</v>
      </c>
      <c r="C1776" t="s">
        <v>106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221</v>
      </c>
      <c r="B1777">
        <v>2004</v>
      </c>
      <c r="C1777" t="s">
        <v>106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221</v>
      </c>
      <c r="B1778">
        <v>2003</v>
      </c>
      <c r="C1778" t="s">
        <v>106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221</v>
      </c>
      <c r="B1779">
        <v>2002</v>
      </c>
      <c r="C1779" t="s">
        <v>106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221</v>
      </c>
      <c r="B1780">
        <v>2001</v>
      </c>
      <c r="C1780" t="s">
        <v>106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221</v>
      </c>
      <c r="B1781">
        <v>2000</v>
      </c>
      <c r="C1781" t="s">
        <v>106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222</v>
      </c>
      <c r="B1782">
        <v>2015</v>
      </c>
      <c r="C1782" t="s">
        <v>106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222</v>
      </c>
      <c r="B1783">
        <v>2014</v>
      </c>
      <c r="C1783" t="s">
        <v>106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222</v>
      </c>
      <c r="B1784">
        <v>2013</v>
      </c>
      <c r="C1784" t="s">
        <v>106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222</v>
      </c>
      <c r="B1785">
        <v>2012</v>
      </c>
      <c r="C1785" t="s">
        <v>106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222</v>
      </c>
      <c r="B1786">
        <v>2011</v>
      </c>
      <c r="C1786" t="s">
        <v>106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222</v>
      </c>
      <c r="B1787">
        <v>2010</v>
      </c>
      <c r="C1787" t="s">
        <v>106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222</v>
      </c>
      <c r="B1788">
        <v>2009</v>
      </c>
      <c r="C1788" t="s">
        <v>106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222</v>
      </c>
      <c r="B1789">
        <v>2008</v>
      </c>
      <c r="C1789" t="s">
        <v>106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222</v>
      </c>
      <c r="B1790">
        <v>2007</v>
      </c>
      <c r="C1790" t="s">
        <v>106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222</v>
      </c>
      <c r="B1791">
        <v>2006</v>
      </c>
      <c r="C1791" t="s">
        <v>106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222</v>
      </c>
      <c r="B1792">
        <v>2005</v>
      </c>
      <c r="C1792" t="s">
        <v>106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222</v>
      </c>
      <c r="B1793">
        <v>2004</v>
      </c>
      <c r="C1793" t="s">
        <v>106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222</v>
      </c>
      <c r="B1794">
        <v>2003</v>
      </c>
      <c r="C1794" t="s">
        <v>106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222</v>
      </c>
      <c r="B1795">
        <v>2002</v>
      </c>
      <c r="C1795" t="s">
        <v>106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222</v>
      </c>
      <c r="B1796">
        <v>2001</v>
      </c>
      <c r="C1796" t="s">
        <v>106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222</v>
      </c>
      <c r="B1797">
        <v>2000</v>
      </c>
      <c r="C1797" t="s">
        <v>106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223</v>
      </c>
      <c r="B1798">
        <v>2015</v>
      </c>
      <c r="C1798" t="s">
        <v>106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223</v>
      </c>
      <c r="B1799">
        <v>2014</v>
      </c>
      <c r="C1799" t="s">
        <v>106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223</v>
      </c>
      <c r="B1800">
        <v>2013</v>
      </c>
      <c r="C1800" t="s">
        <v>106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223</v>
      </c>
      <c r="B1801">
        <v>2012</v>
      </c>
      <c r="C1801" t="s">
        <v>106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223</v>
      </c>
      <c r="B1802">
        <v>2011</v>
      </c>
      <c r="C1802" t="s">
        <v>106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223</v>
      </c>
      <c r="B1803">
        <v>2010</v>
      </c>
      <c r="C1803" t="s">
        <v>106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223</v>
      </c>
      <c r="B1804">
        <v>2009</v>
      </c>
      <c r="C1804" t="s">
        <v>106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223</v>
      </c>
      <c r="B1805">
        <v>2008</v>
      </c>
      <c r="C1805" t="s">
        <v>106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223</v>
      </c>
      <c r="B1806">
        <v>2007</v>
      </c>
      <c r="C1806" t="s">
        <v>106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223</v>
      </c>
      <c r="B1807">
        <v>2006</v>
      </c>
      <c r="C1807" t="s">
        <v>106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223</v>
      </c>
      <c r="B1808">
        <v>2005</v>
      </c>
      <c r="C1808" t="s">
        <v>106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223</v>
      </c>
      <c r="B1809">
        <v>2004</v>
      </c>
      <c r="C1809" t="s">
        <v>106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223</v>
      </c>
      <c r="B1810">
        <v>2003</v>
      </c>
      <c r="C1810" t="s">
        <v>106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223</v>
      </c>
      <c r="B1811">
        <v>2002</v>
      </c>
      <c r="C1811" t="s">
        <v>106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223</v>
      </c>
      <c r="B1812">
        <v>2001</v>
      </c>
      <c r="C1812" t="s">
        <v>106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223</v>
      </c>
      <c r="B1813">
        <v>2000</v>
      </c>
      <c r="C1813" t="s">
        <v>106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224</v>
      </c>
      <c r="B1814">
        <v>2013</v>
      </c>
      <c r="C1814" t="s">
        <v>106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225</v>
      </c>
      <c r="B1815">
        <v>2015</v>
      </c>
      <c r="C1815" t="s">
        <v>106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225</v>
      </c>
      <c r="B1816">
        <v>2014</v>
      </c>
      <c r="C1816" t="s">
        <v>106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225</v>
      </c>
      <c r="B1817">
        <v>2013</v>
      </c>
      <c r="C1817" t="s">
        <v>106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225</v>
      </c>
      <c r="B1818">
        <v>2012</v>
      </c>
      <c r="C1818" t="s">
        <v>106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225</v>
      </c>
      <c r="B1819">
        <v>2011</v>
      </c>
      <c r="C1819" t="s">
        <v>106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225</v>
      </c>
      <c r="B1820">
        <v>2010</v>
      </c>
      <c r="C1820" t="s">
        <v>106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225</v>
      </c>
      <c r="B1821">
        <v>2009</v>
      </c>
      <c r="C1821" t="s">
        <v>106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225</v>
      </c>
      <c r="B1822">
        <v>2008</v>
      </c>
      <c r="C1822" t="s">
        <v>106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225</v>
      </c>
      <c r="B1823">
        <v>2007</v>
      </c>
      <c r="C1823" t="s">
        <v>106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225</v>
      </c>
      <c r="B1824">
        <v>2006</v>
      </c>
      <c r="C1824" t="s">
        <v>106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225</v>
      </c>
      <c r="B1825">
        <v>2005</v>
      </c>
      <c r="C1825" t="s">
        <v>106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225</v>
      </c>
      <c r="B1826">
        <v>2004</v>
      </c>
      <c r="C1826" t="s">
        <v>106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225</v>
      </c>
      <c r="B1827">
        <v>2003</v>
      </c>
      <c r="C1827" t="s">
        <v>106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225</v>
      </c>
      <c r="B1828">
        <v>2002</v>
      </c>
      <c r="C1828" t="s">
        <v>106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225</v>
      </c>
      <c r="B1829">
        <v>2001</v>
      </c>
      <c r="C1829" t="s">
        <v>106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225</v>
      </c>
      <c r="B1830">
        <v>2000</v>
      </c>
      <c r="C1830" t="s">
        <v>106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226</v>
      </c>
      <c r="B1831">
        <v>2015</v>
      </c>
      <c r="C1831" t="s">
        <v>114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226</v>
      </c>
      <c r="B1832">
        <v>2014</v>
      </c>
      <c r="C1832" t="s">
        <v>114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226</v>
      </c>
      <c r="B1833">
        <v>2013</v>
      </c>
      <c r="C1833" t="s">
        <v>114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226</v>
      </c>
      <c r="B1834">
        <v>2012</v>
      </c>
      <c r="C1834" t="s">
        <v>114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226</v>
      </c>
      <c r="B1835">
        <v>2011</v>
      </c>
      <c r="C1835" t="s">
        <v>114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226</v>
      </c>
      <c r="B1836">
        <v>2010</v>
      </c>
      <c r="C1836" t="s">
        <v>114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226</v>
      </c>
      <c r="B1837">
        <v>2009</v>
      </c>
      <c r="C1837" t="s">
        <v>114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226</v>
      </c>
      <c r="B1838">
        <v>2008</v>
      </c>
      <c r="C1838" t="s">
        <v>114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226</v>
      </c>
      <c r="B1839">
        <v>2007</v>
      </c>
      <c r="C1839" t="s">
        <v>114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226</v>
      </c>
      <c r="B1840">
        <v>2006</v>
      </c>
      <c r="C1840" t="s">
        <v>114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226</v>
      </c>
      <c r="B1841">
        <v>2005</v>
      </c>
      <c r="C1841" t="s">
        <v>114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226</v>
      </c>
      <c r="B1842">
        <v>2004</v>
      </c>
      <c r="C1842" t="s">
        <v>114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226</v>
      </c>
      <c r="B1843">
        <v>2003</v>
      </c>
      <c r="C1843" t="s">
        <v>114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226</v>
      </c>
      <c r="B1844">
        <v>2002</v>
      </c>
      <c r="C1844" t="s">
        <v>114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226</v>
      </c>
      <c r="B1845">
        <v>2001</v>
      </c>
      <c r="C1845" t="s">
        <v>114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226</v>
      </c>
      <c r="B1846">
        <v>2000</v>
      </c>
      <c r="C1846" t="s">
        <v>114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227</v>
      </c>
      <c r="B1847">
        <v>2015</v>
      </c>
      <c r="C1847" t="s">
        <v>114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227</v>
      </c>
      <c r="B1848">
        <v>2014</v>
      </c>
      <c r="C1848" t="s">
        <v>114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227</v>
      </c>
      <c r="B1849">
        <v>2013</v>
      </c>
      <c r="C1849" t="s">
        <v>114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227</v>
      </c>
      <c r="B1850">
        <v>2012</v>
      </c>
      <c r="C1850" t="s">
        <v>114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227</v>
      </c>
      <c r="B1851">
        <v>2011</v>
      </c>
      <c r="C1851" t="s">
        <v>114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227</v>
      </c>
      <c r="B1852">
        <v>2010</v>
      </c>
      <c r="C1852" t="s">
        <v>114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227</v>
      </c>
      <c r="B1853">
        <v>2009</v>
      </c>
      <c r="C1853" t="s">
        <v>114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227</v>
      </c>
      <c r="B1854">
        <v>2008</v>
      </c>
      <c r="C1854" t="s">
        <v>114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227</v>
      </c>
      <c r="B1855">
        <v>2007</v>
      </c>
      <c r="C1855" t="s">
        <v>114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227</v>
      </c>
      <c r="B1856">
        <v>2006</v>
      </c>
      <c r="C1856" t="s">
        <v>114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227</v>
      </c>
      <c r="B1857">
        <v>2005</v>
      </c>
      <c r="C1857" t="s">
        <v>114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227</v>
      </c>
      <c r="B1858">
        <v>2004</v>
      </c>
      <c r="C1858" t="s">
        <v>114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227</v>
      </c>
      <c r="B1859">
        <v>2003</v>
      </c>
      <c r="C1859" t="s">
        <v>114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227</v>
      </c>
      <c r="B1860">
        <v>2002</v>
      </c>
      <c r="C1860" t="s">
        <v>114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227</v>
      </c>
      <c r="B1861">
        <v>2001</v>
      </c>
      <c r="C1861" t="s">
        <v>114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227</v>
      </c>
      <c r="B1862">
        <v>2000</v>
      </c>
      <c r="C1862" t="s">
        <v>114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228</v>
      </c>
      <c r="B1863">
        <v>2015</v>
      </c>
      <c r="C1863" t="s">
        <v>106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228</v>
      </c>
      <c r="B1864">
        <v>2014</v>
      </c>
      <c r="C1864" t="s">
        <v>106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228</v>
      </c>
      <c r="B1865">
        <v>2013</v>
      </c>
      <c r="C1865" t="s">
        <v>106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228</v>
      </c>
      <c r="B1866">
        <v>2012</v>
      </c>
      <c r="C1866" t="s">
        <v>106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228</v>
      </c>
      <c r="B1867">
        <v>2011</v>
      </c>
      <c r="C1867" t="s">
        <v>106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228</v>
      </c>
      <c r="B1868">
        <v>2010</v>
      </c>
      <c r="C1868" t="s">
        <v>106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228</v>
      </c>
      <c r="B1869">
        <v>2009</v>
      </c>
      <c r="C1869" t="s">
        <v>106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228</v>
      </c>
      <c r="B1870">
        <v>2008</v>
      </c>
      <c r="C1870" t="s">
        <v>106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228</v>
      </c>
      <c r="B1871">
        <v>2007</v>
      </c>
      <c r="C1871" t="s">
        <v>106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228</v>
      </c>
      <c r="B1872">
        <v>2006</v>
      </c>
      <c r="C1872" t="s">
        <v>106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228</v>
      </c>
      <c r="B1873">
        <v>2005</v>
      </c>
      <c r="C1873" t="s">
        <v>106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228</v>
      </c>
      <c r="B1874">
        <v>2004</v>
      </c>
      <c r="C1874" t="s">
        <v>106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228</v>
      </c>
      <c r="B1875">
        <v>2003</v>
      </c>
      <c r="C1875" t="s">
        <v>106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228</v>
      </c>
      <c r="B1876">
        <v>2002</v>
      </c>
      <c r="C1876" t="s">
        <v>106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228</v>
      </c>
      <c r="B1877">
        <v>2001</v>
      </c>
      <c r="C1877" t="s">
        <v>106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228</v>
      </c>
      <c r="B1878">
        <v>2000</v>
      </c>
      <c r="C1878" t="s">
        <v>106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229</v>
      </c>
      <c r="B1879">
        <v>2015</v>
      </c>
      <c r="C1879" t="s">
        <v>106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229</v>
      </c>
      <c r="B1880">
        <v>2014</v>
      </c>
      <c r="C1880" t="s">
        <v>106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229</v>
      </c>
      <c r="B1881">
        <v>2013</v>
      </c>
      <c r="C1881" t="s">
        <v>106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229</v>
      </c>
      <c r="B1882">
        <v>2012</v>
      </c>
      <c r="C1882" t="s">
        <v>106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229</v>
      </c>
      <c r="B1883">
        <v>2011</v>
      </c>
      <c r="C1883" t="s">
        <v>106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229</v>
      </c>
      <c r="B1884">
        <v>2010</v>
      </c>
      <c r="C1884" t="s">
        <v>106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229</v>
      </c>
      <c r="B1885">
        <v>2009</v>
      </c>
      <c r="C1885" t="s">
        <v>106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229</v>
      </c>
      <c r="B1886">
        <v>2008</v>
      </c>
      <c r="C1886" t="s">
        <v>106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229</v>
      </c>
      <c r="B1887">
        <v>2007</v>
      </c>
      <c r="C1887" t="s">
        <v>106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229</v>
      </c>
      <c r="B1888">
        <v>2006</v>
      </c>
      <c r="C1888" t="s">
        <v>106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229</v>
      </c>
      <c r="B1889">
        <v>2005</v>
      </c>
      <c r="C1889" t="s">
        <v>106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229</v>
      </c>
      <c r="B1890">
        <v>2004</v>
      </c>
      <c r="C1890" t="s">
        <v>106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229</v>
      </c>
      <c r="B1891">
        <v>2003</v>
      </c>
      <c r="C1891" t="s">
        <v>106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229</v>
      </c>
      <c r="B1892">
        <v>2002</v>
      </c>
      <c r="C1892" t="s">
        <v>106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229</v>
      </c>
      <c r="B1893">
        <v>2001</v>
      </c>
      <c r="C1893" t="s">
        <v>106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229</v>
      </c>
      <c r="B1894">
        <v>2000</v>
      </c>
      <c r="C1894" t="s">
        <v>106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230</v>
      </c>
      <c r="B1895">
        <v>2015</v>
      </c>
      <c r="C1895" t="s">
        <v>106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230</v>
      </c>
      <c r="B1896">
        <v>2014</v>
      </c>
      <c r="C1896" t="s">
        <v>106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230</v>
      </c>
      <c r="B1897">
        <v>2013</v>
      </c>
      <c r="C1897" t="s">
        <v>106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230</v>
      </c>
      <c r="B1898">
        <v>2012</v>
      </c>
      <c r="C1898" t="s">
        <v>106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230</v>
      </c>
      <c r="B1899">
        <v>2011</v>
      </c>
      <c r="C1899" t="s">
        <v>106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230</v>
      </c>
      <c r="B1900">
        <v>2010</v>
      </c>
      <c r="C1900" t="s">
        <v>106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230</v>
      </c>
      <c r="B1901">
        <v>2009</v>
      </c>
      <c r="C1901" t="s">
        <v>106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230</v>
      </c>
      <c r="B1902">
        <v>2008</v>
      </c>
      <c r="C1902" t="s">
        <v>106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230</v>
      </c>
      <c r="B1903">
        <v>2007</v>
      </c>
      <c r="C1903" t="s">
        <v>106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230</v>
      </c>
      <c r="B1904">
        <v>2006</v>
      </c>
      <c r="C1904" t="s">
        <v>106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230</v>
      </c>
      <c r="B1905">
        <v>2005</v>
      </c>
      <c r="C1905" t="s">
        <v>106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230</v>
      </c>
      <c r="B1906">
        <v>2004</v>
      </c>
      <c r="C1906" t="s">
        <v>106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230</v>
      </c>
      <c r="B1907">
        <v>2003</v>
      </c>
      <c r="C1907" t="s">
        <v>106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230</v>
      </c>
      <c r="B1908">
        <v>2002</v>
      </c>
      <c r="C1908" t="s">
        <v>106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230</v>
      </c>
      <c r="B1909">
        <v>2001</v>
      </c>
      <c r="C1909" t="s">
        <v>106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230</v>
      </c>
      <c r="B1910">
        <v>2000</v>
      </c>
      <c r="C1910" t="s">
        <v>106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231</v>
      </c>
      <c r="B1911">
        <v>2013</v>
      </c>
      <c r="C1911" t="s">
        <v>106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232</v>
      </c>
      <c r="B1912">
        <v>2015</v>
      </c>
      <c r="C1912" t="s">
        <v>114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232</v>
      </c>
      <c r="B1913">
        <v>2014</v>
      </c>
      <c r="C1913" t="s">
        <v>114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232</v>
      </c>
      <c r="B1914">
        <v>2013</v>
      </c>
      <c r="C1914" t="s">
        <v>114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232</v>
      </c>
      <c r="B1915">
        <v>2012</v>
      </c>
      <c r="C1915" t="s">
        <v>114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232</v>
      </c>
      <c r="B1916">
        <v>2011</v>
      </c>
      <c r="C1916" t="s">
        <v>114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232</v>
      </c>
      <c r="B1917">
        <v>2010</v>
      </c>
      <c r="C1917" t="s">
        <v>114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232</v>
      </c>
      <c r="B1918">
        <v>2009</v>
      </c>
      <c r="C1918" t="s">
        <v>114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232</v>
      </c>
      <c r="B1919">
        <v>2008</v>
      </c>
      <c r="C1919" t="s">
        <v>114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232</v>
      </c>
      <c r="B1920">
        <v>2007</v>
      </c>
      <c r="C1920" t="s">
        <v>114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232</v>
      </c>
      <c r="B1921">
        <v>2006</v>
      </c>
      <c r="C1921" t="s">
        <v>114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232</v>
      </c>
      <c r="B1922">
        <v>2005</v>
      </c>
      <c r="C1922" t="s">
        <v>114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232</v>
      </c>
      <c r="B1923">
        <v>2004</v>
      </c>
      <c r="C1923" t="s">
        <v>114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232</v>
      </c>
      <c r="B1924">
        <v>2003</v>
      </c>
      <c r="C1924" t="s">
        <v>114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232</v>
      </c>
      <c r="B1925">
        <v>2002</v>
      </c>
      <c r="C1925" t="s">
        <v>114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232</v>
      </c>
      <c r="B1926">
        <v>2001</v>
      </c>
      <c r="C1926" t="s">
        <v>114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232</v>
      </c>
      <c r="B1927">
        <v>2000</v>
      </c>
      <c r="C1927" t="s">
        <v>114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233</v>
      </c>
      <c r="B1928">
        <v>2015</v>
      </c>
      <c r="C1928" t="s">
        <v>106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233</v>
      </c>
      <c r="B1929">
        <v>2014</v>
      </c>
      <c r="C1929" t="s">
        <v>106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233</v>
      </c>
      <c r="B1930">
        <v>2013</v>
      </c>
      <c r="C1930" t="s">
        <v>106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233</v>
      </c>
      <c r="B1931">
        <v>2012</v>
      </c>
      <c r="C1931" t="s">
        <v>106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233</v>
      </c>
      <c r="B1932">
        <v>2011</v>
      </c>
      <c r="C1932" t="s">
        <v>106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233</v>
      </c>
      <c r="B1933">
        <v>2010</v>
      </c>
      <c r="C1933" t="s">
        <v>106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233</v>
      </c>
      <c r="B1934">
        <v>2009</v>
      </c>
      <c r="C1934" t="s">
        <v>106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233</v>
      </c>
      <c r="B1935">
        <v>2008</v>
      </c>
      <c r="C1935" t="s">
        <v>106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233</v>
      </c>
      <c r="B1936">
        <v>2007</v>
      </c>
      <c r="C1936" t="s">
        <v>106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233</v>
      </c>
      <c r="B1937">
        <v>2006</v>
      </c>
      <c r="C1937" t="s">
        <v>106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233</v>
      </c>
      <c r="B1938">
        <v>2005</v>
      </c>
      <c r="C1938" t="s">
        <v>106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233</v>
      </c>
      <c r="B1939">
        <v>2004</v>
      </c>
      <c r="C1939" t="s">
        <v>106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233</v>
      </c>
      <c r="B1940">
        <v>2003</v>
      </c>
      <c r="C1940" t="s">
        <v>106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233</v>
      </c>
      <c r="B1941">
        <v>2002</v>
      </c>
      <c r="C1941" t="s">
        <v>106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233</v>
      </c>
      <c r="B1942">
        <v>2001</v>
      </c>
      <c r="C1942" t="s">
        <v>106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233</v>
      </c>
      <c r="B1943">
        <v>2000</v>
      </c>
      <c r="C1943" t="s">
        <v>106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234</v>
      </c>
      <c r="B1944">
        <v>2015</v>
      </c>
      <c r="C1944" t="s">
        <v>106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234</v>
      </c>
      <c r="B1945">
        <v>2014</v>
      </c>
      <c r="C1945" t="s">
        <v>106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234</v>
      </c>
      <c r="B1946">
        <v>2013</v>
      </c>
      <c r="C1946" t="s">
        <v>106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234</v>
      </c>
      <c r="B1947">
        <v>2012</v>
      </c>
      <c r="C1947" t="s">
        <v>106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234</v>
      </c>
      <c r="B1948">
        <v>2011</v>
      </c>
      <c r="C1948" t="s">
        <v>106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234</v>
      </c>
      <c r="B1949">
        <v>2010</v>
      </c>
      <c r="C1949" t="s">
        <v>106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234</v>
      </c>
      <c r="B1950">
        <v>2009</v>
      </c>
      <c r="C1950" t="s">
        <v>106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234</v>
      </c>
      <c r="B1951">
        <v>2008</v>
      </c>
      <c r="C1951" t="s">
        <v>106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234</v>
      </c>
      <c r="B1952">
        <v>2007</v>
      </c>
      <c r="C1952" t="s">
        <v>106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234</v>
      </c>
      <c r="B1953">
        <v>2006</v>
      </c>
      <c r="C1953" t="s">
        <v>106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234</v>
      </c>
      <c r="B1954">
        <v>2005</v>
      </c>
      <c r="C1954" t="s">
        <v>106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234</v>
      </c>
      <c r="B1955">
        <v>2004</v>
      </c>
      <c r="C1955" t="s">
        <v>106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234</v>
      </c>
      <c r="B1956">
        <v>2003</v>
      </c>
      <c r="C1956" t="s">
        <v>106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234</v>
      </c>
      <c r="B1957">
        <v>2002</v>
      </c>
      <c r="C1957" t="s">
        <v>106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234</v>
      </c>
      <c r="B1958">
        <v>2001</v>
      </c>
      <c r="C1958" t="s">
        <v>106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234</v>
      </c>
      <c r="B1959">
        <v>2000</v>
      </c>
      <c r="C1959" t="s">
        <v>106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235</v>
      </c>
      <c r="B1960">
        <v>2013</v>
      </c>
      <c r="C1960" t="s">
        <v>106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236</v>
      </c>
      <c r="B1961">
        <v>2015</v>
      </c>
      <c r="C1961" t="s">
        <v>106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236</v>
      </c>
      <c r="B1962">
        <v>2014</v>
      </c>
      <c r="C1962" t="s">
        <v>106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236</v>
      </c>
      <c r="B1963">
        <v>2013</v>
      </c>
      <c r="C1963" t="s">
        <v>106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236</v>
      </c>
      <c r="B1964">
        <v>2012</v>
      </c>
      <c r="C1964" t="s">
        <v>106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236</v>
      </c>
      <c r="B1965">
        <v>2011</v>
      </c>
      <c r="C1965" t="s">
        <v>106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236</v>
      </c>
      <c r="B1966">
        <v>2010</v>
      </c>
      <c r="C1966" t="s">
        <v>106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236</v>
      </c>
      <c r="B1967">
        <v>2009</v>
      </c>
      <c r="C1967" t="s">
        <v>106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236</v>
      </c>
      <c r="B1968">
        <v>2008</v>
      </c>
      <c r="C1968" t="s">
        <v>106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236</v>
      </c>
      <c r="B1969">
        <v>2007</v>
      </c>
      <c r="C1969" t="s">
        <v>106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236</v>
      </c>
      <c r="B1970">
        <v>2006</v>
      </c>
      <c r="C1970" t="s">
        <v>106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236</v>
      </c>
      <c r="B1971">
        <v>2005</v>
      </c>
      <c r="C1971" t="s">
        <v>106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236</v>
      </c>
      <c r="B1972">
        <v>2004</v>
      </c>
      <c r="C1972" t="s">
        <v>106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236</v>
      </c>
      <c r="B1973">
        <v>2003</v>
      </c>
      <c r="C1973" t="s">
        <v>106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236</v>
      </c>
      <c r="B1974">
        <v>2002</v>
      </c>
      <c r="C1974" t="s">
        <v>106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236</v>
      </c>
      <c r="B1975">
        <v>2001</v>
      </c>
      <c r="C1975" t="s">
        <v>106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236</v>
      </c>
      <c r="B1976">
        <v>2000</v>
      </c>
      <c r="C1976" t="s">
        <v>106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237</v>
      </c>
      <c r="B1977">
        <v>2015</v>
      </c>
      <c r="C1977" t="s">
        <v>106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237</v>
      </c>
      <c r="B1978">
        <v>2014</v>
      </c>
      <c r="C1978" t="s">
        <v>106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237</v>
      </c>
      <c r="B1979">
        <v>2013</v>
      </c>
      <c r="C1979" t="s">
        <v>106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237</v>
      </c>
      <c r="B1980">
        <v>2012</v>
      </c>
      <c r="C1980" t="s">
        <v>106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237</v>
      </c>
      <c r="B1981">
        <v>2011</v>
      </c>
      <c r="C1981" t="s">
        <v>106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237</v>
      </c>
      <c r="B1982">
        <v>2010</v>
      </c>
      <c r="C1982" t="s">
        <v>106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237</v>
      </c>
      <c r="B1983">
        <v>2009</v>
      </c>
      <c r="C1983" t="s">
        <v>106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237</v>
      </c>
      <c r="B1984">
        <v>2008</v>
      </c>
      <c r="C1984" t="s">
        <v>106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237</v>
      </c>
      <c r="B1985">
        <v>2007</v>
      </c>
      <c r="C1985" t="s">
        <v>106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237</v>
      </c>
      <c r="B1986">
        <v>2006</v>
      </c>
      <c r="C1986" t="s">
        <v>106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237</v>
      </c>
      <c r="B1987">
        <v>2005</v>
      </c>
      <c r="C1987" t="s">
        <v>106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237</v>
      </c>
      <c r="B1988">
        <v>2004</v>
      </c>
      <c r="C1988" t="s">
        <v>106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237</v>
      </c>
      <c r="B1989">
        <v>2003</v>
      </c>
      <c r="C1989" t="s">
        <v>106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237</v>
      </c>
      <c r="B1990">
        <v>2002</v>
      </c>
      <c r="C1990" t="s">
        <v>106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237</v>
      </c>
      <c r="B1991">
        <v>2001</v>
      </c>
      <c r="C1991" t="s">
        <v>106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237</v>
      </c>
      <c r="B1992">
        <v>2000</v>
      </c>
      <c r="C1992" t="s">
        <v>106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238</v>
      </c>
      <c r="B1993">
        <v>2015</v>
      </c>
      <c r="C1993" t="s">
        <v>106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238</v>
      </c>
      <c r="B1994">
        <v>2014</v>
      </c>
      <c r="C1994" t="s">
        <v>106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238</v>
      </c>
      <c r="B1995">
        <v>2013</v>
      </c>
      <c r="C1995" t="s">
        <v>106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238</v>
      </c>
      <c r="B1996">
        <v>2012</v>
      </c>
      <c r="C1996" t="s">
        <v>106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238</v>
      </c>
      <c r="B1997">
        <v>2011</v>
      </c>
      <c r="C1997" t="s">
        <v>106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238</v>
      </c>
      <c r="B1998">
        <v>2010</v>
      </c>
      <c r="C1998" t="s">
        <v>106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238</v>
      </c>
      <c r="B1999">
        <v>2009</v>
      </c>
      <c r="C1999" t="s">
        <v>106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238</v>
      </c>
      <c r="B2000">
        <v>2008</v>
      </c>
      <c r="C2000" t="s">
        <v>106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238</v>
      </c>
      <c r="B2001">
        <v>2007</v>
      </c>
      <c r="C2001" t="s">
        <v>106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238</v>
      </c>
      <c r="B2002">
        <v>2006</v>
      </c>
      <c r="C2002" t="s">
        <v>106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238</v>
      </c>
      <c r="B2003">
        <v>2005</v>
      </c>
      <c r="C2003" t="s">
        <v>106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238</v>
      </c>
      <c r="B2004">
        <v>2004</v>
      </c>
      <c r="C2004" t="s">
        <v>106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238</v>
      </c>
      <c r="B2005">
        <v>2003</v>
      </c>
      <c r="C2005" t="s">
        <v>106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238</v>
      </c>
      <c r="B2006">
        <v>2002</v>
      </c>
      <c r="C2006" t="s">
        <v>106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238</v>
      </c>
      <c r="B2007">
        <v>2001</v>
      </c>
      <c r="C2007" t="s">
        <v>106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238</v>
      </c>
      <c r="B2008">
        <v>2000</v>
      </c>
      <c r="C2008" t="s">
        <v>106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239</v>
      </c>
      <c r="B2009">
        <v>2015</v>
      </c>
      <c r="C2009" t="s">
        <v>106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239</v>
      </c>
      <c r="B2010">
        <v>2014</v>
      </c>
      <c r="C2010" t="s">
        <v>106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239</v>
      </c>
      <c r="B2011">
        <v>2013</v>
      </c>
      <c r="C2011" t="s">
        <v>106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239</v>
      </c>
      <c r="B2012">
        <v>2012</v>
      </c>
      <c r="C2012" t="s">
        <v>106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239</v>
      </c>
      <c r="B2013">
        <v>2011</v>
      </c>
      <c r="C2013" t="s">
        <v>106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239</v>
      </c>
      <c r="B2014">
        <v>2010</v>
      </c>
      <c r="C2014" t="s">
        <v>106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239</v>
      </c>
      <c r="B2015">
        <v>2009</v>
      </c>
      <c r="C2015" t="s">
        <v>106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239</v>
      </c>
      <c r="B2016">
        <v>2008</v>
      </c>
      <c r="C2016" t="s">
        <v>106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239</v>
      </c>
      <c r="B2017">
        <v>2007</v>
      </c>
      <c r="C2017" t="s">
        <v>106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239</v>
      </c>
      <c r="B2018">
        <v>2006</v>
      </c>
      <c r="C2018" t="s">
        <v>106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239</v>
      </c>
      <c r="B2019">
        <v>2005</v>
      </c>
      <c r="C2019" t="s">
        <v>106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239</v>
      </c>
      <c r="B2020">
        <v>2004</v>
      </c>
      <c r="C2020" t="s">
        <v>106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239</v>
      </c>
      <c r="B2021">
        <v>2003</v>
      </c>
      <c r="C2021" t="s">
        <v>106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239</v>
      </c>
      <c r="B2022">
        <v>2002</v>
      </c>
      <c r="C2022" t="s">
        <v>106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239</v>
      </c>
      <c r="B2023">
        <v>2001</v>
      </c>
      <c r="C2023" t="s">
        <v>106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239</v>
      </c>
      <c r="B2024">
        <v>2000</v>
      </c>
      <c r="C2024" t="s">
        <v>106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240</v>
      </c>
      <c r="B2025">
        <v>2015</v>
      </c>
      <c r="C2025" t="s">
        <v>106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240</v>
      </c>
      <c r="B2026">
        <v>2014</v>
      </c>
      <c r="C2026" t="s">
        <v>106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240</v>
      </c>
      <c r="B2027">
        <v>2013</v>
      </c>
      <c r="C2027" t="s">
        <v>106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240</v>
      </c>
      <c r="B2028">
        <v>2012</v>
      </c>
      <c r="C2028" t="s">
        <v>106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240</v>
      </c>
      <c r="B2029">
        <v>2011</v>
      </c>
      <c r="C2029" t="s">
        <v>106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240</v>
      </c>
      <c r="B2030">
        <v>2010</v>
      </c>
      <c r="C2030" t="s">
        <v>106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240</v>
      </c>
      <c r="B2031">
        <v>2009</v>
      </c>
      <c r="C2031" t="s">
        <v>106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240</v>
      </c>
      <c r="B2032">
        <v>2008</v>
      </c>
      <c r="C2032" t="s">
        <v>106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240</v>
      </c>
      <c r="B2033">
        <v>2007</v>
      </c>
      <c r="C2033" t="s">
        <v>106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240</v>
      </c>
      <c r="B2034">
        <v>2006</v>
      </c>
      <c r="C2034" t="s">
        <v>106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240</v>
      </c>
      <c r="B2035">
        <v>2005</v>
      </c>
      <c r="C2035" t="s">
        <v>106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240</v>
      </c>
      <c r="B2036">
        <v>2004</v>
      </c>
      <c r="C2036" t="s">
        <v>106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240</v>
      </c>
      <c r="B2037">
        <v>2003</v>
      </c>
      <c r="C2037" t="s">
        <v>106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240</v>
      </c>
      <c r="B2038">
        <v>2002</v>
      </c>
      <c r="C2038" t="s">
        <v>106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240</v>
      </c>
      <c r="B2039">
        <v>2001</v>
      </c>
      <c r="C2039" t="s">
        <v>106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240</v>
      </c>
      <c r="B2040">
        <v>2000</v>
      </c>
      <c r="C2040" t="s">
        <v>106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241</v>
      </c>
      <c r="B2041">
        <v>2015</v>
      </c>
      <c r="C2041" t="s">
        <v>114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241</v>
      </c>
      <c r="B2042">
        <v>2014</v>
      </c>
      <c r="C2042" t="s">
        <v>114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241</v>
      </c>
      <c r="B2043">
        <v>2013</v>
      </c>
      <c r="C2043" t="s">
        <v>114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241</v>
      </c>
      <c r="B2044">
        <v>2012</v>
      </c>
      <c r="C2044" t="s">
        <v>114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241</v>
      </c>
      <c r="B2045">
        <v>2011</v>
      </c>
      <c r="C2045" t="s">
        <v>114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241</v>
      </c>
      <c r="B2046">
        <v>2010</v>
      </c>
      <c r="C2046" t="s">
        <v>114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241</v>
      </c>
      <c r="B2047">
        <v>2009</v>
      </c>
      <c r="C2047" t="s">
        <v>114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241</v>
      </c>
      <c r="B2048">
        <v>2008</v>
      </c>
      <c r="C2048" t="s">
        <v>114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241</v>
      </c>
      <c r="B2049">
        <v>2007</v>
      </c>
      <c r="C2049" t="s">
        <v>114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241</v>
      </c>
      <c r="B2050">
        <v>2006</v>
      </c>
      <c r="C2050" t="s">
        <v>114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241</v>
      </c>
      <c r="B2051">
        <v>2005</v>
      </c>
      <c r="C2051" t="s">
        <v>114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241</v>
      </c>
      <c r="B2052">
        <v>2004</v>
      </c>
      <c r="C2052" t="s">
        <v>114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241</v>
      </c>
      <c r="B2053">
        <v>2003</v>
      </c>
      <c r="C2053" t="s">
        <v>114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241</v>
      </c>
      <c r="B2054">
        <v>2002</v>
      </c>
      <c r="C2054" t="s">
        <v>114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241</v>
      </c>
      <c r="B2055">
        <v>2001</v>
      </c>
      <c r="C2055" t="s">
        <v>114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241</v>
      </c>
      <c r="B2056">
        <v>2000</v>
      </c>
      <c r="C2056" t="s">
        <v>114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242</v>
      </c>
      <c r="B2057">
        <v>2015</v>
      </c>
      <c r="C2057" t="s">
        <v>114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242</v>
      </c>
      <c r="B2058">
        <v>2014</v>
      </c>
      <c r="C2058" t="s">
        <v>114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242</v>
      </c>
      <c r="B2059">
        <v>2013</v>
      </c>
      <c r="C2059" t="s">
        <v>114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242</v>
      </c>
      <c r="B2060">
        <v>2012</v>
      </c>
      <c r="C2060" t="s">
        <v>114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242</v>
      </c>
      <c r="B2061">
        <v>2011</v>
      </c>
      <c r="C2061" t="s">
        <v>114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242</v>
      </c>
      <c r="B2062">
        <v>2010</v>
      </c>
      <c r="C2062" t="s">
        <v>114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242</v>
      </c>
      <c r="B2063">
        <v>2009</v>
      </c>
      <c r="C2063" t="s">
        <v>114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242</v>
      </c>
      <c r="B2064">
        <v>2008</v>
      </c>
      <c r="C2064" t="s">
        <v>114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242</v>
      </c>
      <c r="B2065">
        <v>2007</v>
      </c>
      <c r="C2065" t="s">
        <v>114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242</v>
      </c>
      <c r="B2066">
        <v>2006</v>
      </c>
      <c r="C2066" t="s">
        <v>114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242</v>
      </c>
      <c r="B2067">
        <v>2005</v>
      </c>
      <c r="C2067" t="s">
        <v>114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242</v>
      </c>
      <c r="B2068">
        <v>2004</v>
      </c>
      <c r="C2068" t="s">
        <v>114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242</v>
      </c>
      <c r="B2069">
        <v>2003</v>
      </c>
      <c r="C2069" t="s">
        <v>114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242</v>
      </c>
      <c r="B2070">
        <v>2002</v>
      </c>
      <c r="C2070" t="s">
        <v>114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242</v>
      </c>
      <c r="B2071">
        <v>2001</v>
      </c>
      <c r="C2071" t="s">
        <v>114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242</v>
      </c>
      <c r="B2072">
        <v>2000</v>
      </c>
      <c r="C2072" t="s">
        <v>114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243</v>
      </c>
      <c r="B2073">
        <v>2015</v>
      </c>
      <c r="C2073" t="s">
        <v>106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243</v>
      </c>
      <c r="B2074">
        <v>2014</v>
      </c>
      <c r="C2074" t="s">
        <v>106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243</v>
      </c>
      <c r="B2075">
        <v>2013</v>
      </c>
      <c r="C2075" t="s">
        <v>106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243</v>
      </c>
      <c r="B2076">
        <v>2012</v>
      </c>
      <c r="C2076" t="s">
        <v>106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243</v>
      </c>
      <c r="B2077">
        <v>2011</v>
      </c>
      <c r="C2077" t="s">
        <v>106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243</v>
      </c>
      <c r="B2078">
        <v>2010</v>
      </c>
      <c r="C2078" t="s">
        <v>106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243</v>
      </c>
      <c r="B2079">
        <v>2009</v>
      </c>
      <c r="C2079" t="s">
        <v>106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243</v>
      </c>
      <c r="B2080">
        <v>2008</v>
      </c>
      <c r="C2080" t="s">
        <v>106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243</v>
      </c>
      <c r="B2081">
        <v>2007</v>
      </c>
      <c r="C2081" t="s">
        <v>106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243</v>
      </c>
      <c r="B2082">
        <v>2006</v>
      </c>
      <c r="C2082" t="s">
        <v>106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243</v>
      </c>
      <c r="B2083">
        <v>2005</v>
      </c>
      <c r="C2083" t="s">
        <v>106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243</v>
      </c>
      <c r="B2084">
        <v>2004</v>
      </c>
      <c r="C2084" t="s">
        <v>106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243</v>
      </c>
      <c r="B2085">
        <v>2003</v>
      </c>
      <c r="C2085" t="s">
        <v>106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243</v>
      </c>
      <c r="B2086">
        <v>2002</v>
      </c>
      <c r="C2086" t="s">
        <v>106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243</v>
      </c>
      <c r="B2087">
        <v>2001</v>
      </c>
      <c r="C2087" t="s">
        <v>106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243</v>
      </c>
      <c r="B2088">
        <v>2000</v>
      </c>
      <c r="C2088" t="s">
        <v>106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244</v>
      </c>
      <c r="B2089">
        <v>2015</v>
      </c>
      <c r="C2089" t="s">
        <v>106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244</v>
      </c>
      <c r="B2090">
        <v>2014</v>
      </c>
      <c r="C2090" t="s">
        <v>106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244</v>
      </c>
      <c r="B2091">
        <v>2013</v>
      </c>
      <c r="C2091" t="s">
        <v>106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244</v>
      </c>
      <c r="B2092">
        <v>2012</v>
      </c>
      <c r="C2092" t="s">
        <v>106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244</v>
      </c>
      <c r="B2093">
        <v>2011</v>
      </c>
      <c r="C2093" t="s">
        <v>106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244</v>
      </c>
      <c r="B2094">
        <v>2010</v>
      </c>
      <c r="C2094" t="s">
        <v>106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244</v>
      </c>
      <c r="B2095">
        <v>2009</v>
      </c>
      <c r="C2095" t="s">
        <v>106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244</v>
      </c>
      <c r="B2096">
        <v>2008</v>
      </c>
      <c r="C2096" t="s">
        <v>106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244</v>
      </c>
      <c r="B2097">
        <v>2007</v>
      </c>
      <c r="C2097" t="s">
        <v>106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244</v>
      </c>
      <c r="B2098">
        <v>2006</v>
      </c>
      <c r="C2098" t="s">
        <v>106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244</v>
      </c>
      <c r="B2099">
        <v>2005</v>
      </c>
      <c r="C2099" t="s">
        <v>106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244</v>
      </c>
      <c r="B2100">
        <v>2004</v>
      </c>
      <c r="C2100" t="s">
        <v>106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244</v>
      </c>
      <c r="B2101">
        <v>2003</v>
      </c>
      <c r="C2101" t="s">
        <v>106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244</v>
      </c>
      <c r="B2102">
        <v>2002</v>
      </c>
      <c r="C2102" t="s">
        <v>106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244</v>
      </c>
      <c r="B2103">
        <v>2001</v>
      </c>
      <c r="C2103" t="s">
        <v>106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244</v>
      </c>
      <c r="B2104">
        <v>2000</v>
      </c>
      <c r="C2104" t="s">
        <v>106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245</v>
      </c>
      <c r="B2105">
        <v>2015</v>
      </c>
      <c r="C2105" t="s">
        <v>106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245</v>
      </c>
      <c r="B2106">
        <v>2014</v>
      </c>
      <c r="C2106" t="s">
        <v>106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245</v>
      </c>
      <c r="B2107">
        <v>2013</v>
      </c>
      <c r="C2107" t="s">
        <v>106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245</v>
      </c>
      <c r="B2108">
        <v>2012</v>
      </c>
      <c r="C2108" t="s">
        <v>106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245</v>
      </c>
      <c r="B2109">
        <v>2011</v>
      </c>
      <c r="C2109" t="s">
        <v>106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245</v>
      </c>
      <c r="B2110">
        <v>2010</v>
      </c>
      <c r="C2110" t="s">
        <v>106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245</v>
      </c>
      <c r="B2111">
        <v>2009</v>
      </c>
      <c r="C2111" t="s">
        <v>106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245</v>
      </c>
      <c r="B2112">
        <v>2008</v>
      </c>
      <c r="C2112" t="s">
        <v>106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245</v>
      </c>
      <c r="B2113">
        <v>2007</v>
      </c>
      <c r="C2113" t="s">
        <v>106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245</v>
      </c>
      <c r="B2114">
        <v>2006</v>
      </c>
      <c r="C2114" t="s">
        <v>106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245</v>
      </c>
      <c r="B2115">
        <v>2005</v>
      </c>
      <c r="C2115" t="s">
        <v>106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245</v>
      </c>
      <c r="B2116">
        <v>2004</v>
      </c>
      <c r="C2116" t="s">
        <v>106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245</v>
      </c>
      <c r="B2117">
        <v>2003</v>
      </c>
      <c r="C2117" t="s">
        <v>106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245</v>
      </c>
      <c r="B2118">
        <v>2002</v>
      </c>
      <c r="C2118" t="s">
        <v>106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245</v>
      </c>
      <c r="B2119">
        <v>2001</v>
      </c>
      <c r="C2119" t="s">
        <v>106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245</v>
      </c>
      <c r="B2120">
        <v>2000</v>
      </c>
      <c r="C2120" t="s">
        <v>106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246</v>
      </c>
      <c r="B2121">
        <v>2015</v>
      </c>
      <c r="C2121" t="s">
        <v>114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246</v>
      </c>
      <c r="B2122">
        <v>2014</v>
      </c>
      <c r="C2122" t="s">
        <v>114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246</v>
      </c>
      <c r="B2123">
        <v>2013</v>
      </c>
      <c r="C2123" t="s">
        <v>114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246</v>
      </c>
      <c r="B2124">
        <v>2012</v>
      </c>
      <c r="C2124" t="s">
        <v>114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246</v>
      </c>
      <c r="B2125">
        <v>2011</v>
      </c>
      <c r="C2125" t="s">
        <v>114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246</v>
      </c>
      <c r="B2126">
        <v>2010</v>
      </c>
      <c r="C2126" t="s">
        <v>114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246</v>
      </c>
      <c r="B2127">
        <v>2009</v>
      </c>
      <c r="C2127" t="s">
        <v>114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246</v>
      </c>
      <c r="B2128">
        <v>2008</v>
      </c>
      <c r="C2128" t="s">
        <v>114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246</v>
      </c>
      <c r="B2129">
        <v>2007</v>
      </c>
      <c r="C2129" t="s">
        <v>114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246</v>
      </c>
      <c r="B2130">
        <v>2006</v>
      </c>
      <c r="C2130" t="s">
        <v>114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246</v>
      </c>
      <c r="B2131">
        <v>2005</v>
      </c>
      <c r="C2131" t="s">
        <v>114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246</v>
      </c>
      <c r="B2132">
        <v>2004</v>
      </c>
      <c r="C2132" t="s">
        <v>114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246</v>
      </c>
      <c r="B2133">
        <v>2003</v>
      </c>
      <c r="C2133" t="s">
        <v>114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246</v>
      </c>
      <c r="B2134">
        <v>2002</v>
      </c>
      <c r="C2134" t="s">
        <v>114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246</v>
      </c>
      <c r="B2135">
        <v>2001</v>
      </c>
      <c r="C2135" t="s">
        <v>114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246</v>
      </c>
      <c r="B2136">
        <v>2000</v>
      </c>
      <c r="C2136" t="s">
        <v>114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247</v>
      </c>
      <c r="B2137">
        <v>2015</v>
      </c>
      <c r="C2137" t="s">
        <v>106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247</v>
      </c>
      <c r="B2138">
        <v>2014</v>
      </c>
      <c r="C2138" t="s">
        <v>106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247</v>
      </c>
      <c r="B2139">
        <v>2013</v>
      </c>
      <c r="C2139" t="s">
        <v>106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247</v>
      </c>
      <c r="B2140">
        <v>2012</v>
      </c>
      <c r="C2140" t="s">
        <v>106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247</v>
      </c>
      <c r="B2141">
        <v>2011</v>
      </c>
      <c r="C2141" t="s">
        <v>106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247</v>
      </c>
      <c r="B2142">
        <v>2010</v>
      </c>
      <c r="C2142" t="s">
        <v>106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247</v>
      </c>
      <c r="B2143">
        <v>2009</v>
      </c>
      <c r="C2143" t="s">
        <v>106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247</v>
      </c>
      <c r="B2144">
        <v>2008</v>
      </c>
      <c r="C2144" t="s">
        <v>106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247</v>
      </c>
      <c r="B2145">
        <v>2007</v>
      </c>
      <c r="C2145" t="s">
        <v>106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247</v>
      </c>
      <c r="B2146">
        <v>2006</v>
      </c>
      <c r="C2146" t="s">
        <v>106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247</v>
      </c>
      <c r="B2147">
        <v>2005</v>
      </c>
      <c r="C2147" t="s">
        <v>106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247</v>
      </c>
      <c r="B2148">
        <v>2004</v>
      </c>
      <c r="C2148" t="s">
        <v>106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247</v>
      </c>
      <c r="B2149">
        <v>2003</v>
      </c>
      <c r="C2149" t="s">
        <v>106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247</v>
      </c>
      <c r="B2150">
        <v>2002</v>
      </c>
      <c r="C2150" t="s">
        <v>106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247</v>
      </c>
      <c r="B2151">
        <v>2001</v>
      </c>
      <c r="C2151" t="s">
        <v>106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247</v>
      </c>
      <c r="B2152">
        <v>2000</v>
      </c>
      <c r="C2152" t="s">
        <v>106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248</v>
      </c>
      <c r="B2153">
        <v>2015</v>
      </c>
      <c r="C2153" t="s">
        <v>106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248</v>
      </c>
      <c r="B2154">
        <v>2014</v>
      </c>
      <c r="C2154" t="s">
        <v>106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248</v>
      </c>
      <c r="B2155">
        <v>2013</v>
      </c>
      <c r="C2155" t="s">
        <v>106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248</v>
      </c>
      <c r="B2156">
        <v>2012</v>
      </c>
      <c r="C2156" t="s">
        <v>106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248</v>
      </c>
      <c r="B2157">
        <v>2011</v>
      </c>
      <c r="C2157" t="s">
        <v>106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248</v>
      </c>
      <c r="B2158">
        <v>2010</v>
      </c>
      <c r="C2158" t="s">
        <v>106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248</v>
      </c>
      <c r="B2159">
        <v>2009</v>
      </c>
      <c r="C2159" t="s">
        <v>106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248</v>
      </c>
      <c r="B2160">
        <v>2008</v>
      </c>
      <c r="C2160" t="s">
        <v>106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248</v>
      </c>
      <c r="B2161">
        <v>2007</v>
      </c>
      <c r="C2161" t="s">
        <v>106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248</v>
      </c>
      <c r="B2162">
        <v>2006</v>
      </c>
      <c r="C2162" t="s">
        <v>106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248</v>
      </c>
      <c r="B2163">
        <v>2005</v>
      </c>
      <c r="C2163" t="s">
        <v>106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248</v>
      </c>
      <c r="B2164">
        <v>2004</v>
      </c>
      <c r="C2164" t="s">
        <v>106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248</v>
      </c>
      <c r="B2165">
        <v>2003</v>
      </c>
      <c r="C2165" t="s">
        <v>106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248</v>
      </c>
      <c r="B2166">
        <v>2002</v>
      </c>
      <c r="C2166" t="s">
        <v>106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248</v>
      </c>
      <c r="B2167">
        <v>2001</v>
      </c>
      <c r="C2167" t="s">
        <v>106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248</v>
      </c>
      <c r="B2168">
        <v>2000</v>
      </c>
      <c r="C2168" t="s">
        <v>106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249</v>
      </c>
      <c r="B2169">
        <v>2013</v>
      </c>
      <c r="C2169" t="s">
        <v>106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250</v>
      </c>
      <c r="B2170">
        <v>2015</v>
      </c>
      <c r="C2170" t="s">
        <v>106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250</v>
      </c>
      <c r="B2171">
        <v>2014</v>
      </c>
      <c r="C2171" t="s">
        <v>106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250</v>
      </c>
      <c r="B2172">
        <v>2013</v>
      </c>
      <c r="C2172" t="s">
        <v>106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250</v>
      </c>
      <c r="B2173">
        <v>2012</v>
      </c>
      <c r="C2173" t="s">
        <v>106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250</v>
      </c>
      <c r="B2174">
        <v>2011</v>
      </c>
      <c r="C2174" t="s">
        <v>106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250</v>
      </c>
      <c r="B2175">
        <v>2010</v>
      </c>
      <c r="C2175" t="s">
        <v>106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250</v>
      </c>
      <c r="B2176">
        <v>2009</v>
      </c>
      <c r="C2176" t="s">
        <v>106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250</v>
      </c>
      <c r="B2177">
        <v>2008</v>
      </c>
      <c r="C2177" t="s">
        <v>106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250</v>
      </c>
      <c r="B2178">
        <v>2007</v>
      </c>
      <c r="C2178" t="s">
        <v>106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250</v>
      </c>
      <c r="B2179">
        <v>2006</v>
      </c>
      <c r="C2179" t="s">
        <v>106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250</v>
      </c>
      <c r="B2180">
        <v>2005</v>
      </c>
      <c r="C2180" t="s">
        <v>106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250</v>
      </c>
      <c r="B2181">
        <v>2004</v>
      </c>
      <c r="C2181" t="s">
        <v>106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250</v>
      </c>
      <c r="B2182">
        <v>2003</v>
      </c>
      <c r="C2182" t="s">
        <v>106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250</v>
      </c>
      <c r="B2183">
        <v>2002</v>
      </c>
      <c r="C2183" t="s">
        <v>106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250</v>
      </c>
      <c r="B2184">
        <v>2001</v>
      </c>
      <c r="C2184" t="s">
        <v>106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250</v>
      </c>
      <c r="B2185">
        <v>2000</v>
      </c>
      <c r="C2185" t="s">
        <v>106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251</v>
      </c>
      <c r="B2186">
        <v>2015</v>
      </c>
      <c r="C2186" t="s">
        <v>106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251</v>
      </c>
      <c r="B2187">
        <v>2014</v>
      </c>
      <c r="C2187" t="s">
        <v>106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251</v>
      </c>
      <c r="B2188">
        <v>2013</v>
      </c>
      <c r="C2188" t="s">
        <v>106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251</v>
      </c>
      <c r="B2189">
        <v>2012</v>
      </c>
      <c r="C2189" t="s">
        <v>106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251</v>
      </c>
      <c r="B2190">
        <v>2011</v>
      </c>
      <c r="C2190" t="s">
        <v>106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251</v>
      </c>
      <c r="B2191">
        <v>2010</v>
      </c>
      <c r="C2191" t="s">
        <v>106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251</v>
      </c>
      <c r="B2192">
        <v>2009</v>
      </c>
      <c r="C2192" t="s">
        <v>106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251</v>
      </c>
      <c r="B2193">
        <v>2008</v>
      </c>
      <c r="C2193" t="s">
        <v>106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251</v>
      </c>
      <c r="B2194">
        <v>2007</v>
      </c>
      <c r="C2194" t="s">
        <v>106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251</v>
      </c>
      <c r="B2195">
        <v>2006</v>
      </c>
      <c r="C2195" t="s">
        <v>106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251</v>
      </c>
      <c r="B2196">
        <v>2005</v>
      </c>
      <c r="C2196" t="s">
        <v>106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251</v>
      </c>
      <c r="B2197">
        <v>2004</v>
      </c>
      <c r="C2197" t="s">
        <v>106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251</v>
      </c>
      <c r="B2198">
        <v>2003</v>
      </c>
      <c r="C2198" t="s">
        <v>106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251</v>
      </c>
      <c r="B2199">
        <v>2002</v>
      </c>
      <c r="C2199" t="s">
        <v>106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251</v>
      </c>
      <c r="B2200">
        <v>2001</v>
      </c>
      <c r="C2200" t="s">
        <v>106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251</v>
      </c>
      <c r="B2201">
        <v>2000</v>
      </c>
      <c r="C2201" t="s">
        <v>106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252</v>
      </c>
      <c r="B2202">
        <v>2015</v>
      </c>
      <c r="C2202" t="s">
        <v>106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252</v>
      </c>
      <c r="B2203">
        <v>2014</v>
      </c>
      <c r="C2203" t="s">
        <v>106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252</v>
      </c>
      <c r="B2204">
        <v>2013</v>
      </c>
      <c r="C2204" t="s">
        <v>106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252</v>
      </c>
      <c r="B2205">
        <v>2012</v>
      </c>
      <c r="C2205" t="s">
        <v>106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252</v>
      </c>
      <c r="B2206">
        <v>2011</v>
      </c>
      <c r="C2206" t="s">
        <v>106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252</v>
      </c>
      <c r="B2207">
        <v>2010</v>
      </c>
      <c r="C2207" t="s">
        <v>106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252</v>
      </c>
      <c r="B2208">
        <v>2009</v>
      </c>
      <c r="C2208" t="s">
        <v>106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252</v>
      </c>
      <c r="B2209">
        <v>2008</v>
      </c>
      <c r="C2209" t="s">
        <v>106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252</v>
      </c>
      <c r="B2210">
        <v>2007</v>
      </c>
      <c r="C2210" t="s">
        <v>106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252</v>
      </c>
      <c r="B2211">
        <v>2006</v>
      </c>
      <c r="C2211" t="s">
        <v>106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252</v>
      </c>
      <c r="B2212">
        <v>2005</v>
      </c>
      <c r="C2212" t="s">
        <v>106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252</v>
      </c>
      <c r="B2213">
        <v>2004</v>
      </c>
      <c r="C2213" t="s">
        <v>106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252</v>
      </c>
      <c r="B2214">
        <v>2003</v>
      </c>
      <c r="C2214" t="s">
        <v>106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252</v>
      </c>
      <c r="B2215">
        <v>2002</v>
      </c>
      <c r="C2215" t="s">
        <v>106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252</v>
      </c>
      <c r="B2216">
        <v>2001</v>
      </c>
      <c r="C2216" t="s">
        <v>106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252</v>
      </c>
      <c r="B2217">
        <v>2000</v>
      </c>
      <c r="C2217" t="s">
        <v>106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253</v>
      </c>
      <c r="B2218">
        <v>2013</v>
      </c>
      <c r="C2218" t="s">
        <v>106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254</v>
      </c>
      <c r="B2219">
        <v>2015</v>
      </c>
      <c r="C2219" t="s">
        <v>106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254</v>
      </c>
      <c r="B2220">
        <v>2014</v>
      </c>
      <c r="C2220" t="s">
        <v>106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254</v>
      </c>
      <c r="B2221">
        <v>2013</v>
      </c>
      <c r="C2221" t="s">
        <v>106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254</v>
      </c>
      <c r="B2222">
        <v>2012</v>
      </c>
      <c r="C2222" t="s">
        <v>106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254</v>
      </c>
      <c r="B2223">
        <v>2011</v>
      </c>
      <c r="C2223" t="s">
        <v>106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254</v>
      </c>
      <c r="B2224">
        <v>2010</v>
      </c>
      <c r="C2224" t="s">
        <v>106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254</v>
      </c>
      <c r="B2225">
        <v>2009</v>
      </c>
      <c r="C2225" t="s">
        <v>106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254</v>
      </c>
      <c r="B2226">
        <v>2008</v>
      </c>
      <c r="C2226" t="s">
        <v>106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254</v>
      </c>
      <c r="B2227">
        <v>2007</v>
      </c>
      <c r="C2227" t="s">
        <v>106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254</v>
      </c>
      <c r="B2228">
        <v>2006</v>
      </c>
      <c r="C2228" t="s">
        <v>106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254</v>
      </c>
      <c r="B2229">
        <v>2005</v>
      </c>
      <c r="C2229" t="s">
        <v>106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254</v>
      </c>
      <c r="B2230">
        <v>2004</v>
      </c>
      <c r="C2230" t="s">
        <v>106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254</v>
      </c>
      <c r="B2231">
        <v>2003</v>
      </c>
      <c r="C2231" t="s">
        <v>106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254</v>
      </c>
      <c r="B2232">
        <v>2002</v>
      </c>
      <c r="C2232" t="s">
        <v>106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254</v>
      </c>
      <c r="B2233">
        <v>2001</v>
      </c>
      <c r="C2233" t="s">
        <v>106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254</v>
      </c>
      <c r="B2234">
        <v>2000</v>
      </c>
      <c r="C2234" t="s">
        <v>106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255</v>
      </c>
      <c r="B2235">
        <v>2015</v>
      </c>
      <c r="C2235" t="s">
        <v>106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255</v>
      </c>
      <c r="B2236">
        <v>2014</v>
      </c>
      <c r="C2236" t="s">
        <v>106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255</v>
      </c>
      <c r="B2237">
        <v>2013</v>
      </c>
      <c r="C2237" t="s">
        <v>106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255</v>
      </c>
      <c r="B2238">
        <v>2012</v>
      </c>
      <c r="C2238" t="s">
        <v>106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255</v>
      </c>
      <c r="B2239">
        <v>2011</v>
      </c>
      <c r="C2239" t="s">
        <v>106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255</v>
      </c>
      <c r="B2240">
        <v>2010</v>
      </c>
      <c r="C2240" t="s">
        <v>106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255</v>
      </c>
      <c r="B2241">
        <v>2009</v>
      </c>
      <c r="C2241" t="s">
        <v>106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255</v>
      </c>
      <c r="B2242">
        <v>2008</v>
      </c>
      <c r="C2242" t="s">
        <v>106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255</v>
      </c>
      <c r="B2243">
        <v>2007</v>
      </c>
      <c r="C2243" t="s">
        <v>106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255</v>
      </c>
      <c r="B2244">
        <v>2006</v>
      </c>
      <c r="C2244" t="s">
        <v>106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255</v>
      </c>
      <c r="B2245">
        <v>2005</v>
      </c>
      <c r="C2245" t="s">
        <v>106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255</v>
      </c>
      <c r="B2246">
        <v>2004</v>
      </c>
      <c r="C2246" t="s">
        <v>106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255</v>
      </c>
      <c r="B2247">
        <v>2003</v>
      </c>
      <c r="C2247" t="s">
        <v>106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255</v>
      </c>
      <c r="B2248">
        <v>2002</v>
      </c>
      <c r="C2248" t="s">
        <v>106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255</v>
      </c>
      <c r="B2249">
        <v>2001</v>
      </c>
      <c r="C2249" t="s">
        <v>106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255</v>
      </c>
      <c r="B2250">
        <v>2000</v>
      </c>
      <c r="C2250" t="s">
        <v>106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256</v>
      </c>
      <c r="B2251">
        <v>2015</v>
      </c>
      <c r="C2251" t="s">
        <v>106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256</v>
      </c>
      <c r="B2252">
        <v>2014</v>
      </c>
      <c r="C2252" t="s">
        <v>106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256</v>
      </c>
      <c r="B2253">
        <v>2013</v>
      </c>
      <c r="C2253" t="s">
        <v>106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256</v>
      </c>
      <c r="B2254">
        <v>2012</v>
      </c>
      <c r="C2254" t="s">
        <v>106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256</v>
      </c>
      <c r="B2255">
        <v>2011</v>
      </c>
      <c r="C2255" t="s">
        <v>106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256</v>
      </c>
      <c r="B2256">
        <v>2010</v>
      </c>
      <c r="C2256" t="s">
        <v>106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256</v>
      </c>
      <c r="B2257">
        <v>2009</v>
      </c>
      <c r="C2257" t="s">
        <v>106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256</v>
      </c>
      <c r="B2258">
        <v>2008</v>
      </c>
      <c r="C2258" t="s">
        <v>106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256</v>
      </c>
      <c r="B2259">
        <v>2007</v>
      </c>
      <c r="C2259" t="s">
        <v>106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256</v>
      </c>
      <c r="B2260">
        <v>2006</v>
      </c>
      <c r="C2260" t="s">
        <v>106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256</v>
      </c>
      <c r="B2261">
        <v>2005</v>
      </c>
      <c r="C2261" t="s">
        <v>106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256</v>
      </c>
      <c r="B2262">
        <v>2004</v>
      </c>
      <c r="C2262" t="s">
        <v>106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256</v>
      </c>
      <c r="B2263">
        <v>2003</v>
      </c>
      <c r="C2263" t="s">
        <v>106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256</v>
      </c>
      <c r="B2264">
        <v>2002</v>
      </c>
      <c r="C2264" t="s">
        <v>106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256</v>
      </c>
      <c r="B2265">
        <v>2001</v>
      </c>
      <c r="C2265" t="s">
        <v>106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256</v>
      </c>
      <c r="B2266">
        <v>2000</v>
      </c>
      <c r="C2266" t="s">
        <v>106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257</v>
      </c>
      <c r="B2267">
        <v>2015</v>
      </c>
      <c r="C2267" t="s">
        <v>106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257</v>
      </c>
      <c r="B2268">
        <v>2014</v>
      </c>
      <c r="C2268" t="s">
        <v>106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257</v>
      </c>
      <c r="B2269">
        <v>2013</v>
      </c>
      <c r="C2269" t="s">
        <v>106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257</v>
      </c>
      <c r="B2270">
        <v>2012</v>
      </c>
      <c r="C2270" t="s">
        <v>106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257</v>
      </c>
      <c r="B2271">
        <v>2011</v>
      </c>
      <c r="C2271" t="s">
        <v>106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257</v>
      </c>
      <c r="B2272">
        <v>2010</v>
      </c>
      <c r="C2272" t="s">
        <v>106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257</v>
      </c>
      <c r="B2273">
        <v>2009</v>
      </c>
      <c r="C2273" t="s">
        <v>106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257</v>
      </c>
      <c r="B2274">
        <v>2008</v>
      </c>
      <c r="C2274" t="s">
        <v>106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257</v>
      </c>
      <c r="B2275">
        <v>2007</v>
      </c>
      <c r="C2275" t="s">
        <v>106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257</v>
      </c>
      <c r="B2276">
        <v>2006</v>
      </c>
      <c r="C2276" t="s">
        <v>106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257</v>
      </c>
      <c r="B2277">
        <v>2005</v>
      </c>
      <c r="C2277" t="s">
        <v>106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257</v>
      </c>
      <c r="B2278">
        <v>2004</v>
      </c>
      <c r="C2278" t="s">
        <v>106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257</v>
      </c>
      <c r="B2279">
        <v>2003</v>
      </c>
      <c r="C2279" t="s">
        <v>106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257</v>
      </c>
      <c r="B2280">
        <v>2002</v>
      </c>
      <c r="C2280" t="s">
        <v>106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257</v>
      </c>
      <c r="B2281">
        <v>2001</v>
      </c>
      <c r="C2281" t="s">
        <v>106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257</v>
      </c>
      <c r="B2282">
        <v>2000</v>
      </c>
      <c r="C2282" t="s">
        <v>106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258</v>
      </c>
      <c r="B2283">
        <v>2015</v>
      </c>
      <c r="C2283" t="s">
        <v>106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258</v>
      </c>
      <c r="B2284">
        <v>2014</v>
      </c>
      <c r="C2284" t="s">
        <v>106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258</v>
      </c>
      <c r="B2285">
        <v>2013</v>
      </c>
      <c r="C2285" t="s">
        <v>106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258</v>
      </c>
      <c r="B2286">
        <v>2012</v>
      </c>
      <c r="C2286" t="s">
        <v>106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258</v>
      </c>
      <c r="B2287">
        <v>2011</v>
      </c>
      <c r="C2287" t="s">
        <v>106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258</v>
      </c>
      <c r="B2288">
        <v>2010</v>
      </c>
      <c r="C2288" t="s">
        <v>106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258</v>
      </c>
      <c r="B2289">
        <v>2009</v>
      </c>
      <c r="C2289" t="s">
        <v>106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258</v>
      </c>
      <c r="B2290">
        <v>2008</v>
      </c>
      <c r="C2290" t="s">
        <v>106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258</v>
      </c>
      <c r="B2291">
        <v>2007</v>
      </c>
      <c r="C2291" t="s">
        <v>106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258</v>
      </c>
      <c r="B2292">
        <v>2006</v>
      </c>
      <c r="C2292" t="s">
        <v>106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258</v>
      </c>
      <c r="B2293">
        <v>2005</v>
      </c>
      <c r="C2293" t="s">
        <v>106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258</v>
      </c>
      <c r="B2294">
        <v>2004</v>
      </c>
      <c r="C2294" t="s">
        <v>106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258</v>
      </c>
      <c r="B2295">
        <v>2003</v>
      </c>
      <c r="C2295" t="s">
        <v>106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258</v>
      </c>
      <c r="B2296">
        <v>2002</v>
      </c>
      <c r="C2296" t="s">
        <v>106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258</v>
      </c>
      <c r="B2297">
        <v>2001</v>
      </c>
      <c r="C2297" t="s">
        <v>106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258</v>
      </c>
      <c r="B2298">
        <v>2000</v>
      </c>
      <c r="C2298" t="s">
        <v>106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259</v>
      </c>
      <c r="B2299">
        <v>2015</v>
      </c>
      <c r="C2299" t="s">
        <v>106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259</v>
      </c>
      <c r="B2300">
        <v>2014</v>
      </c>
      <c r="C2300" t="s">
        <v>106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259</v>
      </c>
      <c r="B2301">
        <v>2013</v>
      </c>
      <c r="C2301" t="s">
        <v>106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259</v>
      </c>
      <c r="B2302">
        <v>2012</v>
      </c>
      <c r="C2302" t="s">
        <v>106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259</v>
      </c>
      <c r="B2303">
        <v>2011</v>
      </c>
      <c r="C2303" t="s">
        <v>106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259</v>
      </c>
      <c r="B2304">
        <v>2010</v>
      </c>
      <c r="C2304" t="s">
        <v>106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259</v>
      </c>
      <c r="B2305">
        <v>2009</v>
      </c>
      <c r="C2305" t="s">
        <v>106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259</v>
      </c>
      <c r="B2306">
        <v>2008</v>
      </c>
      <c r="C2306" t="s">
        <v>106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259</v>
      </c>
      <c r="B2307">
        <v>2007</v>
      </c>
      <c r="C2307" t="s">
        <v>106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259</v>
      </c>
      <c r="B2308">
        <v>2006</v>
      </c>
      <c r="C2308" t="s">
        <v>106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259</v>
      </c>
      <c r="B2309">
        <v>2005</v>
      </c>
      <c r="C2309" t="s">
        <v>106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259</v>
      </c>
      <c r="B2310">
        <v>2004</v>
      </c>
      <c r="C2310" t="s">
        <v>106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259</v>
      </c>
      <c r="B2311">
        <v>2003</v>
      </c>
      <c r="C2311" t="s">
        <v>106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259</v>
      </c>
      <c r="B2312">
        <v>2002</v>
      </c>
      <c r="C2312" t="s">
        <v>106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259</v>
      </c>
      <c r="B2313">
        <v>2001</v>
      </c>
      <c r="C2313" t="s">
        <v>106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259</v>
      </c>
      <c r="B2314">
        <v>2000</v>
      </c>
      <c r="C2314" t="s">
        <v>106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260</v>
      </c>
      <c r="B2315">
        <v>2015</v>
      </c>
      <c r="C2315" t="s">
        <v>114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260</v>
      </c>
      <c r="B2316">
        <v>2014</v>
      </c>
      <c r="C2316" t="s">
        <v>114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260</v>
      </c>
      <c r="B2317">
        <v>2013</v>
      </c>
      <c r="C2317" t="s">
        <v>114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260</v>
      </c>
      <c r="B2318">
        <v>2012</v>
      </c>
      <c r="C2318" t="s">
        <v>114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260</v>
      </c>
      <c r="B2319">
        <v>2011</v>
      </c>
      <c r="C2319" t="s">
        <v>114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260</v>
      </c>
      <c r="B2320">
        <v>2010</v>
      </c>
      <c r="C2320" t="s">
        <v>114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260</v>
      </c>
      <c r="B2321">
        <v>2009</v>
      </c>
      <c r="C2321" t="s">
        <v>114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260</v>
      </c>
      <c r="B2322">
        <v>2008</v>
      </c>
      <c r="C2322" t="s">
        <v>114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260</v>
      </c>
      <c r="B2323">
        <v>2007</v>
      </c>
      <c r="C2323" t="s">
        <v>114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260</v>
      </c>
      <c r="B2324">
        <v>2006</v>
      </c>
      <c r="C2324" t="s">
        <v>114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260</v>
      </c>
      <c r="B2325">
        <v>2005</v>
      </c>
      <c r="C2325" t="s">
        <v>114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260</v>
      </c>
      <c r="B2326">
        <v>2004</v>
      </c>
      <c r="C2326" t="s">
        <v>114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260</v>
      </c>
      <c r="B2327">
        <v>2003</v>
      </c>
      <c r="C2327" t="s">
        <v>114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260</v>
      </c>
      <c r="B2328">
        <v>2002</v>
      </c>
      <c r="C2328" t="s">
        <v>114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260</v>
      </c>
      <c r="B2329">
        <v>2001</v>
      </c>
      <c r="C2329" t="s">
        <v>114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260</v>
      </c>
      <c r="B2330">
        <v>2000</v>
      </c>
      <c r="C2330" t="s">
        <v>114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261</v>
      </c>
      <c r="B2331">
        <v>2015</v>
      </c>
      <c r="C2331" t="s">
        <v>114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261</v>
      </c>
      <c r="B2332">
        <v>2014</v>
      </c>
      <c r="C2332" t="s">
        <v>114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261</v>
      </c>
      <c r="B2333">
        <v>2013</v>
      </c>
      <c r="C2333" t="s">
        <v>114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261</v>
      </c>
      <c r="B2334">
        <v>2012</v>
      </c>
      <c r="C2334" t="s">
        <v>114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261</v>
      </c>
      <c r="B2335">
        <v>2011</v>
      </c>
      <c r="C2335" t="s">
        <v>114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261</v>
      </c>
      <c r="B2336">
        <v>2010</v>
      </c>
      <c r="C2336" t="s">
        <v>114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261</v>
      </c>
      <c r="B2337">
        <v>2009</v>
      </c>
      <c r="C2337" t="s">
        <v>114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261</v>
      </c>
      <c r="B2338">
        <v>2008</v>
      </c>
      <c r="C2338" t="s">
        <v>114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261</v>
      </c>
      <c r="B2339">
        <v>2007</v>
      </c>
      <c r="C2339" t="s">
        <v>114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261</v>
      </c>
      <c r="B2340">
        <v>2006</v>
      </c>
      <c r="C2340" t="s">
        <v>114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261</v>
      </c>
      <c r="B2341">
        <v>2005</v>
      </c>
      <c r="C2341" t="s">
        <v>114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261</v>
      </c>
      <c r="B2342">
        <v>2004</v>
      </c>
      <c r="C2342" t="s">
        <v>114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261</v>
      </c>
      <c r="B2343">
        <v>2003</v>
      </c>
      <c r="C2343" t="s">
        <v>114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261</v>
      </c>
      <c r="B2344">
        <v>2002</v>
      </c>
      <c r="C2344" t="s">
        <v>114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261</v>
      </c>
      <c r="B2345">
        <v>2001</v>
      </c>
      <c r="C2345" t="s">
        <v>114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261</v>
      </c>
      <c r="B2346">
        <v>2000</v>
      </c>
      <c r="C2346" t="s">
        <v>114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262</v>
      </c>
      <c r="B2347">
        <v>2015</v>
      </c>
      <c r="C2347" t="s">
        <v>114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262</v>
      </c>
      <c r="B2348">
        <v>2014</v>
      </c>
      <c r="C2348" t="s">
        <v>114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262</v>
      </c>
      <c r="B2349">
        <v>2013</v>
      </c>
      <c r="C2349" t="s">
        <v>114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262</v>
      </c>
      <c r="B2350">
        <v>2012</v>
      </c>
      <c r="C2350" t="s">
        <v>114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262</v>
      </c>
      <c r="B2351">
        <v>2011</v>
      </c>
      <c r="C2351" t="s">
        <v>114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262</v>
      </c>
      <c r="B2352">
        <v>2010</v>
      </c>
      <c r="C2352" t="s">
        <v>114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262</v>
      </c>
      <c r="B2353">
        <v>2009</v>
      </c>
      <c r="C2353" t="s">
        <v>114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262</v>
      </c>
      <c r="B2354">
        <v>2008</v>
      </c>
      <c r="C2354" t="s">
        <v>114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262</v>
      </c>
      <c r="B2355">
        <v>2007</v>
      </c>
      <c r="C2355" t="s">
        <v>114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262</v>
      </c>
      <c r="B2356">
        <v>2006</v>
      </c>
      <c r="C2356" t="s">
        <v>114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262</v>
      </c>
      <c r="B2357">
        <v>2005</v>
      </c>
      <c r="C2357" t="s">
        <v>114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262</v>
      </c>
      <c r="B2358">
        <v>2004</v>
      </c>
      <c r="C2358" t="s">
        <v>114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262</v>
      </c>
      <c r="B2359">
        <v>2003</v>
      </c>
      <c r="C2359" t="s">
        <v>114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262</v>
      </c>
      <c r="B2360">
        <v>2002</v>
      </c>
      <c r="C2360" t="s">
        <v>114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262</v>
      </c>
      <c r="B2361">
        <v>2001</v>
      </c>
      <c r="C2361" t="s">
        <v>114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262</v>
      </c>
      <c r="B2362">
        <v>2000</v>
      </c>
      <c r="C2362" t="s">
        <v>114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263</v>
      </c>
      <c r="B2363">
        <v>2015</v>
      </c>
      <c r="C2363" t="s">
        <v>106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263</v>
      </c>
      <c r="B2364">
        <v>2014</v>
      </c>
      <c r="C2364" t="s">
        <v>106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263</v>
      </c>
      <c r="B2365">
        <v>2013</v>
      </c>
      <c r="C2365" t="s">
        <v>106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263</v>
      </c>
      <c r="B2366">
        <v>2012</v>
      </c>
      <c r="C2366" t="s">
        <v>106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263</v>
      </c>
      <c r="B2367">
        <v>2011</v>
      </c>
      <c r="C2367" t="s">
        <v>106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263</v>
      </c>
      <c r="B2368">
        <v>2010</v>
      </c>
      <c r="C2368" t="s">
        <v>106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263</v>
      </c>
      <c r="B2369">
        <v>2009</v>
      </c>
      <c r="C2369" t="s">
        <v>106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263</v>
      </c>
      <c r="B2370">
        <v>2008</v>
      </c>
      <c r="C2370" t="s">
        <v>106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263</v>
      </c>
      <c r="B2371">
        <v>2007</v>
      </c>
      <c r="C2371" t="s">
        <v>106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263</v>
      </c>
      <c r="B2372">
        <v>2006</v>
      </c>
      <c r="C2372" t="s">
        <v>106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263</v>
      </c>
      <c r="B2373">
        <v>2005</v>
      </c>
      <c r="C2373" t="s">
        <v>106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263</v>
      </c>
      <c r="B2374">
        <v>2004</v>
      </c>
      <c r="C2374" t="s">
        <v>106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263</v>
      </c>
      <c r="B2375">
        <v>2003</v>
      </c>
      <c r="C2375" t="s">
        <v>106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263</v>
      </c>
      <c r="B2376">
        <v>2002</v>
      </c>
      <c r="C2376" t="s">
        <v>106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263</v>
      </c>
      <c r="B2377">
        <v>2001</v>
      </c>
      <c r="C2377" t="s">
        <v>106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263</v>
      </c>
      <c r="B2378">
        <v>2000</v>
      </c>
      <c r="C2378" t="s">
        <v>106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264</v>
      </c>
      <c r="B2379">
        <v>2015</v>
      </c>
      <c r="C2379" t="s">
        <v>106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264</v>
      </c>
      <c r="B2380">
        <v>2014</v>
      </c>
      <c r="C2380" t="s">
        <v>106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264</v>
      </c>
      <c r="B2381">
        <v>2013</v>
      </c>
      <c r="C2381" t="s">
        <v>106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264</v>
      </c>
      <c r="B2382">
        <v>2012</v>
      </c>
      <c r="C2382" t="s">
        <v>106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264</v>
      </c>
      <c r="B2383">
        <v>2011</v>
      </c>
      <c r="C2383" t="s">
        <v>106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264</v>
      </c>
      <c r="B2384">
        <v>2010</v>
      </c>
      <c r="C2384" t="s">
        <v>106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264</v>
      </c>
      <c r="B2385">
        <v>2009</v>
      </c>
      <c r="C2385" t="s">
        <v>106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264</v>
      </c>
      <c r="B2386">
        <v>2008</v>
      </c>
      <c r="C2386" t="s">
        <v>106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264</v>
      </c>
      <c r="B2387">
        <v>2007</v>
      </c>
      <c r="C2387" t="s">
        <v>106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264</v>
      </c>
      <c r="B2388">
        <v>2006</v>
      </c>
      <c r="C2388" t="s">
        <v>106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264</v>
      </c>
      <c r="B2389">
        <v>2005</v>
      </c>
      <c r="C2389" t="s">
        <v>106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264</v>
      </c>
      <c r="B2390">
        <v>2004</v>
      </c>
      <c r="C2390" t="s">
        <v>106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264</v>
      </c>
      <c r="B2391">
        <v>2003</v>
      </c>
      <c r="C2391" t="s">
        <v>106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264</v>
      </c>
      <c r="B2392">
        <v>2002</v>
      </c>
      <c r="C2392" t="s">
        <v>106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264</v>
      </c>
      <c r="B2393">
        <v>2001</v>
      </c>
      <c r="C2393" t="s">
        <v>106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264</v>
      </c>
      <c r="B2394">
        <v>2000</v>
      </c>
      <c r="C2394" t="s">
        <v>106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265</v>
      </c>
      <c r="B2395">
        <v>2015</v>
      </c>
      <c r="C2395" t="s">
        <v>106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265</v>
      </c>
      <c r="B2396">
        <v>2014</v>
      </c>
      <c r="C2396" t="s">
        <v>106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265</v>
      </c>
      <c r="B2397">
        <v>2013</v>
      </c>
      <c r="C2397" t="s">
        <v>106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265</v>
      </c>
      <c r="B2398">
        <v>2012</v>
      </c>
      <c r="C2398" t="s">
        <v>106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265</v>
      </c>
      <c r="B2399">
        <v>2011</v>
      </c>
      <c r="C2399" t="s">
        <v>106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265</v>
      </c>
      <c r="B2400">
        <v>2010</v>
      </c>
      <c r="C2400" t="s">
        <v>106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265</v>
      </c>
      <c r="B2401">
        <v>2009</v>
      </c>
      <c r="C2401" t="s">
        <v>106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265</v>
      </c>
      <c r="B2402">
        <v>2008</v>
      </c>
      <c r="C2402" t="s">
        <v>106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265</v>
      </c>
      <c r="B2403">
        <v>2007</v>
      </c>
      <c r="C2403" t="s">
        <v>106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265</v>
      </c>
      <c r="B2404">
        <v>2006</v>
      </c>
      <c r="C2404" t="s">
        <v>106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265</v>
      </c>
      <c r="B2405">
        <v>2005</v>
      </c>
      <c r="C2405" t="s">
        <v>106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265</v>
      </c>
      <c r="B2406">
        <v>2004</v>
      </c>
      <c r="C2406" t="s">
        <v>106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265</v>
      </c>
      <c r="B2407">
        <v>2003</v>
      </c>
      <c r="C2407" t="s">
        <v>106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265</v>
      </c>
      <c r="B2408">
        <v>2002</v>
      </c>
      <c r="C2408" t="s">
        <v>106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265</v>
      </c>
      <c r="B2409">
        <v>2001</v>
      </c>
      <c r="C2409" t="s">
        <v>106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265</v>
      </c>
      <c r="B2410">
        <v>2000</v>
      </c>
      <c r="C2410" t="s">
        <v>106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266</v>
      </c>
      <c r="B2411">
        <v>2015</v>
      </c>
      <c r="C2411" t="s">
        <v>106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266</v>
      </c>
      <c r="B2412">
        <v>2014</v>
      </c>
      <c r="C2412" t="s">
        <v>106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266</v>
      </c>
      <c r="B2413">
        <v>2013</v>
      </c>
      <c r="C2413" t="s">
        <v>106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266</v>
      </c>
      <c r="B2414">
        <v>2012</v>
      </c>
      <c r="C2414" t="s">
        <v>106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266</v>
      </c>
      <c r="B2415">
        <v>2011</v>
      </c>
      <c r="C2415" t="s">
        <v>106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266</v>
      </c>
      <c r="B2416">
        <v>2010</v>
      </c>
      <c r="C2416" t="s">
        <v>106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266</v>
      </c>
      <c r="B2417">
        <v>2009</v>
      </c>
      <c r="C2417" t="s">
        <v>106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266</v>
      </c>
      <c r="B2418">
        <v>2008</v>
      </c>
      <c r="C2418" t="s">
        <v>106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266</v>
      </c>
      <c r="B2419">
        <v>2007</v>
      </c>
      <c r="C2419" t="s">
        <v>106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266</v>
      </c>
      <c r="B2420">
        <v>2006</v>
      </c>
      <c r="C2420" t="s">
        <v>106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266</v>
      </c>
      <c r="B2421">
        <v>2005</v>
      </c>
      <c r="C2421" t="s">
        <v>106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266</v>
      </c>
      <c r="B2422">
        <v>2004</v>
      </c>
      <c r="C2422" t="s">
        <v>106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266</v>
      </c>
      <c r="B2423">
        <v>2003</v>
      </c>
      <c r="C2423" t="s">
        <v>106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266</v>
      </c>
      <c r="B2424">
        <v>2002</v>
      </c>
      <c r="C2424" t="s">
        <v>106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266</v>
      </c>
      <c r="B2425">
        <v>2001</v>
      </c>
      <c r="C2425" t="s">
        <v>106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266</v>
      </c>
      <c r="B2426">
        <v>2000</v>
      </c>
      <c r="C2426" t="s">
        <v>106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267</v>
      </c>
      <c r="B2427">
        <v>2015</v>
      </c>
      <c r="C2427" t="s">
        <v>114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267</v>
      </c>
      <c r="B2428">
        <v>2014</v>
      </c>
      <c r="C2428" t="s">
        <v>114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267</v>
      </c>
      <c r="B2429">
        <v>2013</v>
      </c>
      <c r="C2429" t="s">
        <v>114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267</v>
      </c>
      <c r="B2430">
        <v>2012</v>
      </c>
      <c r="C2430" t="s">
        <v>114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267</v>
      </c>
      <c r="B2431">
        <v>2011</v>
      </c>
      <c r="C2431" t="s">
        <v>114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267</v>
      </c>
      <c r="B2432">
        <v>2010</v>
      </c>
      <c r="C2432" t="s">
        <v>114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267</v>
      </c>
      <c r="B2433">
        <v>2009</v>
      </c>
      <c r="C2433" t="s">
        <v>114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267</v>
      </c>
      <c r="B2434">
        <v>2008</v>
      </c>
      <c r="C2434" t="s">
        <v>114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267</v>
      </c>
      <c r="B2435">
        <v>2007</v>
      </c>
      <c r="C2435" t="s">
        <v>114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267</v>
      </c>
      <c r="B2436">
        <v>2006</v>
      </c>
      <c r="C2436" t="s">
        <v>114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267</v>
      </c>
      <c r="B2437">
        <v>2005</v>
      </c>
      <c r="C2437" t="s">
        <v>114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267</v>
      </c>
      <c r="B2438">
        <v>2004</v>
      </c>
      <c r="C2438" t="s">
        <v>114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267</v>
      </c>
      <c r="B2439">
        <v>2003</v>
      </c>
      <c r="C2439" t="s">
        <v>114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267</v>
      </c>
      <c r="B2440">
        <v>2002</v>
      </c>
      <c r="C2440" t="s">
        <v>114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267</v>
      </c>
      <c r="B2441">
        <v>2001</v>
      </c>
      <c r="C2441" t="s">
        <v>114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267</v>
      </c>
      <c r="B2442">
        <v>2000</v>
      </c>
      <c r="C2442" t="s">
        <v>114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268</v>
      </c>
      <c r="B2443">
        <v>2015</v>
      </c>
      <c r="C2443" t="s">
        <v>106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268</v>
      </c>
      <c r="B2444">
        <v>2014</v>
      </c>
      <c r="C2444" t="s">
        <v>106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268</v>
      </c>
      <c r="B2445">
        <v>2013</v>
      </c>
      <c r="C2445" t="s">
        <v>106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268</v>
      </c>
      <c r="B2446">
        <v>2012</v>
      </c>
      <c r="C2446" t="s">
        <v>106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268</v>
      </c>
      <c r="B2447">
        <v>2011</v>
      </c>
      <c r="C2447" t="s">
        <v>106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268</v>
      </c>
      <c r="B2448">
        <v>2010</v>
      </c>
      <c r="C2448" t="s">
        <v>106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268</v>
      </c>
      <c r="B2449">
        <v>2009</v>
      </c>
      <c r="C2449" t="s">
        <v>106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268</v>
      </c>
      <c r="B2450">
        <v>2008</v>
      </c>
      <c r="C2450" t="s">
        <v>106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268</v>
      </c>
      <c r="B2451">
        <v>2007</v>
      </c>
      <c r="C2451" t="s">
        <v>106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268</v>
      </c>
      <c r="B2452">
        <v>2006</v>
      </c>
      <c r="C2452" t="s">
        <v>106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268</v>
      </c>
      <c r="B2453">
        <v>2005</v>
      </c>
      <c r="C2453" t="s">
        <v>106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268</v>
      </c>
      <c r="B2454">
        <v>2004</v>
      </c>
      <c r="C2454" t="s">
        <v>106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268</v>
      </c>
      <c r="B2455">
        <v>2003</v>
      </c>
      <c r="C2455" t="s">
        <v>106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268</v>
      </c>
      <c r="B2456">
        <v>2002</v>
      </c>
      <c r="C2456" t="s">
        <v>106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268</v>
      </c>
      <c r="B2457">
        <v>2001</v>
      </c>
      <c r="C2457" t="s">
        <v>106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268</v>
      </c>
      <c r="B2458">
        <v>2000</v>
      </c>
      <c r="C2458" t="s">
        <v>106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269</v>
      </c>
      <c r="B2459">
        <v>2015</v>
      </c>
      <c r="C2459" t="s">
        <v>106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269</v>
      </c>
      <c r="B2460">
        <v>2014</v>
      </c>
      <c r="C2460" t="s">
        <v>106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269</v>
      </c>
      <c r="B2461">
        <v>2013</v>
      </c>
      <c r="C2461" t="s">
        <v>106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269</v>
      </c>
      <c r="B2462">
        <v>2012</v>
      </c>
      <c r="C2462" t="s">
        <v>106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269</v>
      </c>
      <c r="B2463">
        <v>2011</v>
      </c>
      <c r="C2463" t="s">
        <v>106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269</v>
      </c>
      <c r="B2464">
        <v>2010</v>
      </c>
      <c r="C2464" t="s">
        <v>106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269</v>
      </c>
      <c r="B2465">
        <v>2009</v>
      </c>
      <c r="C2465" t="s">
        <v>106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269</v>
      </c>
      <c r="B2466">
        <v>2008</v>
      </c>
      <c r="C2466" t="s">
        <v>106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269</v>
      </c>
      <c r="B2467">
        <v>2007</v>
      </c>
      <c r="C2467" t="s">
        <v>106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269</v>
      </c>
      <c r="B2468">
        <v>2006</v>
      </c>
      <c r="C2468" t="s">
        <v>106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269</v>
      </c>
      <c r="B2469">
        <v>2005</v>
      </c>
      <c r="C2469" t="s">
        <v>106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269</v>
      </c>
      <c r="B2470">
        <v>2004</v>
      </c>
      <c r="C2470" t="s">
        <v>106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269</v>
      </c>
      <c r="B2471">
        <v>2003</v>
      </c>
      <c r="C2471" t="s">
        <v>106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269</v>
      </c>
      <c r="B2472">
        <v>2002</v>
      </c>
      <c r="C2472" t="s">
        <v>106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269</v>
      </c>
      <c r="B2473">
        <v>2001</v>
      </c>
      <c r="C2473" t="s">
        <v>106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269</v>
      </c>
      <c r="B2474">
        <v>2000</v>
      </c>
      <c r="C2474" t="s">
        <v>106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270</v>
      </c>
      <c r="B2475">
        <v>2015</v>
      </c>
      <c r="C2475" t="s">
        <v>106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270</v>
      </c>
      <c r="B2476">
        <v>2014</v>
      </c>
      <c r="C2476" t="s">
        <v>106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270</v>
      </c>
      <c r="B2477">
        <v>2013</v>
      </c>
      <c r="C2477" t="s">
        <v>106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270</v>
      </c>
      <c r="B2478">
        <v>2012</v>
      </c>
      <c r="C2478" t="s">
        <v>106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270</v>
      </c>
      <c r="B2479">
        <v>2011</v>
      </c>
      <c r="C2479" t="s">
        <v>106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270</v>
      </c>
      <c r="B2480">
        <v>2010</v>
      </c>
      <c r="C2480" t="s">
        <v>106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270</v>
      </c>
      <c r="B2481">
        <v>2009</v>
      </c>
      <c r="C2481" t="s">
        <v>106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270</v>
      </c>
      <c r="B2482">
        <v>2008</v>
      </c>
      <c r="C2482" t="s">
        <v>106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270</v>
      </c>
      <c r="B2483">
        <v>2007</v>
      </c>
      <c r="C2483" t="s">
        <v>106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270</v>
      </c>
      <c r="B2484">
        <v>2006</v>
      </c>
      <c r="C2484" t="s">
        <v>106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270</v>
      </c>
      <c r="B2485">
        <v>2005</v>
      </c>
      <c r="C2485" t="s">
        <v>106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270</v>
      </c>
      <c r="B2486">
        <v>2004</v>
      </c>
      <c r="C2486" t="s">
        <v>106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270</v>
      </c>
      <c r="B2487">
        <v>2003</v>
      </c>
      <c r="C2487" t="s">
        <v>106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270</v>
      </c>
      <c r="B2488">
        <v>2002</v>
      </c>
      <c r="C2488" t="s">
        <v>106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270</v>
      </c>
      <c r="B2489">
        <v>2001</v>
      </c>
      <c r="C2489" t="s">
        <v>106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270</v>
      </c>
      <c r="B2490">
        <v>2000</v>
      </c>
      <c r="C2490" t="s">
        <v>106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271</v>
      </c>
      <c r="B2491">
        <v>2015</v>
      </c>
      <c r="C2491" t="s">
        <v>106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271</v>
      </c>
      <c r="B2492">
        <v>2014</v>
      </c>
      <c r="C2492" t="s">
        <v>106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271</v>
      </c>
      <c r="B2493">
        <v>2013</v>
      </c>
      <c r="C2493" t="s">
        <v>106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271</v>
      </c>
      <c r="B2494">
        <v>2012</v>
      </c>
      <c r="C2494" t="s">
        <v>106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271</v>
      </c>
      <c r="B2495">
        <v>2011</v>
      </c>
      <c r="C2495" t="s">
        <v>106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271</v>
      </c>
      <c r="B2496">
        <v>2010</v>
      </c>
      <c r="C2496" t="s">
        <v>106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271</v>
      </c>
      <c r="B2497">
        <v>2009</v>
      </c>
      <c r="C2497" t="s">
        <v>106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271</v>
      </c>
      <c r="B2498">
        <v>2008</v>
      </c>
      <c r="C2498" t="s">
        <v>106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271</v>
      </c>
      <c r="B2499">
        <v>2007</v>
      </c>
      <c r="C2499" t="s">
        <v>106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271</v>
      </c>
      <c r="B2500">
        <v>2006</v>
      </c>
      <c r="C2500" t="s">
        <v>106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271</v>
      </c>
      <c r="B2501">
        <v>2005</v>
      </c>
      <c r="C2501" t="s">
        <v>106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271</v>
      </c>
      <c r="B2502">
        <v>2004</v>
      </c>
      <c r="C2502" t="s">
        <v>106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271</v>
      </c>
      <c r="B2503">
        <v>2003</v>
      </c>
      <c r="C2503" t="s">
        <v>106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271</v>
      </c>
      <c r="B2504">
        <v>2002</v>
      </c>
      <c r="C2504" t="s">
        <v>106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271</v>
      </c>
      <c r="B2505">
        <v>2001</v>
      </c>
      <c r="C2505" t="s">
        <v>106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271</v>
      </c>
      <c r="B2506">
        <v>2000</v>
      </c>
      <c r="C2506" t="s">
        <v>106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272</v>
      </c>
      <c r="B2507">
        <v>2015</v>
      </c>
      <c r="C2507" t="s">
        <v>114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272</v>
      </c>
      <c r="B2508">
        <v>2014</v>
      </c>
      <c r="C2508" t="s">
        <v>114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272</v>
      </c>
      <c r="B2509">
        <v>2013</v>
      </c>
      <c r="C2509" t="s">
        <v>114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272</v>
      </c>
      <c r="B2510">
        <v>2012</v>
      </c>
      <c r="C2510" t="s">
        <v>114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272</v>
      </c>
      <c r="B2511">
        <v>2011</v>
      </c>
      <c r="C2511" t="s">
        <v>114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272</v>
      </c>
      <c r="B2512">
        <v>2010</v>
      </c>
      <c r="C2512" t="s">
        <v>114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272</v>
      </c>
      <c r="B2513">
        <v>2009</v>
      </c>
      <c r="C2513" t="s">
        <v>114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272</v>
      </c>
      <c r="B2514">
        <v>2008</v>
      </c>
      <c r="C2514" t="s">
        <v>114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272</v>
      </c>
      <c r="B2515">
        <v>2007</v>
      </c>
      <c r="C2515" t="s">
        <v>114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272</v>
      </c>
      <c r="B2516">
        <v>2006</v>
      </c>
      <c r="C2516" t="s">
        <v>114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272</v>
      </c>
      <c r="B2517">
        <v>2005</v>
      </c>
      <c r="C2517" t="s">
        <v>114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272</v>
      </c>
      <c r="B2518">
        <v>2004</v>
      </c>
      <c r="C2518" t="s">
        <v>114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272</v>
      </c>
      <c r="B2519">
        <v>2003</v>
      </c>
      <c r="C2519" t="s">
        <v>114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272</v>
      </c>
      <c r="B2520">
        <v>2002</v>
      </c>
      <c r="C2520" t="s">
        <v>114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272</v>
      </c>
      <c r="B2521">
        <v>2001</v>
      </c>
      <c r="C2521" t="s">
        <v>114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272</v>
      </c>
      <c r="B2522">
        <v>2000</v>
      </c>
      <c r="C2522" t="s">
        <v>114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273</v>
      </c>
      <c r="B2523">
        <v>2015</v>
      </c>
      <c r="C2523" t="s">
        <v>114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273</v>
      </c>
      <c r="B2524">
        <v>2014</v>
      </c>
      <c r="C2524" t="s">
        <v>114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273</v>
      </c>
      <c r="B2525">
        <v>2013</v>
      </c>
      <c r="C2525" t="s">
        <v>114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273</v>
      </c>
      <c r="B2526">
        <v>2012</v>
      </c>
      <c r="C2526" t="s">
        <v>114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273</v>
      </c>
      <c r="B2527">
        <v>2011</v>
      </c>
      <c r="C2527" t="s">
        <v>114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273</v>
      </c>
      <c r="B2528">
        <v>2010</v>
      </c>
      <c r="C2528" t="s">
        <v>114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273</v>
      </c>
      <c r="B2529">
        <v>2009</v>
      </c>
      <c r="C2529" t="s">
        <v>114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273</v>
      </c>
      <c r="B2530">
        <v>2008</v>
      </c>
      <c r="C2530" t="s">
        <v>114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273</v>
      </c>
      <c r="B2531">
        <v>2007</v>
      </c>
      <c r="C2531" t="s">
        <v>114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273</v>
      </c>
      <c r="B2532">
        <v>2006</v>
      </c>
      <c r="C2532" t="s">
        <v>114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273</v>
      </c>
      <c r="B2533">
        <v>2005</v>
      </c>
      <c r="C2533" t="s">
        <v>114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273</v>
      </c>
      <c r="B2534">
        <v>2004</v>
      </c>
      <c r="C2534" t="s">
        <v>114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273</v>
      </c>
      <c r="B2535">
        <v>2003</v>
      </c>
      <c r="C2535" t="s">
        <v>114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273</v>
      </c>
      <c r="B2536">
        <v>2002</v>
      </c>
      <c r="C2536" t="s">
        <v>114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273</v>
      </c>
      <c r="B2537">
        <v>2001</v>
      </c>
      <c r="C2537" t="s">
        <v>114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273</v>
      </c>
      <c r="B2538">
        <v>2000</v>
      </c>
      <c r="C2538" t="s">
        <v>114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274</v>
      </c>
      <c r="B2539">
        <v>2015</v>
      </c>
      <c r="C2539" t="s">
        <v>106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274</v>
      </c>
      <c r="B2540">
        <v>2014</v>
      </c>
      <c r="C2540" t="s">
        <v>106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274</v>
      </c>
      <c r="B2541">
        <v>2013</v>
      </c>
      <c r="C2541" t="s">
        <v>106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274</v>
      </c>
      <c r="B2542">
        <v>2012</v>
      </c>
      <c r="C2542" t="s">
        <v>106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274</v>
      </c>
      <c r="B2543">
        <v>2011</v>
      </c>
      <c r="C2543" t="s">
        <v>106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274</v>
      </c>
      <c r="B2544">
        <v>2010</v>
      </c>
      <c r="C2544" t="s">
        <v>106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274</v>
      </c>
      <c r="B2545">
        <v>2009</v>
      </c>
      <c r="C2545" t="s">
        <v>106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274</v>
      </c>
      <c r="B2546">
        <v>2008</v>
      </c>
      <c r="C2546" t="s">
        <v>106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274</v>
      </c>
      <c r="B2547">
        <v>2007</v>
      </c>
      <c r="C2547" t="s">
        <v>106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274</v>
      </c>
      <c r="B2548">
        <v>2006</v>
      </c>
      <c r="C2548" t="s">
        <v>106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274</v>
      </c>
      <c r="B2549">
        <v>2005</v>
      </c>
      <c r="C2549" t="s">
        <v>106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274</v>
      </c>
      <c r="B2550">
        <v>2004</v>
      </c>
      <c r="C2550" t="s">
        <v>106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274</v>
      </c>
      <c r="B2551">
        <v>2003</v>
      </c>
      <c r="C2551" t="s">
        <v>106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274</v>
      </c>
      <c r="B2552">
        <v>2002</v>
      </c>
      <c r="C2552" t="s">
        <v>106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274</v>
      </c>
      <c r="B2553">
        <v>2001</v>
      </c>
      <c r="C2553" t="s">
        <v>106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274</v>
      </c>
      <c r="B2554">
        <v>2000</v>
      </c>
      <c r="C2554" t="s">
        <v>106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275</v>
      </c>
      <c r="B2555">
        <v>2015</v>
      </c>
      <c r="C2555" t="s">
        <v>106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275</v>
      </c>
      <c r="B2556">
        <v>2014</v>
      </c>
      <c r="C2556" t="s">
        <v>106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275</v>
      </c>
      <c r="B2557">
        <v>2013</v>
      </c>
      <c r="C2557" t="s">
        <v>106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275</v>
      </c>
      <c r="B2558">
        <v>2012</v>
      </c>
      <c r="C2558" t="s">
        <v>106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275</v>
      </c>
      <c r="B2559">
        <v>2011</v>
      </c>
      <c r="C2559" t="s">
        <v>106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275</v>
      </c>
      <c r="B2560">
        <v>2010</v>
      </c>
      <c r="C2560" t="s">
        <v>106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275</v>
      </c>
      <c r="B2561">
        <v>2009</v>
      </c>
      <c r="C2561" t="s">
        <v>106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275</v>
      </c>
      <c r="B2562">
        <v>2008</v>
      </c>
      <c r="C2562" t="s">
        <v>106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275</v>
      </c>
      <c r="B2563">
        <v>2007</v>
      </c>
      <c r="C2563" t="s">
        <v>106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275</v>
      </c>
      <c r="B2564">
        <v>2006</v>
      </c>
      <c r="C2564" t="s">
        <v>106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275</v>
      </c>
      <c r="B2565">
        <v>2005</v>
      </c>
      <c r="C2565" t="s">
        <v>106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275</v>
      </c>
      <c r="B2566">
        <v>2004</v>
      </c>
      <c r="C2566" t="s">
        <v>106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275</v>
      </c>
      <c r="B2567">
        <v>2003</v>
      </c>
      <c r="C2567" t="s">
        <v>106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275</v>
      </c>
      <c r="B2568">
        <v>2002</v>
      </c>
      <c r="C2568" t="s">
        <v>106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275</v>
      </c>
      <c r="B2569">
        <v>2001</v>
      </c>
      <c r="C2569" t="s">
        <v>106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275</v>
      </c>
      <c r="B2570">
        <v>2000</v>
      </c>
      <c r="C2570" t="s">
        <v>106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276</v>
      </c>
      <c r="B2571">
        <v>2015</v>
      </c>
      <c r="C2571" t="s">
        <v>106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276</v>
      </c>
      <c r="B2572">
        <v>2014</v>
      </c>
      <c r="C2572" t="s">
        <v>106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276</v>
      </c>
      <c r="B2573">
        <v>2013</v>
      </c>
      <c r="C2573" t="s">
        <v>106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276</v>
      </c>
      <c r="B2574">
        <v>2012</v>
      </c>
      <c r="C2574" t="s">
        <v>106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276</v>
      </c>
      <c r="B2575">
        <v>2011</v>
      </c>
      <c r="C2575" t="s">
        <v>106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276</v>
      </c>
      <c r="B2576">
        <v>2010</v>
      </c>
      <c r="C2576" t="s">
        <v>106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276</v>
      </c>
      <c r="B2577">
        <v>2009</v>
      </c>
      <c r="C2577" t="s">
        <v>106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276</v>
      </c>
      <c r="B2578">
        <v>2008</v>
      </c>
      <c r="C2578" t="s">
        <v>106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276</v>
      </c>
      <c r="B2579">
        <v>2007</v>
      </c>
      <c r="C2579" t="s">
        <v>106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276</v>
      </c>
      <c r="B2580">
        <v>2006</v>
      </c>
      <c r="C2580" t="s">
        <v>106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276</v>
      </c>
      <c r="B2581">
        <v>2005</v>
      </c>
      <c r="C2581" t="s">
        <v>106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276</v>
      </c>
      <c r="B2582">
        <v>2004</v>
      </c>
      <c r="C2582" t="s">
        <v>106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276</v>
      </c>
      <c r="B2583">
        <v>2003</v>
      </c>
      <c r="C2583" t="s">
        <v>106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276</v>
      </c>
      <c r="B2584">
        <v>2002</v>
      </c>
      <c r="C2584" t="s">
        <v>106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276</v>
      </c>
      <c r="B2585">
        <v>2001</v>
      </c>
      <c r="C2585" t="s">
        <v>106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276</v>
      </c>
      <c r="B2586">
        <v>2000</v>
      </c>
      <c r="C2586" t="s">
        <v>106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277</v>
      </c>
      <c r="B2587">
        <v>2015</v>
      </c>
      <c r="C2587" t="s">
        <v>106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277</v>
      </c>
      <c r="B2588">
        <v>2014</v>
      </c>
      <c r="C2588" t="s">
        <v>106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277</v>
      </c>
      <c r="B2589">
        <v>2013</v>
      </c>
      <c r="C2589" t="s">
        <v>106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277</v>
      </c>
      <c r="B2590">
        <v>2012</v>
      </c>
      <c r="C2590" t="s">
        <v>106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277</v>
      </c>
      <c r="B2591">
        <v>2011</v>
      </c>
      <c r="C2591" t="s">
        <v>106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277</v>
      </c>
      <c r="B2592">
        <v>2010</v>
      </c>
      <c r="C2592" t="s">
        <v>106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277</v>
      </c>
      <c r="B2593">
        <v>2009</v>
      </c>
      <c r="C2593" t="s">
        <v>106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277</v>
      </c>
      <c r="B2594">
        <v>2008</v>
      </c>
      <c r="C2594" t="s">
        <v>106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277</v>
      </c>
      <c r="B2595">
        <v>2007</v>
      </c>
      <c r="C2595" t="s">
        <v>106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277</v>
      </c>
      <c r="B2596">
        <v>2006</v>
      </c>
      <c r="C2596" t="s">
        <v>106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277</v>
      </c>
      <c r="B2597">
        <v>2005</v>
      </c>
      <c r="C2597" t="s">
        <v>106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277</v>
      </c>
      <c r="B2598">
        <v>2004</v>
      </c>
      <c r="C2598" t="s">
        <v>106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277</v>
      </c>
      <c r="B2599">
        <v>2003</v>
      </c>
      <c r="C2599" t="s">
        <v>106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277</v>
      </c>
      <c r="B2600">
        <v>2002</v>
      </c>
      <c r="C2600" t="s">
        <v>106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277</v>
      </c>
      <c r="B2601">
        <v>2001</v>
      </c>
      <c r="C2601" t="s">
        <v>106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277</v>
      </c>
      <c r="B2602">
        <v>2000</v>
      </c>
      <c r="C2602" t="s">
        <v>106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278</v>
      </c>
      <c r="B2603">
        <v>2015</v>
      </c>
      <c r="C2603" t="s">
        <v>106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278</v>
      </c>
      <c r="B2604">
        <v>2014</v>
      </c>
      <c r="C2604" t="s">
        <v>106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278</v>
      </c>
      <c r="B2605">
        <v>2013</v>
      </c>
      <c r="C2605" t="s">
        <v>106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278</v>
      </c>
      <c r="B2606">
        <v>2012</v>
      </c>
      <c r="C2606" t="s">
        <v>106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278</v>
      </c>
      <c r="B2607">
        <v>2011</v>
      </c>
      <c r="C2607" t="s">
        <v>106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278</v>
      </c>
      <c r="B2608">
        <v>2010</v>
      </c>
      <c r="C2608" t="s">
        <v>106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278</v>
      </c>
      <c r="B2609">
        <v>2009</v>
      </c>
      <c r="C2609" t="s">
        <v>106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278</v>
      </c>
      <c r="B2610">
        <v>2008</v>
      </c>
      <c r="C2610" t="s">
        <v>106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278</v>
      </c>
      <c r="B2611">
        <v>2007</v>
      </c>
      <c r="C2611" t="s">
        <v>106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278</v>
      </c>
      <c r="B2612">
        <v>2006</v>
      </c>
      <c r="C2612" t="s">
        <v>106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278</v>
      </c>
      <c r="B2613">
        <v>2005</v>
      </c>
      <c r="C2613" t="s">
        <v>106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278</v>
      </c>
      <c r="B2614">
        <v>2004</v>
      </c>
      <c r="C2614" t="s">
        <v>106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278</v>
      </c>
      <c r="B2615">
        <v>2003</v>
      </c>
      <c r="C2615" t="s">
        <v>106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278</v>
      </c>
      <c r="B2616">
        <v>2002</v>
      </c>
      <c r="C2616" t="s">
        <v>106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278</v>
      </c>
      <c r="B2617">
        <v>2001</v>
      </c>
      <c r="C2617" t="s">
        <v>106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278</v>
      </c>
      <c r="B2618">
        <v>2000</v>
      </c>
      <c r="C2618" t="s">
        <v>106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279</v>
      </c>
      <c r="B2619">
        <v>2015</v>
      </c>
      <c r="C2619" t="s">
        <v>106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279</v>
      </c>
      <c r="B2620">
        <v>2014</v>
      </c>
      <c r="C2620" t="s">
        <v>106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279</v>
      </c>
      <c r="B2621">
        <v>2013</v>
      </c>
      <c r="C2621" t="s">
        <v>106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279</v>
      </c>
      <c r="B2622">
        <v>2012</v>
      </c>
      <c r="C2622" t="s">
        <v>106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279</v>
      </c>
      <c r="B2623">
        <v>2011</v>
      </c>
      <c r="C2623" t="s">
        <v>106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279</v>
      </c>
      <c r="B2624">
        <v>2010</v>
      </c>
      <c r="C2624" t="s">
        <v>106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279</v>
      </c>
      <c r="B2625">
        <v>2009</v>
      </c>
      <c r="C2625" t="s">
        <v>106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279</v>
      </c>
      <c r="B2626">
        <v>2008</v>
      </c>
      <c r="C2626" t="s">
        <v>106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279</v>
      </c>
      <c r="B2627">
        <v>2007</v>
      </c>
      <c r="C2627" t="s">
        <v>106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279</v>
      </c>
      <c r="B2628">
        <v>2006</v>
      </c>
      <c r="C2628" t="s">
        <v>106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279</v>
      </c>
      <c r="B2629">
        <v>2005</v>
      </c>
      <c r="C2629" t="s">
        <v>106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279</v>
      </c>
      <c r="B2630">
        <v>2004</v>
      </c>
      <c r="C2630" t="s">
        <v>106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279</v>
      </c>
      <c r="B2631">
        <v>2003</v>
      </c>
      <c r="C2631" t="s">
        <v>106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279</v>
      </c>
      <c r="B2632">
        <v>2002</v>
      </c>
      <c r="C2632" t="s">
        <v>106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279</v>
      </c>
      <c r="B2633">
        <v>2001</v>
      </c>
      <c r="C2633" t="s">
        <v>106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279</v>
      </c>
      <c r="B2634">
        <v>2000</v>
      </c>
      <c r="C2634" t="s">
        <v>106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280</v>
      </c>
      <c r="B2635">
        <v>2015</v>
      </c>
      <c r="C2635" t="s">
        <v>106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280</v>
      </c>
      <c r="B2636">
        <v>2014</v>
      </c>
      <c r="C2636" t="s">
        <v>106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280</v>
      </c>
      <c r="B2637">
        <v>2013</v>
      </c>
      <c r="C2637" t="s">
        <v>106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280</v>
      </c>
      <c r="B2638">
        <v>2012</v>
      </c>
      <c r="C2638" t="s">
        <v>106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280</v>
      </c>
      <c r="B2639">
        <v>2011</v>
      </c>
      <c r="C2639" t="s">
        <v>106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280</v>
      </c>
      <c r="B2640">
        <v>2010</v>
      </c>
      <c r="C2640" t="s">
        <v>106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280</v>
      </c>
      <c r="B2641">
        <v>2009</v>
      </c>
      <c r="C2641" t="s">
        <v>106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280</v>
      </c>
      <c r="B2642">
        <v>2008</v>
      </c>
      <c r="C2642" t="s">
        <v>106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280</v>
      </c>
      <c r="B2643">
        <v>2007</v>
      </c>
      <c r="C2643" t="s">
        <v>106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280</v>
      </c>
      <c r="B2644">
        <v>2006</v>
      </c>
      <c r="C2644" t="s">
        <v>106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280</v>
      </c>
      <c r="B2645">
        <v>2005</v>
      </c>
      <c r="C2645" t="s">
        <v>106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280</v>
      </c>
      <c r="B2646">
        <v>2004</v>
      </c>
      <c r="C2646" t="s">
        <v>106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280</v>
      </c>
      <c r="B2647">
        <v>2003</v>
      </c>
      <c r="C2647" t="s">
        <v>106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280</v>
      </c>
      <c r="B2648">
        <v>2002</v>
      </c>
      <c r="C2648" t="s">
        <v>106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280</v>
      </c>
      <c r="B2649">
        <v>2001</v>
      </c>
      <c r="C2649" t="s">
        <v>106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280</v>
      </c>
      <c r="B2650">
        <v>2000</v>
      </c>
      <c r="C2650" t="s">
        <v>106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281</v>
      </c>
      <c r="B2651">
        <v>2015</v>
      </c>
      <c r="C2651" t="s">
        <v>106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281</v>
      </c>
      <c r="B2652">
        <v>2014</v>
      </c>
      <c r="C2652" t="s">
        <v>106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281</v>
      </c>
      <c r="B2653">
        <v>2013</v>
      </c>
      <c r="C2653" t="s">
        <v>106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281</v>
      </c>
      <c r="B2654">
        <v>2012</v>
      </c>
      <c r="C2654" t="s">
        <v>106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281</v>
      </c>
      <c r="B2655">
        <v>2011</v>
      </c>
      <c r="C2655" t="s">
        <v>106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281</v>
      </c>
      <c r="B2656">
        <v>2010</v>
      </c>
      <c r="C2656" t="s">
        <v>106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281</v>
      </c>
      <c r="B2657">
        <v>2009</v>
      </c>
      <c r="C2657" t="s">
        <v>106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281</v>
      </c>
      <c r="B2658">
        <v>2008</v>
      </c>
      <c r="C2658" t="s">
        <v>106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281</v>
      </c>
      <c r="B2659">
        <v>2007</v>
      </c>
      <c r="C2659" t="s">
        <v>106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281</v>
      </c>
      <c r="B2660">
        <v>2006</v>
      </c>
      <c r="C2660" t="s">
        <v>106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281</v>
      </c>
      <c r="B2661">
        <v>2005</v>
      </c>
      <c r="C2661" t="s">
        <v>106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281</v>
      </c>
      <c r="B2662">
        <v>2004</v>
      </c>
      <c r="C2662" t="s">
        <v>106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281</v>
      </c>
      <c r="B2663">
        <v>2003</v>
      </c>
      <c r="C2663" t="s">
        <v>106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281</v>
      </c>
      <c r="B2664">
        <v>2002</v>
      </c>
      <c r="C2664" t="s">
        <v>106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281</v>
      </c>
      <c r="B2665">
        <v>2001</v>
      </c>
      <c r="C2665" t="s">
        <v>106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281</v>
      </c>
      <c r="B2666">
        <v>2000</v>
      </c>
      <c r="C2666" t="s">
        <v>106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282</v>
      </c>
      <c r="B2667">
        <v>2015</v>
      </c>
      <c r="C2667" t="s">
        <v>106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282</v>
      </c>
      <c r="B2668">
        <v>2014</v>
      </c>
      <c r="C2668" t="s">
        <v>106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282</v>
      </c>
      <c r="B2669">
        <v>2013</v>
      </c>
      <c r="C2669" t="s">
        <v>106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282</v>
      </c>
      <c r="B2670">
        <v>2012</v>
      </c>
      <c r="C2670" t="s">
        <v>106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282</v>
      </c>
      <c r="B2671">
        <v>2011</v>
      </c>
      <c r="C2671" t="s">
        <v>106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282</v>
      </c>
      <c r="B2672">
        <v>2010</v>
      </c>
      <c r="C2672" t="s">
        <v>106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282</v>
      </c>
      <c r="B2673">
        <v>2009</v>
      </c>
      <c r="C2673" t="s">
        <v>106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282</v>
      </c>
      <c r="B2674">
        <v>2008</v>
      </c>
      <c r="C2674" t="s">
        <v>106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282</v>
      </c>
      <c r="B2675">
        <v>2007</v>
      </c>
      <c r="C2675" t="s">
        <v>106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282</v>
      </c>
      <c r="B2676">
        <v>2006</v>
      </c>
      <c r="C2676" t="s">
        <v>106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282</v>
      </c>
      <c r="B2677">
        <v>2005</v>
      </c>
      <c r="C2677" t="s">
        <v>106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282</v>
      </c>
      <c r="B2678">
        <v>2004</v>
      </c>
      <c r="C2678" t="s">
        <v>106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282</v>
      </c>
      <c r="B2679">
        <v>2003</v>
      </c>
      <c r="C2679" t="s">
        <v>106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282</v>
      </c>
      <c r="B2680">
        <v>2002</v>
      </c>
      <c r="C2680" t="s">
        <v>106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282</v>
      </c>
      <c r="B2681">
        <v>2001</v>
      </c>
      <c r="C2681" t="s">
        <v>106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282</v>
      </c>
      <c r="B2682">
        <v>2000</v>
      </c>
      <c r="C2682" t="s">
        <v>106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283</v>
      </c>
      <c r="B2683">
        <v>2015</v>
      </c>
      <c r="C2683" t="s">
        <v>106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283</v>
      </c>
      <c r="B2684">
        <v>2014</v>
      </c>
      <c r="C2684" t="s">
        <v>106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283</v>
      </c>
      <c r="B2685">
        <v>2013</v>
      </c>
      <c r="C2685" t="s">
        <v>106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283</v>
      </c>
      <c r="B2686">
        <v>2012</v>
      </c>
      <c r="C2686" t="s">
        <v>106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283</v>
      </c>
      <c r="B2687">
        <v>2011</v>
      </c>
      <c r="C2687" t="s">
        <v>106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283</v>
      </c>
      <c r="B2688">
        <v>2010</v>
      </c>
      <c r="C2688" t="s">
        <v>106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283</v>
      </c>
      <c r="B2689">
        <v>2009</v>
      </c>
      <c r="C2689" t="s">
        <v>106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283</v>
      </c>
      <c r="B2690">
        <v>2008</v>
      </c>
      <c r="C2690" t="s">
        <v>106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283</v>
      </c>
      <c r="B2691">
        <v>2007</v>
      </c>
      <c r="C2691" t="s">
        <v>106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283</v>
      </c>
      <c r="B2692">
        <v>2006</v>
      </c>
      <c r="C2692" t="s">
        <v>106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283</v>
      </c>
      <c r="B2693">
        <v>2005</v>
      </c>
      <c r="C2693" t="s">
        <v>106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283</v>
      </c>
      <c r="B2694">
        <v>2004</v>
      </c>
      <c r="C2694" t="s">
        <v>106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283</v>
      </c>
      <c r="B2695">
        <v>2003</v>
      </c>
      <c r="C2695" t="s">
        <v>106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283</v>
      </c>
      <c r="B2696">
        <v>2002</v>
      </c>
      <c r="C2696" t="s">
        <v>106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283</v>
      </c>
      <c r="B2697">
        <v>2001</v>
      </c>
      <c r="C2697" t="s">
        <v>106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283</v>
      </c>
      <c r="B2698">
        <v>2000</v>
      </c>
      <c r="C2698" t="s">
        <v>106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284</v>
      </c>
      <c r="B2699">
        <v>2015</v>
      </c>
      <c r="C2699" t="s">
        <v>106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284</v>
      </c>
      <c r="B2700">
        <v>2014</v>
      </c>
      <c r="C2700" t="s">
        <v>106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284</v>
      </c>
      <c r="B2701">
        <v>2013</v>
      </c>
      <c r="C2701" t="s">
        <v>106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284</v>
      </c>
      <c r="B2702">
        <v>2012</v>
      </c>
      <c r="C2702" t="s">
        <v>106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284</v>
      </c>
      <c r="B2703">
        <v>2011</v>
      </c>
      <c r="C2703" t="s">
        <v>106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284</v>
      </c>
      <c r="B2704">
        <v>2010</v>
      </c>
      <c r="C2704" t="s">
        <v>106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284</v>
      </c>
      <c r="B2705">
        <v>2009</v>
      </c>
      <c r="C2705" t="s">
        <v>106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284</v>
      </c>
      <c r="B2706">
        <v>2008</v>
      </c>
      <c r="C2706" t="s">
        <v>106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284</v>
      </c>
      <c r="B2707">
        <v>2007</v>
      </c>
      <c r="C2707" t="s">
        <v>106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284</v>
      </c>
      <c r="B2708">
        <v>2006</v>
      </c>
      <c r="C2708" t="s">
        <v>106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284</v>
      </c>
      <c r="B2709">
        <v>2005</v>
      </c>
      <c r="C2709" t="s">
        <v>106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284</v>
      </c>
      <c r="B2710">
        <v>2004</v>
      </c>
      <c r="C2710" t="s">
        <v>106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284</v>
      </c>
      <c r="B2711">
        <v>2003</v>
      </c>
      <c r="C2711" t="s">
        <v>106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284</v>
      </c>
      <c r="B2712">
        <v>2002</v>
      </c>
      <c r="C2712" t="s">
        <v>106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284</v>
      </c>
      <c r="B2713">
        <v>2001</v>
      </c>
      <c r="C2713" t="s">
        <v>106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284</v>
      </c>
      <c r="B2714">
        <v>2000</v>
      </c>
      <c r="C2714" t="s">
        <v>106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285</v>
      </c>
      <c r="B2715">
        <v>2013</v>
      </c>
      <c r="C2715" t="s">
        <v>106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286</v>
      </c>
      <c r="B2716">
        <v>2015</v>
      </c>
      <c r="C2716" t="s">
        <v>106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286</v>
      </c>
      <c r="B2717">
        <v>2014</v>
      </c>
      <c r="C2717" t="s">
        <v>106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286</v>
      </c>
      <c r="B2718">
        <v>2013</v>
      </c>
      <c r="C2718" t="s">
        <v>106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286</v>
      </c>
      <c r="B2719">
        <v>2012</v>
      </c>
      <c r="C2719" t="s">
        <v>106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286</v>
      </c>
      <c r="B2720">
        <v>2011</v>
      </c>
      <c r="C2720" t="s">
        <v>106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286</v>
      </c>
      <c r="B2721">
        <v>2010</v>
      </c>
      <c r="C2721" t="s">
        <v>106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286</v>
      </c>
      <c r="B2722">
        <v>2009</v>
      </c>
      <c r="C2722" t="s">
        <v>106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286</v>
      </c>
      <c r="B2723">
        <v>2008</v>
      </c>
      <c r="C2723" t="s">
        <v>106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286</v>
      </c>
      <c r="B2724">
        <v>2007</v>
      </c>
      <c r="C2724" t="s">
        <v>106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286</v>
      </c>
      <c r="B2725">
        <v>2006</v>
      </c>
      <c r="C2725" t="s">
        <v>106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286</v>
      </c>
      <c r="B2726">
        <v>2005</v>
      </c>
      <c r="C2726" t="s">
        <v>106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286</v>
      </c>
      <c r="B2727">
        <v>2004</v>
      </c>
      <c r="C2727" t="s">
        <v>106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286</v>
      </c>
      <c r="B2728">
        <v>2003</v>
      </c>
      <c r="C2728" t="s">
        <v>106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286</v>
      </c>
      <c r="B2729">
        <v>2002</v>
      </c>
      <c r="C2729" t="s">
        <v>106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286</v>
      </c>
      <c r="B2730">
        <v>2001</v>
      </c>
      <c r="C2730" t="s">
        <v>106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286</v>
      </c>
      <c r="B2731">
        <v>2000</v>
      </c>
      <c r="C2731" t="s">
        <v>106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287</v>
      </c>
      <c r="B2732">
        <v>2015</v>
      </c>
      <c r="C2732" t="s">
        <v>106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287</v>
      </c>
      <c r="B2733">
        <v>2014</v>
      </c>
      <c r="C2733" t="s">
        <v>106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287</v>
      </c>
      <c r="B2734">
        <v>2013</v>
      </c>
      <c r="C2734" t="s">
        <v>106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287</v>
      </c>
      <c r="B2735">
        <v>2012</v>
      </c>
      <c r="C2735" t="s">
        <v>106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287</v>
      </c>
      <c r="B2736">
        <v>2011</v>
      </c>
      <c r="C2736" t="s">
        <v>106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287</v>
      </c>
      <c r="B2737">
        <v>2010</v>
      </c>
      <c r="C2737" t="s">
        <v>106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287</v>
      </c>
      <c r="B2738">
        <v>2009</v>
      </c>
      <c r="C2738" t="s">
        <v>106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287</v>
      </c>
      <c r="B2739">
        <v>2008</v>
      </c>
      <c r="C2739" t="s">
        <v>106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287</v>
      </c>
      <c r="B2740">
        <v>2007</v>
      </c>
      <c r="C2740" t="s">
        <v>106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287</v>
      </c>
      <c r="B2741">
        <v>2006</v>
      </c>
      <c r="C2741" t="s">
        <v>106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287</v>
      </c>
      <c r="B2742">
        <v>2005</v>
      </c>
      <c r="C2742" t="s">
        <v>106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287</v>
      </c>
      <c r="B2743">
        <v>2004</v>
      </c>
      <c r="C2743" t="s">
        <v>106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287</v>
      </c>
      <c r="B2744">
        <v>2003</v>
      </c>
      <c r="C2744" t="s">
        <v>106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287</v>
      </c>
      <c r="B2745">
        <v>2002</v>
      </c>
      <c r="C2745" t="s">
        <v>106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287</v>
      </c>
      <c r="B2746">
        <v>2001</v>
      </c>
      <c r="C2746" t="s">
        <v>106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287</v>
      </c>
      <c r="B2747">
        <v>2000</v>
      </c>
      <c r="C2747" t="s">
        <v>106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288</v>
      </c>
      <c r="B2748">
        <v>2015</v>
      </c>
      <c r="C2748" t="s">
        <v>106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288</v>
      </c>
      <c r="B2749">
        <v>2014</v>
      </c>
      <c r="C2749" t="s">
        <v>106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288</v>
      </c>
      <c r="B2750">
        <v>2013</v>
      </c>
      <c r="C2750" t="s">
        <v>106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288</v>
      </c>
      <c r="B2751">
        <v>2012</v>
      </c>
      <c r="C2751" t="s">
        <v>106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288</v>
      </c>
      <c r="B2752">
        <v>2011</v>
      </c>
      <c r="C2752" t="s">
        <v>106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288</v>
      </c>
      <c r="B2753">
        <v>2010</v>
      </c>
      <c r="C2753" t="s">
        <v>106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288</v>
      </c>
      <c r="B2754">
        <v>2009</v>
      </c>
      <c r="C2754" t="s">
        <v>106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288</v>
      </c>
      <c r="B2755">
        <v>2008</v>
      </c>
      <c r="C2755" t="s">
        <v>106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288</v>
      </c>
      <c r="B2756">
        <v>2007</v>
      </c>
      <c r="C2756" t="s">
        <v>106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288</v>
      </c>
      <c r="B2757">
        <v>2006</v>
      </c>
      <c r="C2757" t="s">
        <v>106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288</v>
      </c>
      <c r="B2758">
        <v>2005</v>
      </c>
      <c r="C2758" t="s">
        <v>106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288</v>
      </c>
      <c r="B2759">
        <v>2004</v>
      </c>
      <c r="C2759" t="s">
        <v>106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288</v>
      </c>
      <c r="B2760">
        <v>2003</v>
      </c>
      <c r="C2760" t="s">
        <v>106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288</v>
      </c>
      <c r="B2761">
        <v>2002</v>
      </c>
      <c r="C2761" t="s">
        <v>106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288</v>
      </c>
      <c r="B2762">
        <v>2001</v>
      </c>
      <c r="C2762" t="s">
        <v>106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288</v>
      </c>
      <c r="B2763">
        <v>2000</v>
      </c>
      <c r="C2763" t="s">
        <v>106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289</v>
      </c>
      <c r="B2764">
        <v>2015</v>
      </c>
      <c r="C2764" t="s">
        <v>114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289</v>
      </c>
      <c r="B2765">
        <v>2014</v>
      </c>
      <c r="C2765" t="s">
        <v>114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289</v>
      </c>
      <c r="B2766">
        <v>2013</v>
      </c>
      <c r="C2766" t="s">
        <v>114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289</v>
      </c>
      <c r="B2767">
        <v>2012</v>
      </c>
      <c r="C2767" t="s">
        <v>114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289</v>
      </c>
      <c r="B2768">
        <v>2011</v>
      </c>
      <c r="C2768" t="s">
        <v>114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289</v>
      </c>
      <c r="B2769">
        <v>2010</v>
      </c>
      <c r="C2769" t="s">
        <v>114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289</v>
      </c>
      <c r="B2770">
        <v>2009</v>
      </c>
      <c r="C2770" t="s">
        <v>114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289</v>
      </c>
      <c r="B2771">
        <v>2008</v>
      </c>
      <c r="C2771" t="s">
        <v>114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289</v>
      </c>
      <c r="B2772">
        <v>2007</v>
      </c>
      <c r="C2772" t="s">
        <v>114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289</v>
      </c>
      <c r="B2773">
        <v>2006</v>
      </c>
      <c r="C2773" t="s">
        <v>114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289</v>
      </c>
      <c r="B2774">
        <v>2005</v>
      </c>
      <c r="C2774" t="s">
        <v>114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289</v>
      </c>
      <c r="B2775">
        <v>2004</v>
      </c>
      <c r="C2775" t="s">
        <v>114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289</v>
      </c>
      <c r="B2776">
        <v>2003</v>
      </c>
      <c r="C2776" t="s">
        <v>114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289</v>
      </c>
      <c r="B2777">
        <v>2002</v>
      </c>
      <c r="C2777" t="s">
        <v>114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289</v>
      </c>
      <c r="B2778">
        <v>2001</v>
      </c>
      <c r="C2778" t="s">
        <v>114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289</v>
      </c>
      <c r="B2779">
        <v>2000</v>
      </c>
      <c r="C2779" t="s">
        <v>114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290</v>
      </c>
      <c r="B2780">
        <v>2015</v>
      </c>
      <c r="C2780" t="s">
        <v>106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290</v>
      </c>
      <c r="B2781">
        <v>2014</v>
      </c>
      <c r="C2781" t="s">
        <v>106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290</v>
      </c>
      <c r="B2782">
        <v>2013</v>
      </c>
      <c r="C2782" t="s">
        <v>106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290</v>
      </c>
      <c r="B2783">
        <v>2012</v>
      </c>
      <c r="C2783" t="s">
        <v>106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290</v>
      </c>
      <c r="B2784">
        <v>2011</v>
      </c>
      <c r="C2784" t="s">
        <v>106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290</v>
      </c>
      <c r="B2785">
        <v>2010</v>
      </c>
      <c r="C2785" t="s">
        <v>106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290</v>
      </c>
      <c r="B2786">
        <v>2009</v>
      </c>
      <c r="C2786" t="s">
        <v>106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290</v>
      </c>
      <c r="B2787">
        <v>2008</v>
      </c>
      <c r="C2787" t="s">
        <v>106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290</v>
      </c>
      <c r="B2788">
        <v>2007</v>
      </c>
      <c r="C2788" t="s">
        <v>106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290</v>
      </c>
      <c r="B2789">
        <v>2006</v>
      </c>
      <c r="C2789" t="s">
        <v>106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290</v>
      </c>
      <c r="B2790">
        <v>2005</v>
      </c>
      <c r="C2790" t="s">
        <v>106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290</v>
      </c>
      <c r="B2791">
        <v>2004</v>
      </c>
      <c r="C2791" t="s">
        <v>106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290</v>
      </c>
      <c r="B2792">
        <v>2003</v>
      </c>
      <c r="C2792" t="s">
        <v>106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290</v>
      </c>
      <c r="B2793">
        <v>2002</v>
      </c>
      <c r="C2793" t="s">
        <v>106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290</v>
      </c>
      <c r="B2794">
        <v>2001</v>
      </c>
      <c r="C2794" t="s">
        <v>106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290</v>
      </c>
      <c r="B2795">
        <v>2000</v>
      </c>
      <c r="C2795" t="s">
        <v>106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291</v>
      </c>
      <c r="B2796">
        <v>2015</v>
      </c>
      <c r="C2796" t="s">
        <v>114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291</v>
      </c>
      <c r="B2797">
        <v>2014</v>
      </c>
      <c r="C2797" t="s">
        <v>114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291</v>
      </c>
      <c r="B2798">
        <v>2013</v>
      </c>
      <c r="C2798" t="s">
        <v>114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291</v>
      </c>
      <c r="B2799">
        <v>2012</v>
      </c>
      <c r="C2799" t="s">
        <v>114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291</v>
      </c>
      <c r="B2800">
        <v>2011</v>
      </c>
      <c r="C2800" t="s">
        <v>114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291</v>
      </c>
      <c r="B2801">
        <v>2010</v>
      </c>
      <c r="C2801" t="s">
        <v>114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291</v>
      </c>
      <c r="B2802">
        <v>2009</v>
      </c>
      <c r="C2802" t="s">
        <v>114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291</v>
      </c>
      <c r="B2803">
        <v>2008</v>
      </c>
      <c r="C2803" t="s">
        <v>114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291</v>
      </c>
      <c r="B2804">
        <v>2007</v>
      </c>
      <c r="C2804" t="s">
        <v>114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291</v>
      </c>
      <c r="B2805">
        <v>2006</v>
      </c>
      <c r="C2805" t="s">
        <v>114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291</v>
      </c>
      <c r="B2806">
        <v>2005</v>
      </c>
      <c r="C2806" t="s">
        <v>114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291</v>
      </c>
      <c r="B2807">
        <v>2004</v>
      </c>
      <c r="C2807" t="s">
        <v>114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291</v>
      </c>
      <c r="B2808">
        <v>2003</v>
      </c>
      <c r="C2808" t="s">
        <v>114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291</v>
      </c>
      <c r="B2809">
        <v>2002</v>
      </c>
      <c r="C2809" t="s">
        <v>114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291</v>
      </c>
      <c r="B2810">
        <v>2001</v>
      </c>
      <c r="C2810" t="s">
        <v>114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291</v>
      </c>
      <c r="B2811">
        <v>2000</v>
      </c>
      <c r="C2811" t="s">
        <v>114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292</v>
      </c>
      <c r="B2812">
        <v>2015</v>
      </c>
      <c r="C2812" t="s">
        <v>106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292</v>
      </c>
      <c r="B2813">
        <v>2014</v>
      </c>
      <c r="C2813" t="s">
        <v>106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292</v>
      </c>
      <c r="B2814">
        <v>2013</v>
      </c>
      <c r="C2814" t="s">
        <v>106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292</v>
      </c>
      <c r="B2815">
        <v>2012</v>
      </c>
      <c r="C2815" t="s">
        <v>106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292</v>
      </c>
      <c r="B2816">
        <v>2011</v>
      </c>
      <c r="C2816" t="s">
        <v>106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292</v>
      </c>
      <c r="B2817">
        <v>2010</v>
      </c>
      <c r="C2817" t="s">
        <v>106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292</v>
      </c>
      <c r="B2818">
        <v>2009</v>
      </c>
      <c r="C2818" t="s">
        <v>106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292</v>
      </c>
      <c r="B2819">
        <v>2008</v>
      </c>
      <c r="C2819" t="s">
        <v>106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292</v>
      </c>
      <c r="B2820">
        <v>2007</v>
      </c>
      <c r="C2820" t="s">
        <v>106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292</v>
      </c>
      <c r="B2821">
        <v>2006</v>
      </c>
      <c r="C2821" t="s">
        <v>106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292</v>
      </c>
      <c r="B2822">
        <v>2005</v>
      </c>
      <c r="C2822" t="s">
        <v>106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292</v>
      </c>
      <c r="B2823">
        <v>2004</v>
      </c>
      <c r="C2823" t="s">
        <v>106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292</v>
      </c>
      <c r="B2824">
        <v>2003</v>
      </c>
      <c r="C2824" t="s">
        <v>106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292</v>
      </c>
      <c r="B2825">
        <v>2002</v>
      </c>
      <c r="C2825" t="s">
        <v>106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292</v>
      </c>
      <c r="B2826">
        <v>2001</v>
      </c>
      <c r="C2826" t="s">
        <v>106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292</v>
      </c>
      <c r="B2827">
        <v>2000</v>
      </c>
      <c r="C2827" t="s">
        <v>106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293</v>
      </c>
      <c r="B2828">
        <v>2015</v>
      </c>
      <c r="C2828" t="s">
        <v>106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293</v>
      </c>
      <c r="B2829">
        <v>2014</v>
      </c>
      <c r="C2829" t="s">
        <v>106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293</v>
      </c>
      <c r="B2830">
        <v>2013</v>
      </c>
      <c r="C2830" t="s">
        <v>106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293</v>
      </c>
      <c r="B2831">
        <v>2012</v>
      </c>
      <c r="C2831" t="s">
        <v>106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293</v>
      </c>
      <c r="B2832">
        <v>2011</v>
      </c>
      <c r="C2832" t="s">
        <v>106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293</v>
      </c>
      <c r="B2833">
        <v>2010</v>
      </c>
      <c r="C2833" t="s">
        <v>106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293</v>
      </c>
      <c r="B2834">
        <v>2009</v>
      </c>
      <c r="C2834" t="s">
        <v>106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293</v>
      </c>
      <c r="B2835">
        <v>2008</v>
      </c>
      <c r="C2835" t="s">
        <v>106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293</v>
      </c>
      <c r="B2836">
        <v>2007</v>
      </c>
      <c r="C2836" t="s">
        <v>106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293</v>
      </c>
      <c r="B2837">
        <v>2006</v>
      </c>
      <c r="C2837" t="s">
        <v>106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293</v>
      </c>
      <c r="B2838">
        <v>2005</v>
      </c>
      <c r="C2838" t="s">
        <v>106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293</v>
      </c>
      <c r="B2839">
        <v>2004</v>
      </c>
      <c r="C2839" t="s">
        <v>106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293</v>
      </c>
      <c r="B2840">
        <v>2003</v>
      </c>
      <c r="C2840" t="s">
        <v>106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293</v>
      </c>
      <c r="B2841">
        <v>2002</v>
      </c>
      <c r="C2841" t="s">
        <v>106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293</v>
      </c>
      <c r="B2842">
        <v>2001</v>
      </c>
      <c r="C2842" t="s">
        <v>106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293</v>
      </c>
      <c r="B2843">
        <v>2000</v>
      </c>
      <c r="C2843" t="s">
        <v>106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294</v>
      </c>
      <c r="B2844">
        <v>2015</v>
      </c>
      <c r="C2844" t="s">
        <v>106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294</v>
      </c>
      <c r="B2845">
        <v>2014</v>
      </c>
      <c r="C2845" t="s">
        <v>106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294</v>
      </c>
      <c r="B2846">
        <v>2013</v>
      </c>
      <c r="C2846" t="s">
        <v>106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294</v>
      </c>
      <c r="B2847">
        <v>2012</v>
      </c>
      <c r="C2847" t="s">
        <v>106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294</v>
      </c>
      <c r="B2848">
        <v>2011</v>
      </c>
      <c r="C2848" t="s">
        <v>106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294</v>
      </c>
      <c r="B2849">
        <v>2010</v>
      </c>
      <c r="C2849" t="s">
        <v>106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294</v>
      </c>
      <c r="B2850">
        <v>2009</v>
      </c>
      <c r="C2850" t="s">
        <v>106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294</v>
      </c>
      <c r="B2851">
        <v>2008</v>
      </c>
      <c r="C2851" t="s">
        <v>106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294</v>
      </c>
      <c r="B2852">
        <v>2007</v>
      </c>
      <c r="C2852" t="s">
        <v>106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294</v>
      </c>
      <c r="B2853">
        <v>2006</v>
      </c>
      <c r="C2853" t="s">
        <v>106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294</v>
      </c>
      <c r="B2854">
        <v>2005</v>
      </c>
      <c r="C2854" t="s">
        <v>106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294</v>
      </c>
      <c r="B2855">
        <v>2004</v>
      </c>
      <c r="C2855" t="s">
        <v>106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294</v>
      </c>
      <c r="B2856">
        <v>2003</v>
      </c>
      <c r="C2856" t="s">
        <v>106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294</v>
      </c>
      <c r="B2857">
        <v>2002</v>
      </c>
      <c r="C2857" t="s">
        <v>106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294</v>
      </c>
      <c r="B2858">
        <v>2001</v>
      </c>
      <c r="C2858" t="s">
        <v>106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294</v>
      </c>
      <c r="B2859">
        <v>2000</v>
      </c>
      <c r="C2859" t="s">
        <v>106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295</v>
      </c>
      <c r="B2860">
        <v>2015</v>
      </c>
      <c r="C2860" t="s">
        <v>106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295</v>
      </c>
      <c r="B2861">
        <v>2014</v>
      </c>
      <c r="C2861" t="s">
        <v>106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295</v>
      </c>
      <c r="B2862">
        <v>2013</v>
      </c>
      <c r="C2862" t="s">
        <v>106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295</v>
      </c>
      <c r="B2863">
        <v>2012</v>
      </c>
      <c r="C2863" t="s">
        <v>106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295</v>
      </c>
      <c r="B2864">
        <v>2011</v>
      </c>
      <c r="C2864" t="s">
        <v>106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295</v>
      </c>
      <c r="B2865">
        <v>2010</v>
      </c>
      <c r="C2865" t="s">
        <v>106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295</v>
      </c>
      <c r="B2866">
        <v>2009</v>
      </c>
      <c r="C2866" t="s">
        <v>106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295</v>
      </c>
      <c r="B2867">
        <v>2008</v>
      </c>
      <c r="C2867" t="s">
        <v>106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295</v>
      </c>
      <c r="B2868">
        <v>2007</v>
      </c>
      <c r="C2868" t="s">
        <v>106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295</v>
      </c>
      <c r="B2869">
        <v>2006</v>
      </c>
      <c r="C2869" t="s">
        <v>106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295</v>
      </c>
      <c r="B2870">
        <v>2005</v>
      </c>
      <c r="C2870" t="s">
        <v>106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295</v>
      </c>
      <c r="B2871">
        <v>2004</v>
      </c>
      <c r="C2871" t="s">
        <v>106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295</v>
      </c>
      <c r="B2872">
        <v>2003</v>
      </c>
      <c r="C2872" t="s">
        <v>106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295</v>
      </c>
      <c r="B2873">
        <v>2002</v>
      </c>
      <c r="C2873" t="s">
        <v>106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295</v>
      </c>
      <c r="B2874">
        <v>2001</v>
      </c>
      <c r="C2874" t="s">
        <v>106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295</v>
      </c>
      <c r="B2875">
        <v>2000</v>
      </c>
      <c r="C2875" t="s">
        <v>106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296</v>
      </c>
      <c r="B2876">
        <v>2015</v>
      </c>
      <c r="C2876" t="s">
        <v>106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296</v>
      </c>
      <c r="B2877">
        <v>2014</v>
      </c>
      <c r="C2877" t="s">
        <v>106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296</v>
      </c>
      <c r="B2878">
        <v>2013</v>
      </c>
      <c r="C2878" t="s">
        <v>106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296</v>
      </c>
      <c r="B2879">
        <v>2012</v>
      </c>
      <c r="C2879" t="s">
        <v>106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296</v>
      </c>
      <c r="B2880">
        <v>2011</v>
      </c>
      <c r="C2880" t="s">
        <v>106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296</v>
      </c>
      <c r="B2881">
        <v>2010</v>
      </c>
      <c r="C2881" t="s">
        <v>106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296</v>
      </c>
      <c r="B2882">
        <v>2009</v>
      </c>
      <c r="C2882" t="s">
        <v>106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296</v>
      </c>
      <c r="B2883">
        <v>2008</v>
      </c>
      <c r="C2883" t="s">
        <v>106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296</v>
      </c>
      <c r="B2884">
        <v>2007</v>
      </c>
      <c r="C2884" t="s">
        <v>106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296</v>
      </c>
      <c r="B2885">
        <v>2006</v>
      </c>
      <c r="C2885" t="s">
        <v>106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296</v>
      </c>
      <c r="B2886">
        <v>2005</v>
      </c>
      <c r="C2886" t="s">
        <v>106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296</v>
      </c>
      <c r="B2887">
        <v>2004</v>
      </c>
      <c r="C2887" t="s">
        <v>106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296</v>
      </c>
      <c r="B2888">
        <v>2003</v>
      </c>
      <c r="C2888" t="s">
        <v>106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296</v>
      </c>
      <c r="B2889">
        <v>2002</v>
      </c>
      <c r="C2889" t="s">
        <v>106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296</v>
      </c>
      <c r="B2890">
        <v>2001</v>
      </c>
      <c r="C2890" t="s">
        <v>106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296</v>
      </c>
      <c r="B2891">
        <v>2000</v>
      </c>
      <c r="C2891" t="s">
        <v>106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297</v>
      </c>
      <c r="B2892">
        <v>2015</v>
      </c>
      <c r="C2892" t="s">
        <v>106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297</v>
      </c>
      <c r="B2893">
        <v>2014</v>
      </c>
      <c r="C2893" t="s">
        <v>106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297</v>
      </c>
      <c r="B2894">
        <v>2013</v>
      </c>
      <c r="C2894" t="s">
        <v>106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297</v>
      </c>
      <c r="B2895">
        <v>2012</v>
      </c>
      <c r="C2895" t="s">
        <v>106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297</v>
      </c>
      <c r="B2896">
        <v>2011</v>
      </c>
      <c r="C2896" t="s">
        <v>106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297</v>
      </c>
      <c r="B2897">
        <v>2010</v>
      </c>
      <c r="C2897" t="s">
        <v>106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297</v>
      </c>
      <c r="B2898">
        <v>2009</v>
      </c>
      <c r="C2898" t="s">
        <v>106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297</v>
      </c>
      <c r="B2899">
        <v>2008</v>
      </c>
      <c r="C2899" t="s">
        <v>106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297</v>
      </c>
      <c r="B2900">
        <v>2007</v>
      </c>
      <c r="C2900" t="s">
        <v>106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297</v>
      </c>
      <c r="B2901">
        <v>2006</v>
      </c>
      <c r="C2901" t="s">
        <v>106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297</v>
      </c>
      <c r="B2902">
        <v>2005</v>
      </c>
      <c r="C2902" t="s">
        <v>106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297</v>
      </c>
      <c r="B2903">
        <v>2004</v>
      </c>
      <c r="C2903" t="s">
        <v>106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297</v>
      </c>
      <c r="B2904">
        <v>2003</v>
      </c>
      <c r="C2904" t="s">
        <v>106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297</v>
      </c>
      <c r="B2905">
        <v>2002</v>
      </c>
      <c r="C2905" t="s">
        <v>106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297</v>
      </c>
      <c r="B2906">
        <v>2001</v>
      </c>
      <c r="C2906" t="s">
        <v>106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297</v>
      </c>
      <c r="B2907">
        <v>2000</v>
      </c>
      <c r="C2907" t="s">
        <v>106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298</v>
      </c>
      <c r="B2908">
        <v>2015</v>
      </c>
      <c r="C2908" t="s">
        <v>106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298</v>
      </c>
      <c r="B2909">
        <v>2014</v>
      </c>
      <c r="C2909" t="s">
        <v>106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298</v>
      </c>
      <c r="B2910">
        <v>2013</v>
      </c>
      <c r="C2910" t="s">
        <v>106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298</v>
      </c>
      <c r="B2911">
        <v>2012</v>
      </c>
      <c r="C2911" t="s">
        <v>106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298</v>
      </c>
      <c r="B2912">
        <v>2011</v>
      </c>
      <c r="C2912" t="s">
        <v>106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298</v>
      </c>
      <c r="B2913">
        <v>2010</v>
      </c>
      <c r="C2913" t="s">
        <v>106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298</v>
      </c>
      <c r="B2914">
        <v>2009</v>
      </c>
      <c r="C2914" t="s">
        <v>106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298</v>
      </c>
      <c r="B2915">
        <v>2008</v>
      </c>
      <c r="C2915" t="s">
        <v>106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298</v>
      </c>
      <c r="B2916">
        <v>2007</v>
      </c>
      <c r="C2916" t="s">
        <v>106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298</v>
      </c>
      <c r="B2917">
        <v>2006</v>
      </c>
      <c r="C2917" t="s">
        <v>106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298</v>
      </c>
      <c r="B2918">
        <v>2005</v>
      </c>
      <c r="C2918" t="s">
        <v>106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298</v>
      </c>
      <c r="B2919">
        <v>2004</v>
      </c>
      <c r="C2919" t="s">
        <v>106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298</v>
      </c>
      <c r="B2920">
        <v>2003</v>
      </c>
      <c r="C2920" t="s">
        <v>106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298</v>
      </c>
      <c r="B2921">
        <v>2002</v>
      </c>
      <c r="C2921" t="s">
        <v>106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298</v>
      </c>
      <c r="B2922">
        <v>2001</v>
      </c>
      <c r="C2922" t="s">
        <v>106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298</v>
      </c>
      <c r="B2923">
        <v>2000</v>
      </c>
      <c r="C2923" t="s">
        <v>106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299</v>
      </c>
      <c r="B2924">
        <v>2015</v>
      </c>
      <c r="C2924" t="s">
        <v>106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299</v>
      </c>
      <c r="B2925">
        <v>2014</v>
      </c>
      <c r="C2925" t="s">
        <v>106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299</v>
      </c>
      <c r="B2926">
        <v>2013</v>
      </c>
      <c r="C2926" t="s">
        <v>106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299</v>
      </c>
      <c r="B2927">
        <v>2012</v>
      </c>
      <c r="C2927" t="s">
        <v>106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299</v>
      </c>
      <c r="B2928">
        <v>2011</v>
      </c>
      <c r="C2928" t="s">
        <v>106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299</v>
      </c>
      <c r="B2929">
        <v>2010</v>
      </c>
      <c r="C2929" t="s">
        <v>106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299</v>
      </c>
      <c r="B2930">
        <v>2009</v>
      </c>
      <c r="C2930" t="s">
        <v>106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299</v>
      </c>
      <c r="B2931">
        <v>2008</v>
      </c>
      <c r="C2931" t="s">
        <v>106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299</v>
      </c>
      <c r="B2932">
        <v>2007</v>
      </c>
      <c r="C2932" t="s">
        <v>106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299</v>
      </c>
      <c r="B2933">
        <v>2006</v>
      </c>
      <c r="C2933" t="s">
        <v>106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299</v>
      </c>
      <c r="B2934">
        <v>2005</v>
      </c>
      <c r="C2934" t="s">
        <v>106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299</v>
      </c>
      <c r="B2935">
        <v>2004</v>
      </c>
      <c r="C2935" t="s">
        <v>106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299</v>
      </c>
      <c r="B2936">
        <v>2003</v>
      </c>
      <c r="C2936" t="s">
        <v>106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299</v>
      </c>
      <c r="B2937">
        <v>2002</v>
      </c>
      <c r="C2937" t="s">
        <v>106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299</v>
      </c>
      <c r="B2938">
        <v>2001</v>
      </c>
      <c r="C2938" t="s">
        <v>106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299</v>
      </c>
      <c r="B2939">
        <v>2000</v>
      </c>
      <c r="C2939" t="s">
        <v>106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5501-AE6B-450B-B1F1-CDE17C586FA9}">
  <dimension ref="A1:AK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3.7109375" bestFit="1" customWidth="1"/>
    <col min="5" max="7" width="15.42578125" bestFit="1" customWidth="1"/>
    <col min="8" max="10" width="14.42578125" bestFit="1" customWidth="1"/>
    <col min="11" max="13" width="11" bestFit="1" customWidth="1"/>
    <col min="14" max="16" width="12.7109375" bestFit="1" customWidth="1"/>
    <col min="17" max="19" width="14.42578125" bestFit="1" customWidth="1"/>
    <col min="20" max="22" width="12.85546875" bestFit="1" customWidth="1"/>
    <col min="23" max="25" width="14.42578125" bestFit="1" customWidth="1"/>
    <col min="26" max="28" width="10.85546875" bestFit="1" customWidth="1"/>
    <col min="29" max="37" width="14.28515625" bestFit="1" customWidth="1"/>
  </cols>
  <sheetData>
    <row r="1" spans="1:37" ht="45" x14ac:dyDescent="0.25">
      <c r="A1" s="2" t="s">
        <v>300</v>
      </c>
      <c r="B1" s="2" t="s">
        <v>301</v>
      </c>
      <c r="C1" s="2" t="s">
        <v>302</v>
      </c>
      <c r="D1" s="2" t="s">
        <v>303</v>
      </c>
      <c r="E1" s="2" t="s">
        <v>304</v>
      </c>
      <c r="F1" s="2" t="s">
        <v>305</v>
      </c>
      <c r="G1" s="2" t="s">
        <v>306</v>
      </c>
      <c r="H1" s="2" t="s">
        <v>307</v>
      </c>
      <c r="I1" s="2" t="s">
        <v>308</v>
      </c>
      <c r="J1" s="2" t="s">
        <v>309</v>
      </c>
      <c r="K1" s="2" t="s">
        <v>310</v>
      </c>
      <c r="L1" s="2" t="s">
        <v>311</v>
      </c>
      <c r="M1" s="2" t="s">
        <v>312</v>
      </c>
      <c r="N1" s="2" t="s">
        <v>313</v>
      </c>
      <c r="O1" s="2" t="s">
        <v>314</v>
      </c>
      <c r="P1" s="2" t="s">
        <v>315</v>
      </c>
      <c r="Q1" s="2" t="s">
        <v>316</v>
      </c>
      <c r="R1" s="2" t="s">
        <v>317</v>
      </c>
      <c r="S1" s="2" t="s">
        <v>318</v>
      </c>
      <c r="T1" s="2" t="s">
        <v>319</v>
      </c>
      <c r="U1" s="2" t="s">
        <v>320</v>
      </c>
      <c r="V1" s="2" t="s">
        <v>321</v>
      </c>
      <c r="W1" s="2" t="s">
        <v>322</v>
      </c>
      <c r="X1" s="2" t="s">
        <v>323</v>
      </c>
      <c r="Y1" s="2" t="s">
        <v>324</v>
      </c>
      <c r="Z1" s="2" t="s">
        <v>325</v>
      </c>
      <c r="AA1" s="2" t="s">
        <v>326</v>
      </c>
      <c r="AB1" s="2" t="s">
        <v>327</v>
      </c>
      <c r="AC1" s="2" t="s">
        <v>328</v>
      </c>
      <c r="AD1" s="2" t="s">
        <v>329</v>
      </c>
      <c r="AE1" s="2" t="s">
        <v>330</v>
      </c>
      <c r="AF1" s="2" t="s">
        <v>331</v>
      </c>
      <c r="AG1" s="2" t="s">
        <v>332</v>
      </c>
      <c r="AH1" s="2" t="s">
        <v>333</v>
      </c>
      <c r="AI1" s="2" t="s">
        <v>334</v>
      </c>
      <c r="AJ1" s="2" t="s">
        <v>335</v>
      </c>
      <c r="AK1" s="2" t="s">
        <v>336</v>
      </c>
    </row>
    <row r="2" spans="1:37" x14ac:dyDescent="0.25">
      <c r="A2" s="2" t="str">
        <f ca="1">_xlfn.TEXTJOIN(", ",TRUE,OFFSET(y,-1,1,1,MLR_Scalar_Test[[#This Row],[ind_vars]]))</f>
        <v>Adult Mortality</v>
      </c>
      <c r="B2" s="3">
        <v>1</v>
      </c>
      <c r="C2" t="b">
        <v>1</v>
      </c>
      <c r="D2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2" s="3">
        <v>1649</v>
      </c>
      <c r="F2" s="3">
        <f>Observations(y, fil)</f>
        <v>1649</v>
      </c>
      <c r="G2" t="b">
        <f>MLR_Scalar_Test[[#This Row],[Observations
(Exp.)]]=MLR_Scalar_Test[[#This Row],[Observations
(Calc.)]]</f>
        <v>1</v>
      </c>
      <c r="H2" s="3">
        <v>1</v>
      </c>
      <c r="I2" s="3">
        <f ca="1">_xlfn.LET(_xlpm.x_s, OFFSET(y,0,1,ROWS(y),MLR_Scalar_Test[[#This Row],[ind_vars]]), DF_Regression(_xlpm.x_s))</f>
        <v>1</v>
      </c>
      <c r="J2" t="b">
        <f ca="1">MLR_Scalar_Test[[#This Row],[DF_Regression
(Exp.)]]=MLR_Scalar_Test[[#This Row],[DF_Regression
(Calc.)]]</f>
        <v>1</v>
      </c>
      <c r="K2" s="3">
        <v>1648</v>
      </c>
      <c r="L2" s="3">
        <f>DF_Total(y, MLR_Scalar_Test[[#This Row],[Allow_Intercept]], fil)</f>
        <v>1648</v>
      </c>
      <c r="M2" t="b">
        <f>MLR_Scalar_Test[[#This Row],[DF_Total
(Exp.)]]=MLR_Scalar_Test[[#This Row],[DF_Total
(Calc.)]]</f>
        <v>1</v>
      </c>
      <c r="N2" s="4">
        <v>0.49353865307316791</v>
      </c>
      <c r="O2" s="4">
        <f ca="1">_xlfn.LET(_xlpm.x_s, OFFSET(y,0,1,ROWS(y),MLR_Scalar_Test[[#This Row],[ind_vars]]), R_squared(_xlpm.x_s, y, MLR_Scalar_Test[[#This Row],[Allow_Intercept]], fil))</f>
        <v>0.49353865307316708</v>
      </c>
      <c r="P2" t="b">
        <f ca="1">ROUND(MLR_Scalar_Test[[#This Row],[R_squared
(Exp.)]],6)=ROUND(MLR_Scalar_Test[[#This Row],[R_squared
(Calc.)]],6)</f>
        <v>1</v>
      </c>
      <c r="Q2" s="3">
        <v>1647</v>
      </c>
      <c r="R2" s="3">
        <f ca="1">_xlfn.LET(_xlpm.x_s, OFFSET(y,0,1,ROWS(y),MLR_Scalar_Test[[#This Row],[ind_vars]]), DF_Residual(_xlpm.x_s, y, MLR_Scalar_Test[[#This Row],[Allow_Intercept]], fil))</f>
        <v>1647</v>
      </c>
      <c r="S2" t="b">
        <f ca="1">MLR_Scalar_Test[[#This Row],[DF_Residual
(Exp.)]]=MLR_Scalar_Test[[#This Row],[DF_Residual
(Calc.)]]</f>
        <v>1</v>
      </c>
      <c r="T2" s="4">
        <v>0.70252306230697359</v>
      </c>
      <c r="U2" s="4">
        <f ca="1">_xlfn.LET(_xlpm.x_s, OFFSET(y,0,1,ROWS(y),MLR_Scalar_Test[[#This Row],[ind_vars]]), Multiple_R(_xlpm.x_s, y, MLR_Scalar_Test[[#This Row],[Allow_Intercept]], fil))</f>
        <v>0.70252306230697303</v>
      </c>
      <c r="V2" t="b">
        <f ca="1">ROUND(MLR_Scalar_Test[[#This Row],[Multiple_R
(Exp.)]],6)=ROUND(MLR_Scalar_Test[[#This Row],[Multiple_R
(Calc.)]],6)</f>
        <v>1</v>
      </c>
      <c r="W2" s="4">
        <v>0.49323114770162757</v>
      </c>
      <c r="X2" s="4">
        <f ca="1">_xlfn.LET(_xlpm.x_s, OFFSET(y,0,1,ROWS(y),MLR_Scalar_Test[[#This Row],[ind_vars]]), Adjusted_R2(_xlpm.x_s, y, MLR_Scalar_Test[[#This Row],[Allow_Intercept]], fil))</f>
        <v>0.4932311477016269</v>
      </c>
      <c r="Y2" t="b">
        <f ca="1">ROUND(MLR_Scalar_Test[[#This Row],[Adjusted_R2
(Exp.)]],6)=ROUND(MLR_Scalar_Test[[#This Row],[Adjusted_R2
(Calc.)]],6)</f>
        <v>1</v>
      </c>
      <c r="Z2" s="5">
        <v>127529.31124317768</v>
      </c>
      <c r="AA2" s="5">
        <f>SS_Total(y, MLR_Scalar_Test[[#This Row],[Allow_Intercept]], fil)</f>
        <v>127529.31124317752</v>
      </c>
      <c r="AB2" t="b">
        <f>ROUND(MLR_Scalar_Test[[#This Row],[SS_Total
(Exp.)]],4)=ROUND(MLR_Scalar_Test[[#This Row],[SS_Total
(Calc.)]],4)</f>
        <v>1</v>
      </c>
      <c r="AC2" s="5">
        <v>64588.666744870963</v>
      </c>
      <c r="AD2" s="5">
        <f ca="1">_xlfn.LET(_xlpm.x_s, OFFSET(y,0,1,ROWS(y),MLR_Scalar_Test[[#This Row],[ind_vars]]), SS_Residual(_xlpm.x_s, y, MLR_Scalar_Test[[#This Row],[Allow_Intercept]], fil))</f>
        <v>64588.666744870978</v>
      </c>
      <c r="AE2" t="b">
        <f ca="1">ROUND(MLR_Scalar_Test[[#This Row],[SS_Residual
(Exp.)]],4)=ROUND(MLR_Scalar_Test[[#This Row],[SS_Residual
(Calc.)]],4)</f>
        <v>1</v>
      </c>
      <c r="AF2" s="5">
        <v>62940.644498306719</v>
      </c>
      <c r="AG2" s="5">
        <f ca="1">_xlfn.LET(_xlpm.x_s, OFFSET(y,0,1,ROWS(y),MLR_Scalar_Test[[#This Row],[ind_vars]]), SS_Regression(_xlpm.x_s, y, MLR_Scalar_Test[[#This Row],[Allow_Intercept]], fil))</f>
        <v>62940.644498306538</v>
      </c>
      <c r="AH2" t="b">
        <f ca="1">ROUND(MLR_Scalar_Test[[#This Row],[SS_Regression
(Exp.)]],4)=ROUND(MLR_Scalar_Test[[#This Row],[SS_Regression
(Calc.)]],4)</f>
        <v>1</v>
      </c>
      <c r="AI2" s="4">
        <v>6.2622638267729238</v>
      </c>
      <c r="AJ2" s="4">
        <f ca="1">_xlfn.LET(_xlpm.x_s, OFFSET(y,0,1,ROWS(y),MLR_Scalar_Test[[#This Row],[ind_vars]]), SE_Regression(_xlpm.x_s, y, MLR_Scalar_Test[[#This Row],[Allow_Intercept]], fil))</f>
        <v>6.2622638267729238</v>
      </c>
      <c r="AK2" t="b">
        <f ca="1">ROUND(MLR_Scalar_Test[[#This Row],[SE_Regression
(Exp.)]],6)=ROUND(MLR_Scalar_Test[[#This Row],[SE_Regression
(Calc.)]],6)</f>
        <v>1</v>
      </c>
    </row>
    <row r="3" spans="1:37" x14ac:dyDescent="0.25">
      <c r="A3" s="2" t="str">
        <f ca="1">_xlfn.TEXTJOIN(", ",TRUE,OFFSET(y,-1,1,1,MLR_Scalar_Test[[#This Row],[ind_vars]]))</f>
        <v>Adult Mortality</v>
      </c>
      <c r="B3" s="3">
        <v>1</v>
      </c>
      <c r="C3" t="b">
        <v>0</v>
      </c>
      <c r="D3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3" s="3">
        <v>1649</v>
      </c>
      <c r="F3" s="3">
        <f>Observations(y, fil)</f>
        <v>1649</v>
      </c>
      <c r="G3" t="b">
        <f>MLR_Scalar_Test[[#This Row],[Observations
(Exp.)]]=MLR_Scalar_Test[[#This Row],[Observations
(Calc.)]]</f>
        <v>1</v>
      </c>
      <c r="H3" s="3">
        <v>1</v>
      </c>
      <c r="I3" s="3">
        <f ca="1">_xlfn.LET(_xlpm.x_s, OFFSET(y,0,1,ROWS(y),MLR_Scalar_Test[[#This Row],[ind_vars]]), DF_Regression(_xlpm.x_s))</f>
        <v>1</v>
      </c>
      <c r="J3" t="b">
        <f ca="1">MLR_Scalar_Test[[#This Row],[DF_Regression
(Exp.)]]=MLR_Scalar_Test[[#This Row],[DF_Regression
(Calc.)]]</f>
        <v>1</v>
      </c>
      <c r="K3" s="3">
        <v>1649</v>
      </c>
      <c r="L3" s="3">
        <f>DF_Total(y, MLR_Scalar_Test[[#This Row],[Allow_Intercept]], fil)</f>
        <v>1649</v>
      </c>
      <c r="M3" t="b">
        <f>MLR_Scalar_Test[[#This Row],[DF_Total
(Exp.)]]=MLR_Scalar_Test[[#This Row],[DF_Total
(Calc.)]]</f>
        <v>1</v>
      </c>
      <c r="N3" s="4">
        <v>0.55179208580397665</v>
      </c>
      <c r="O3" s="4">
        <f ca="1">_xlfn.LET(_xlpm.x_s, OFFSET(y,0,1,ROWS(y),MLR_Scalar_Test[[#This Row],[ind_vars]]), R_squared(_xlpm.x_s, y, MLR_Scalar_Test[[#This Row],[Allow_Intercept]], fil))</f>
        <v>0.55179208580397665</v>
      </c>
      <c r="P3" t="b">
        <f ca="1">ROUND(MLR_Scalar_Test[[#This Row],[R_squared
(Exp.)]],6)=ROUND(MLR_Scalar_Test[[#This Row],[R_squared
(Calc.)]],6)</f>
        <v>1</v>
      </c>
      <c r="Q3" s="3">
        <v>1648</v>
      </c>
      <c r="R3" s="3">
        <f ca="1">_xlfn.LET(_xlpm.x_s, OFFSET(y,0,1,ROWS(y),MLR_Scalar_Test[[#This Row],[ind_vars]]), DF_Residual(_xlpm.x_s, y, MLR_Scalar_Test[[#This Row],[Allow_Intercept]], fil))</f>
        <v>1648</v>
      </c>
      <c r="S3" t="b">
        <f ca="1">MLR_Scalar_Test[[#This Row],[DF_Residual
(Exp.)]]=MLR_Scalar_Test[[#This Row],[DF_Residual
(Calc.)]]</f>
        <v>1</v>
      </c>
      <c r="T3" s="4">
        <v>0.74282709011180836</v>
      </c>
      <c r="U3" s="4">
        <f ca="1">_xlfn.LET(_xlpm.x_s, OFFSET(y,0,1,ROWS(y),MLR_Scalar_Test[[#This Row],[ind_vars]]), Multiple_R(_xlpm.x_s, y, MLR_Scalar_Test[[#This Row],[Allow_Intercept]], fil))</f>
        <v>0.74282709011180836</v>
      </c>
      <c r="V3" t="b">
        <f ca="1">ROUND(MLR_Scalar_Test[[#This Row],[Multiple_R
(Exp.)]],6)=ROUND(MLR_Scalar_Test[[#This Row],[Multiple_R
(Calc.)]],6)</f>
        <v>1</v>
      </c>
      <c r="W3" s="4">
        <v>0.55152011498225573</v>
      </c>
      <c r="X3" s="4">
        <f ca="1">_xlfn.LET(_xlpm.x_s, OFFSET(y,0,1,ROWS(y),MLR_Scalar_Test[[#This Row],[ind_vars]]), Adjusted_R2(_xlpm.x_s, y, MLR_Scalar_Test[[#This Row],[Allow_Intercept]], fil))</f>
        <v>0.55152011498225573</v>
      </c>
      <c r="Y3" t="b">
        <f ca="1">ROUND(MLR_Scalar_Test[[#This Row],[Adjusted_R2
(Exp.)]],6)=ROUND(MLR_Scalar_Test[[#This Row],[Adjusted_R2
(Calc.)]],6)</f>
        <v>1</v>
      </c>
      <c r="Z3" s="5">
        <v>8047362.0100000016</v>
      </c>
      <c r="AA3" s="5">
        <f>SS_Total(y, MLR_Scalar_Test[[#This Row],[Allow_Intercept]], fil)</f>
        <v>8047362.0100000026</v>
      </c>
      <c r="AB3" t="b">
        <f>ROUND(MLR_Scalar_Test[[#This Row],[SS_Total
(Exp.)]],4)=ROUND(MLR_Scalar_Test[[#This Row],[SS_Total
(Calc.)]],4)</f>
        <v>1</v>
      </c>
      <c r="AC3" s="5">
        <v>3606891.3412824194</v>
      </c>
      <c r="AD3" s="5">
        <f ca="1">_xlfn.LET(_xlpm.x_s, OFFSET(y,0,1,ROWS(y),MLR_Scalar_Test[[#This Row],[ind_vars]]), SS_Residual(_xlpm.x_s, y, MLR_Scalar_Test[[#This Row],[Allow_Intercept]], fil))</f>
        <v>3606891.3412824189</v>
      </c>
      <c r="AE3" t="b">
        <f ca="1">ROUND(MLR_Scalar_Test[[#This Row],[SS_Residual
(Exp.)]],4)=ROUND(MLR_Scalar_Test[[#This Row],[SS_Residual
(Calc.)]],4)</f>
        <v>1</v>
      </c>
      <c r="AF3" s="5">
        <v>4440470.6687175818</v>
      </c>
      <c r="AG3" s="5">
        <f ca="1">_xlfn.LET(_xlpm.x_s, OFFSET(y,0,1,ROWS(y),MLR_Scalar_Test[[#This Row],[ind_vars]]), SS_Regression(_xlpm.x_s, y, MLR_Scalar_Test[[#This Row],[Allow_Intercept]], fil))</f>
        <v>4440470.6687175836</v>
      </c>
      <c r="AH3" t="b">
        <f ca="1">ROUND(MLR_Scalar_Test[[#This Row],[SS_Regression
(Exp.)]],4)=ROUND(MLR_Scalar_Test[[#This Row],[SS_Regression
(Calc.)]],4)</f>
        <v>1</v>
      </c>
      <c r="AI3" s="4">
        <v>46.78298471180689</v>
      </c>
      <c r="AJ3" s="4">
        <f ca="1">_xlfn.LET(_xlpm.x_s, OFFSET(y,0,1,ROWS(y),MLR_Scalar_Test[[#This Row],[ind_vars]]), SE_Regression(_xlpm.x_s, y, MLR_Scalar_Test[[#This Row],[Allow_Intercept]], fil))</f>
        <v>46.78298471180689</v>
      </c>
      <c r="AK3" t="b">
        <f ca="1">ROUND(MLR_Scalar_Test[[#This Row],[SE_Regression
(Exp.)]],6)=ROUND(MLR_Scalar_Test[[#This Row],[SE_Regression
(Calc.)]],6)</f>
        <v>1</v>
      </c>
    </row>
    <row r="4" spans="1:37" x14ac:dyDescent="0.25">
      <c r="A4" s="2" t="str">
        <f ca="1">_xlfn.TEXTJOIN(", ",TRUE,OFFSET(y,-1,1,1,MLR_Scalar_Test[[#This Row],[ind_vars]]))</f>
        <v>Adult Mortality, infant deaths, Alcohol, percentage expenditure, Hepatitis B</v>
      </c>
      <c r="B4" s="3">
        <v>5</v>
      </c>
      <c r="C4" t="b">
        <v>1</v>
      </c>
      <c r="D4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4" s="3">
        <v>1649</v>
      </c>
      <c r="F4" s="3">
        <f>Observations(y, fil)</f>
        <v>1649</v>
      </c>
      <c r="G4" t="b">
        <f>MLR_Scalar_Test[[#This Row],[Observations
(Exp.)]]=MLR_Scalar_Test[[#This Row],[Observations
(Calc.)]]</f>
        <v>1</v>
      </c>
      <c r="H4" s="3">
        <v>5</v>
      </c>
      <c r="I4" s="3">
        <f ca="1">_xlfn.LET(_xlpm.x_s, OFFSET(y,0,1,ROWS(y),MLR_Scalar_Test[[#This Row],[ind_vars]]), DF_Regression(_xlpm.x_s))</f>
        <v>5</v>
      </c>
      <c r="J4" t="b">
        <f ca="1">MLR_Scalar_Test[[#This Row],[DF_Regression
(Exp.)]]=MLR_Scalar_Test[[#This Row],[DF_Regression
(Calc.)]]</f>
        <v>1</v>
      </c>
      <c r="K4" s="3">
        <v>1648</v>
      </c>
      <c r="L4" s="3">
        <f>DF_Total(y, MLR_Scalar_Test[[#This Row],[Allow_Intercept]], fil)</f>
        <v>1648</v>
      </c>
      <c r="M4" t="b">
        <f>MLR_Scalar_Test[[#This Row],[DF_Total
(Exp.)]]=MLR_Scalar_Test[[#This Row],[DF_Total
(Calc.)]]</f>
        <v>1</v>
      </c>
      <c r="N4" s="4">
        <v>0.61521427511204863</v>
      </c>
      <c r="O4" s="4">
        <f ca="1">_xlfn.LET(_xlpm.x_s, OFFSET(y,0,1,ROWS(y),MLR_Scalar_Test[[#This Row],[ind_vars]]), R_squared(_xlpm.x_s, y, MLR_Scalar_Test[[#This Row],[Allow_Intercept]], fil))</f>
        <v>0.61521427511204763</v>
      </c>
      <c r="P4" t="b">
        <f ca="1">ROUND(MLR_Scalar_Test[[#This Row],[R_squared
(Exp.)]],6)=ROUND(MLR_Scalar_Test[[#This Row],[R_squared
(Calc.)]],6)</f>
        <v>1</v>
      </c>
      <c r="Q4" s="3">
        <v>1643</v>
      </c>
      <c r="R4" s="3">
        <f ca="1">_xlfn.LET(_xlpm.x_s, OFFSET(y,0,1,ROWS(y),MLR_Scalar_Test[[#This Row],[ind_vars]]), DF_Residual(_xlpm.x_s, y, MLR_Scalar_Test[[#This Row],[Allow_Intercept]], fil))</f>
        <v>1643</v>
      </c>
      <c r="S4" t="b">
        <f ca="1">MLR_Scalar_Test[[#This Row],[DF_Residual
(Exp.)]]=MLR_Scalar_Test[[#This Row],[DF_Residual
(Calc.)]]</f>
        <v>1</v>
      </c>
      <c r="T4" s="4">
        <v>0.78435596199177871</v>
      </c>
      <c r="U4" s="4">
        <f ca="1">_xlfn.LET(_xlpm.x_s, OFFSET(y,0,1,ROWS(y),MLR_Scalar_Test[[#This Row],[ind_vars]]), Multiple_R(_xlpm.x_s, y, MLR_Scalar_Test[[#This Row],[Allow_Intercept]], fil))</f>
        <v>0.78435596199177804</v>
      </c>
      <c r="V4" t="b">
        <f ca="1">ROUND(MLR_Scalar_Test[[#This Row],[Multiple_R
(Exp.)]],6)=ROUND(MLR_Scalar_Test[[#This Row],[Multiple_R
(Calc.)]],6)</f>
        <v>1</v>
      </c>
      <c r="W4" s="4">
        <v>0.61404328994805613</v>
      </c>
      <c r="X4" s="4">
        <f ca="1">_xlfn.LET(_xlpm.x_s, OFFSET(y,0,1,ROWS(y),MLR_Scalar_Test[[#This Row],[ind_vars]]), Adjusted_R2(_xlpm.x_s, y, MLR_Scalar_Test[[#This Row],[Allow_Intercept]], fil))</f>
        <v>0.61404328994805502</v>
      </c>
      <c r="Y4" t="b">
        <f ca="1">ROUND(MLR_Scalar_Test[[#This Row],[Adjusted_R2
(Exp.)]],6)=ROUND(MLR_Scalar_Test[[#This Row],[Adjusted_R2
(Calc.)]],6)</f>
        <v>1</v>
      </c>
      <c r="Z4" s="5">
        <v>127529.31124317768</v>
      </c>
      <c r="AA4" s="5">
        <f>SS_Total(y, MLR_Scalar_Test[[#This Row],[Allow_Intercept]], fil)</f>
        <v>127529.31124317752</v>
      </c>
      <c r="AB4" t="b">
        <f>ROUND(MLR_Scalar_Test[[#This Row],[SS_Total
(Exp.)]],4)=ROUND(MLR_Scalar_Test[[#This Row],[SS_Total
(Calc.)]],4)</f>
        <v>1</v>
      </c>
      <c r="AC4" s="5">
        <v>49071.458471167287</v>
      </c>
      <c r="AD4" s="5">
        <f ca="1">_xlfn.LET(_xlpm.x_s, OFFSET(y,0,1,ROWS(y),MLR_Scalar_Test[[#This Row],[ind_vars]]), SS_Residual(_xlpm.x_s, y, MLR_Scalar_Test[[#This Row],[Allow_Intercept]], fil))</f>
        <v>49071.45847116736</v>
      </c>
      <c r="AE4" t="b">
        <f ca="1">ROUND(MLR_Scalar_Test[[#This Row],[SS_Residual
(Exp.)]],4)=ROUND(MLR_Scalar_Test[[#This Row],[SS_Residual
(Calc.)]],4)</f>
        <v>1</v>
      </c>
      <c r="AF4" s="5">
        <v>78457.852772010403</v>
      </c>
      <c r="AG4" s="5">
        <f ca="1">_xlfn.LET(_xlpm.x_s, OFFSET(y,0,1,ROWS(y),MLR_Scalar_Test[[#This Row],[ind_vars]]), SS_Regression(_xlpm.x_s, y, MLR_Scalar_Test[[#This Row],[Allow_Intercept]], fil))</f>
        <v>78457.85277201017</v>
      </c>
      <c r="AH4" t="b">
        <f ca="1">ROUND(MLR_Scalar_Test[[#This Row],[SS_Regression
(Exp.)]],4)=ROUND(MLR_Scalar_Test[[#This Row],[SS_Regression
(Calc.)]],4)</f>
        <v>1</v>
      </c>
      <c r="AI4" s="4">
        <v>5.4650696507903564</v>
      </c>
      <c r="AJ4" s="4">
        <f ca="1">_xlfn.LET(_xlpm.x_s, OFFSET(y,0,1,ROWS(y),MLR_Scalar_Test[[#This Row],[ind_vars]]), SE_Regression(_xlpm.x_s, y, MLR_Scalar_Test[[#This Row],[Allow_Intercept]], fil))</f>
        <v>5.46506965079036</v>
      </c>
      <c r="AK4" t="b">
        <f ca="1">ROUND(MLR_Scalar_Test[[#This Row],[SE_Regression
(Exp.)]],6)=ROUND(MLR_Scalar_Test[[#This Row],[SE_Regression
(Calc.)]],6)</f>
        <v>1</v>
      </c>
    </row>
    <row r="5" spans="1:37" x14ac:dyDescent="0.25">
      <c r="A5" s="2" t="str">
        <f ca="1">_xlfn.TEXTJOIN(", ",TRUE,OFFSET(y,-1,1,1,MLR_Scalar_Test[[#This Row],[ind_vars]]))</f>
        <v>Adult Mortality, infant deaths, Alcohol, percentage expenditure, Hepatitis B</v>
      </c>
      <c r="B5" s="3">
        <v>5</v>
      </c>
      <c r="C5" t="b">
        <v>0</v>
      </c>
      <c r="D5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5" s="3">
        <v>1649</v>
      </c>
      <c r="F5" s="3">
        <f>Observations(y, fil)</f>
        <v>1649</v>
      </c>
      <c r="G5" t="b">
        <f>MLR_Scalar_Test[[#This Row],[Observations
(Exp.)]]=MLR_Scalar_Test[[#This Row],[Observations
(Calc.)]]</f>
        <v>1</v>
      </c>
      <c r="H5" s="3">
        <v>5</v>
      </c>
      <c r="I5" s="3">
        <f ca="1">_xlfn.LET(_xlpm.x_s, OFFSET(y,0,1,ROWS(y),MLR_Scalar_Test[[#This Row],[ind_vars]]), DF_Regression(_xlpm.x_s))</f>
        <v>5</v>
      </c>
      <c r="J5" t="b">
        <f ca="1">MLR_Scalar_Test[[#This Row],[DF_Regression
(Exp.)]]=MLR_Scalar_Test[[#This Row],[DF_Regression
(Calc.)]]</f>
        <v>1</v>
      </c>
      <c r="K5" s="3">
        <v>1649</v>
      </c>
      <c r="L5" s="3">
        <f>DF_Total(y, MLR_Scalar_Test[[#This Row],[Allow_Intercept]], fil)</f>
        <v>1649</v>
      </c>
      <c r="M5" t="b">
        <f>MLR_Scalar_Test[[#This Row],[DF_Total
(Exp.)]]=MLR_Scalar_Test[[#This Row],[DF_Total
(Calc.)]]</f>
        <v>1</v>
      </c>
      <c r="N5" s="4">
        <v>0.92776300985660654</v>
      </c>
      <c r="O5" s="4">
        <f ca="1">_xlfn.LET(_xlpm.x_s, OFFSET(y,0,1,ROWS(y),MLR_Scalar_Test[[#This Row],[ind_vars]]), R_squared(_xlpm.x_s, y, MLR_Scalar_Test[[#This Row],[Allow_Intercept]], fil))</f>
        <v>0.92776300985660642</v>
      </c>
      <c r="P5" t="b">
        <f ca="1">ROUND(MLR_Scalar_Test[[#This Row],[R_squared
(Exp.)]],6)=ROUND(MLR_Scalar_Test[[#This Row],[R_squared
(Calc.)]],6)</f>
        <v>1</v>
      </c>
      <c r="Q5" s="3">
        <v>1644</v>
      </c>
      <c r="R5" s="3">
        <f ca="1">_xlfn.LET(_xlpm.x_s, OFFSET(y,0,1,ROWS(y),MLR_Scalar_Test[[#This Row],[ind_vars]]), DF_Residual(_xlpm.x_s, y, MLR_Scalar_Test[[#This Row],[Allow_Intercept]], fil))</f>
        <v>1644</v>
      </c>
      <c r="S5" t="b">
        <f ca="1">MLR_Scalar_Test[[#This Row],[DF_Residual
(Exp.)]]=MLR_Scalar_Test[[#This Row],[DF_Residual
(Calc.)]]</f>
        <v>1</v>
      </c>
      <c r="T5" s="4">
        <v>0.96320455244802827</v>
      </c>
      <c r="U5" s="4">
        <f ca="1">_xlfn.LET(_xlpm.x_s, OFFSET(y,0,1,ROWS(y),MLR_Scalar_Test[[#This Row],[ind_vars]]), Multiple_R(_xlpm.x_s, y, MLR_Scalar_Test[[#This Row],[Allow_Intercept]], fil))</f>
        <v>0.96320455244802827</v>
      </c>
      <c r="V5" t="b">
        <f ca="1">ROUND(MLR_Scalar_Test[[#This Row],[Multiple_R
(Exp.)]],6)=ROUND(MLR_Scalar_Test[[#This Row],[Multiple_R
(Calc.)]],6)</f>
        <v>1</v>
      </c>
      <c r="W5" s="4">
        <v>0.92754331098147458</v>
      </c>
      <c r="X5" s="4">
        <f ca="1">_xlfn.LET(_xlpm.x_s, OFFSET(y,0,1,ROWS(y),MLR_Scalar_Test[[#This Row],[ind_vars]]), Adjusted_R2(_xlpm.x_s, y, MLR_Scalar_Test[[#This Row],[Allow_Intercept]], fil))</f>
        <v>0.92754331098147447</v>
      </c>
      <c r="Y5" t="b">
        <f ca="1">ROUND(MLR_Scalar_Test[[#This Row],[Adjusted_R2
(Exp.)]],6)=ROUND(MLR_Scalar_Test[[#This Row],[Adjusted_R2
(Calc.)]],6)</f>
        <v>1</v>
      </c>
      <c r="Z5" s="5">
        <v>8047362.0100000016</v>
      </c>
      <c r="AA5" s="5">
        <f>SS_Total(y, MLR_Scalar_Test[[#This Row],[Allow_Intercept]], fil)</f>
        <v>8047362.0100000026</v>
      </c>
      <c r="AB5" t="b">
        <f>ROUND(MLR_Scalar_Test[[#This Row],[SS_Total
(Exp.)]],4)=ROUND(MLR_Scalar_Test[[#This Row],[SS_Total
(Calc.)]],4)</f>
        <v>1</v>
      </c>
      <c r="AC5" s="5">
        <v>581317.21019668935</v>
      </c>
      <c r="AD5" s="5">
        <f ca="1">_xlfn.LET(_xlpm.x_s, OFFSET(y,0,1,ROWS(y),MLR_Scalar_Test[[#This Row],[ind_vars]]), SS_Residual(_xlpm.x_s, y, MLR_Scalar_Test[[#This Row],[Allow_Intercept]], fil))</f>
        <v>581317.21019669005</v>
      </c>
      <c r="AE5" t="b">
        <f ca="1">ROUND(MLR_Scalar_Test[[#This Row],[SS_Residual
(Exp.)]],4)=ROUND(MLR_Scalar_Test[[#This Row],[SS_Residual
(Calc.)]],4)</f>
        <v>1</v>
      </c>
      <c r="AF5" s="5">
        <v>7466044.7998033119</v>
      </c>
      <c r="AG5" s="5">
        <f ca="1">_xlfn.LET(_xlpm.x_s, OFFSET(y,0,1,ROWS(y),MLR_Scalar_Test[[#This Row],[ind_vars]]), SS_Regression(_xlpm.x_s, y, MLR_Scalar_Test[[#This Row],[Allow_Intercept]], fil))</f>
        <v>7466044.7998033129</v>
      </c>
      <c r="AH5" t="b">
        <f ca="1">ROUND(MLR_Scalar_Test[[#This Row],[SS_Regression
(Exp.)]],4)=ROUND(MLR_Scalar_Test[[#This Row],[SS_Regression
(Calc.)]],4)</f>
        <v>1</v>
      </c>
      <c r="AI5" s="4">
        <v>18.804235594018664</v>
      </c>
      <c r="AJ5" s="4">
        <f ca="1">_xlfn.LET(_xlpm.x_s, OFFSET(y,0,1,ROWS(y),MLR_Scalar_Test[[#This Row],[ind_vars]]), SE_Regression(_xlpm.x_s, y, MLR_Scalar_Test[[#This Row],[Allow_Intercept]], fil))</f>
        <v>18.804235594018678</v>
      </c>
      <c r="AK5" t="b">
        <f ca="1">ROUND(MLR_Scalar_Test[[#This Row],[SE_Regression
(Exp.)]],6)=ROUND(MLR_Scalar_Test[[#This Row],[SE_Regression
(Calc.)]],6)</f>
        <v>1</v>
      </c>
    </row>
    <row r="6" spans="1:37" x14ac:dyDescent="0.25">
      <c r="A6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6" s="3">
        <v>10</v>
      </c>
      <c r="C6" t="b">
        <v>1</v>
      </c>
      <c r="D6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6" s="3">
        <v>1649</v>
      </c>
      <c r="F6" s="3">
        <f>Observations(y, fil)</f>
        <v>1649</v>
      </c>
      <c r="G6" t="b">
        <f>MLR_Scalar_Test[[#This Row],[Observations
(Exp.)]]=MLR_Scalar_Test[[#This Row],[Observations
(Calc.)]]</f>
        <v>1</v>
      </c>
      <c r="H6" s="3">
        <v>10</v>
      </c>
      <c r="I6" s="3">
        <f ca="1">_xlfn.LET(_xlpm.x_s, OFFSET(y,0,1,ROWS(y),MLR_Scalar_Test[[#This Row],[ind_vars]]), DF_Regression(_xlpm.x_s))</f>
        <v>10</v>
      </c>
      <c r="J6" t="b">
        <f ca="1">MLR_Scalar_Test[[#This Row],[DF_Regression
(Exp.)]]=MLR_Scalar_Test[[#This Row],[DF_Regression
(Calc.)]]</f>
        <v>1</v>
      </c>
      <c r="K6" s="3">
        <v>1648</v>
      </c>
      <c r="L6" s="3">
        <f>DF_Total(y, MLR_Scalar_Test[[#This Row],[Allow_Intercept]], fil)</f>
        <v>1648</v>
      </c>
      <c r="M6" t="b">
        <f>MLR_Scalar_Test[[#This Row],[DF_Total
(Exp.)]]=MLR_Scalar_Test[[#This Row],[DF_Total
(Calc.)]]</f>
        <v>1</v>
      </c>
      <c r="N6" s="4">
        <v>0.68651084263037387</v>
      </c>
      <c r="O6" s="4">
        <f ca="1">_xlfn.LET(_xlpm.x_s, OFFSET(y,0,1,ROWS(y),MLR_Scalar_Test[[#This Row],[ind_vars]]), R_squared(_xlpm.x_s, y, MLR_Scalar_Test[[#This Row],[Allow_Intercept]], fil))</f>
        <v>0.68651084263037343</v>
      </c>
      <c r="P6" t="b">
        <f ca="1">ROUND(MLR_Scalar_Test[[#This Row],[R_squared
(Exp.)]],6)=ROUND(MLR_Scalar_Test[[#This Row],[R_squared
(Calc.)]],6)</f>
        <v>1</v>
      </c>
      <c r="Q6" s="3">
        <v>1638</v>
      </c>
      <c r="R6" s="3">
        <f ca="1">_xlfn.LET(_xlpm.x_s, OFFSET(y,0,1,ROWS(y),MLR_Scalar_Test[[#This Row],[ind_vars]]), DF_Residual(_xlpm.x_s, y, MLR_Scalar_Test[[#This Row],[Allow_Intercept]], fil))</f>
        <v>1638</v>
      </c>
      <c r="S6" t="b">
        <f ca="1">MLR_Scalar_Test[[#This Row],[DF_Residual
(Exp.)]]=MLR_Scalar_Test[[#This Row],[DF_Residual
(Calc.)]]</f>
        <v>1</v>
      </c>
      <c r="T6" s="4">
        <v>0.82855949854574351</v>
      </c>
      <c r="U6" s="4">
        <f ca="1">_xlfn.LET(_xlpm.x_s, OFFSET(y,0,1,ROWS(y),MLR_Scalar_Test[[#This Row],[ind_vars]]), Multiple_R(_xlpm.x_s, y, MLR_Scalar_Test[[#This Row],[Allow_Intercept]], fil))</f>
        <v>0.82855949854574318</v>
      </c>
      <c r="V6" t="b">
        <f ca="1">ROUND(MLR_Scalar_Test[[#This Row],[Multiple_R
(Exp.)]],6)=ROUND(MLR_Scalar_Test[[#This Row],[Multiple_R
(Calc.)]],6)</f>
        <v>1</v>
      </c>
      <c r="W6" s="4">
        <v>0.68459698941077907</v>
      </c>
      <c r="X6" s="4">
        <f ca="1">_xlfn.LET(_xlpm.x_s, OFFSET(y,0,1,ROWS(y),MLR_Scalar_Test[[#This Row],[ind_vars]]), Adjusted_R2(_xlpm.x_s, y, MLR_Scalar_Test[[#This Row],[Allow_Intercept]], fil))</f>
        <v>0.68459698941077862</v>
      </c>
      <c r="Y6" t="b">
        <f ca="1">ROUND(MLR_Scalar_Test[[#This Row],[Adjusted_R2
(Exp.)]],6)=ROUND(MLR_Scalar_Test[[#This Row],[Adjusted_R2
(Calc.)]],6)</f>
        <v>1</v>
      </c>
      <c r="Z6" s="5">
        <v>127529.31124317768</v>
      </c>
      <c r="AA6" s="5">
        <f>SS_Total(y, MLR_Scalar_Test[[#This Row],[Allow_Intercept]], fil)</f>
        <v>127529.31124317752</v>
      </c>
      <c r="AB6" t="b">
        <f>ROUND(MLR_Scalar_Test[[#This Row],[SS_Total
(Exp.)]],4)=ROUND(MLR_Scalar_Test[[#This Row],[SS_Total
(Calc.)]],4)</f>
        <v>1</v>
      </c>
      <c r="AC6" s="5">
        <v>39979.056321552554</v>
      </c>
      <c r="AD6" s="5">
        <f ca="1">_xlfn.LET(_xlpm.x_s, OFFSET(y,0,1,ROWS(y),MLR_Scalar_Test[[#This Row],[ind_vars]]), SS_Residual(_xlpm.x_s, y, MLR_Scalar_Test[[#This Row],[Allow_Intercept]], fil))</f>
        <v>39979.056321552569</v>
      </c>
      <c r="AE6" t="b">
        <f ca="1">ROUND(MLR_Scalar_Test[[#This Row],[SS_Residual
(Exp.)]],4)=ROUND(MLR_Scalar_Test[[#This Row],[SS_Residual
(Calc.)]],4)</f>
        <v>1</v>
      </c>
      <c r="AF6" s="5">
        <v>87550.254921625135</v>
      </c>
      <c r="AG6" s="5">
        <f ca="1">_xlfn.LET(_xlpm.x_s, OFFSET(y,0,1,ROWS(y),MLR_Scalar_Test[[#This Row],[ind_vars]]), SS_Regression(_xlpm.x_s, y, MLR_Scalar_Test[[#This Row],[Allow_Intercept]], fil))</f>
        <v>87550.254921624961</v>
      </c>
      <c r="AH6" t="b">
        <f ca="1">ROUND(MLR_Scalar_Test[[#This Row],[SS_Regression
(Exp.)]],4)=ROUND(MLR_Scalar_Test[[#This Row],[SS_Regression
(Calc.)]],4)</f>
        <v>1</v>
      </c>
      <c r="AI6" s="4">
        <v>4.940368234407849</v>
      </c>
      <c r="AJ6" s="4">
        <f ca="1">_xlfn.LET(_xlpm.x_s, OFFSET(y,0,1,ROWS(y),MLR_Scalar_Test[[#This Row],[ind_vars]]), SE_Regression(_xlpm.x_s, y, MLR_Scalar_Test[[#This Row],[Allow_Intercept]], fil))</f>
        <v>4.9403682344078499</v>
      </c>
      <c r="AK6" t="b">
        <f ca="1">ROUND(MLR_Scalar_Test[[#This Row],[SE_Regression
(Exp.)]],6)=ROUND(MLR_Scalar_Test[[#This Row],[SE_Regression
(Calc.)]],6)</f>
        <v>1</v>
      </c>
    </row>
    <row r="7" spans="1:37" x14ac:dyDescent="0.25">
      <c r="A7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7" s="3">
        <v>10</v>
      </c>
      <c r="C7" t="b">
        <v>0</v>
      </c>
      <c r="D7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7" s="3">
        <v>1649</v>
      </c>
      <c r="F7" s="3">
        <f>Observations(y, fil)</f>
        <v>1649</v>
      </c>
      <c r="G7" t="b">
        <f>MLR_Scalar_Test[[#This Row],[Observations
(Exp.)]]=MLR_Scalar_Test[[#This Row],[Observations
(Calc.)]]</f>
        <v>1</v>
      </c>
      <c r="H7" s="3">
        <v>10</v>
      </c>
      <c r="I7" s="3">
        <f ca="1">_xlfn.LET(_xlpm.x_s, OFFSET(y,0,1,ROWS(y),MLR_Scalar_Test[[#This Row],[ind_vars]]), DF_Regression(_xlpm.x_s))</f>
        <v>10</v>
      </c>
      <c r="J7" t="b">
        <f ca="1">MLR_Scalar_Test[[#This Row],[DF_Regression
(Exp.)]]=MLR_Scalar_Test[[#This Row],[DF_Regression
(Calc.)]]</f>
        <v>1</v>
      </c>
      <c r="K7" s="3">
        <v>1649</v>
      </c>
      <c r="L7" s="3">
        <f>DF_Total(y, MLR_Scalar_Test[[#This Row],[Allow_Intercept]], fil)</f>
        <v>1649</v>
      </c>
      <c r="M7" t="b">
        <f>MLR_Scalar_Test[[#This Row],[DF_Total
(Exp.)]]=MLR_Scalar_Test[[#This Row],[DF_Total
(Calc.)]]</f>
        <v>1</v>
      </c>
      <c r="N7" s="4">
        <v>0.96807706925095049</v>
      </c>
      <c r="O7" s="4">
        <f ca="1">_xlfn.LET(_xlpm.x_s, OFFSET(y,0,1,ROWS(y),MLR_Scalar_Test[[#This Row],[ind_vars]]), R_squared(_xlpm.x_s, y, MLR_Scalar_Test[[#This Row],[Allow_Intercept]], fil))</f>
        <v>0.96807706925095049</v>
      </c>
      <c r="P7" t="b">
        <f ca="1">ROUND(MLR_Scalar_Test[[#This Row],[R_squared
(Exp.)]],6)=ROUND(MLR_Scalar_Test[[#This Row],[R_squared
(Calc.)]],6)</f>
        <v>1</v>
      </c>
      <c r="Q7" s="3">
        <v>1639</v>
      </c>
      <c r="R7" s="3">
        <f ca="1">_xlfn.LET(_xlpm.x_s, OFFSET(y,0,1,ROWS(y),MLR_Scalar_Test[[#This Row],[ind_vars]]), DF_Residual(_xlpm.x_s, y, MLR_Scalar_Test[[#This Row],[Allow_Intercept]], fil))</f>
        <v>1639</v>
      </c>
      <c r="S7" t="b">
        <f ca="1">MLR_Scalar_Test[[#This Row],[DF_Residual
(Exp.)]]=MLR_Scalar_Test[[#This Row],[DF_Residual
(Calc.)]]</f>
        <v>1</v>
      </c>
      <c r="T7" s="4">
        <v>0.98390907570311115</v>
      </c>
      <c r="U7" s="4">
        <f ca="1">_xlfn.LET(_xlpm.x_s, OFFSET(y,0,1,ROWS(y),MLR_Scalar_Test[[#This Row],[ind_vars]]), Multiple_R(_xlpm.x_s, y, MLR_Scalar_Test[[#This Row],[Allow_Intercept]], fil))</f>
        <v>0.98390907570311115</v>
      </c>
      <c r="V7" t="b">
        <f ca="1">ROUND(MLR_Scalar_Test[[#This Row],[Multiple_R
(Exp.)]],6)=ROUND(MLR_Scalar_Test[[#This Row],[Multiple_R
(Calc.)]],6)</f>
        <v>1</v>
      </c>
      <c r="W7" s="4">
        <v>0.96788229847151763</v>
      </c>
      <c r="X7" s="4">
        <f ca="1">_xlfn.LET(_xlpm.x_s, OFFSET(y,0,1,ROWS(y),MLR_Scalar_Test[[#This Row],[ind_vars]]), Adjusted_R2(_xlpm.x_s, y, MLR_Scalar_Test[[#This Row],[Allow_Intercept]], fil))</f>
        <v>0.96788229847151763</v>
      </c>
      <c r="Y7" t="b">
        <f ca="1">ROUND(MLR_Scalar_Test[[#This Row],[Adjusted_R2
(Exp.)]],6)=ROUND(MLR_Scalar_Test[[#This Row],[Adjusted_R2
(Calc.)]],6)</f>
        <v>1</v>
      </c>
      <c r="Z7" s="5">
        <v>8047362.0100000016</v>
      </c>
      <c r="AA7" s="5">
        <f>SS_Total(y, MLR_Scalar_Test[[#This Row],[Allow_Intercept]], fil)</f>
        <v>8047362.0100000026</v>
      </c>
      <c r="AB7" t="b">
        <f>ROUND(MLR_Scalar_Test[[#This Row],[SS_Total
(Exp.)]],4)=ROUND(MLR_Scalar_Test[[#This Row],[SS_Total
(Calc.)]],4)</f>
        <v>1</v>
      </c>
      <c r="AC7" s="5">
        <v>256895.38015776157</v>
      </c>
      <c r="AD7" s="5">
        <f ca="1">_xlfn.LET(_xlpm.x_s, OFFSET(y,0,1,ROWS(y),MLR_Scalar_Test[[#This Row],[ind_vars]]), SS_Residual(_xlpm.x_s, y, MLR_Scalar_Test[[#This Row],[Allow_Intercept]], fil))</f>
        <v>256895.38015776192</v>
      </c>
      <c r="AE7" t="b">
        <f ca="1">ROUND(MLR_Scalar_Test[[#This Row],[SS_Residual
(Exp.)]],4)=ROUND(MLR_Scalar_Test[[#This Row],[SS_Residual
(Calc.)]],4)</f>
        <v>1</v>
      </c>
      <c r="AF7" s="5">
        <v>7790466.6298422404</v>
      </c>
      <c r="AG7" s="5">
        <f ca="1">_xlfn.LET(_xlpm.x_s, OFFSET(y,0,1,ROWS(y),MLR_Scalar_Test[[#This Row],[ind_vars]]), SS_Regression(_xlpm.x_s, y, MLR_Scalar_Test[[#This Row],[Allow_Intercept]], fil))</f>
        <v>7790466.6298422404</v>
      </c>
      <c r="AH7" t="b">
        <f ca="1">ROUND(MLR_Scalar_Test[[#This Row],[SS_Regression
(Exp.)]],4)=ROUND(MLR_Scalar_Test[[#This Row],[SS_Regression
(Calc.)]],4)</f>
        <v>1</v>
      </c>
      <c r="AI7" s="4">
        <v>12.519548598357169</v>
      </c>
      <c r="AJ7" s="4">
        <f ca="1">_xlfn.LET(_xlpm.x_s, OFFSET(y,0,1,ROWS(y),MLR_Scalar_Test[[#This Row],[ind_vars]]), SE_Regression(_xlpm.x_s, y, MLR_Scalar_Test[[#This Row],[Allow_Intercept]], fil))</f>
        <v>12.519548598357177</v>
      </c>
      <c r="AK7" t="b">
        <f ca="1">ROUND(MLR_Scalar_Test[[#This Row],[SE_Regression
(Exp.)]],6)=ROUND(MLR_Scalar_Test[[#This Row],[SE_Regression
(Calc.)]],6)</f>
        <v>1</v>
      </c>
    </row>
    <row r="8" spans="1:37" x14ac:dyDescent="0.25">
      <c r="A8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8" s="3">
        <v>18</v>
      </c>
      <c r="C8" t="b">
        <v>1</v>
      </c>
      <c r="D8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8" s="3">
        <v>1649</v>
      </c>
      <c r="F8" s="3">
        <f>Observations(y, fil)</f>
        <v>1649</v>
      </c>
      <c r="G8" t="b">
        <f>MLR_Scalar_Test[[#This Row],[Observations
(Exp.)]]=MLR_Scalar_Test[[#This Row],[Observations
(Calc.)]]</f>
        <v>1</v>
      </c>
      <c r="H8" s="3">
        <v>18</v>
      </c>
      <c r="I8" s="3">
        <f ca="1">_xlfn.LET(_xlpm.x_s, OFFSET(y,0,1,ROWS(y),MLR_Scalar_Test[[#This Row],[ind_vars]]), DF_Regression(_xlpm.x_s))</f>
        <v>18</v>
      </c>
      <c r="J8" t="b">
        <f ca="1">MLR_Scalar_Test[[#This Row],[DF_Regression
(Exp.)]]=MLR_Scalar_Test[[#This Row],[DF_Regression
(Calc.)]]</f>
        <v>1</v>
      </c>
      <c r="K8" s="3">
        <v>1648</v>
      </c>
      <c r="L8" s="3">
        <f>DF_Total(y, MLR_Scalar_Test[[#This Row],[Allow_Intercept]], fil)</f>
        <v>1648</v>
      </c>
      <c r="M8" t="b">
        <f>MLR_Scalar_Test[[#This Row],[DF_Total
(Exp.)]]=MLR_Scalar_Test[[#This Row],[DF_Total
(Calc.)]]</f>
        <v>1</v>
      </c>
      <c r="N8" s="4">
        <v>0.83473769465896497</v>
      </c>
      <c r="O8" s="4">
        <f ca="1">_xlfn.LET(_xlpm.x_s, OFFSET(y,0,1,ROWS(y),MLR_Scalar_Test[[#This Row],[ind_vars]]), R_squared(_xlpm.x_s, y, MLR_Scalar_Test[[#This Row],[Allow_Intercept]], fil))</f>
        <v>0.83473769465896452</v>
      </c>
      <c r="P8" t="b">
        <f ca="1">ROUND(MLR_Scalar_Test[[#This Row],[R_squared
(Exp.)]],6)=ROUND(MLR_Scalar_Test[[#This Row],[R_squared
(Calc.)]],6)</f>
        <v>1</v>
      </c>
      <c r="Q8" s="3">
        <v>1630</v>
      </c>
      <c r="R8" s="3">
        <f ca="1">_xlfn.LET(_xlpm.x_s, OFFSET(y,0,1,ROWS(y),MLR_Scalar_Test[[#This Row],[ind_vars]]), DF_Residual(_xlpm.x_s, y, MLR_Scalar_Test[[#This Row],[Allow_Intercept]], fil))</f>
        <v>1630</v>
      </c>
      <c r="S8" t="b">
        <f ca="1">MLR_Scalar_Test[[#This Row],[DF_Residual
(Exp.)]]=MLR_Scalar_Test[[#This Row],[DF_Residual
(Calc.)]]</f>
        <v>1</v>
      </c>
      <c r="T8" s="4">
        <v>0.91363980575441484</v>
      </c>
      <c r="U8" s="4">
        <f ca="1">_xlfn.LET(_xlpm.x_s, OFFSET(y,0,1,ROWS(y),MLR_Scalar_Test[[#This Row],[ind_vars]]), Multiple_R(_xlpm.x_s, y, MLR_Scalar_Test[[#This Row],[Allow_Intercept]], fil))</f>
        <v>0.91363980575441461</v>
      </c>
      <c r="V8" t="b">
        <f ca="1">ROUND(MLR_Scalar_Test[[#This Row],[Multiple_R
(Exp.)]],6)=ROUND(MLR_Scalar_Test[[#This Row],[Multiple_R
(Calc.)]],6)</f>
        <v>1</v>
      </c>
      <c r="W8" s="4">
        <v>0.83291271214599649</v>
      </c>
      <c r="X8" s="4">
        <f ca="1">_xlfn.LET(_xlpm.x_s, OFFSET(y,0,1,ROWS(y),MLR_Scalar_Test[[#This Row],[ind_vars]]), Adjusted_R2(_xlpm.x_s, y, MLR_Scalar_Test[[#This Row],[Allow_Intercept]], fil))</f>
        <v>0.83291271214599605</v>
      </c>
      <c r="Y8" t="b">
        <f ca="1">ROUND(MLR_Scalar_Test[[#This Row],[Adjusted_R2
(Exp.)]],6)=ROUND(MLR_Scalar_Test[[#This Row],[Adjusted_R2
(Calc.)]],6)</f>
        <v>1</v>
      </c>
      <c r="Z8" s="5">
        <v>127529.31124317768</v>
      </c>
      <c r="AA8" s="5">
        <f>SS_Total(y, MLR_Scalar_Test[[#This Row],[Allow_Intercept]], fil)</f>
        <v>127529.31124317752</v>
      </c>
      <c r="AB8" t="b">
        <f>ROUND(MLR_Scalar_Test[[#This Row],[SS_Total
(Exp.)]],4)=ROUND(MLR_Scalar_Test[[#This Row],[SS_Total
(Calc.)]],4)</f>
        <v>1</v>
      </c>
      <c r="AC8" s="5">
        <v>21075.787974601921</v>
      </c>
      <c r="AD8" s="5">
        <f ca="1">_xlfn.LET(_xlpm.x_s, OFFSET(y,0,1,ROWS(y),MLR_Scalar_Test[[#This Row],[ind_vars]]), SS_Residual(_xlpm.x_s, y, MLR_Scalar_Test[[#This Row],[Allow_Intercept]], fil))</f>
        <v>21075.787974601953</v>
      </c>
      <c r="AE8" t="b">
        <f ca="1">ROUND(MLR_Scalar_Test[[#This Row],[SS_Residual
(Exp.)]],4)=ROUND(MLR_Scalar_Test[[#This Row],[SS_Residual
(Calc.)]],4)</f>
        <v>1</v>
      </c>
      <c r="AF8" s="5">
        <v>106453.52326857577</v>
      </c>
      <c r="AG8" s="5">
        <f ca="1">_xlfn.LET(_xlpm.x_s, OFFSET(y,0,1,ROWS(y),MLR_Scalar_Test[[#This Row],[ind_vars]]), SS_Regression(_xlpm.x_s, y, MLR_Scalar_Test[[#This Row],[Allow_Intercept]], fil))</f>
        <v>106453.52326857558</v>
      </c>
      <c r="AH8" t="b">
        <f ca="1">ROUND(MLR_Scalar_Test[[#This Row],[SS_Regression
(Exp.)]],4)=ROUND(MLR_Scalar_Test[[#This Row],[SS_Regression
(Calc.)]],4)</f>
        <v>1</v>
      </c>
      <c r="AI8" s="4">
        <v>3.5958213627434157</v>
      </c>
      <c r="AJ8" s="4">
        <f ca="1">_xlfn.LET(_xlpm.x_s, OFFSET(y,0,1,ROWS(y),MLR_Scalar_Test[[#This Row],[ind_vars]]), SE_Regression(_xlpm.x_s, y, MLR_Scalar_Test[[#This Row],[Allow_Intercept]], fil))</f>
        <v>3.5958213627434183</v>
      </c>
      <c r="AK8" t="b">
        <f ca="1">ROUND(MLR_Scalar_Test[[#This Row],[SE_Regression
(Exp.)]],6)=ROUND(MLR_Scalar_Test[[#This Row],[SE_Regression
(Calc.)]],6)</f>
        <v>1</v>
      </c>
    </row>
    <row r="9" spans="1:37" x14ac:dyDescent="0.25">
      <c r="A9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9" s="3">
        <v>18</v>
      </c>
      <c r="C9" t="b">
        <v>0</v>
      </c>
      <c r="D9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9" s="3">
        <v>1649</v>
      </c>
      <c r="F9" s="3">
        <f>Observations(y, fil)</f>
        <v>1649</v>
      </c>
      <c r="G9" t="b">
        <f>MLR_Scalar_Test[[#This Row],[Observations
(Exp.)]]=MLR_Scalar_Test[[#This Row],[Observations
(Calc.)]]</f>
        <v>1</v>
      </c>
      <c r="H9" s="3">
        <v>18</v>
      </c>
      <c r="I9" s="3">
        <f ca="1">_xlfn.LET(_xlpm.x_s, OFFSET(y,0,1,ROWS(y),MLR_Scalar_Test[[#This Row],[ind_vars]]), DF_Regression(_xlpm.x_s))</f>
        <v>18</v>
      </c>
      <c r="J9" t="b">
        <f ca="1">MLR_Scalar_Test[[#This Row],[DF_Regression
(Exp.)]]=MLR_Scalar_Test[[#This Row],[DF_Regression
(Calc.)]]</f>
        <v>1</v>
      </c>
      <c r="K9" s="3">
        <v>1649</v>
      </c>
      <c r="L9" s="3">
        <f>DF_Total(y, MLR_Scalar_Test[[#This Row],[Allow_Intercept]], fil)</f>
        <v>1649</v>
      </c>
      <c r="M9" t="b">
        <f>MLR_Scalar_Test[[#This Row],[DF_Total
(Exp.)]]=MLR_Scalar_Test[[#This Row],[DF_Total
(Calc.)]]</f>
        <v>1</v>
      </c>
      <c r="N9" s="4">
        <v>0.98895618417793629</v>
      </c>
      <c r="O9" s="4">
        <f ca="1">_xlfn.LET(_xlpm.x_s, OFFSET(y,0,1,ROWS(y),MLR_Scalar_Test[[#This Row],[ind_vars]]), R_squared(_xlpm.x_s, y, MLR_Scalar_Test[[#This Row],[Allow_Intercept]], fil))</f>
        <v>0.9889561841779364</v>
      </c>
      <c r="P9" t="b">
        <f ca="1">ROUND(MLR_Scalar_Test[[#This Row],[R_squared
(Exp.)]],6)=ROUND(MLR_Scalar_Test[[#This Row],[R_squared
(Calc.)]],6)</f>
        <v>1</v>
      </c>
      <c r="Q9" s="3">
        <v>1631</v>
      </c>
      <c r="R9" s="3">
        <f ca="1">_xlfn.LET(_xlpm.x_s, OFFSET(y,0,1,ROWS(y),MLR_Scalar_Test[[#This Row],[ind_vars]]), DF_Residual(_xlpm.x_s, y, MLR_Scalar_Test[[#This Row],[Allow_Intercept]], fil))</f>
        <v>1631</v>
      </c>
      <c r="S9" t="b">
        <f ca="1">MLR_Scalar_Test[[#This Row],[DF_Residual
(Exp.)]]=MLR_Scalar_Test[[#This Row],[DF_Residual
(Calc.)]]</f>
        <v>1</v>
      </c>
      <c r="T9" s="4">
        <v>0.99446276158433222</v>
      </c>
      <c r="U9" s="4">
        <f ca="1">_xlfn.LET(_xlpm.x_s, OFFSET(y,0,1,ROWS(y),MLR_Scalar_Test[[#This Row],[ind_vars]]), Multiple_R(_xlpm.x_s, y, MLR_Scalar_Test[[#This Row],[Allow_Intercept]], fil))</f>
        <v>0.99446276158433222</v>
      </c>
      <c r="V9" t="b">
        <f ca="1">ROUND(MLR_Scalar_Test[[#This Row],[Multiple_R
(Exp.)]],6)=ROUND(MLR_Scalar_Test[[#This Row],[Multiple_R
(Calc.)]],6)</f>
        <v>1</v>
      </c>
      <c r="W9" s="4">
        <v>0.98883430270350514</v>
      </c>
      <c r="X9" s="4">
        <f ca="1">_xlfn.LET(_xlpm.x_s, OFFSET(y,0,1,ROWS(y),MLR_Scalar_Test[[#This Row],[ind_vars]]), Adjusted_R2(_xlpm.x_s, y, MLR_Scalar_Test[[#This Row],[Allow_Intercept]], fil))</f>
        <v>0.98883430270350525</v>
      </c>
      <c r="Y9" t="b">
        <f ca="1">ROUND(MLR_Scalar_Test[[#This Row],[Adjusted_R2
(Exp.)]],6)=ROUND(MLR_Scalar_Test[[#This Row],[Adjusted_R2
(Calc.)]],6)</f>
        <v>1</v>
      </c>
      <c r="Z9" s="5">
        <v>8047362.0100000016</v>
      </c>
      <c r="AA9" s="5">
        <f>SS_Total(y, MLR_Scalar_Test[[#This Row],[Allow_Intercept]], fil)</f>
        <v>8047362.0100000026</v>
      </c>
      <c r="AB9" t="b">
        <f>ROUND(MLR_Scalar_Test[[#This Row],[SS_Total
(Exp.)]],4)=ROUND(MLR_Scalar_Test[[#This Row],[SS_Total
(Calc.)]],4)</f>
        <v>1</v>
      </c>
      <c r="AC9" s="5">
        <v>88873.583891912</v>
      </c>
      <c r="AD9" s="5">
        <f ca="1">_xlfn.LET(_xlpm.x_s, OFFSET(y,0,1,ROWS(y),MLR_Scalar_Test[[#This Row],[ind_vars]]), SS_Residual(_xlpm.x_s, y, MLR_Scalar_Test[[#This Row],[Allow_Intercept]], fil))</f>
        <v>88873.583891911534</v>
      </c>
      <c r="AE9" t="b">
        <f ca="1">ROUND(MLR_Scalar_Test[[#This Row],[SS_Residual
(Exp.)]],4)=ROUND(MLR_Scalar_Test[[#This Row],[SS_Residual
(Calc.)]],4)</f>
        <v>1</v>
      </c>
      <c r="AF9" s="5">
        <v>7958488.4261080893</v>
      </c>
      <c r="AG9" s="5">
        <f ca="1">_xlfn.LET(_xlpm.x_s, OFFSET(y,0,1,ROWS(y),MLR_Scalar_Test[[#This Row],[ind_vars]]), SS_Regression(_xlpm.x_s, y, MLR_Scalar_Test[[#This Row],[Allow_Intercept]], fil))</f>
        <v>7958488.4261080911</v>
      </c>
      <c r="AH9" t="b">
        <f ca="1">ROUND(MLR_Scalar_Test[[#This Row],[SS_Regression
(Exp.)]],4)=ROUND(MLR_Scalar_Test[[#This Row],[SS_Regression
(Calc.)]],4)</f>
        <v>1</v>
      </c>
      <c r="AI9" s="4">
        <v>7.381750571735556</v>
      </c>
      <c r="AJ9" s="4">
        <f ca="1">_xlfn.LET(_xlpm.x_s, OFFSET(y,0,1,ROWS(y),MLR_Scalar_Test[[#This Row],[ind_vars]]), SE_Regression(_xlpm.x_s, y, MLR_Scalar_Test[[#This Row],[Allow_Intercept]], fil))</f>
        <v>7.3817505717355365</v>
      </c>
      <c r="AK9" t="b">
        <f ca="1">ROUND(MLR_Scalar_Test[[#This Row],[SE_Regression
(Exp.)]],6)=ROUND(MLR_Scalar_Test[[#This Row],[SE_Regression
(Calc.)]],6)</f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BF611-4978-46EC-A227-1F800169D4EA}">
  <dimension ref="A1:W88"/>
  <sheetViews>
    <sheetView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20.85546875" bestFit="1" customWidth="1"/>
    <col min="2" max="2" width="8.5703125" bestFit="1" customWidth="1"/>
    <col min="3" max="3" width="8.85546875" bestFit="1" customWidth="1"/>
    <col min="4" max="4" width="7.85546875" bestFit="1" customWidth="1"/>
    <col min="5" max="5" width="9" bestFit="1" customWidth="1"/>
    <col min="6" max="6" width="8.7109375" bestFit="1" customWidth="1"/>
    <col min="7" max="8" width="8.85546875" bestFit="1" customWidth="1"/>
    <col min="9" max="9" width="31.140625" bestFit="1" customWidth="1"/>
    <col min="10" max="10" width="12.7109375" bestFit="1" customWidth="1"/>
    <col min="11" max="11" width="12" bestFit="1" customWidth="1"/>
    <col min="12" max="12" width="12.7109375" bestFit="1" customWidth="1"/>
    <col min="13" max="13" width="12" bestFit="1" customWidth="1"/>
    <col min="14" max="15" width="12.7109375" bestFit="1" customWidth="1"/>
    <col min="16" max="16" width="8.85546875" bestFit="1" customWidth="1"/>
    <col min="17" max="17" width="8.5703125" bestFit="1" customWidth="1"/>
    <col min="18" max="18" width="8.85546875" bestFit="1" customWidth="1"/>
    <col min="19" max="19" width="7.5703125" bestFit="1" customWidth="1"/>
    <col min="20" max="20" width="9.28515625" bestFit="1" customWidth="1"/>
    <col min="21" max="21" width="8.7109375" bestFit="1" customWidth="1"/>
    <col min="22" max="23" width="8.85546875" bestFit="1" customWidth="1"/>
  </cols>
  <sheetData>
    <row r="1" spans="1:23" ht="45" x14ac:dyDescent="0.25">
      <c r="A1" s="2" t="s">
        <v>303</v>
      </c>
      <c r="B1" s="2" t="s">
        <v>337</v>
      </c>
      <c r="C1" s="2" t="s">
        <v>338</v>
      </c>
      <c r="D1" s="2" t="s">
        <v>339</v>
      </c>
      <c r="E1" s="2" t="s">
        <v>340</v>
      </c>
      <c r="F1" s="2" t="s">
        <v>341</v>
      </c>
      <c r="G1" s="2" t="s">
        <v>342</v>
      </c>
      <c r="H1" s="2" t="s">
        <v>343</v>
      </c>
      <c r="I1" s="2" t="s">
        <v>344</v>
      </c>
      <c r="J1" s="2" t="s">
        <v>53</v>
      </c>
      <c r="K1" s="2" t="s">
        <v>57</v>
      </c>
      <c r="L1" s="2" t="s">
        <v>61</v>
      </c>
      <c r="M1" s="2" t="s">
        <v>65</v>
      </c>
      <c r="N1" s="2" t="s">
        <v>345</v>
      </c>
      <c r="O1" s="2" t="s">
        <v>346</v>
      </c>
      <c r="P1" s="2" t="s">
        <v>78</v>
      </c>
      <c r="Q1" s="2" t="s">
        <v>347</v>
      </c>
      <c r="R1" s="2" t="s">
        <v>348</v>
      </c>
      <c r="S1" s="2" t="s">
        <v>349</v>
      </c>
      <c r="T1" s="2" t="s">
        <v>350</v>
      </c>
      <c r="U1" s="2" t="s">
        <v>351</v>
      </c>
      <c r="V1" s="2" t="s">
        <v>352</v>
      </c>
      <c r="W1" s="2" t="s">
        <v>353</v>
      </c>
    </row>
    <row r="2" spans="1:23" x14ac:dyDescent="0.25">
      <c r="A2" t="s">
        <v>354</v>
      </c>
    </row>
    <row r="3" spans="1:23" x14ac:dyDescent="0.25">
      <c r="A3" t="b">
        <f ca="1">AND(B3,C3,D3,E3,F3,G3,H3)</f>
        <v>1</v>
      </c>
      <c r="B3" t="b" cm="1">
        <f t="array" aca="1" ref="B3" ca="1">AND(ROUND(Q3:Q4,6)=ROUND(_xlfn.ANCHORARRAY(J3),6))</f>
        <v>1</v>
      </c>
      <c r="C3" t="b" cm="1">
        <f t="array" aca="1" ref="C3" ca="1">AND(ROUND(R3:R4,6)=ROUND(_xlfn.ANCHORARRAY(K3),6))</f>
        <v>1</v>
      </c>
      <c r="D3" t="b" cm="1">
        <f t="array" aca="1" ref="D3" ca="1">AND(ROUND(S3:S4,6)=ROUND(_xlfn.ANCHORARRAY(L3),6))</f>
        <v>1</v>
      </c>
      <c r="E3" t="b" cm="1">
        <f t="array" aca="1" ref="E3" ca="1">AND(ROUND(T3:T4,6)=ROUND(_xlfn.ANCHORARRAY(M3),6))</f>
        <v>1</v>
      </c>
      <c r="F3" t="b" cm="1">
        <f t="array" aca="1" ref="F3" ca="1">AND(ROUND(U3:U4,6)=ROUND(_xlfn.ANCHORARRAY(N3),6))</f>
        <v>1</v>
      </c>
      <c r="G3" t="b" cm="1">
        <f t="array" aca="1" ref="G3" ca="1">AND(ROUND(V3:V4,6)=ROUND(_xlfn.ANCHORARRAY(O3),6))</f>
        <v>1</v>
      </c>
      <c r="H3" t="b" cm="1">
        <f t="array" aca="1" ref="H3" ca="1">AND(W3:W4=_xlfn.ANCHORARRAY(P3))</f>
        <v>1</v>
      </c>
      <c r="I3" t="s">
        <v>362</v>
      </c>
      <c r="J3" cm="1">
        <f t="array" aca="1" ref="J3:J4" ca="1">_xlfn.LET(_xlpm.x_s,OFFSET(y,0,1,ROWS(y),1),Coefficients(_xlpm.x_s,y,TRUE,fil))</f>
        <v>77.598237927790521</v>
      </c>
      <c r="K3" cm="1">
        <f t="array" aca="1" ref="K3:K4" ca="1">_xlfn.LET(_xlpm.x_s,OFFSET(y,0,1,ROWS(y),1),SE_Coefficients(_xlpm.x_s,y,TRUE,fil))</f>
        <v>0.25819057598929407</v>
      </c>
      <c r="L3" cm="1">
        <f t="array" aca="1" ref="L3:L4" ca="1">_xlfn.LET(_xlpm.x_s,OFFSET(y,0,1,ROWS(y),1),T_Stats(_xlpm.x_s,y,TRUE,fil))</f>
        <v>300.54636049538908</v>
      </c>
      <c r="M3" cm="1">
        <f t="array" aca="1" ref="M3:M4" ca="1">_xlfn.LET(_xlpm.x_s,OFFSET(y,0,1,ROWS(y),1),P_Values(_xlpm.x_s,y,TRUE,fil))</f>
        <v>0</v>
      </c>
      <c r="N3" cm="1">
        <f t="array" aca="1" ref="N3:N4" ca="1">_xlfn.LET(_xlpm.x_s,OFFSET(y,0,1,ROWS(y),1),CI_Lower(_xlpm.x_s,y,TRUE,fil,95))</f>
        <v>77.091821541792896</v>
      </c>
      <c r="O3" cm="1">
        <f t="array" aca="1" ref="O3:O4" ca="1">_xlfn.LET(_xlpm.x_s,OFFSET(y,0,1,ROWS(y),1),CI_Upper(_xlpm.x_s,y,TRUE,fil,95))</f>
        <v>78.104654313788146</v>
      </c>
      <c r="P3" t="b" cm="1">
        <f t="array" aca="1" ref="P3:P4" ca="1">_xlfn.LET(_xlpm.x_s,OFFSET(y,0,1,ROWS(y),1),CI_Excludes_Zero(_xlpm.x_s,y,TRUE,fil,95))</f>
        <v>1</v>
      </c>
      <c r="Q3" s="4">
        <v>77.598237927790464</v>
      </c>
      <c r="R3" s="4">
        <v>0.2581905759892939</v>
      </c>
      <c r="S3" s="4">
        <v>300.54636049538902</v>
      </c>
      <c r="T3" s="6">
        <v>0</v>
      </c>
      <c r="U3" s="4">
        <v>77.091821541792839</v>
      </c>
      <c r="V3" s="4">
        <v>78.104654313788089</v>
      </c>
      <c r="W3" t="b">
        <v>1</v>
      </c>
    </row>
    <row r="4" spans="1:23" x14ac:dyDescent="0.25">
      <c r="I4" t="s">
        <v>86</v>
      </c>
      <c r="J4">
        <f ca="1"/>
        <v>-4.931735929559259E-2</v>
      </c>
      <c r="K4">
        <f ca="1"/>
        <v>1.2310213402846018E-3</v>
      </c>
      <c r="L4">
        <f ca="1"/>
        <v>-40.062148138058134</v>
      </c>
      <c r="M4">
        <f ca="1"/>
        <v>1.3819095404877546E-245</v>
      </c>
      <c r="N4">
        <f ca="1"/>
        <v>-5.1731891180980739E-2</v>
      </c>
      <c r="O4">
        <f ca="1"/>
        <v>-4.6902827410204441E-2</v>
      </c>
      <c r="P4" t="b">
        <f ca="1"/>
        <v>1</v>
      </c>
      <c r="Q4" s="4">
        <v>-4.9317359295592743E-2</v>
      </c>
      <c r="R4" s="4">
        <v>1.2310213402846007E-3</v>
      </c>
      <c r="S4" s="4">
        <v>-40.062148138058291</v>
      </c>
      <c r="T4" s="6">
        <v>1.3819095404831984E-245</v>
      </c>
      <c r="U4" s="4">
        <v>-5.1731891180980892E-2</v>
      </c>
      <c r="V4" s="4">
        <v>-4.6902827410204594E-2</v>
      </c>
      <c r="W4" t="b">
        <v>1</v>
      </c>
    </row>
    <row r="6" spans="1:23" x14ac:dyDescent="0.25">
      <c r="A6" t="s">
        <v>355</v>
      </c>
    </row>
    <row r="7" spans="1:23" x14ac:dyDescent="0.25">
      <c r="A7" t="b">
        <f ca="1">AND(B7,C7,D7,E7,F7,G7,H7)</f>
        <v>1</v>
      </c>
      <c r="B7" t="b" cm="1">
        <f t="array" aca="1" ref="B7" ca="1">AND(ROUND(Q7:Q7,6)=ROUND(_xlfn.ANCHORARRAY(J7),6))</f>
        <v>1</v>
      </c>
      <c r="C7" t="b" cm="1">
        <f t="array" aca="1" ref="C7" ca="1">AND(ROUND(R7:R7,6)=ROUND(_xlfn.ANCHORARRAY(K7),6))</f>
        <v>1</v>
      </c>
      <c r="D7" t="b" cm="1">
        <f t="array" aca="1" ref="D7" ca="1">AND(ROUND(S7:S7,6)=ROUND(_xlfn.ANCHORARRAY(L7),6))</f>
        <v>1</v>
      </c>
      <c r="E7" t="b" cm="1">
        <f t="array" aca="1" ref="E7" ca="1">AND(ROUND(T7:T7,6)=ROUND(_xlfn.ANCHORARRAY(M7),6))</f>
        <v>1</v>
      </c>
      <c r="F7" t="b" cm="1">
        <f t="array" aca="1" ref="F7" ca="1">AND(ROUND(U7:U7,6)=ROUND(_xlfn.ANCHORARRAY(N7),6))</f>
        <v>1</v>
      </c>
      <c r="G7" t="b" cm="1">
        <f t="array" aca="1" ref="G7" ca="1">AND(ROUND(V7:V7,6)=ROUND(_xlfn.ANCHORARRAY(O7),6))</f>
        <v>1</v>
      </c>
      <c r="H7" t="b" cm="1">
        <f t="array" aca="1" ref="H7" ca="1">AND(W7:W7=_xlfn.ANCHORARRAY(P7))</f>
        <v>1</v>
      </c>
      <c r="I7" t="s">
        <v>86</v>
      </c>
      <c r="J7" cm="1">
        <f t="array" aca="1" ref="J7" ca="1">_xlfn.LET(_xlpm.x_s,OFFSET(y,0,1,ROWS(y),1),Coefficients(_xlpm.x_s,y,FALSE,fil))</f>
        <v>0.24741690524364063</v>
      </c>
      <c r="K7" cm="1">
        <f t="array" aca="1" ref="K7" ca="1">_xlfn.LET(_xlpm.x_s,OFFSET(y,0,1,ROWS(y),1),SE_Coefficients(_xlpm.x_s,y,FALSE,fil))</f>
        <v>5.4929139228274667E-3</v>
      </c>
      <c r="L7" cm="1">
        <f t="array" aca="1" ref="L7" ca="1">_xlfn.LET(_xlpm.x_s,OFFSET(y,0,1,ROWS(y),1),T_Stats(_xlpm.x_s,y,FALSE,fil))</f>
        <v>45.042924160057339</v>
      </c>
      <c r="M7" cm="1">
        <f t="array" aca="1" ref="M7" ca="1">_xlfn.LET(_xlpm.x_s,OFFSET(y,0,1,ROWS(y),1),P_Values(_xlpm.x_s,y,FALSE,fil))</f>
        <v>1.7434898953936028E-289</v>
      </c>
      <c r="N7" cm="1">
        <f t="array" aca="1" ref="N7" ca="1">_xlfn.LET(_xlpm.x_s,OFFSET(y,0,1,ROWS(y),1),CI_Lower(_xlpm.x_s,y,FALSE,fil,95))</f>
        <v>0.23664307910604815</v>
      </c>
      <c r="O7" cm="1">
        <f t="array" aca="1" ref="O7" ca="1">_xlfn.LET(_xlpm.x_s,OFFSET(y,0,1,ROWS(y),1),CI_Upper(_xlpm.x_s,y,FALSE,fil,95))</f>
        <v>0.25819073138123311</v>
      </c>
      <c r="P7" t="b" cm="1">
        <f t="array" aca="1" ref="P7" ca="1">_xlfn.LET(_xlpm.x_s,OFFSET(y,0,1,ROWS(y),1),CI_Excludes_Zero(_xlpm.x_s,y,FALSE,fil,95))</f>
        <v>1</v>
      </c>
      <c r="Q7" s="4">
        <v>0.24741690524364049</v>
      </c>
      <c r="R7" s="4">
        <v>5.4929139228274658E-3</v>
      </c>
      <c r="S7" s="4">
        <v>45.042924160057318</v>
      </c>
      <c r="T7" s="6">
        <v>1.7434898953940606E-289</v>
      </c>
      <c r="U7" s="4">
        <v>0.2366430791060482</v>
      </c>
      <c r="V7" s="4">
        <v>0.25819073138123277</v>
      </c>
      <c r="W7" t="b">
        <v>1</v>
      </c>
    </row>
    <row r="9" spans="1:23" x14ac:dyDescent="0.25">
      <c r="A9" t="s">
        <v>356</v>
      </c>
    </row>
    <row r="10" spans="1:23" x14ac:dyDescent="0.25">
      <c r="A10" t="b">
        <f ca="1">AND(B10,C10,D10,E10,F10,G10,H10)</f>
        <v>1</v>
      </c>
      <c r="B10" t="b" cm="1">
        <f t="array" aca="1" ref="B10" ca="1">AND(ROUND(Q10:Q15,6)=ROUND(_xlfn.ANCHORARRAY(J10),6))</f>
        <v>1</v>
      </c>
      <c r="C10" t="b" cm="1">
        <f t="array" aca="1" ref="C10" ca="1">AND(ROUND(R10:R15,6)=ROUND(_xlfn.ANCHORARRAY(K10),6))</f>
        <v>1</v>
      </c>
      <c r="D10" t="b" cm="1">
        <f t="array" aca="1" ref="D10" ca="1">AND(ROUND(S10:S15,6)=ROUND(_xlfn.ANCHORARRAY(L10),6))</f>
        <v>1</v>
      </c>
      <c r="E10" t="b" cm="1">
        <f t="array" aca="1" ref="E10" ca="1">AND(ROUND(T10:T15,6)=ROUND(_xlfn.ANCHORARRAY(M10),6))</f>
        <v>1</v>
      </c>
      <c r="F10" t="b" cm="1">
        <f t="array" aca="1" ref="F10" ca="1">AND(ROUND(U10:U15,6)=ROUND(_xlfn.ANCHORARRAY(N10),6))</f>
        <v>1</v>
      </c>
      <c r="G10" t="b" cm="1">
        <f t="array" aca="1" ref="G10" ca="1">AND(ROUND(V10:V15,6)=ROUND(_xlfn.ANCHORARRAY(O10),6))</f>
        <v>1</v>
      </c>
      <c r="H10" t="b" cm="1">
        <f t="array" aca="1" ref="H10" ca="1">AND(W10:W15=_xlfn.ANCHORARRAY(P10))</f>
        <v>1</v>
      </c>
      <c r="I10" t="s">
        <v>362</v>
      </c>
      <c r="J10" cm="1">
        <f t="array" aca="1" ref="J10:J15" ca="1">_xlfn.LET(_xlpm.x_s,OFFSET(y,0,1,ROWS(y),5),Coefficients(_xlpm.x_s,y,TRUE,fil))</f>
        <v>71.660708338063287</v>
      </c>
      <c r="K10" cm="1">
        <f t="array" aca="1" ref="K10:K15" ca="1">_xlfn.LET(_xlpm.x_s,OFFSET(y,0,1,ROWS(y),5),SE_Coefficients(_xlpm.x_s,y,TRUE,fil))</f>
        <v>0.53681012188459709</v>
      </c>
      <c r="L10" cm="1">
        <f t="array" aca="1" ref="L10:L15" ca="1">_xlfn.LET(_xlpm.x_s,OFFSET(y,0,1,ROWS(y),5),T_Stats(_xlpm.x_s,y,TRUE,fil))</f>
        <v>133.4935863103357</v>
      </c>
      <c r="M10" cm="1">
        <f t="array" aca="1" ref="M10:M15" ca="1">_xlfn.LET(_xlpm.x_s,OFFSET(y,0,1,ROWS(y),5),P_Values(_xlpm.x_s,y,TRUE,fil))</f>
        <v>0</v>
      </c>
      <c r="N10" cm="1">
        <f t="array" aca="1" ref="N10:N15" ca="1">_xlfn.LET(_xlpm.x_s,OFFSET(y,0,1,ROWS(y),5),CI_Lower(_xlpm.x_s,y,TRUE,fil,95))</f>
        <v>70.607804189358916</v>
      </c>
      <c r="O10" cm="1">
        <f t="array" aca="1" ref="O10:O15" ca="1">_xlfn.LET(_xlpm.x_s,OFFSET(y,0,1,ROWS(y),5),CI_Upper(_xlpm.x_s,y,TRUE,fil,95))</f>
        <v>72.713612486767659</v>
      </c>
      <c r="P10" t="b" cm="1">
        <f t="array" aca="1" ref="P10:P15" ca="1">_xlfn.LET(_xlpm.x_s,OFFSET(y,0,1,ROWS(y),5),CI_Excludes_Zero(_xlpm.x_s,y,TRUE,fil,95))</f>
        <v>1</v>
      </c>
      <c r="Q10" s="4">
        <v>71.660708338063316</v>
      </c>
      <c r="R10" s="4">
        <v>0.53681012188459576</v>
      </c>
      <c r="S10" s="4">
        <v>133.49358631033607</v>
      </c>
      <c r="T10" s="6">
        <v>0</v>
      </c>
      <c r="U10" s="4">
        <v>70.60780418935893</v>
      </c>
      <c r="V10" s="4">
        <v>72.713612486767701</v>
      </c>
      <c r="W10" t="b">
        <v>1</v>
      </c>
    </row>
    <row r="11" spans="1:23" x14ac:dyDescent="0.25">
      <c r="I11" t="s">
        <v>86</v>
      </c>
      <c r="J11">
        <f ca="1"/>
        <v>-4.3044813893798495E-2</v>
      </c>
      <c r="K11">
        <f ca="1"/>
        <v>1.1152654872587432E-3</v>
      </c>
      <c r="L11">
        <f ca="1"/>
        <v>-38.596024341791576</v>
      </c>
      <c r="M11">
        <f ca="1"/>
        <v>1.619863129769023E-232</v>
      </c>
      <c r="N11">
        <f ca="1"/>
        <v>-4.5232305542277453E-2</v>
      </c>
      <c r="O11">
        <f ca="1"/>
        <v>-4.0857322245319537E-2</v>
      </c>
      <c r="P11" t="b">
        <f ca="1"/>
        <v>1</v>
      </c>
      <c r="Q11" s="4">
        <v>-4.3044813893798613E-2</v>
      </c>
      <c r="R11" s="4">
        <v>1.1152654872587393E-3</v>
      </c>
      <c r="S11" s="4">
        <v>-38.596024341791818</v>
      </c>
      <c r="T11" s="6">
        <v>1.6198631297612927E-232</v>
      </c>
      <c r="U11" s="4">
        <v>-4.5232305542277605E-2</v>
      </c>
      <c r="V11" s="4">
        <v>-4.085732224531962E-2</v>
      </c>
      <c r="W11" t="b">
        <v>1</v>
      </c>
    </row>
    <row r="12" spans="1:23" x14ac:dyDescent="0.25">
      <c r="I12" t="s">
        <v>87</v>
      </c>
      <c r="J12">
        <f ca="1"/>
        <v>-6.1827929256924952E-3</v>
      </c>
      <c r="K12">
        <f ca="1"/>
        <v>1.151291493655014E-3</v>
      </c>
      <c r="L12">
        <f ca="1"/>
        <v>-5.3703106118363948</v>
      </c>
      <c r="M12">
        <f ca="1"/>
        <v>8.984331371015686E-8</v>
      </c>
      <c r="N12">
        <f ca="1"/>
        <v>-8.440946303616333E-3</v>
      </c>
      <c r="O12">
        <f ca="1"/>
        <v>-3.9246395477686574E-3</v>
      </c>
      <c r="P12" t="b">
        <f ca="1"/>
        <v>1</v>
      </c>
      <c r="Q12" s="4">
        <v>-6.1827929256912193E-3</v>
      </c>
      <c r="R12" s="4">
        <v>1.1512914936550116E-3</v>
      </c>
      <c r="S12" s="4">
        <v>-5.3703106118352979</v>
      </c>
      <c r="T12" s="6">
        <v>8.9843313710687685E-8</v>
      </c>
      <c r="U12" s="4">
        <v>-8.4409463036150961E-3</v>
      </c>
      <c r="V12" s="4">
        <v>-3.9246395477673425E-3</v>
      </c>
      <c r="W12" t="b">
        <v>1</v>
      </c>
    </row>
    <row r="13" spans="1:23" x14ac:dyDescent="0.25">
      <c r="I13" t="s">
        <v>88</v>
      </c>
      <c r="J13">
        <f ca="1"/>
        <v>0.44907634325151147</v>
      </c>
      <c r="K13">
        <f ca="1"/>
        <v>3.7154737878608318E-2</v>
      </c>
      <c r="L13">
        <f ca="1"/>
        <v>12.086650825494459</v>
      </c>
      <c r="M13">
        <f ca="1"/>
        <v>2.7837689137596889E-32</v>
      </c>
      <c r="N13">
        <f ca="1"/>
        <v>0.37620070983560505</v>
      </c>
      <c r="O13">
        <f ca="1"/>
        <v>0.52195197666741788</v>
      </c>
      <c r="P13" t="b">
        <f ca="1"/>
        <v>1</v>
      </c>
      <c r="Q13" s="4">
        <v>0.44907634325150769</v>
      </c>
      <c r="R13" s="4">
        <v>3.7154737878608277E-2</v>
      </c>
      <c r="S13" s="4">
        <v>12.08665082549437</v>
      </c>
      <c r="T13" s="6">
        <v>2.7837689137626223E-32</v>
      </c>
      <c r="U13" s="4">
        <v>0.37620070983559994</v>
      </c>
      <c r="V13" s="4">
        <v>0.52195197666741544</v>
      </c>
      <c r="W13" t="b">
        <v>1</v>
      </c>
    </row>
    <row r="14" spans="1:23" x14ac:dyDescent="0.25">
      <c r="I14" t="s">
        <v>89</v>
      </c>
      <c r="J14">
        <f ca="1"/>
        <v>8.4471913669313312E-4</v>
      </c>
      <c r="K14">
        <f ca="1"/>
        <v>8.5913774194836781E-5</v>
      </c>
      <c r="L14">
        <f ca="1"/>
        <v>9.8321735322378458</v>
      </c>
      <c r="M14">
        <f ca="1"/>
        <v>3.3086291550660216E-22</v>
      </c>
      <c r="N14">
        <f ca="1"/>
        <v>6.7620709567010537E-4</v>
      </c>
      <c r="O14">
        <f ca="1"/>
        <v>1.0132311777161609E-3</v>
      </c>
      <c r="P14" t="b">
        <f ca="1"/>
        <v>1</v>
      </c>
      <c r="Q14" s="4">
        <v>8.4471913669313735E-4</v>
      </c>
      <c r="R14" s="4">
        <v>8.5913774194836944E-5</v>
      </c>
      <c r="S14" s="4">
        <v>9.8321735322378778</v>
      </c>
      <c r="T14" s="6">
        <v>3.3086291550651701E-22</v>
      </c>
      <c r="U14" s="4">
        <v>6.7620709567010613E-4</v>
      </c>
      <c r="V14" s="4">
        <v>1.0132311777161685E-3</v>
      </c>
      <c r="W14" t="b">
        <v>1</v>
      </c>
    </row>
    <row r="15" spans="1:23" x14ac:dyDescent="0.25">
      <c r="I15" t="s">
        <v>90</v>
      </c>
      <c r="J15">
        <f ca="1"/>
        <v>3.1021764500400926E-2</v>
      </c>
      <c r="K15">
        <f ca="1"/>
        <v>5.4558589899085319E-3</v>
      </c>
      <c r="L15">
        <f ca="1"/>
        <v>5.6859542297153487</v>
      </c>
      <c r="M15">
        <f ca="1"/>
        <v>1.5366748102362685E-8</v>
      </c>
      <c r="N15">
        <f ca="1"/>
        <v>2.0320594140473082E-2</v>
      </c>
      <c r="O15">
        <f ca="1"/>
        <v>4.172293486032877E-2</v>
      </c>
      <c r="P15" t="b">
        <f ca="1"/>
        <v>1</v>
      </c>
      <c r="Q15" s="4">
        <v>3.102176450040002E-2</v>
      </c>
      <c r="R15" s="4">
        <v>5.4558589899085259E-3</v>
      </c>
      <c r="S15" s="4">
        <v>5.6859542297151888</v>
      </c>
      <c r="T15" s="6">
        <v>1.5366748102376826E-8</v>
      </c>
      <c r="U15" s="4">
        <v>2.0320594140471986E-2</v>
      </c>
      <c r="V15" s="4">
        <v>4.1722934860328055E-2</v>
      </c>
      <c r="W15" t="b">
        <v>1</v>
      </c>
    </row>
    <row r="17" spans="1:23" x14ac:dyDescent="0.25">
      <c r="A17" t="s">
        <v>357</v>
      </c>
    </row>
    <row r="18" spans="1:23" x14ac:dyDescent="0.25">
      <c r="A18" t="b">
        <f ca="1">AND(B18,C18,D18,E18,F18,G18,H18)</f>
        <v>1</v>
      </c>
      <c r="B18" t="b" cm="1">
        <f t="array" aca="1" ref="B18" ca="1">AND(ROUND(Q18:Q22,6)=ROUND(_xlfn.ANCHORARRAY(J18),6))</f>
        <v>1</v>
      </c>
      <c r="C18" t="b" cm="1">
        <f t="array" aca="1" ref="C18" ca="1">AND(ROUND(R18:R22,6)=ROUND(_xlfn.ANCHORARRAY(K18),6))</f>
        <v>1</v>
      </c>
      <c r="D18" t="b" cm="1">
        <f t="array" aca="1" ref="D18" ca="1">AND(ROUND(S18:S22,6)=ROUND(_xlfn.ANCHORARRAY(L18),6))</f>
        <v>1</v>
      </c>
      <c r="E18" t="b" cm="1">
        <f t="array" aca="1" ref="E18" ca="1">AND(ROUND(T18:T22,6)=ROUND(_xlfn.ANCHORARRAY(M18),6))</f>
        <v>1</v>
      </c>
      <c r="F18" t="b" cm="1">
        <f t="array" aca="1" ref="F18" ca="1">AND(ROUND(U18:U22,6)=ROUND(_xlfn.ANCHORARRAY(N18),6))</f>
        <v>1</v>
      </c>
      <c r="G18" t="b" cm="1">
        <f t="array" aca="1" ref="G18" ca="1">AND(ROUND(V18:V22,6)=ROUND(_xlfn.ANCHORARRAY(O18),6))</f>
        <v>1</v>
      </c>
      <c r="H18" t="b" cm="1">
        <f t="array" aca="1" ref="H18" ca="1">AND(W18:W22=_xlfn.ANCHORARRAY(P18))</f>
        <v>1</v>
      </c>
      <c r="I18" t="s">
        <v>86</v>
      </c>
      <c r="J18" cm="1">
        <f t="array" aca="1" ref="J18:J22" ca="1">_xlfn.LET(_xlpm.x_s,OFFSET(y,0,1,ROWS(y),5),Coefficients(_xlpm.x_s,y,FALSE,fil))</f>
        <v>2.7040277484893627E-2</v>
      </c>
      <c r="K18" cm="1">
        <f t="array" aca="1" ref="K18:K22" ca="1">_xlfn.LET(_xlpm.x_s,OFFSET(y,0,1,ROWS(y),5),SE_Coefficients(_xlpm.x_s,y,FALSE,fil))</f>
        <v>3.385626616978494E-3</v>
      </c>
      <c r="L18" cm="1">
        <f t="array" aca="1" ref="L18:L22" ca="1">_xlfn.LET(_xlpm.x_s,OFFSET(y,0,1,ROWS(y),5),T_Stats(_xlpm.x_s,y,FALSE,fil))</f>
        <v>7.9867866554716986</v>
      </c>
      <c r="M18" cm="1">
        <f t="array" aca="1" ref="M18:M22" ca="1">_xlfn.LET(_xlpm.x_s,OFFSET(y,0,1,ROWS(y),5),P_Values(_xlpm.x_s,y,FALSE,fil))</f>
        <v>2.5800824666580707E-15</v>
      </c>
      <c r="N18" cm="1">
        <f t="array" aca="1" ref="N18:N22" ca="1">_xlfn.LET(_xlpm.x_s,OFFSET(y,0,1,ROWS(y),5),CI_Lower(_xlpm.x_s,y,FALSE,fil,95))</f>
        <v>2.0399682296482518E-2</v>
      </c>
      <c r="O18" cm="1">
        <f t="array" aca="1" ref="O18:O22" ca="1">_xlfn.LET(_xlpm.x_s,OFFSET(y,0,1,ROWS(y),5),CI_Upper(_xlpm.x_s,y,FALSE,fil,95))</f>
        <v>3.3680872673304732E-2</v>
      </c>
      <c r="P18" t="b" cm="1">
        <f t="array" aca="1" ref="P18:P22" ca="1">_xlfn.LET(_xlpm.x_s,OFFSET(y,0,1,ROWS(y),5),CI_Excludes_Zero(_xlpm.x_s,y,FALSE,fil,95))</f>
        <v>1</v>
      </c>
      <c r="Q18" s="4">
        <v>2.7040277484892933E-2</v>
      </c>
      <c r="R18" s="4">
        <v>3.3856266169784983E-3</v>
      </c>
      <c r="S18" s="4">
        <v>7.9867866554714828</v>
      </c>
      <c r="T18" s="6">
        <v>2.5800824666623921E-15</v>
      </c>
      <c r="U18" s="4">
        <v>2.0399682296481952E-2</v>
      </c>
      <c r="V18" s="4">
        <v>3.3680872673303913E-2</v>
      </c>
      <c r="W18" t="b">
        <v>1</v>
      </c>
    </row>
    <row r="19" spans="1:23" x14ac:dyDescent="0.25">
      <c r="I19" t="s">
        <v>87</v>
      </c>
      <c r="J19">
        <f ca="1"/>
        <v>3.6173917003360936E-2</v>
      </c>
      <c r="K19">
        <f ca="1"/>
        <v>3.8079564738379892E-3</v>
      </c>
      <c r="L19">
        <f ca="1"/>
        <v>9.4995615763700485</v>
      </c>
      <c r="M19">
        <f ca="1"/>
        <v>7.1495524275683788E-21</v>
      </c>
      <c r="N19">
        <f ca="1"/>
        <v>2.8704960647974356E-2</v>
      </c>
      <c r="O19">
        <f ca="1"/>
        <v>4.3642873358747516E-2</v>
      </c>
      <c r="P19" t="b">
        <f ca="1"/>
        <v>1</v>
      </c>
      <c r="Q19" s="4">
        <v>3.6173917003361748E-2</v>
      </c>
      <c r="R19" s="4">
        <v>3.8079564738379887E-3</v>
      </c>
      <c r="S19" s="4">
        <v>9.4995615763702617</v>
      </c>
      <c r="T19" s="6">
        <v>7.1495524275546941E-21</v>
      </c>
      <c r="U19" s="4">
        <v>2.8704960647975321E-2</v>
      </c>
      <c r="V19" s="4">
        <v>4.3642873358748176E-2</v>
      </c>
      <c r="W19" t="b">
        <v>1</v>
      </c>
    </row>
    <row r="20" spans="1:23" x14ac:dyDescent="0.25">
      <c r="I20" t="s">
        <v>88</v>
      </c>
      <c r="J20">
        <f ca="1"/>
        <v>1.5752061020106869</v>
      </c>
      <c r="K20">
        <f ca="1"/>
        <v>0.12450346318650647</v>
      </c>
      <c r="L20">
        <f ca="1"/>
        <v>12.651905912456625</v>
      </c>
      <c r="M20">
        <f ca="1"/>
        <v>4.4472363864783553E-35</v>
      </c>
      <c r="N20">
        <f ca="1"/>
        <v>1.3310040111981174</v>
      </c>
      <c r="O20">
        <f ca="1"/>
        <v>1.8194081928232564</v>
      </c>
      <c r="P20" t="b">
        <f ca="1"/>
        <v>1</v>
      </c>
      <c r="Q20" s="4">
        <v>1.5752061020106913</v>
      </c>
      <c r="R20" s="4">
        <v>0.12450346318650625</v>
      </c>
      <c r="S20" s="4">
        <v>12.651905912456682</v>
      </c>
      <c r="T20" s="6">
        <v>4.4472363864751485E-35</v>
      </c>
      <c r="U20" s="4">
        <v>1.3310040111981274</v>
      </c>
      <c r="V20" s="4">
        <v>1.8194081928232553</v>
      </c>
      <c r="W20" t="b">
        <v>1</v>
      </c>
    </row>
    <row r="21" spans="1:23" x14ac:dyDescent="0.25">
      <c r="I21" t="s">
        <v>89</v>
      </c>
      <c r="J21">
        <f ca="1"/>
        <v>2.0893723207529055E-3</v>
      </c>
      <c r="K21">
        <f ca="1"/>
        <v>2.9386655789315663E-4</v>
      </c>
      <c r="L21">
        <f ca="1"/>
        <v>7.1099356651278267</v>
      </c>
      <c r="M21">
        <f ca="1"/>
        <v>1.7247456145038208E-12</v>
      </c>
      <c r="N21">
        <f ca="1"/>
        <v>1.512980098233754E-3</v>
      </c>
      <c r="O21">
        <f ca="1"/>
        <v>2.6657645432720568E-3</v>
      </c>
      <c r="P21" t="b">
        <f ca="1"/>
        <v>1</v>
      </c>
      <c r="Q21" s="4">
        <v>2.0893723207530144E-3</v>
      </c>
      <c r="R21" s="4">
        <v>2.9386655789315073E-4</v>
      </c>
      <c r="S21" s="4">
        <v>7.1099356651283401</v>
      </c>
      <c r="T21" s="6">
        <v>1.724745614497481E-12</v>
      </c>
      <c r="U21" s="4">
        <v>1.512980098233886E-3</v>
      </c>
      <c r="V21" s="4">
        <v>2.6657645432721427E-3</v>
      </c>
      <c r="W21" t="b">
        <v>1</v>
      </c>
    </row>
    <row r="22" spans="1:23" x14ac:dyDescent="0.25">
      <c r="I22" t="s">
        <v>90</v>
      </c>
      <c r="J22">
        <f ca="1"/>
        <v>0.63711621082701275</v>
      </c>
      <c r="K22">
        <f ca="1"/>
        <v>1.0409507669130173E-2</v>
      </c>
      <c r="L22">
        <f ca="1"/>
        <v>61.205220369490412</v>
      </c>
      <c r="M22">
        <f ca="1"/>
        <v>0</v>
      </c>
      <c r="N22">
        <f ca="1"/>
        <v>0.61669891903390728</v>
      </c>
      <c r="O22">
        <f ca="1"/>
        <v>0.65753350262011823</v>
      </c>
      <c r="P22" t="b">
        <f ca="1"/>
        <v>1</v>
      </c>
      <c r="Q22" s="4">
        <v>0.63711621082701397</v>
      </c>
      <c r="R22" s="4">
        <v>1.040950766913017E-2</v>
      </c>
      <c r="S22" s="4">
        <v>61.205220369490547</v>
      </c>
      <c r="T22" s="6">
        <v>0</v>
      </c>
      <c r="U22" s="4">
        <v>0.61669891903390894</v>
      </c>
      <c r="V22" s="4">
        <v>0.657533502620119</v>
      </c>
      <c r="W22" t="b">
        <v>1</v>
      </c>
    </row>
    <row r="24" spans="1:23" x14ac:dyDescent="0.25">
      <c r="A24" t="s">
        <v>358</v>
      </c>
    </row>
    <row r="25" spans="1:23" x14ac:dyDescent="0.25">
      <c r="A25" t="b">
        <f ca="1">AND(B25,C25,D25,E25,F25,G25,H25)</f>
        <v>1</v>
      </c>
      <c r="B25" t="b" cm="1">
        <f t="array" aca="1" ref="B25" ca="1">AND(ROUND(Q25:Q35,6)=ROUND(_xlfn.ANCHORARRAY(J25),6))</f>
        <v>1</v>
      </c>
      <c r="C25" t="b" cm="1">
        <f t="array" aca="1" ref="C25" ca="1">AND(ROUND(R25:R35,6)=ROUND(_xlfn.ANCHORARRAY(K25),6))</f>
        <v>1</v>
      </c>
      <c r="D25" t="b" cm="1">
        <f t="array" aca="1" ref="D25" ca="1">AND(ROUND(S25:S35,6)=ROUND(_xlfn.ANCHORARRAY(L25),6))</f>
        <v>1</v>
      </c>
      <c r="E25" t="b" cm="1">
        <f t="array" aca="1" ref="E25" ca="1">AND(ROUND(T25:T35,6)=ROUND(_xlfn.ANCHORARRAY(M25),6))</f>
        <v>1</v>
      </c>
      <c r="F25" t="b" cm="1">
        <f t="array" aca="1" ref="F25" ca="1">AND(ROUND(U25:U35,6)=ROUND(_xlfn.ANCHORARRAY(N25),6))</f>
        <v>1</v>
      </c>
      <c r="G25" t="b" cm="1">
        <f t="array" aca="1" ref="G25" ca="1">AND(ROUND(V25:V35,6)=ROUND(_xlfn.ANCHORARRAY(O25),6))</f>
        <v>1</v>
      </c>
      <c r="H25" t="b" cm="1">
        <f t="array" aca="1" ref="H25" ca="1">AND(W25:W35=_xlfn.ANCHORARRAY(P25))</f>
        <v>1</v>
      </c>
      <c r="I25" t="s">
        <v>362</v>
      </c>
      <c r="J25" cm="1">
        <f t="array" aca="1" ref="J25:J35" ca="1">_xlfn.LET(_xlpm.x_s,OFFSET(y,0,1,ROWS(y),10),Coefficients(_xlpm.x_s,y,TRUE,fil))</f>
        <v>65.960459364120936</v>
      </c>
      <c r="K25" cm="1">
        <f t="array" aca="1" ref="K25:K35" ca="1">_xlfn.LET(_xlpm.x_s,OFFSET(y,0,1,ROWS(y),10),SE_Coefficients(_xlpm.x_s,y,TRUE,fil))</f>
        <v>0.69967583426421698</v>
      </c>
      <c r="L25" cm="1">
        <f t="array" aca="1" ref="L25:L35" ca="1">_xlfn.LET(_xlpm.x_s,OFFSET(y,0,1,ROWS(y),10),T_Stats(_xlpm.x_s,y,TRUE,fil))</f>
        <v>94.272884861723611</v>
      </c>
      <c r="M25" cm="1">
        <f t="array" aca="1" ref="M25:M35" ca="1">_xlfn.LET(_xlpm.x_s,OFFSET(y,0,1,ROWS(y),10),P_Values(_xlpm.x_s,y,TRUE,fil))</f>
        <v>0</v>
      </c>
      <c r="N25" cm="1">
        <f t="array" aca="1" ref="N25:N35" ca="1">_xlfn.LET(_xlpm.x_s,OFFSET(y,0,1,ROWS(y),10),CI_Lower(_xlpm.x_s,y,TRUE,fil,95))</f>
        <v>64.58810587001706</v>
      </c>
      <c r="O25" cm="1">
        <f t="array" aca="1" ref="O25:O35" ca="1">_xlfn.LET(_xlpm.x_s,OFFSET(y,0,1,ROWS(y),10),CI_Upper(_xlpm.x_s,y,TRUE,fil,95))</f>
        <v>67.332812858224813</v>
      </c>
      <c r="P25" t="b" cm="1">
        <f t="array" aca="1" ref="P25:P35" ca="1">_xlfn.LET(_xlpm.x_s,OFFSET(y,0,1,ROWS(y),10),CI_Excludes_Zero(_xlpm.x_s,y,TRUE,fil,95))</f>
        <v>1</v>
      </c>
      <c r="Q25" s="4">
        <v>65.960459364121292</v>
      </c>
      <c r="R25" s="4">
        <v>0.69967583426421498</v>
      </c>
      <c r="S25" s="4">
        <v>94.272884861724378</v>
      </c>
      <c r="T25" s="6">
        <v>0</v>
      </c>
      <c r="U25" s="4">
        <v>64.588105870017415</v>
      </c>
      <c r="V25" s="4">
        <v>67.332812858225168</v>
      </c>
      <c r="W25" t="b">
        <v>1</v>
      </c>
    </row>
    <row r="26" spans="1:23" x14ac:dyDescent="0.25">
      <c r="I26" t="s">
        <v>86</v>
      </c>
      <c r="J26">
        <f ca="1"/>
        <v>-3.5396553212526778E-2</v>
      </c>
      <c r="K26">
        <f ca="1"/>
        <v>1.0837886718566788E-3</v>
      </c>
      <c r="L26">
        <f ca="1"/>
        <v>-32.660014015359309</v>
      </c>
      <c r="M26">
        <f ca="1"/>
        <v>1.3091188214492458E-180</v>
      </c>
      <c r="N26">
        <f ca="1"/>
        <v>-3.7522310738877268E-2</v>
      </c>
      <c r="O26">
        <f ca="1"/>
        <v>-3.3270795686176288E-2</v>
      </c>
      <c r="P26" t="b">
        <f ca="1"/>
        <v>1</v>
      </c>
      <c r="Q26" s="4">
        <v>-3.5396553212526723E-2</v>
      </c>
      <c r="R26" s="4">
        <v>1.0837886718566758E-3</v>
      </c>
      <c r="S26" s="4">
        <v>-32.660014015359344</v>
      </c>
      <c r="T26" s="6">
        <v>1.3091188214483883E-180</v>
      </c>
      <c r="U26" s="4">
        <v>-3.7522310738877199E-2</v>
      </c>
      <c r="V26" s="4">
        <v>-3.3270795686176247E-2</v>
      </c>
      <c r="W26" t="b">
        <v>1</v>
      </c>
    </row>
    <row r="27" spans="1:23" x14ac:dyDescent="0.25">
      <c r="I27" t="s">
        <v>87</v>
      </c>
      <c r="J27">
        <f ca="1"/>
        <v>0.13812590385047097</v>
      </c>
      <c r="K27">
        <f ca="1"/>
        <v>1.3888383969399004E-2</v>
      </c>
      <c r="L27">
        <f ca="1"/>
        <v>9.9454266352954335</v>
      </c>
      <c r="M27">
        <f ca="1"/>
        <v>1.1424926628560296E-22</v>
      </c>
      <c r="N27">
        <f ca="1"/>
        <v>0.11088504267666124</v>
      </c>
      <c r="O27">
        <f ca="1"/>
        <v>0.16536676502428069</v>
      </c>
      <c r="P27" t="b">
        <f ca="1"/>
        <v>1</v>
      </c>
      <c r="Q27" s="4">
        <v>0.13812590385047133</v>
      </c>
      <c r="R27" s="4">
        <v>1.3888383969399003E-2</v>
      </c>
      <c r="S27" s="4">
        <v>9.9454266352954601</v>
      </c>
      <c r="T27" s="6">
        <v>1.1424926628557778E-22</v>
      </c>
      <c r="U27" s="4">
        <v>0.11088504267666166</v>
      </c>
      <c r="V27" s="4">
        <v>0.16536676502428099</v>
      </c>
      <c r="W27" t="b">
        <v>1</v>
      </c>
    </row>
    <row r="28" spans="1:23" x14ac:dyDescent="0.25">
      <c r="I28" t="s">
        <v>88</v>
      </c>
      <c r="J28">
        <f ca="1"/>
        <v>0.33041458225546555</v>
      </c>
      <c r="K28">
        <f ca="1"/>
        <v>3.5824086907258336E-2</v>
      </c>
      <c r="L28">
        <f ca="1"/>
        <v>9.2232520290285489</v>
      </c>
      <c r="M28">
        <f ca="1"/>
        <v>8.5970787856521704E-20</v>
      </c>
      <c r="N28">
        <f ca="1"/>
        <v>0.26014874137222643</v>
      </c>
      <c r="O28">
        <f ca="1"/>
        <v>0.40068042313870467</v>
      </c>
      <c r="P28" t="b">
        <f ca="1"/>
        <v>1</v>
      </c>
      <c r="Q28" s="4">
        <v>0.33041458225546355</v>
      </c>
      <c r="R28" s="4">
        <v>3.5824086907258183E-2</v>
      </c>
      <c r="S28" s="4">
        <v>9.2232520290285329</v>
      </c>
      <c r="T28" s="6">
        <v>8.5970787856540385E-20</v>
      </c>
      <c r="U28" s="4">
        <v>0.26014874137222488</v>
      </c>
      <c r="V28" s="4">
        <v>0.40068042313870222</v>
      </c>
      <c r="W28" t="b">
        <v>1</v>
      </c>
    </row>
    <row r="29" spans="1:23" x14ac:dyDescent="0.25">
      <c r="I29" t="s">
        <v>89</v>
      </c>
      <c r="J29">
        <f ca="1"/>
        <v>7.586427521752249E-4</v>
      </c>
      <c r="K29">
        <f ca="1"/>
        <v>7.816402563495952E-5</v>
      </c>
      <c r="L29">
        <f ca="1"/>
        <v>9.7057789182740812</v>
      </c>
      <c r="M29">
        <f ca="1"/>
        <v>1.0798132562488589E-21</v>
      </c>
      <c r="N29">
        <f ca="1"/>
        <v>6.0533079192127916E-4</v>
      </c>
      <c r="O29">
        <f ca="1"/>
        <v>9.1195471242917065E-4</v>
      </c>
      <c r="P29" t="b">
        <f ca="1"/>
        <v>1</v>
      </c>
      <c r="Q29" s="4">
        <v>7.5864275217513025E-4</v>
      </c>
      <c r="R29" s="4">
        <v>7.8164025634960726E-5</v>
      </c>
      <c r="S29" s="4">
        <v>9.7057789182727205</v>
      </c>
      <c r="T29" s="6">
        <v>1.0798132562625511E-21</v>
      </c>
      <c r="U29" s="4">
        <v>6.0533079192118245E-4</v>
      </c>
      <c r="V29" s="4">
        <v>9.1195471242907806E-4</v>
      </c>
      <c r="W29" t="b">
        <v>1</v>
      </c>
    </row>
    <row r="30" spans="1:23" x14ac:dyDescent="0.25">
      <c r="I30" t="s">
        <v>90</v>
      </c>
      <c r="J30">
        <f ca="1"/>
        <v>9.7436966815469834E-3</v>
      </c>
      <c r="K30">
        <f ca="1"/>
        <v>5.4848268388114126E-3</v>
      </c>
      <c r="L30">
        <f ca="1"/>
        <v>1.7764820964992374</v>
      </c>
      <c r="M30">
        <f ca="1"/>
        <v>7.5839062796181675E-2</v>
      </c>
      <c r="N30">
        <f ca="1"/>
        <v>-1.0143156838695582E-3</v>
      </c>
      <c r="O30">
        <f ca="1"/>
        <v>2.0501709046963523E-2</v>
      </c>
      <c r="P30" t="b">
        <f ca="1"/>
        <v>0</v>
      </c>
      <c r="Q30" s="4">
        <v>9.7436966815468498E-3</v>
      </c>
      <c r="R30" s="4">
        <v>5.4848268388114126E-3</v>
      </c>
      <c r="S30" s="4">
        <v>1.7764820964992132</v>
      </c>
      <c r="T30" s="6">
        <v>7.5839062796185741E-2</v>
      </c>
      <c r="U30" s="4">
        <v>-1.014315683869671E-3</v>
      </c>
      <c r="V30" s="4">
        <v>2.0501709046963371E-2</v>
      </c>
      <c r="W30" t="b">
        <v>0</v>
      </c>
    </row>
    <row r="31" spans="1:23" x14ac:dyDescent="0.25">
      <c r="I31" t="s">
        <v>91</v>
      </c>
      <c r="J31">
        <f ca="1"/>
        <v>-1.5105925908643106E-5</v>
      </c>
      <c r="K31">
        <f ca="1"/>
        <v>1.4621454809134933E-5</v>
      </c>
      <c r="L31">
        <f ca="1"/>
        <v>-1.0331342609769236</v>
      </c>
      <c r="M31">
        <f ca="1"/>
        <v>0.30169358149847847</v>
      </c>
      <c r="N31">
        <f ca="1"/>
        <v>-4.378464198478088E-5</v>
      </c>
      <c r="O31">
        <f ca="1"/>
        <v>1.3572790167494668E-5</v>
      </c>
      <c r="P31" t="b">
        <f ca="1"/>
        <v>0</v>
      </c>
      <c r="Q31" s="4">
        <v>-1.5105925908633221E-5</v>
      </c>
      <c r="R31" s="4">
        <v>1.4621454809135219E-5</v>
      </c>
      <c r="S31" s="4">
        <v>-1.0331342609762275</v>
      </c>
      <c r="T31" s="6">
        <v>0.30169358149880426</v>
      </c>
      <c r="U31" s="4">
        <v>-4.3784641984771495E-5</v>
      </c>
      <c r="V31" s="4">
        <v>1.3572790167505054E-5</v>
      </c>
      <c r="W31" t="b">
        <v>0</v>
      </c>
    </row>
    <row r="32" spans="1:23" x14ac:dyDescent="0.25">
      <c r="I32" t="s">
        <v>92</v>
      </c>
      <c r="J32">
        <f ca="1"/>
        <v>0.10089688876768917</v>
      </c>
      <c r="K32">
        <f ca="1"/>
        <v>7.1731468837055393E-3</v>
      </c>
      <c r="L32">
        <f ca="1"/>
        <v>14.06591701013201</v>
      </c>
      <c r="M32">
        <f ca="1"/>
        <v>1.6470927380032541E-42</v>
      </c>
      <c r="N32">
        <f ca="1"/>
        <v>8.6827382994453819E-2</v>
      </c>
      <c r="O32">
        <f ca="1"/>
        <v>0.11496639454092451</v>
      </c>
      <c r="P32" t="b">
        <f ca="1"/>
        <v>1</v>
      </c>
      <c r="Q32" s="4">
        <v>0.10089688876769998</v>
      </c>
      <c r="R32" s="4">
        <v>7.173146883705535E-3</v>
      </c>
      <c r="S32" s="4">
        <v>14.065917010133527</v>
      </c>
      <c r="T32" s="6">
        <v>1.6470927379715863E-42</v>
      </c>
      <c r="U32" s="4">
        <v>8.6827382994464672E-2</v>
      </c>
      <c r="V32" s="4">
        <v>0.11496639454093528</v>
      </c>
      <c r="W32" t="b">
        <v>1</v>
      </c>
    </row>
    <row r="33" spans="1:23" x14ac:dyDescent="0.25">
      <c r="I33" t="s">
        <v>93</v>
      </c>
      <c r="J33">
        <f ca="1"/>
        <v>-0.1046860700483363</v>
      </c>
      <c r="K33">
        <f ca="1"/>
        <v>1.0230150114739147E-2</v>
      </c>
      <c r="L33">
        <f ca="1"/>
        <v>-10.233092268852365</v>
      </c>
      <c r="M33">
        <f ca="1"/>
        <v>7.2396988577619134E-24</v>
      </c>
      <c r="N33">
        <f ca="1"/>
        <v>-0.12475162264803895</v>
      </c>
      <c r="O33">
        <f ca="1"/>
        <v>-8.462051744863365E-2</v>
      </c>
      <c r="P33" t="b">
        <f ca="1"/>
        <v>1</v>
      </c>
      <c r="Q33" s="4">
        <v>-0.10468607004833638</v>
      </c>
      <c r="R33" s="4">
        <v>1.0230150114739132E-2</v>
      </c>
      <c r="S33" s="4">
        <v>-10.233092268852388</v>
      </c>
      <c r="T33" s="6">
        <v>7.2396988577606086E-24</v>
      </c>
      <c r="U33" s="4">
        <v>-0.12475162264803896</v>
      </c>
      <c r="V33" s="4">
        <v>-8.4620517448633803E-2</v>
      </c>
      <c r="W33" t="b">
        <v>1</v>
      </c>
    </row>
    <row r="34" spans="1:23" x14ac:dyDescent="0.25">
      <c r="I34" t="s">
        <v>94</v>
      </c>
      <c r="J34">
        <f ca="1"/>
        <v>3.0981050062949673E-2</v>
      </c>
      <c r="K34">
        <f ca="1"/>
        <v>6.4000830709795582E-3</v>
      </c>
      <c r="L34">
        <f ca="1"/>
        <v>4.8407262404811098</v>
      </c>
      <c r="M34">
        <f ca="1"/>
        <v>1.4154877608933812E-6</v>
      </c>
      <c r="N34">
        <f ca="1"/>
        <v>1.8427841941576831E-2</v>
      </c>
      <c r="O34">
        <f ca="1"/>
        <v>4.3534258184322515E-2</v>
      </c>
      <c r="P34" t="b">
        <f ca="1"/>
        <v>1</v>
      </c>
      <c r="Q34" s="4">
        <v>3.0981050062942137E-2</v>
      </c>
      <c r="R34" s="4">
        <v>6.4000830709795582E-3</v>
      </c>
      <c r="S34" s="4">
        <v>4.8407262404799321</v>
      </c>
      <c r="T34" s="6">
        <v>1.4154877609017275E-6</v>
      </c>
      <c r="U34" s="4">
        <v>1.8427841941569319E-2</v>
      </c>
      <c r="V34" s="4">
        <v>4.3534258184314958E-2</v>
      </c>
      <c r="W34" t="b">
        <v>1</v>
      </c>
    </row>
    <row r="35" spans="1:23" x14ac:dyDescent="0.25">
      <c r="I35" t="s">
        <v>95</v>
      </c>
      <c r="J35">
        <f ca="1"/>
        <v>3.803665913885991E-2</v>
      </c>
      <c r="K35">
        <f ca="1"/>
        <v>5.5327119530526804E-2</v>
      </c>
      <c r="L35">
        <f ca="1"/>
        <v>0.68748670564483549</v>
      </c>
      <c r="M35">
        <f ca="1"/>
        <v>0.49187340511527644</v>
      </c>
      <c r="N35">
        <f ca="1"/>
        <v>-7.0482689519605873E-2</v>
      </c>
      <c r="O35">
        <f ca="1"/>
        <v>0.14655600779732569</v>
      </c>
      <c r="P35" t="b">
        <f ca="1"/>
        <v>0</v>
      </c>
      <c r="Q35" s="4">
        <v>3.8036659138852923E-2</v>
      </c>
      <c r="R35" s="4">
        <v>5.5327119530526589E-2</v>
      </c>
      <c r="S35" s="4">
        <v>0.68748670564471193</v>
      </c>
      <c r="T35" s="6">
        <v>0.4918734051153541</v>
      </c>
      <c r="U35" s="4">
        <v>-7.0482689519612229E-2</v>
      </c>
      <c r="V35" s="4">
        <v>0.14655600779731806</v>
      </c>
      <c r="W35" t="b">
        <v>0</v>
      </c>
    </row>
    <row r="37" spans="1:23" x14ac:dyDescent="0.25">
      <c r="A37" t="s">
        <v>359</v>
      </c>
    </row>
    <row r="38" spans="1:23" x14ac:dyDescent="0.25">
      <c r="A38" t="b">
        <f ca="1">AND(B38,C38,D38,E38,F38,G38,H38)</f>
        <v>1</v>
      </c>
      <c r="B38" t="b" cm="1">
        <f t="array" aca="1" ref="B38" ca="1">AND(ROUND(Q38:Q47,6)=ROUND(_xlfn.ANCHORARRAY(J38),6))</f>
        <v>1</v>
      </c>
      <c r="C38" t="b" cm="1">
        <f t="array" aca="1" ref="C38" ca="1">AND(ROUND(R38:R47,6)=ROUND(_xlfn.ANCHORARRAY(K38),6))</f>
        <v>1</v>
      </c>
      <c r="D38" t="b" cm="1">
        <f t="array" aca="1" ref="D38" ca="1">AND(ROUND(S38:S47,6)=ROUND(_xlfn.ANCHORARRAY(L38),6))</f>
        <v>1</v>
      </c>
      <c r="E38" t="b" cm="1">
        <f t="array" aca="1" ref="E38" ca="1">AND(ROUND(T38:T47,6)=ROUND(_xlfn.ANCHORARRAY(M38),6))</f>
        <v>1</v>
      </c>
      <c r="F38" t="b" cm="1">
        <f t="array" aca="1" ref="F38" ca="1">AND(ROUND(U38:U47,6)=ROUND(_xlfn.ANCHORARRAY(N38),6))</f>
        <v>1</v>
      </c>
      <c r="G38" t="b" cm="1">
        <f t="array" aca="1" ref="G38" ca="1">AND(ROUND(V38:V47,6)=ROUND(_xlfn.ANCHORARRAY(O38),6))</f>
        <v>1</v>
      </c>
      <c r="H38" t="b" cm="1">
        <f t="array" aca="1" ref="H38" ca="1">AND(W38:W47=_xlfn.ANCHORARRAY(P38))</f>
        <v>1</v>
      </c>
      <c r="I38" t="s">
        <v>86</v>
      </c>
      <c r="J38" cm="1">
        <f t="array" aca="1" ref="J38:J47" ca="1">_xlfn.LET(_xlpm.x_s,OFFSET(y,0,1,ROWS(y),10),Coefficients(_xlpm.x_s,y,FALSE,fil))</f>
        <v>1.1374622575831037E-2</v>
      </c>
      <c r="K38" cm="1">
        <f t="array" aca="1" ref="K38:K47" ca="1">_xlfn.LET(_xlpm.x_s,OFFSET(y,0,1,ROWS(y),10),SE_Coefficients(_xlpm.x_s,y,FALSE,fil))</f>
        <v>2.4418014660513932E-3</v>
      </c>
      <c r="L38" cm="1">
        <f t="array" aca="1" ref="L38:L47" ca="1">_xlfn.LET(_xlpm.x_s,OFFSET(y,0,1,ROWS(y),10),T_Stats(_xlpm.x_s,y,FALSE,fil))</f>
        <v>4.6582913205571943</v>
      </c>
      <c r="M38" cm="1">
        <f t="array" aca="1" ref="M38:M47" ca="1">_xlfn.LET(_xlpm.x_s,OFFSET(y,0,1,ROWS(y),10),P_Values(_xlpm.x_s,y,FALSE,fil))</f>
        <v>3.4459365817872802E-6</v>
      </c>
      <c r="N38" cm="1">
        <f t="array" aca="1" ref="N38:N47" ca="1">_xlfn.LET(_xlpm.x_s,OFFSET(y,0,1,ROWS(y),10),CI_Lower(_xlpm.x_s,y,FALSE,fil,95))</f>
        <v>6.5852428404071326E-3</v>
      </c>
      <c r="O38" cm="1">
        <f t="array" aca="1" ref="O38:O47" ca="1">_xlfn.LET(_xlpm.x_s,OFFSET(y,0,1,ROWS(y),10),CI_Upper(_xlpm.x_s,y,FALSE,fil,95))</f>
        <v>1.6164002311254942E-2</v>
      </c>
      <c r="P38" t="b" cm="1">
        <f t="array" aca="1" ref="P38:P47" ca="1">_xlfn.LET(_xlpm.x_s,OFFSET(y,0,1,ROWS(y),10),CI_Excludes_Zero(_xlpm.x_s,y,FALSE,fil,95))</f>
        <v>1</v>
      </c>
      <c r="Q38" s="4">
        <v>1.137462257583154E-2</v>
      </c>
      <c r="R38" s="4">
        <v>2.4418014660513936E-3</v>
      </c>
      <c r="S38" s="4">
        <v>4.6582913205573995</v>
      </c>
      <c r="T38" s="6">
        <v>3.4459365817836037E-6</v>
      </c>
      <c r="U38" s="4">
        <v>6.5852428404076782E-3</v>
      </c>
      <c r="V38" s="4">
        <v>1.61640023112554E-2</v>
      </c>
      <c r="W38" t="b">
        <v>1</v>
      </c>
    </row>
    <row r="39" spans="1:23" x14ac:dyDescent="0.25">
      <c r="I39" t="s">
        <v>87</v>
      </c>
      <c r="J39">
        <f ca="1"/>
        <v>5.1650970298876227E-2</v>
      </c>
      <c r="K39">
        <f ca="1"/>
        <v>3.5118160348354188E-2</v>
      </c>
      <c r="L39">
        <f ca="1"/>
        <v>1.4707766519238201</v>
      </c>
      <c r="M39">
        <f ca="1"/>
        <v>0.14154347782336923</v>
      </c>
      <c r="N39">
        <f ca="1"/>
        <v>-1.723022575911435E-2</v>
      </c>
      <c r="O39">
        <f ca="1"/>
        <v>0.12053216635686681</v>
      </c>
      <c r="P39" t="b">
        <f ca="1"/>
        <v>0</v>
      </c>
      <c r="Q39" s="4">
        <v>5.1650970298876157E-2</v>
      </c>
      <c r="R39" s="4">
        <v>3.5118160348353952E-2</v>
      </c>
      <c r="S39" s="4">
        <v>1.4707766519238279</v>
      </c>
      <c r="T39" s="6">
        <v>0.14154347782336707</v>
      </c>
      <c r="U39" s="4">
        <v>-1.7230225759113323E-2</v>
      </c>
      <c r="V39" s="4">
        <v>0.12053216635686564</v>
      </c>
      <c r="W39" t="b">
        <v>0</v>
      </c>
    </row>
    <row r="40" spans="1:23" x14ac:dyDescent="0.25">
      <c r="I40" t="s">
        <v>88</v>
      </c>
      <c r="J40">
        <f ca="1"/>
        <v>7.6476024475301954E-2</v>
      </c>
      <c r="K40">
        <f ca="1"/>
        <v>9.052599533941022E-2</v>
      </c>
      <c r="L40">
        <f ca="1"/>
        <v>0.84479628407916929</v>
      </c>
      <c r="M40">
        <f ca="1"/>
        <v>0.3983478862401536</v>
      </c>
      <c r="N40">
        <f ca="1"/>
        <v>-0.10108278758846505</v>
      </c>
      <c r="O40">
        <f ca="1"/>
        <v>0.25403483653906894</v>
      </c>
      <c r="P40" t="b">
        <f ca="1"/>
        <v>0</v>
      </c>
      <c r="Q40" s="4">
        <v>7.6476024475299248E-2</v>
      </c>
      <c r="R40" s="4">
        <v>9.0525995339407472E-2</v>
      </c>
      <c r="S40" s="4">
        <v>0.84479628407916507</v>
      </c>
      <c r="T40" s="6">
        <v>0.39834788624015599</v>
      </c>
      <c r="U40" s="4">
        <v>-0.10108278758846076</v>
      </c>
      <c r="V40" s="4">
        <v>0.25403483653905923</v>
      </c>
      <c r="W40" t="b">
        <v>0</v>
      </c>
    </row>
    <row r="41" spans="1:23" x14ac:dyDescent="0.25">
      <c r="I41" t="s">
        <v>89</v>
      </c>
      <c r="J41">
        <f ca="1"/>
        <v>8.4867670346031661E-4</v>
      </c>
      <c r="K41">
        <f ca="1"/>
        <v>1.9806322593328107E-4</v>
      </c>
      <c r="L41">
        <f ca="1"/>
        <v>4.2848777175132913</v>
      </c>
      <c r="M41">
        <f ca="1"/>
        <v>1.9346790726511125E-5</v>
      </c>
      <c r="N41">
        <f ca="1"/>
        <v>4.6019303113641063E-4</v>
      </c>
      <c r="O41">
        <f ca="1"/>
        <v>1.2371603757842225E-3</v>
      </c>
      <c r="P41" t="b">
        <f ca="1"/>
        <v>1</v>
      </c>
      <c r="Q41" s="4">
        <v>8.4867670346013523E-4</v>
      </c>
      <c r="R41" s="4">
        <v>1.9806322593327199E-4</v>
      </c>
      <c r="S41" s="4">
        <v>4.2848777175125718</v>
      </c>
      <c r="T41" s="6">
        <v>1.9346790726573111E-5</v>
      </c>
      <c r="U41" s="4">
        <v>4.601930311362506E-4</v>
      </c>
      <c r="V41" s="4">
        <v>1.23716037578402E-3</v>
      </c>
      <c r="W41" t="b">
        <v>1</v>
      </c>
    </row>
    <row r="42" spans="1:23" x14ac:dyDescent="0.25">
      <c r="I42" t="s">
        <v>90</v>
      </c>
      <c r="J42">
        <f ca="1"/>
        <v>0.15653631359017206</v>
      </c>
      <c r="K42">
        <f ca="1"/>
        <v>1.3327407053250572E-2</v>
      </c>
      <c r="L42">
        <f ca="1"/>
        <v>11.74544402858864</v>
      </c>
      <c r="M42">
        <f ca="1"/>
        <v>1.2133633260490651E-30</v>
      </c>
      <c r="N42">
        <f ca="1"/>
        <v>0.13039577180001471</v>
      </c>
      <c r="O42">
        <f ca="1"/>
        <v>0.18267685538032941</v>
      </c>
      <c r="P42" t="b">
        <f ca="1"/>
        <v>1</v>
      </c>
      <c r="Q42" s="4">
        <v>0.15653631359017234</v>
      </c>
      <c r="R42" s="4">
        <v>1.3327407053250544E-2</v>
      </c>
      <c r="S42" s="4">
        <v>11.745444028588686</v>
      </c>
      <c r="T42" s="6">
        <v>1.213363326048505E-30</v>
      </c>
      <c r="U42" s="4">
        <v>0.1303957718000153</v>
      </c>
      <c r="V42" s="4">
        <v>0.18267685538032938</v>
      </c>
      <c r="W42" t="b">
        <v>1</v>
      </c>
    </row>
    <row r="43" spans="1:23" x14ac:dyDescent="0.25">
      <c r="I43" t="s">
        <v>91</v>
      </c>
      <c r="J43">
        <f ca="1"/>
        <v>7.2308015094855568E-5</v>
      </c>
      <c r="K43">
        <f ca="1"/>
        <v>3.6978124498343584E-5</v>
      </c>
      <c r="L43">
        <f ca="1"/>
        <v>1.9554267847763498</v>
      </c>
      <c r="M43">
        <f ca="1"/>
        <v>5.0702430813398737E-2</v>
      </c>
      <c r="N43">
        <f ca="1"/>
        <v>-2.2133775738055958E-7</v>
      </c>
      <c r="O43">
        <f ca="1"/>
        <v>1.448373679470917E-4</v>
      </c>
      <c r="P43" t="b">
        <f ca="1"/>
        <v>0</v>
      </c>
      <c r="Q43" s="4">
        <v>7.2308015094847342E-5</v>
      </c>
      <c r="R43" s="4">
        <v>3.6978124498343645E-5</v>
      </c>
      <c r="S43" s="4">
        <v>1.9554267847761242</v>
      </c>
      <c r="T43" s="6">
        <v>5.0702430813425375E-2</v>
      </c>
      <c r="U43" s="4">
        <v>-2.2133775738825742E-7</v>
      </c>
      <c r="V43" s="4">
        <v>1.4483736794708294E-4</v>
      </c>
      <c r="W43" t="b">
        <v>0</v>
      </c>
    </row>
    <row r="44" spans="1:23" x14ac:dyDescent="0.25">
      <c r="I44" t="s">
        <v>92</v>
      </c>
      <c r="J44">
        <f ca="1"/>
        <v>0.33911157418694166</v>
      </c>
      <c r="K44">
        <f ca="1"/>
        <v>1.7012506470353118E-2</v>
      </c>
      <c r="L44">
        <f ca="1"/>
        <v>19.933075398260403</v>
      </c>
      <c r="M44">
        <f ca="1"/>
        <v>2.4841195340568732E-79</v>
      </c>
      <c r="N44">
        <f ca="1"/>
        <v>0.30574303261192304</v>
      </c>
      <c r="O44">
        <f ca="1"/>
        <v>0.37248011576196027</v>
      </c>
      <c r="P44" t="b">
        <f ca="1"/>
        <v>1</v>
      </c>
      <c r="Q44" s="4">
        <v>0.33911157418694171</v>
      </c>
      <c r="R44" s="4">
        <v>1.7012506470353125E-2</v>
      </c>
      <c r="S44" s="4">
        <v>19.933075398260399</v>
      </c>
      <c r="T44" s="6">
        <v>2.4841195340572474E-79</v>
      </c>
      <c r="U44" s="4">
        <v>0.30574303261192343</v>
      </c>
      <c r="V44" s="4">
        <v>0.37248011576196</v>
      </c>
      <c r="W44" t="b">
        <v>1</v>
      </c>
    </row>
    <row r="45" spans="1:23" x14ac:dyDescent="0.25">
      <c r="I45" t="s">
        <v>93</v>
      </c>
      <c r="J45">
        <f ca="1"/>
        <v>-1.9686751353331297E-2</v>
      </c>
      <c r="K45">
        <f ca="1"/>
        <v>2.5823674157540947E-2</v>
      </c>
      <c r="L45">
        <f ca="1"/>
        <v>-0.76235284077817544</v>
      </c>
      <c r="M45">
        <f ca="1"/>
        <v>0.44595913858703973</v>
      </c>
      <c r="N45">
        <f ca="1"/>
        <v>-7.033762671066203E-2</v>
      </c>
      <c r="O45">
        <f ca="1"/>
        <v>3.0964124003999435E-2</v>
      </c>
      <c r="P45" t="b">
        <f ca="1"/>
        <v>0</v>
      </c>
      <c r="Q45" s="4">
        <v>-1.968675135333171E-2</v>
      </c>
      <c r="R45" s="4">
        <v>2.5823674157540985E-2</v>
      </c>
      <c r="S45" s="4">
        <v>-0.76235284077819032</v>
      </c>
      <c r="T45" s="6">
        <v>0.44595913858703101</v>
      </c>
      <c r="U45" s="4">
        <v>-7.0337626710662057E-2</v>
      </c>
      <c r="V45" s="4">
        <v>3.0964124003998641E-2</v>
      </c>
      <c r="W45" t="b">
        <v>0</v>
      </c>
    </row>
    <row r="46" spans="1:23" x14ac:dyDescent="0.25">
      <c r="I46" t="s">
        <v>94</v>
      </c>
      <c r="J46">
        <f ca="1"/>
        <v>0.31900985650489116</v>
      </c>
      <c r="K46">
        <f ca="1"/>
        <v>1.425129365258687E-2</v>
      </c>
      <c r="L46">
        <f ca="1"/>
        <v>22.384624461582479</v>
      </c>
      <c r="M46">
        <f ca="1"/>
        <v>4.6824810956970104E-97</v>
      </c>
      <c r="N46">
        <f ca="1"/>
        <v>0.29105719205930503</v>
      </c>
      <c r="O46">
        <f ca="1"/>
        <v>0.3469625209504773</v>
      </c>
      <c r="P46" t="b">
        <f ca="1"/>
        <v>1</v>
      </c>
      <c r="Q46" s="4">
        <v>0.31900985650489116</v>
      </c>
      <c r="R46" s="4">
        <v>1.425129365258692E-2</v>
      </c>
      <c r="S46" s="4">
        <v>22.384624461582401</v>
      </c>
      <c r="T46" s="6">
        <v>4.6824810957037133E-97</v>
      </c>
      <c r="U46" s="4">
        <v>0.29105719205930519</v>
      </c>
      <c r="V46" s="4">
        <v>0.34696252095047714</v>
      </c>
      <c r="W46" t="b">
        <v>1</v>
      </c>
    </row>
    <row r="47" spans="1:23" x14ac:dyDescent="0.25">
      <c r="I47" t="s">
        <v>95</v>
      </c>
      <c r="J47">
        <f ca="1"/>
        <v>1.9299808350286032</v>
      </c>
      <c r="K47">
        <f ca="1"/>
        <v>0.1306574138957286</v>
      </c>
      <c r="L47">
        <f ca="1"/>
        <v>14.771307478723159</v>
      </c>
      <c r="M47">
        <f ca="1"/>
        <v>1.8924326925053587E-46</v>
      </c>
      <c r="N47">
        <f ca="1"/>
        <v>1.6737077599669283</v>
      </c>
      <c r="O47">
        <f ca="1"/>
        <v>2.186253910090278</v>
      </c>
      <c r="P47" t="b">
        <f ca="1"/>
        <v>1</v>
      </c>
      <c r="Q47" s="4">
        <v>1.929980835028603</v>
      </c>
      <c r="R47" s="4">
        <v>0.13065741389572852</v>
      </c>
      <c r="S47" s="4">
        <v>14.771307478723168</v>
      </c>
      <c r="T47" s="6">
        <v>1.8924326925050258E-46</v>
      </c>
      <c r="U47" s="4">
        <v>1.6737077599669306</v>
      </c>
      <c r="V47" s="4">
        <v>2.1862539100902754</v>
      </c>
      <c r="W47" t="b">
        <v>1</v>
      </c>
    </row>
    <row r="49" spans="1:23" x14ac:dyDescent="0.25">
      <c r="A49" t="s">
        <v>360</v>
      </c>
    </row>
    <row r="50" spans="1:23" x14ac:dyDescent="0.25">
      <c r="A50" t="b">
        <f ca="1">AND(B50,C50,D50,E50,F50,G50,H50)</f>
        <v>1</v>
      </c>
      <c r="B50" t="b" cm="1">
        <f t="array" aca="1" ref="B50" ca="1">AND(ROUND(Q50:Q68,6)=ROUND(_xlfn.ANCHORARRAY(J50),6))</f>
        <v>1</v>
      </c>
      <c r="C50" t="b" cm="1">
        <f t="array" aca="1" ref="C50" ca="1">AND(ROUND(R50:R68,6)=ROUND(_xlfn.ANCHORARRAY(K50),6))</f>
        <v>1</v>
      </c>
      <c r="D50" t="b" cm="1">
        <f t="array" aca="1" ref="D50" ca="1">AND(ROUND(S50:S68,6)=ROUND(_xlfn.ANCHORARRAY(L50),6))</f>
        <v>1</v>
      </c>
      <c r="E50" t="b" cm="1">
        <f t="array" aca="1" ref="E50" ca="1">AND(ROUND(T50:T68,6)=ROUND(_xlfn.ANCHORARRAY(M50),6))</f>
        <v>1</v>
      </c>
      <c r="F50" t="b" cm="1">
        <f t="array" aca="1" ref="F50" ca="1">AND(ROUND(U50:U68,6)=ROUND(_xlfn.ANCHORARRAY(N50),6))</f>
        <v>1</v>
      </c>
      <c r="G50" t="b" cm="1">
        <f t="array" aca="1" ref="G50" ca="1">AND(ROUND(V50:V68,6)=ROUND(_xlfn.ANCHORARRAY(O50),6))</f>
        <v>1</v>
      </c>
      <c r="H50" t="b" cm="1">
        <f t="array" aca="1" ref="H50" ca="1">AND(W50:W68=_xlfn.ANCHORARRAY(P50))</f>
        <v>1</v>
      </c>
      <c r="I50" t="s">
        <v>362</v>
      </c>
      <c r="J50" cm="1">
        <f t="array" aca="1" ref="J50:J68" ca="1">_xlfn.LET(_xlpm.x_s,OFFSET(y,0,1,ROWS(y),18),Coefficients(_xlpm.x_s,y,TRUE,fil))</f>
        <v>53.281559019872098</v>
      </c>
      <c r="K50" cm="1">
        <f t="array" aca="1" ref="K50:K68" ca="1">_xlfn.LET(_xlpm.x_s,OFFSET(y,0,1,ROWS(y),18),SE_Coefficients(_xlpm.x_s,y,TRUE,fil))</f>
        <v>0.73581264064861296</v>
      </c>
      <c r="L50" cm="1">
        <f t="array" aca="1" ref="L50:L68" ca="1">_xlfn.LET(_xlpm.x_s,OFFSET(y,0,1,ROWS(y),18),T_Stats(_xlpm.x_s,y,TRUE,fil))</f>
        <v>72.411856057412706</v>
      </c>
      <c r="M50" cm="1">
        <f t="array" aca="1" ref="M50:M68" ca="1">_xlfn.LET(_xlpm.x_s,OFFSET(y,0,1,ROWS(y),18),P_Values(_xlpm.x_s,y,TRUE,fil))</f>
        <v>0</v>
      </c>
      <c r="N50" cm="1">
        <f t="array" aca="1" ref="N50:N68" ca="1">_xlfn.LET(_xlpm.x_s,OFFSET(y,0,1,ROWS(y),18),CI_Lower(_xlpm.x_s,y,TRUE,fil,95))</f>
        <v>51.838321074895731</v>
      </c>
      <c r="O50" cm="1">
        <f t="array" aca="1" ref="O50:O68" ca="1">_xlfn.LET(_xlpm.x_s,OFFSET(y,0,1,ROWS(y),18),CI_Upper(_xlpm.x_s,y,TRUE,fil,95))</f>
        <v>54.724796964848466</v>
      </c>
      <c r="P50" t="b" cm="1">
        <f t="array" aca="1" ref="P50:P68" ca="1">_xlfn.LET(_xlpm.x_s,OFFSET(y,0,1,ROWS(y),18),CI_Excludes_Zero(_xlpm.x_s,y,TRUE,fil,95))</f>
        <v>1</v>
      </c>
      <c r="Q50" s="4">
        <v>53.281559019830823</v>
      </c>
      <c r="R50" s="4">
        <v>0.73581264064765473</v>
      </c>
      <c r="S50" s="4">
        <v>72.411856057450905</v>
      </c>
      <c r="T50" s="6">
        <v>0</v>
      </c>
      <c r="U50" s="4">
        <v>51.838321074856324</v>
      </c>
      <c r="V50" s="4">
        <v>54.724796964805321</v>
      </c>
      <c r="W50" t="b">
        <v>1</v>
      </c>
    </row>
    <row r="51" spans="1:23" x14ac:dyDescent="0.25">
      <c r="I51" t="s">
        <v>86</v>
      </c>
      <c r="J51">
        <f ca="1"/>
        <v>-1.6888530199683449E-2</v>
      </c>
      <c r="K51">
        <f ca="1"/>
        <v>9.4729127053766037E-4</v>
      </c>
      <c r="L51">
        <f ca="1"/>
        <v>-17.828233749159235</v>
      </c>
      <c r="M51">
        <f ca="1"/>
        <v>4.3051998381958088E-65</v>
      </c>
      <c r="N51">
        <f ca="1"/>
        <v>-1.8746566649532524E-2</v>
      </c>
      <c r="O51">
        <f ca="1"/>
        <v>-1.5030493749834374E-2</v>
      </c>
      <c r="P51" t="b">
        <f ca="1"/>
        <v>1</v>
      </c>
      <c r="Q51" s="4">
        <v>-1.6888530199710212E-2</v>
      </c>
      <c r="R51" s="4">
        <v>9.4729127053922639E-4</v>
      </c>
      <c r="S51" s="4">
        <v>-17.828233749158017</v>
      </c>
      <c r="T51" s="6">
        <v>4.305199838274182E-65</v>
      </c>
      <c r="U51" s="4">
        <v>-1.8746566649562379E-2</v>
      </c>
      <c r="V51" s="4">
        <v>-1.5030493749858046E-2</v>
      </c>
      <c r="W51" t="b">
        <v>1</v>
      </c>
    </row>
    <row r="52" spans="1:23" x14ac:dyDescent="0.25">
      <c r="I52" t="s">
        <v>87</v>
      </c>
      <c r="J52">
        <f ca="1"/>
        <v>9.3693837832986432E-2</v>
      </c>
      <c r="K52">
        <f ca="1"/>
        <v>1.0676596104392339E-2</v>
      </c>
      <c r="L52">
        <f ca="1"/>
        <v>8.7756281980584525</v>
      </c>
      <c r="M52">
        <f ca="1"/>
        <v>4.2006946451565517E-18</v>
      </c>
      <c r="N52">
        <f ca="1"/>
        <v>7.2752544126122323E-2</v>
      </c>
      <c r="O52">
        <f ca="1"/>
        <v>0.11463513153985054</v>
      </c>
      <c r="P52" t="b">
        <f ca="1"/>
        <v>1</v>
      </c>
      <c r="Q52" s="4">
        <v>9.3693837834545726E-2</v>
      </c>
      <c r="R52" s="4">
        <v>1.0676596104381672E-2</v>
      </c>
      <c r="S52" s="4">
        <v>8.7756281982132673</v>
      </c>
      <c r="T52" s="6">
        <v>4.2006946396379913E-18</v>
      </c>
      <c r="U52" s="4">
        <v>7.2752544127702323E-2</v>
      </c>
      <c r="V52" s="4">
        <v>0.11463513154138913</v>
      </c>
      <c r="W52" t="b">
        <v>1</v>
      </c>
    </row>
    <row r="53" spans="1:23" x14ac:dyDescent="0.25">
      <c r="I53" t="s">
        <v>88</v>
      </c>
      <c r="J53">
        <f ca="1"/>
        <v>-5.4348345042438746E-2</v>
      </c>
      <c r="K53">
        <f ca="1"/>
        <v>3.060704543923112E-2</v>
      </c>
      <c r="L53">
        <f ca="1"/>
        <v>-1.7756808689798198</v>
      </c>
      <c r="M53">
        <f ca="1"/>
        <v>7.5972069104877124E-2</v>
      </c>
      <c r="N53">
        <f ca="1"/>
        <v>-0.11438162922545544</v>
      </c>
      <c r="O53">
        <f ca="1"/>
        <v>5.684939140577959E-3</v>
      </c>
      <c r="P53" t="b">
        <f ca="1"/>
        <v>0</v>
      </c>
      <c r="Q53" s="4">
        <v>-5.4348345042212171E-2</v>
      </c>
      <c r="R53" s="4">
        <v>3.060704543923325E-2</v>
      </c>
      <c r="S53" s="4">
        <v>-1.7756808689722936</v>
      </c>
      <c r="T53" s="6">
        <v>7.5972069106118797E-2</v>
      </c>
      <c r="U53" s="4">
        <v>-0.11438162922523371</v>
      </c>
      <c r="V53" s="4">
        <v>5.6849391408093572E-3</v>
      </c>
      <c r="W53" t="b">
        <v>0</v>
      </c>
    </row>
    <row r="54" spans="1:23" x14ac:dyDescent="0.25">
      <c r="I54" t="s">
        <v>89</v>
      </c>
      <c r="J54">
        <f ca="1"/>
        <v>3.7768262346544172E-4</v>
      </c>
      <c r="K54">
        <f ca="1"/>
        <v>1.8046911534510949E-4</v>
      </c>
      <c r="L54">
        <f ca="1"/>
        <v>2.0927825946461951</v>
      </c>
      <c r="M54">
        <f ca="1"/>
        <v>3.6522850199107303E-2</v>
      </c>
      <c r="N54">
        <f ca="1"/>
        <v>2.3706813899592165E-5</v>
      </c>
      <c r="O54">
        <f ca="1"/>
        <v>7.3165843303129121E-4</v>
      </c>
      <c r="P54" t="b">
        <f ca="1"/>
        <v>1</v>
      </c>
      <c r="Q54" s="4">
        <v>3.7768262346106035E-4</v>
      </c>
      <c r="R54" s="4">
        <v>1.8046911534511681E-4</v>
      </c>
      <c r="S54" s="4">
        <v>2.0927825946218328</v>
      </c>
      <c r="T54" s="6">
        <v>3.6522850201286157E-2</v>
      </c>
      <c r="U54" s="4">
        <v>2.3706813895192635E-5</v>
      </c>
      <c r="V54" s="4">
        <v>7.3165843302692806E-4</v>
      </c>
      <c r="W54" t="b">
        <v>1</v>
      </c>
    </row>
    <row r="55" spans="1:23" x14ac:dyDescent="0.25">
      <c r="I55" t="s">
        <v>90</v>
      </c>
      <c r="J55">
        <f ca="1"/>
        <v>-5.582499705270378E-3</v>
      </c>
      <c r="K55">
        <f ca="1"/>
        <v>4.4461852137428646E-3</v>
      </c>
      <c r="L55">
        <f ca="1"/>
        <v>-1.2555706604428534</v>
      </c>
      <c r="M55">
        <f ca="1"/>
        <v>0.20945162853357524</v>
      </c>
      <c r="N55">
        <f ca="1"/>
        <v>-1.4303338212760683E-2</v>
      </c>
      <c r="O55">
        <f ca="1"/>
        <v>3.1383388022199268E-3</v>
      </c>
      <c r="P55" t="b">
        <f ca="1"/>
        <v>0</v>
      </c>
      <c r="Q55" s="4">
        <v>-5.5824997053573562E-3</v>
      </c>
      <c r="R55" s="4">
        <v>4.4461852137427198E-3</v>
      </c>
      <c r="S55" s="4">
        <v>-1.2555706604624568</v>
      </c>
      <c r="T55" s="6">
        <v>0.2094516285264659</v>
      </c>
      <c r="U55" s="4">
        <v>-1.4303338212847471E-2</v>
      </c>
      <c r="V55" s="4">
        <v>3.1383388021327579E-3</v>
      </c>
      <c r="W55" t="b">
        <v>0</v>
      </c>
    </row>
    <row r="56" spans="1:23" x14ac:dyDescent="0.25">
      <c r="I56" t="s">
        <v>91</v>
      </c>
      <c r="J56">
        <f ca="1"/>
        <v>-8.6173382207203657E-6</v>
      </c>
      <c r="K56">
        <f ca="1"/>
        <v>1.0806583538963232E-5</v>
      </c>
      <c r="L56">
        <f ca="1"/>
        <v>-0.79741559297168041</v>
      </c>
      <c r="M56">
        <f ca="1"/>
        <v>0.42532584916473692</v>
      </c>
      <c r="N56">
        <f ca="1"/>
        <v>-2.9813591937210667E-5</v>
      </c>
      <c r="O56">
        <f ca="1"/>
        <v>1.2578915495769934E-5</v>
      </c>
      <c r="P56" t="b">
        <f ca="1"/>
        <v>0</v>
      </c>
      <c r="Q56" s="4">
        <v>-8.6173382200084464E-6</v>
      </c>
      <c r="R56" s="4">
        <v>1.0806583538962908E-5</v>
      </c>
      <c r="S56" s="4">
        <v>-0.79741559290582598</v>
      </c>
      <c r="T56" s="6">
        <v>0.42532584920295985</v>
      </c>
      <c r="U56" s="4">
        <v>-2.981359193649834E-5</v>
      </c>
      <c r="V56" s="4">
        <v>1.2578915496481447E-5</v>
      </c>
      <c r="W56" t="b">
        <v>0</v>
      </c>
    </row>
    <row r="57" spans="1:23" x14ac:dyDescent="0.25">
      <c r="I57" t="s">
        <v>92</v>
      </c>
      <c r="J57">
        <f ca="1"/>
        <v>3.3498059904934437E-2</v>
      </c>
      <c r="K57">
        <f ca="1"/>
        <v>6.0106760258809705E-3</v>
      </c>
      <c r="L57">
        <f ca="1"/>
        <v>5.5730935689591927</v>
      </c>
      <c r="M57">
        <f ca="1"/>
        <v>2.9233529911097799E-8</v>
      </c>
      <c r="N57">
        <f ca="1"/>
        <v>2.1708597158189076E-2</v>
      </c>
      <c r="O57">
        <f ca="1"/>
        <v>4.5287522651679797E-2</v>
      </c>
      <c r="P57" t="b">
        <f ca="1"/>
        <v>1</v>
      </c>
      <c r="Q57" s="4">
        <v>3.3498059903894331E-2</v>
      </c>
      <c r="R57" s="4">
        <v>6.0106760258856013E-3</v>
      </c>
      <c r="S57" s="4">
        <v>5.5730935687818564</v>
      </c>
      <c r="T57" s="6">
        <v>2.9233529940309616E-8</v>
      </c>
      <c r="U57" s="4">
        <v>2.1708597157139763E-2</v>
      </c>
      <c r="V57" s="4">
        <v>4.52875226506489E-2</v>
      </c>
      <c r="W57" t="b">
        <v>1</v>
      </c>
    </row>
    <row r="58" spans="1:23" x14ac:dyDescent="0.25">
      <c r="I58" t="s">
        <v>93</v>
      </c>
      <c r="J58">
        <f ca="1"/>
        <v>-7.0470196114536116E-2</v>
      </c>
      <c r="K58">
        <f ca="1"/>
        <v>7.7282061767825691E-3</v>
      </c>
      <c r="L58">
        <f ca="1"/>
        <v>-9.1185709209267607</v>
      </c>
      <c r="M58">
        <f ca="1"/>
        <v>2.1761040202951045E-19</v>
      </c>
      <c r="N58">
        <f ca="1"/>
        <v>-8.5628457585963783E-2</v>
      </c>
      <c r="O58">
        <f ca="1"/>
        <v>-5.5311934643108449E-2</v>
      </c>
      <c r="P58" t="b">
        <f ca="1"/>
        <v>1</v>
      </c>
      <c r="Q58" s="4">
        <v>-7.047019611597681E-2</v>
      </c>
      <c r="R58" s="4">
        <v>7.7282061767731426E-3</v>
      </c>
      <c r="S58" s="4">
        <v>-9.118570921124304</v>
      </c>
      <c r="T58" s="6">
        <v>2.1761040165216695E-19</v>
      </c>
      <c r="U58" s="4">
        <v>-8.5628457587386159E-2</v>
      </c>
      <c r="V58" s="4">
        <v>-5.5311934644567469E-2</v>
      </c>
      <c r="W58" t="b">
        <v>1</v>
      </c>
    </row>
    <row r="59" spans="1:23" x14ac:dyDescent="0.25">
      <c r="I59" t="s">
        <v>94</v>
      </c>
      <c r="J59">
        <f ca="1"/>
        <v>7.8363788926499225E-3</v>
      </c>
      <c r="K59">
        <f ca="1"/>
        <v>5.1632463325136076E-3</v>
      </c>
      <c r="L59">
        <f ca="1"/>
        <v>1.5177232283695754</v>
      </c>
      <c r="M59">
        <f ca="1"/>
        <v>0.12927810089588262</v>
      </c>
      <c r="N59">
        <f ca="1"/>
        <v>-2.2909179417385083E-3</v>
      </c>
      <c r="O59">
        <f ca="1"/>
        <v>1.7963675727038352E-2</v>
      </c>
      <c r="P59" t="b">
        <f ca="1"/>
        <v>0</v>
      </c>
      <c r="Q59" s="4">
        <v>7.8363788922909423E-3</v>
      </c>
      <c r="R59" s="4">
        <v>5.1632463325144446E-3</v>
      </c>
      <c r="S59" s="4">
        <v>1.5177232282998032</v>
      </c>
      <c r="T59" s="6">
        <v>0.12927810091347833</v>
      </c>
      <c r="U59" s="4">
        <v>-2.2909179420992389E-3</v>
      </c>
      <c r="V59" s="4">
        <v>1.7963675726681123E-2</v>
      </c>
      <c r="W59" t="b">
        <v>0</v>
      </c>
    </row>
    <row r="60" spans="1:23" x14ac:dyDescent="0.25">
      <c r="I60" t="s">
        <v>95</v>
      </c>
      <c r="J60">
        <f ca="1"/>
        <v>7.9752221077025925E-2</v>
      </c>
      <c r="K60">
        <f ca="1"/>
        <v>4.0741569617034977E-2</v>
      </c>
      <c r="L60">
        <f ca="1"/>
        <v>1.9575146914241544</v>
      </c>
      <c r="M60">
        <f ca="1"/>
        <v>5.0457411502454648E-2</v>
      </c>
      <c r="N60">
        <f ca="1"/>
        <v>-1.5912586228394865E-4</v>
      </c>
      <c r="O60">
        <f ca="1"/>
        <v>0.1596635680163358</v>
      </c>
      <c r="P60" t="b">
        <f ca="1"/>
        <v>0</v>
      </c>
      <c r="Q60" s="4">
        <v>7.9752221076926672E-2</v>
      </c>
      <c r="R60" s="4">
        <v>4.074156961703515E-2</v>
      </c>
      <c r="S60" s="4">
        <v>1.9575146914217099</v>
      </c>
      <c r="T60" s="6">
        <v>5.0457411502742015E-2</v>
      </c>
      <c r="U60" s="4">
        <v>-1.5912586238439608E-4</v>
      </c>
      <c r="V60" s="4">
        <v>0.15966356801623774</v>
      </c>
      <c r="W60" t="b">
        <v>0</v>
      </c>
    </row>
    <row r="61" spans="1:23" x14ac:dyDescent="0.25">
      <c r="I61" t="s">
        <v>96</v>
      </c>
      <c r="J61">
        <f ca="1"/>
        <v>1.4388918695851512E-2</v>
      </c>
      <c r="K61">
        <f ca="1"/>
        <v>5.9383017026632574E-3</v>
      </c>
      <c r="L61">
        <f ca="1"/>
        <v>2.4230696613811746</v>
      </c>
      <c r="M61">
        <f ca="1"/>
        <v>1.5498293938616995E-2</v>
      </c>
      <c r="N61">
        <f ca="1"/>
        <v>2.7414124251701026E-3</v>
      </c>
      <c r="O61">
        <f ca="1"/>
        <v>2.6036424966532922E-2</v>
      </c>
      <c r="P61" t="b">
        <f ca="1"/>
        <v>1</v>
      </c>
      <c r="Q61" s="4">
        <v>1.4388918695996664E-2</v>
      </c>
      <c r="R61" s="4">
        <v>5.9383017026632314E-3</v>
      </c>
      <c r="S61" s="4">
        <v>2.4230696614056284</v>
      </c>
      <c r="T61" s="6">
        <v>1.5498293937577564E-2</v>
      </c>
      <c r="U61" s="4">
        <v>2.7414124253151793E-3</v>
      </c>
      <c r="V61" s="4">
        <v>2.603642496667815E-2</v>
      </c>
      <c r="W61" t="b">
        <v>1</v>
      </c>
    </row>
    <row r="62" spans="1:23" x14ac:dyDescent="0.25">
      <c r="I62" t="s">
        <v>97</v>
      </c>
      <c r="J62">
        <f ca="1"/>
        <v>-0.43829804765003344</v>
      </c>
      <c r="K62">
        <f ca="1"/>
        <v>1.7875898457980013E-2</v>
      </c>
      <c r="L62">
        <f ca="1"/>
        <v>-24.518938093115651</v>
      </c>
      <c r="M62">
        <f ca="1"/>
        <v>2.8660520746977611E-113</v>
      </c>
      <c r="N62">
        <f ca="1"/>
        <v>-0.4733602000647561</v>
      </c>
      <c r="O62">
        <f ca="1"/>
        <v>-0.40323589523531078</v>
      </c>
      <c r="P62" t="b">
        <f ca="1"/>
        <v>1</v>
      </c>
      <c r="Q62" s="4">
        <v>-0.43829804764981561</v>
      </c>
      <c r="R62" s="4">
        <v>1.7875898457985952E-2</v>
      </c>
      <c r="S62" s="4">
        <v>-24.518938093095318</v>
      </c>
      <c r="T62" s="6">
        <v>2.8660520757431801E-113</v>
      </c>
      <c r="U62" s="4">
        <v>-0.47336020006455032</v>
      </c>
      <c r="V62" s="4">
        <v>-0.40323589523508091</v>
      </c>
      <c r="W62" t="b">
        <v>1</v>
      </c>
    </row>
    <row r="63" spans="1:23" x14ac:dyDescent="0.25">
      <c r="I63" t="s">
        <v>98</v>
      </c>
      <c r="J63">
        <f ca="1"/>
        <v>1.3832740538209066E-5</v>
      </c>
      <c r="K63">
        <f ca="1"/>
        <v>2.8377287452573056E-5</v>
      </c>
      <c r="L63">
        <f ca="1"/>
        <v>0.48745816742800796</v>
      </c>
      <c r="M63">
        <f ca="1"/>
        <v>0.62599923177660277</v>
      </c>
      <c r="N63">
        <f ca="1"/>
        <v>-4.1827050778984734E-5</v>
      </c>
      <c r="O63">
        <f ca="1"/>
        <v>6.9492531855402863E-5</v>
      </c>
      <c r="P63" t="b">
        <f ca="1"/>
        <v>0</v>
      </c>
      <c r="Q63" s="4">
        <v>1.3832740538360379E-5</v>
      </c>
      <c r="R63" s="4">
        <v>2.8377287452573019E-5</v>
      </c>
      <c r="S63" s="4">
        <v>0.48745816743334075</v>
      </c>
      <c r="T63" s="6">
        <v>0.62599923177282524</v>
      </c>
      <c r="U63" s="4">
        <v>-4.1827050778833955E-5</v>
      </c>
      <c r="V63" s="4">
        <v>6.9492531855554706E-5</v>
      </c>
      <c r="W63" t="b">
        <v>0</v>
      </c>
    </row>
    <row r="64" spans="1:23" x14ac:dyDescent="0.25">
      <c r="I64" t="s">
        <v>99</v>
      </c>
      <c r="J64">
        <f ca="1"/>
        <v>-6.9165245616436886E-10</v>
      </c>
      <c r="K64">
        <f ca="1"/>
        <v>1.752485697063701E-9</v>
      </c>
      <c r="L64">
        <f ca="1"/>
        <v>-0.39466938721567668</v>
      </c>
      <c r="M64">
        <f ca="1"/>
        <v>0.69313853171933548</v>
      </c>
      <c r="N64">
        <f ca="1"/>
        <v>-4.1290137031812319E-9</v>
      </c>
      <c r="O64">
        <f ca="1"/>
        <v>2.7457087908524946E-9</v>
      </c>
      <c r="P64" t="b">
        <f ca="1"/>
        <v>0</v>
      </c>
      <c r="Q64" s="4">
        <v>-6.9165244727692405E-10</v>
      </c>
      <c r="R64" s="4">
        <v>1.7524856970732794E-9</v>
      </c>
      <c r="S64" s="4">
        <v>-0.394669382142183</v>
      </c>
      <c r="T64" s="6">
        <v>0.69313853546335202</v>
      </c>
      <c r="U64" s="4">
        <v>-4.1290136943126117E-9</v>
      </c>
      <c r="V64" s="4">
        <v>2.7457087997587636E-9</v>
      </c>
      <c r="W64" t="b">
        <v>0</v>
      </c>
    </row>
    <row r="65" spans="1:23" x14ac:dyDescent="0.25">
      <c r="I65" t="s">
        <v>100</v>
      </c>
      <c r="J65">
        <f ca="1"/>
        <v>-8.670228683905129E-3</v>
      </c>
      <c r="K65">
        <f ca="1"/>
        <v>5.3102443915796778E-2</v>
      </c>
      <c r="L65">
        <f ca="1"/>
        <v>-0.1632736281903201</v>
      </c>
      <c r="M65">
        <f ca="1"/>
        <v>0.87032323696639657</v>
      </c>
      <c r="N65">
        <f ca="1"/>
        <v>-0.11282644698792899</v>
      </c>
      <c r="O65">
        <f ca="1"/>
        <v>9.5485989620118727E-2</v>
      </c>
      <c r="P65" t="b">
        <f ca="1"/>
        <v>0</v>
      </c>
      <c r="Q65" s="4">
        <v>-8.6702286839342602E-3</v>
      </c>
      <c r="R65" s="4">
        <v>5.3102443915796674E-2</v>
      </c>
      <c r="S65" s="4">
        <v>-0.16327362819086902</v>
      </c>
      <c r="T65" s="6">
        <v>0.87032323696596448</v>
      </c>
      <c r="U65" s="4">
        <v>-0.11282644698795903</v>
      </c>
      <c r="V65" s="4">
        <v>9.5485989620090514E-2</v>
      </c>
      <c r="W65" t="b">
        <v>0</v>
      </c>
    </row>
    <row r="66" spans="1:23" x14ac:dyDescent="0.25">
      <c r="I66" t="s">
        <v>101</v>
      </c>
      <c r="J66">
        <f ca="1"/>
        <v>-5.1227822387597412E-2</v>
      </c>
      <c r="K66">
        <f ca="1"/>
        <v>5.2417926575909844E-2</v>
      </c>
      <c r="L66">
        <f ca="1"/>
        <v>-0.97729585532939833</v>
      </c>
      <c r="M66">
        <f ca="1"/>
        <v>0.3285677233054739</v>
      </c>
      <c r="N66">
        <f ca="1"/>
        <v>-0.15404141439744909</v>
      </c>
      <c r="O66">
        <f ca="1"/>
        <v>5.1585769622254259E-2</v>
      </c>
      <c r="P66" t="b">
        <f ca="1"/>
        <v>0</v>
      </c>
      <c r="Q66" s="4">
        <v>-5.1227822387568255E-2</v>
      </c>
      <c r="R66" s="4">
        <v>5.241792657590965E-2</v>
      </c>
      <c r="S66" s="4">
        <v>-0.97729585532884566</v>
      </c>
      <c r="T66" s="6">
        <v>0.32856772330574768</v>
      </c>
      <c r="U66" s="4">
        <v>-0.15404141439742064</v>
      </c>
      <c r="V66" s="4">
        <v>5.1585769622284137E-2</v>
      </c>
      <c r="W66" t="b">
        <v>0</v>
      </c>
    </row>
    <row r="67" spans="1:23" x14ac:dyDescent="0.25">
      <c r="I67" t="s">
        <v>102</v>
      </c>
      <c r="J67">
        <f ca="1"/>
        <v>9.8241467234536515</v>
      </c>
      <c r="K67">
        <f ca="1"/>
        <v>0.83395947812394966</v>
      </c>
      <c r="L67">
        <f ca="1"/>
        <v>11.780124791619082</v>
      </c>
      <c r="M67">
        <f ca="1"/>
        <v>8.4306727253031009E-31</v>
      </c>
      <c r="N67">
        <f ca="1"/>
        <v>8.1884015664525371</v>
      </c>
      <c r="O67">
        <f ca="1"/>
        <v>11.459891880454766</v>
      </c>
      <c r="P67" t="b">
        <f ca="1"/>
        <v>1</v>
      </c>
      <c r="Q67" s="4">
        <v>9.8241467234536284</v>
      </c>
      <c r="R67" s="4">
        <v>0.83395947812394777</v>
      </c>
      <c r="S67" s="4">
        <v>11.780124791619082</v>
      </c>
      <c r="T67" s="6">
        <v>8.4306727253031184E-31</v>
      </c>
      <c r="U67" s="4">
        <v>8.1884015664524998</v>
      </c>
      <c r="V67" s="4">
        <v>11.459891880454757</v>
      </c>
      <c r="W67" t="b">
        <v>1</v>
      </c>
    </row>
    <row r="68" spans="1:23" x14ac:dyDescent="0.25">
      <c r="I68" t="s">
        <v>103</v>
      </c>
      <c r="J68">
        <f ca="1"/>
        <v>0.87833495505192805</v>
      </c>
      <c r="K68">
        <f ca="1"/>
        <v>5.9390382178830484E-2</v>
      </c>
      <c r="L68">
        <f ca="1"/>
        <v>14.789178362368038</v>
      </c>
      <c r="M68">
        <f ca="1"/>
        <v>1.5497721426886084E-46</v>
      </c>
      <c r="N68">
        <f ca="1"/>
        <v>0.76184544618513339</v>
      </c>
      <c r="O68">
        <f ca="1"/>
        <v>0.9948244639187227</v>
      </c>
      <c r="P68" t="b">
        <f ca="1"/>
        <v>1</v>
      </c>
      <c r="Q68" s="4">
        <v>0.87833495505192505</v>
      </c>
      <c r="R68" s="4">
        <v>5.9390382178830477E-2</v>
      </c>
      <c r="S68" s="4">
        <v>14.789178362367988</v>
      </c>
      <c r="T68" s="6">
        <v>1.5497721426896132E-46</v>
      </c>
      <c r="U68" s="4">
        <v>0.76184544618512917</v>
      </c>
      <c r="V68" s="4">
        <v>0.99482446391872092</v>
      </c>
      <c r="W68" t="b">
        <v>1</v>
      </c>
    </row>
    <row r="70" spans="1:23" x14ac:dyDescent="0.25">
      <c r="A70" t="s">
        <v>361</v>
      </c>
    </row>
    <row r="71" spans="1:23" x14ac:dyDescent="0.25">
      <c r="A71" t="b">
        <f ca="1">AND(B71,C71,D71,E71,F71,G71,H71)</f>
        <v>1</v>
      </c>
      <c r="B71" t="b" cm="1">
        <f t="array" aca="1" ref="B71" ca="1">AND(ROUND(Q71:Q88,6)=ROUND(_xlfn.ANCHORARRAY(J71),6))</f>
        <v>1</v>
      </c>
      <c r="C71" t="b" cm="1">
        <f t="array" aca="1" ref="C71" ca="1">AND(ROUND(R71:R88,6)=ROUND(_xlfn.ANCHORARRAY(K71),6))</f>
        <v>1</v>
      </c>
      <c r="D71" t="b" cm="1">
        <f t="array" aca="1" ref="D71" ca="1">AND(ROUND(S71:S88,6)=ROUND(_xlfn.ANCHORARRAY(L71),6))</f>
        <v>1</v>
      </c>
      <c r="E71" t="b" cm="1">
        <f t="array" aca="1" ref="E71" ca="1">AND(ROUND(T71:T88,6)=ROUND(_xlfn.ANCHORARRAY(M71),6))</f>
        <v>1</v>
      </c>
      <c r="F71" t="b" cm="1">
        <f t="array" aca="1" ref="F71" ca="1">AND(ROUND(U71:U88,6)=ROUND(_xlfn.ANCHORARRAY(N71),6))</f>
        <v>1</v>
      </c>
      <c r="G71" t="b" cm="1">
        <f t="array" aca="1" ref="G71" ca="1">AND(ROUND(V71:V88,6)=ROUND(_xlfn.ANCHORARRAY(O71),6))</f>
        <v>1</v>
      </c>
      <c r="H71" t="b" cm="1">
        <f t="array" aca="1" ref="H71" ca="1">AND(W71:W88=_xlfn.ANCHORARRAY(P71))</f>
        <v>1</v>
      </c>
      <c r="I71" t="s">
        <v>86</v>
      </c>
      <c r="J71" cm="1">
        <f t="array" aca="1" ref="J71:J88" ca="1">_xlfn.LET(_xlpm.x_s,OFFSET(y,0,1,ROWS(y),18),Coefficients(_xlpm.x_s,y,FALSE,fil))</f>
        <v>1.1694913550978301E-2</v>
      </c>
      <c r="K71" cm="1">
        <f t="array" aca="1" ref="K71:K88" ca="1">_xlfn.LET(_xlpm.x_s,OFFSET(y,0,1,ROWS(y),18),SE_Coefficients(_xlpm.x_s,y,FALSE,fil))</f>
        <v>1.7677880064828426E-3</v>
      </c>
      <c r="L71" cm="1">
        <f t="array" aca="1" ref="L71:L88" ca="1">_xlfn.LET(_xlpm.x_s,OFFSET(y,0,1,ROWS(y),18),T_Stats(_xlpm.x_s,y,FALSE,fil))</f>
        <v>6.6155633526704811</v>
      </c>
      <c r="M71" cm="1">
        <f t="array" aca="1" ref="M71:M88" ca="1">_xlfn.LET(_xlpm.x_s,OFFSET(y,0,1,ROWS(y),18),P_Values(_xlpm.x_s,y,FALSE,fil))</f>
        <v>5.0041597531470924E-11</v>
      </c>
      <c r="N71" cm="1">
        <f t="array" aca="1" ref="N71:N88" ca="1">_xlfn.LET(_xlpm.x_s,OFFSET(y,0,1,ROWS(y),18),CI_Lower(_xlpm.x_s,y,FALSE,fil,95))</f>
        <v>8.227539621406748E-3</v>
      </c>
      <c r="O71" cm="1">
        <f t="array" aca="1" ref="O71:O88" ca="1">_xlfn.LET(_xlpm.x_s,OFFSET(y,0,1,ROWS(y),18),CI_Upper(_xlpm.x_s,y,FALSE,fil,95))</f>
        <v>1.5162287480549853E-2</v>
      </c>
      <c r="P71" t="b" cm="1">
        <f t="array" aca="1" ref="P71:P88" ca="1">_xlfn.LET(_xlpm.x_s,OFFSET(y,0,1,ROWS(y),18),CI_Excludes_Zero(_xlpm.x_s,y,FALSE,fil,95))</f>
        <v>1</v>
      </c>
      <c r="Q71" s="4">
        <v>1.1694913551124867E-2</v>
      </c>
      <c r="R71" s="4">
        <v>1.7677880064579431E-3</v>
      </c>
      <c r="S71" s="4">
        <v>6.6155633528465723</v>
      </c>
      <c r="T71" s="6">
        <v>5.0041597473455494E-11</v>
      </c>
      <c r="U71" s="4">
        <v>8.2275396216020917E-3</v>
      </c>
      <c r="V71" s="4">
        <v>1.5162287480647643E-2</v>
      </c>
      <c r="W71" t="b">
        <v>1</v>
      </c>
    </row>
    <row r="72" spans="1:23" x14ac:dyDescent="0.25">
      <c r="I72" t="s">
        <v>87</v>
      </c>
      <c r="J72">
        <f ca="1"/>
        <v>-2.659738101708722E-2</v>
      </c>
      <c r="K72">
        <f ca="1"/>
        <v>2.1650722881030926E-2</v>
      </c>
      <c r="L72">
        <f ca="1"/>
        <v>-1.2284754261203104</v>
      </c>
      <c r="M72">
        <f ca="1"/>
        <v>0.21944577976748644</v>
      </c>
      <c r="N72">
        <f ca="1"/>
        <v>-6.9063531821801097E-2</v>
      </c>
      <c r="O72">
        <f ca="1"/>
        <v>1.5868769787626653E-2</v>
      </c>
      <c r="P72" t="b">
        <f ca="1"/>
        <v>0</v>
      </c>
      <c r="Q72" s="4">
        <v>-2.6597381016835817E-2</v>
      </c>
      <c r="R72" s="4">
        <v>2.1650722880829164E-2</v>
      </c>
      <c r="S72" s="4">
        <v>-1.2284754261201467</v>
      </c>
      <c r="T72" s="6">
        <v>0.21944577976754798</v>
      </c>
      <c r="U72" s="4">
        <v>-6.9063531821154725E-2</v>
      </c>
      <c r="V72" s="4">
        <v>1.5868769787483094E-2</v>
      </c>
      <c r="W72" t="b">
        <v>0</v>
      </c>
    </row>
    <row r="73" spans="1:23" x14ac:dyDescent="0.25">
      <c r="I73" t="s">
        <v>88</v>
      </c>
      <c r="J73">
        <f ca="1"/>
        <v>-0.65561401174294509</v>
      </c>
      <c r="K73">
        <f ca="1"/>
        <v>6.0475883921003504E-2</v>
      </c>
      <c r="L73">
        <f ca="1"/>
        <v>-10.840916564350502</v>
      </c>
      <c r="M73">
        <f ca="1"/>
        <v>1.7199666215804826E-26</v>
      </c>
      <c r="N73">
        <f ca="1"/>
        <v>-0.77423259185916793</v>
      </c>
      <c r="O73">
        <f ca="1"/>
        <v>-0.53699543162672225</v>
      </c>
      <c r="P73" t="b">
        <f ca="1"/>
        <v>1</v>
      </c>
      <c r="Q73" s="4">
        <v>-0.65561401174195533</v>
      </c>
      <c r="R73" s="4">
        <v>6.0475883920895861E-2</v>
      </c>
      <c r="S73" s="4">
        <v>-10.840916564353432</v>
      </c>
      <c r="T73" s="6">
        <v>1.7199666215290935E-26</v>
      </c>
      <c r="U73" s="4">
        <v>-0.77423259185796922</v>
      </c>
      <c r="V73" s="4">
        <v>-0.53699543162594143</v>
      </c>
      <c r="W73" t="b">
        <v>1</v>
      </c>
    </row>
    <row r="74" spans="1:23" x14ac:dyDescent="0.25">
      <c r="I74" t="s">
        <v>89</v>
      </c>
      <c r="J74">
        <f ca="1"/>
        <v>1.1415767872093941E-3</v>
      </c>
      <c r="K74">
        <f ca="1"/>
        <v>3.698459703878289E-4</v>
      </c>
      <c r="L74">
        <f ca="1"/>
        <v>3.0866276196339539</v>
      </c>
      <c r="M74">
        <f ca="1"/>
        <v>2.0584834135213216E-3</v>
      </c>
      <c r="N74">
        <f ca="1"/>
        <v>4.1615367596695662E-4</v>
      </c>
      <c r="O74">
        <f ca="1"/>
        <v>1.8669998984518314E-3</v>
      </c>
      <c r="P74" t="b">
        <f ca="1"/>
        <v>1</v>
      </c>
      <c r="Q74" s="4">
        <v>1.1415767872052646E-3</v>
      </c>
      <c r="R74" s="4">
        <v>3.6984597038789482E-4</v>
      </c>
      <c r="S74" s="4">
        <v>3.086627619622238</v>
      </c>
      <c r="T74" s="6">
        <v>2.0584834136019715E-3</v>
      </c>
      <c r="U74" s="4">
        <v>4.1615367596268453E-4</v>
      </c>
      <c r="V74" s="4">
        <v>1.8669998984478446E-3</v>
      </c>
      <c r="W74" t="b">
        <v>1</v>
      </c>
    </row>
    <row r="75" spans="1:23" x14ac:dyDescent="0.25">
      <c r="I75" t="s">
        <v>90</v>
      </c>
      <c r="J75">
        <f ca="1"/>
        <v>1.5686452510347944E-2</v>
      </c>
      <c r="K75">
        <f ca="1"/>
        <v>9.1074978079920092E-3</v>
      </c>
      <c r="L75">
        <f ca="1"/>
        <v>1.7223668718956784</v>
      </c>
      <c r="M75">
        <f ca="1"/>
        <v>8.5192656977017694E-2</v>
      </c>
      <c r="N75">
        <f ca="1"/>
        <v>-2.1771716047917014E-3</v>
      </c>
      <c r="O75">
        <f ca="1"/>
        <v>3.355007662548759E-2</v>
      </c>
      <c r="P75" t="b">
        <f ca="1"/>
        <v>0</v>
      </c>
      <c r="Q75" s="4">
        <v>1.5686452510427322E-2</v>
      </c>
      <c r="R75" s="4">
        <v>9.1074978079900334E-3</v>
      </c>
      <c r="S75" s="4">
        <v>1.7223668719047676</v>
      </c>
      <c r="T75" s="6">
        <v>8.5192656975371886E-2</v>
      </c>
      <c r="U75" s="4">
        <v>-2.1771716047087712E-3</v>
      </c>
      <c r="V75" s="4">
        <v>3.3550076625563419E-2</v>
      </c>
      <c r="W75" t="b">
        <v>0</v>
      </c>
    </row>
    <row r="76" spans="1:23" x14ac:dyDescent="0.25">
      <c r="I76" t="s">
        <v>91</v>
      </c>
      <c r="J76">
        <f ca="1"/>
        <v>7.1740751306677544E-5</v>
      </c>
      <c r="K76">
        <f ca="1"/>
        <v>2.2067219218583282E-5</v>
      </c>
      <c r="L76">
        <f ca="1"/>
        <v>3.2510100432710209</v>
      </c>
      <c r="M76">
        <f ca="1"/>
        <v>1.1734157034034877E-3</v>
      </c>
      <c r="N76">
        <f ca="1"/>
        <v>2.8457676449251982E-5</v>
      </c>
      <c r="O76">
        <f ca="1"/>
        <v>1.150238261641031E-4</v>
      </c>
      <c r="P76" t="b">
        <f ca="1"/>
        <v>1</v>
      </c>
      <c r="Q76" s="4">
        <v>7.1740751307372422E-5</v>
      </c>
      <c r="R76" s="4">
        <v>2.2067219218695995E-5</v>
      </c>
      <c r="S76" s="4">
        <v>3.251010043285905</v>
      </c>
      <c r="T76" s="6">
        <v>1.1734157033424575E-3</v>
      </c>
      <c r="U76" s="4">
        <v>2.8457676449724992E-5</v>
      </c>
      <c r="V76" s="4">
        <v>1.1502382616501985E-4</v>
      </c>
      <c r="W76" t="b">
        <v>1</v>
      </c>
    </row>
    <row r="77" spans="1:23" x14ac:dyDescent="0.25">
      <c r="I77" t="s">
        <v>92</v>
      </c>
      <c r="J77">
        <f ca="1"/>
        <v>0.10158241469525493</v>
      </c>
      <c r="K77">
        <f ca="1"/>
        <v>1.2187228667517534E-2</v>
      </c>
      <c r="L77">
        <f ca="1"/>
        <v>8.3351529266043283</v>
      </c>
      <c r="M77">
        <f ca="1"/>
        <v>1.6225438346515406E-16</v>
      </c>
      <c r="N77">
        <f ca="1"/>
        <v>7.7678146309843488E-2</v>
      </c>
      <c r="O77">
        <f ca="1"/>
        <v>0.12548668308066638</v>
      </c>
      <c r="P77" t="b">
        <f ca="1"/>
        <v>1</v>
      </c>
      <c r="Q77" s="4">
        <v>0.10158241469508797</v>
      </c>
      <c r="R77" s="4">
        <v>1.2187228667515168E-2</v>
      </c>
      <c r="S77" s="4">
        <v>8.3351529265922455</v>
      </c>
      <c r="T77" s="6">
        <v>1.6225438348105296E-16</v>
      </c>
      <c r="U77" s="4">
        <v>7.7678146309680729E-2</v>
      </c>
      <c r="V77" s="4">
        <v>0.12548668308049521</v>
      </c>
      <c r="W77" t="b">
        <v>1</v>
      </c>
    </row>
    <row r="78" spans="1:23" x14ac:dyDescent="0.25">
      <c r="I78" t="s">
        <v>93</v>
      </c>
      <c r="J78">
        <f ca="1"/>
        <v>2.2849053851415821E-2</v>
      </c>
      <c r="K78">
        <f ca="1"/>
        <v>1.5642855632048151E-2</v>
      </c>
      <c r="L78">
        <f ca="1"/>
        <v>1.4606702502965021</v>
      </c>
      <c r="M78">
        <f ca="1"/>
        <v>0.144298559518488</v>
      </c>
      <c r="N78">
        <f ca="1"/>
        <v>-7.8331487677372573E-3</v>
      </c>
      <c r="O78">
        <f ca="1"/>
        <v>5.3531256470568903E-2</v>
      </c>
      <c r="P78" t="b">
        <f ca="1"/>
        <v>0</v>
      </c>
      <c r="Q78" s="4">
        <v>2.284905385093336E-2</v>
      </c>
      <c r="R78" s="4">
        <v>1.5642855631658854E-2</v>
      </c>
      <c r="S78" s="4">
        <v>1.4606702503020108</v>
      </c>
      <c r="T78" s="6">
        <v>0.14429855951697576</v>
      </c>
      <c r="U78" s="4">
        <v>-7.8331487674567039E-3</v>
      </c>
      <c r="V78" s="4">
        <v>5.3531256469323427E-2</v>
      </c>
      <c r="W78" t="b">
        <v>0</v>
      </c>
    </row>
    <row r="79" spans="1:23" x14ac:dyDescent="0.25">
      <c r="I79" t="s">
        <v>94</v>
      </c>
      <c r="J79">
        <f ca="1"/>
        <v>6.3337454517096367E-2</v>
      </c>
      <c r="K79">
        <f ca="1"/>
        <v>1.0482032001796791E-2</v>
      </c>
      <c r="L79">
        <f ca="1"/>
        <v>6.0424786440491021</v>
      </c>
      <c r="M79">
        <f ca="1"/>
        <v>1.8765612130493428E-9</v>
      </c>
      <c r="N79">
        <f ca="1"/>
        <v>4.2777792182766776E-2</v>
      </c>
      <c r="O79">
        <f ca="1"/>
        <v>8.3897116851425951E-2</v>
      </c>
      <c r="P79" t="b">
        <f ca="1"/>
        <v>1</v>
      </c>
      <c r="Q79" s="4">
        <v>6.3337454517035097E-2</v>
      </c>
      <c r="R79" s="4">
        <v>1.0482032001795372E-2</v>
      </c>
      <c r="S79" s="4">
        <v>6.042478644044075</v>
      </c>
      <c r="T79" s="6">
        <v>1.8765612131066118E-9</v>
      </c>
      <c r="U79" s="4">
        <v>4.2777792182707913E-2</v>
      </c>
      <c r="V79" s="4">
        <v>8.389711685136228E-2</v>
      </c>
      <c r="W79" t="b">
        <v>1</v>
      </c>
    </row>
    <row r="80" spans="1:23" x14ac:dyDescent="0.25">
      <c r="I80" t="s">
        <v>95</v>
      </c>
      <c r="J80">
        <f ca="1"/>
        <v>0.78195921051006623</v>
      </c>
      <c r="K80">
        <f ca="1"/>
        <v>8.1233352226015215E-2</v>
      </c>
      <c r="L80">
        <f ca="1"/>
        <v>9.6260857034980454</v>
      </c>
      <c r="M80">
        <f ca="1"/>
        <v>2.2670993466795489E-21</v>
      </c>
      <c r="N80">
        <f ca="1"/>
        <v>0.62262652656422002</v>
      </c>
      <c r="O80">
        <f ca="1"/>
        <v>0.94129189445591244</v>
      </c>
      <c r="P80" t="b">
        <f ca="1"/>
        <v>1</v>
      </c>
      <c r="Q80" s="4">
        <v>0.78195921051091644</v>
      </c>
      <c r="R80" s="4">
        <v>8.1233352225975927E-2</v>
      </c>
      <c r="S80" s="4">
        <v>9.6260857035131675</v>
      </c>
      <c r="T80" s="6">
        <v>2.2670993463640372E-21</v>
      </c>
      <c r="U80" s="4">
        <v>0.62262652656514439</v>
      </c>
      <c r="V80" s="4">
        <v>0.94129189445668848</v>
      </c>
      <c r="W80" t="b">
        <v>1</v>
      </c>
    </row>
    <row r="81" spans="9:23" x14ac:dyDescent="0.25">
      <c r="I81" t="s">
        <v>96</v>
      </c>
      <c r="J81">
        <f ca="1"/>
        <v>8.2129769121988272E-2</v>
      </c>
      <c r="K81">
        <f ca="1"/>
        <v>1.2038336375633132E-2</v>
      </c>
      <c r="L81">
        <f ca="1"/>
        <v>6.822352072519557</v>
      </c>
      <c r="M81">
        <f ca="1"/>
        <v>1.2580671939662868E-11</v>
      </c>
      <c r="N81">
        <f ca="1"/>
        <v>5.8517540986482861E-2</v>
      </c>
      <c r="O81">
        <f ca="1"/>
        <v>0.10574199725749368</v>
      </c>
      <c r="P81" t="b">
        <f ca="1"/>
        <v>1</v>
      </c>
      <c r="Q81" s="4">
        <v>8.2129769121937354E-2</v>
      </c>
      <c r="R81" s="4">
        <v>1.2038336375629882E-2</v>
      </c>
      <c r="S81" s="4">
        <v>6.8223520725171696</v>
      </c>
      <c r="T81" s="6">
        <v>1.2580671939865797E-11</v>
      </c>
      <c r="U81" s="4">
        <v>5.8517540986437883E-2</v>
      </c>
      <c r="V81" s="4">
        <v>0.10574199725743683</v>
      </c>
      <c r="W81" t="b">
        <v>1</v>
      </c>
    </row>
    <row r="82" spans="9:23" x14ac:dyDescent="0.25">
      <c r="I82" t="s">
        <v>97</v>
      </c>
      <c r="J82">
        <f ca="1"/>
        <v>-0.53841223383207071</v>
      </c>
      <c r="K82">
        <f ca="1"/>
        <v>3.6586957214359929E-2</v>
      </c>
      <c r="L82">
        <f ca="1"/>
        <v>-14.715960955090043</v>
      </c>
      <c r="M82">
        <f ca="1"/>
        <v>4.0212216223103381E-46</v>
      </c>
      <c r="N82">
        <f ca="1"/>
        <v>-0.61017460643681587</v>
      </c>
      <c r="O82">
        <f ca="1"/>
        <v>-0.46664986122732555</v>
      </c>
      <c r="P82" t="b">
        <f ca="1"/>
        <v>1</v>
      </c>
      <c r="Q82" s="4">
        <v>-0.53841223383182935</v>
      </c>
      <c r="R82" s="4">
        <v>3.6586957214359804E-2</v>
      </c>
      <c r="S82" s="4">
        <v>-14.715960955083498</v>
      </c>
      <c r="T82" s="6">
        <v>4.0212216226542359E-46</v>
      </c>
      <c r="U82" s="4">
        <v>-0.61017460643657562</v>
      </c>
      <c r="V82" s="4">
        <v>-0.46664986122708313</v>
      </c>
      <c r="W82" t="b">
        <v>1</v>
      </c>
    </row>
    <row r="83" spans="9:23" x14ac:dyDescent="0.25">
      <c r="I83" t="s">
        <v>98</v>
      </c>
      <c r="J83">
        <f ca="1"/>
        <v>-1.7715285139888778E-4</v>
      </c>
      <c r="K83">
        <f ca="1"/>
        <v>5.8002692539489708E-5</v>
      </c>
      <c r="L83">
        <f ca="1"/>
        <v>-3.054217720639048</v>
      </c>
      <c r="M83">
        <f ca="1"/>
        <v>2.2930128936129476E-3</v>
      </c>
      <c r="N83">
        <f ca="1"/>
        <v>-2.909204656257314E-4</v>
      </c>
      <c r="O83">
        <f ca="1"/>
        <v>-6.3385237172044174E-5</v>
      </c>
      <c r="P83" t="b">
        <f ca="1"/>
        <v>1</v>
      </c>
      <c r="Q83" s="4">
        <v>-1.771528513990323E-4</v>
      </c>
      <c r="R83" s="4">
        <v>5.8002692539488909E-5</v>
      </c>
      <c r="S83" s="4">
        <v>-3.0542177206415819</v>
      </c>
      <c r="T83" s="6">
        <v>2.2930128935936905E-3</v>
      </c>
      <c r="U83" s="4">
        <v>-2.9092046562587641E-4</v>
      </c>
      <c r="V83" s="4">
        <v>-6.3385237172188183E-5</v>
      </c>
      <c r="W83" t="b">
        <v>1</v>
      </c>
    </row>
    <row r="84" spans="9:23" x14ac:dyDescent="0.25">
      <c r="I84" t="s">
        <v>99</v>
      </c>
      <c r="J84">
        <f ca="1"/>
        <v>-1.1084626388126037E-8</v>
      </c>
      <c r="K84">
        <f ca="1"/>
        <v>3.5855381680195885E-9</v>
      </c>
      <c r="L84">
        <f ca="1"/>
        <v>-3.0914819111376084</v>
      </c>
      <c r="M84">
        <f ca="1"/>
        <v>2.0253169785142519E-3</v>
      </c>
      <c r="N84">
        <f ca="1"/>
        <v>-1.8117370994200232E-8</v>
      </c>
      <c r="O84">
        <f ca="1"/>
        <v>-4.0518817820518434E-9</v>
      </c>
      <c r="P84" t="b">
        <f ca="1"/>
        <v>1</v>
      </c>
      <c r="Q84" s="4">
        <v>-1.1084626401486074E-8</v>
      </c>
      <c r="R84" s="4">
        <v>3.5855381675094774E-9</v>
      </c>
      <c r="S84" s="4">
        <v>-3.0914819153035205</v>
      </c>
      <c r="T84" s="6">
        <v>2.0253169502629171E-3</v>
      </c>
      <c r="U84" s="4">
        <v>-1.8117371006559855E-8</v>
      </c>
      <c r="V84" s="4">
        <v>-4.0518817964122944E-9</v>
      </c>
      <c r="W84" t="b">
        <v>1</v>
      </c>
    </row>
    <row r="85" spans="9:23" x14ac:dyDescent="0.25">
      <c r="I85" t="s">
        <v>100</v>
      </c>
      <c r="J85">
        <f ca="1"/>
        <v>0.49121851679145984</v>
      </c>
      <c r="K85">
        <f ca="1"/>
        <v>0.10808726184796649</v>
      </c>
      <c r="L85">
        <f ca="1"/>
        <v>4.5446476152055597</v>
      </c>
      <c r="M85">
        <f ca="1"/>
        <v>5.9077480295214926E-6</v>
      </c>
      <c r="N85">
        <f ca="1"/>
        <v>0.27921404992324872</v>
      </c>
      <c r="O85">
        <f ca="1"/>
        <v>0.70322298365967095</v>
      </c>
      <c r="P85" t="b">
        <f ca="1"/>
        <v>1</v>
      </c>
      <c r="Q85" s="4">
        <v>0.49121851679144479</v>
      </c>
      <c r="R85" s="4">
        <v>0.10808726184796648</v>
      </c>
      <c r="S85" s="4">
        <v>4.5446476152054212</v>
      </c>
      <c r="T85" s="6">
        <v>5.9077480295256795E-6</v>
      </c>
      <c r="U85" s="4">
        <v>0.27921404992322985</v>
      </c>
      <c r="V85" s="4">
        <v>0.70322298365965974</v>
      </c>
      <c r="W85" t="b">
        <v>1</v>
      </c>
    </row>
    <row r="86" spans="9:23" x14ac:dyDescent="0.25">
      <c r="I86" t="s">
        <v>101</v>
      </c>
      <c r="J86">
        <f ca="1"/>
        <v>0.20107036536345524</v>
      </c>
      <c r="K86">
        <f ca="1"/>
        <v>0.10736916165459325</v>
      </c>
      <c r="L86">
        <f ca="1"/>
        <v>1.8727012697584331</v>
      </c>
      <c r="M86">
        <f ca="1"/>
        <v>6.1288420741517635E-2</v>
      </c>
      <c r="N86">
        <f ca="1"/>
        <v>-9.5256057574198971E-3</v>
      </c>
      <c r="O86">
        <f ca="1"/>
        <v>0.41166633648433038</v>
      </c>
      <c r="P86" t="b">
        <f ca="1"/>
        <v>0</v>
      </c>
      <c r="Q86" s="4">
        <v>0.20107036536346515</v>
      </c>
      <c r="R86" s="4">
        <v>0.1073691616545934</v>
      </c>
      <c r="S86" s="4">
        <v>1.8727012697585228</v>
      </c>
      <c r="T86" s="6">
        <v>6.1288420741505284E-2</v>
      </c>
      <c r="U86" s="4">
        <v>-9.525605757414124E-3</v>
      </c>
      <c r="V86" s="4">
        <v>0.41166633648434442</v>
      </c>
      <c r="W86" t="b">
        <v>0</v>
      </c>
    </row>
    <row r="87" spans="9:23" x14ac:dyDescent="0.25">
      <c r="I87" t="s">
        <v>102</v>
      </c>
      <c r="J87">
        <f ca="1"/>
        <v>19.408956085829281</v>
      </c>
      <c r="K87">
        <f ca="1"/>
        <v>1.690307868981314</v>
      </c>
      <c r="L87">
        <f ca="1"/>
        <v>11.482497621883722</v>
      </c>
      <c r="M87">
        <f ca="1"/>
        <v>2.1062919312465837E-29</v>
      </c>
      <c r="N87">
        <f ca="1"/>
        <v>16.093553211524092</v>
      </c>
      <c r="O87">
        <f ca="1"/>
        <v>22.72435896013447</v>
      </c>
      <c r="P87" t="b">
        <f ca="1"/>
        <v>1</v>
      </c>
      <c r="Q87" s="4">
        <v>19.408956085829338</v>
      </c>
      <c r="R87" s="4">
        <v>1.6903078689813171</v>
      </c>
      <c r="S87" s="4">
        <v>11.482497621883736</v>
      </c>
      <c r="T87" s="6">
        <v>2.1062919312463182E-29</v>
      </c>
      <c r="U87" s="4">
        <v>16.093553211524085</v>
      </c>
      <c r="V87" s="4">
        <v>22.724358960134591</v>
      </c>
      <c r="W87" t="b">
        <v>1</v>
      </c>
    </row>
    <row r="88" spans="9:23" x14ac:dyDescent="0.25">
      <c r="I88" t="s">
        <v>103</v>
      </c>
      <c r="J88">
        <f ca="1"/>
        <v>2.7265195128408788</v>
      </c>
      <c r="K88">
        <f ca="1"/>
        <v>0.11008781457267841</v>
      </c>
      <c r="L88">
        <f ca="1"/>
        <v>24.766769359753884</v>
      </c>
      <c r="M88">
        <f ca="1"/>
        <v>3.2485641459355288E-115</v>
      </c>
      <c r="N88">
        <f ca="1"/>
        <v>2.5105911227777136</v>
      </c>
      <c r="O88">
        <f ca="1"/>
        <v>2.942447902904044</v>
      </c>
      <c r="P88" t="b">
        <f ca="1"/>
        <v>1</v>
      </c>
      <c r="Q88" s="4">
        <v>2.726519512840873</v>
      </c>
      <c r="R88" s="4">
        <v>0.11008781457267856</v>
      </c>
      <c r="S88" s="4">
        <v>24.766769359753798</v>
      </c>
      <c r="T88" s="6">
        <v>3.2485641459400308E-115</v>
      </c>
      <c r="U88" s="4">
        <v>2.5105911227777038</v>
      </c>
      <c r="V88" s="4">
        <v>2.9424479029040422</v>
      </c>
      <c r="W88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LAMBDA_functions</vt:lpstr>
      <vt:lpstr>Life Expectancy Data</vt:lpstr>
      <vt:lpstr>MLR_Scalar_Test</vt:lpstr>
      <vt:lpstr>MLR_Vector_Outputs_Test</vt:lpstr>
      <vt:lpstr>MLR_Scalar_Test!fil</vt:lpstr>
      <vt:lpstr>MLR_Vector_Outputs_Test!fil</vt:lpstr>
      <vt:lpstr>MLR_Scalar_Test!y</vt:lpstr>
      <vt:lpstr>MLR_Vector_Outputs_Test!y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2026-05-11T01:50:36Z</dcterms:created>
  <dcterms:modified xsi:type="dcterms:W3CDTF">2026-05-11T02:16:30Z</dcterms:modified>
</cp:coreProperties>
</file>